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.10" sheetId="2" r:id="rId5"/>
    <sheet name="便捷表勿删" sheetId="3" r:id="rId6"/>
    <sheet name="2026.9" sheetId="4" r:id="rId7"/>
    <sheet name="2026.8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34" i="2" a="true"/>
  <c r="K334" i="2" a="true"/>
  <c r="K434" i="4" a="true"/>
  <c r="J434" i="4" a="true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<sst xmlns="http://schemas.openxmlformats.org/spreadsheetml/2006/main" count="291" uniqueCount="291">
  <si>
    <t xml:space="preserve">  </t>
  </si>
  <si>
    <t xml:space="preserve">核心指标</t>
  </si>
  <si>
    <t xml:space="preserve">过程指标</t>
  </si>
  <si>
    <t xml:space="preserve">互动指标</t>
  </si>
  <si>
    <t xml:space="preserve">-</t>
  </si>
  <si>
    <t xml:space="preserve">日期</t>
  </si>
  <si>
    <t xml:space="preserve">投手</t>
  </si>
  <si>
    <t xml:space="preserve">运营</t>
  </si>
  <si>
    <t xml:space="preserve">主播</t>
  </si>
  <si>
    <t xml:space="preserve">时段</t>
  </si>
  <si>
    <t xml:space="preserve">消耗 （账面）</t>
  </si>
  <si>
    <t xml:space="preserve">视频消耗2</t>
  </si>
  <si>
    <t xml:space="preserve">直投消耗</t>
  </si>
  <si>
    <t xml:space="preserve">提单数</t>
  </si>
  <si>
    <t xml:space="preserve">保单数</t>
  </si>
  <si>
    <t xml:space="preserve">年化保费</t>
  </si>
  <si>
    <t xml:space="preserve">多单率</t>
  </si>
  <si>
    <t xml:space="preserve">件均</t>
  </si>
  <si>
    <t xml:space="preserve">保单成本</t>
  </si>
  <si>
    <t xml:space="preserve">ROI</t>
  </si>
  <si>
    <t xml:space="preserve">业务ROI</t>
  </si>
  <si>
    <t xml:space="preserve">观看成本</t>
  </si>
  <si>
    <t xml:space="preserve">组件点击成本</t>
  </si>
  <si>
    <t xml:space="preserve">表单提交成本</t>
  </si>
  <si>
    <t xml:space="preserve">保险支付成本</t>
  </si>
  <si>
    <t xml:space="preserve">点击-观看</t>
  </si>
  <si>
    <t xml:space="preserve">观看-组件点击</t>
  </si>
  <si>
    <t xml:space="preserve">组件点击-表单提交</t>
  </si>
  <si>
    <t xml:space="preserve">表单提交-保险支付</t>
  </si>
  <si>
    <t xml:space="preserve">ctr</t>
  </si>
  <si>
    <t xml:space="preserve">cvr</t>
  </si>
  <si>
    <t xml:space="preserve">cpm</t>
  </si>
  <si>
    <t xml:space="preserve">cpc</t>
  </si>
  <si>
    <t xml:space="preserve">超1分钟观看成本</t>
  </si>
  <si>
    <t xml:space="preserve">观看-超1分钟观看</t>
  </si>
  <si>
    <t xml:space="preserve">评论成本</t>
  </si>
  <si>
    <t xml:space="preserve">观看-评论</t>
  </si>
  <si>
    <t xml:space="preserve">观看-关注</t>
  </si>
  <si>
    <t xml:space="preserve">展示数</t>
  </si>
  <si>
    <t xml:space="preserve">点击数</t>
  </si>
  <si>
    <t xml:space="preserve">直播间观看数</t>
  </si>
  <si>
    <t xml:space="preserve">组件点击数</t>
  </si>
  <si>
    <t xml:space="preserve">表单提交</t>
  </si>
  <si>
    <t xml:space="preserve">保险支付数</t>
  </si>
  <si>
    <t xml:space="preserve">直播间超1分钟观看数</t>
  </si>
  <si>
    <t xml:space="preserve">直播间评论数</t>
  </si>
  <si>
    <t xml:space="preserve">直播间关注数</t>
  </si>
  <si>
    <t xml:space="preserve">家庭单</t>
  </si>
  <si>
    <t xml:space="preserve">时长（别删）</t>
  </si>
  <si>
    <t xml:space="preserve">赖法彬</t>
  </si>
  <si>
    <t xml:space="preserve">kelly</t>
  </si>
  <si>
    <t xml:space="preserve">杨蕊竹</t>
  </si>
  <si>
    <t xml:space="preserve">12:00-13:00</t>
  </si>
  <si>
    <t xml:space="preserve">13:00-14:00</t>
  </si>
  <si>
    <t xml:space="preserve">14:00-15:00</t>
  </si>
  <si>
    <t xml:space="preserve">15:00-16:00</t>
  </si>
  <si>
    <t xml:space="preserve">主播合计</t>
  </si>
  <si>
    <t xml:space="preserve">程珂珂</t>
  </si>
  <si>
    <t xml:space="preserve">16:00-17:00</t>
  </si>
  <si>
    <t xml:space="preserve">17:00-18:00</t>
  </si>
  <si>
    <t xml:space="preserve">18:00-19:00</t>
  </si>
  <si>
    <t xml:space="preserve">19:00-20:00</t>
  </si>
  <si>
    <t xml:space="preserve">黄佳慧</t>
  </si>
  <si>
    <t xml:space="preserve">20:00-21:00</t>
  </si>
  <si>
    <t xml:space="preserve">21:00-22:00</t>
  </si>
  <si>
    <t xml:space="preserve">22:00-23:00</t>
  </si>
  <si>
    <t xml:space="preserve">23:00-24:00</t>
  </si>
  <si>
    <t xml:space="preserve">当日合计</t>
  </si>
  <si>
    <t xml:space="preserve">范欣茹</t>
  </si>
  <si>
    <t xml:space="preserve">陈浏铭</t>
  </si>
  <si>
    <t xml:space="preserve">孟璐瑶</t>
  </si>
  <si>
    <t xml:space="preserve">吴若楠</t>
  </si>
  <si>
    <t xml:space="preserve">孟璐瑶 </t>
  </si>
  <si>
    <t xml:space="preserve">何嘉仪</t>
  </si>
  <si>
    <t xml:space="preserve">24:00-01:00</t>
  </si>
  <si>
    <t xml:space="preserve">核心指标</t>
  </si>
  <si>
    <t xml:space="preserve">过程指标</t>
  </si>
  <si>
    <t xml:space="preserve">互动指标</t>
  </si>
  <si>
    <t xml:space="preserve">-</t>
  </si>
  <si>
    <t xml:space="preserve">日期</t>
  </si>
  <si>
    <t xml:space="preserve">投手</t>
  </si>
  <si>
    <t xml:space="preserve">运营</t>
  </si>
  <si>
    <t xml:space="preserve">主播</t>
  </si>
  <si>
    <t xml:space="preserve">时段</t>
  </si>
  <si>
    <t xml:space="preserve">消耗 （账面）</t>
  </si>
  <si>
    <t xml:space="preserve">视频消耗2</t>
  </si>
  <si>
    <t xml:space="preserve">直投消耗</t>
  </si>
  <si>
    <t xml:space="preserve">提单数</t>
  </si>
  <si>
    <t xml:space="preserve">保单数</t>
  </si>
  <si>
    <t xml:space="preserve">年化保费</t>
  </si>
  <si>
    <t xml:space="preserve">多单率</t>
  </si>
  <si>
    <t xml:space="preserve">件均</t>
  </si>
  <si>
    <t xml:space="preserve">保单成本</t>
  </si>
  <si>
    <t xml:space="preserve">ROI</t>
  </si>
  <si>
    <t xml:space="preserve">业务ROI</t>
  </si>
  <si>
    <t xml:space="preserve">观看成本</t>
  </si>
  <si>
    <t xml:space="preserve">组件点击成本</t>
  </si>
  <si>
    <t xml:space="preserve">表单提交成本</t>
  </si>
  <si>
    <t xml:space="preserve">保险支付成本</t>
  </si>
  <si>
    <t xml:space="preserve">点击-观看</t>
  </si>
  <si>
    <t xml:space="preserve">观看-组件点击</t>
  </si>
  <si>
    <t xml:space="preserve">组件点击-表单提交</t>
  </si>
  <si>
    <t xml:space="preserve">表单提交-保险支付</t>
  </si>
  <si>
    <t xml:space="preserve">ctr</t>
  </si>
  <si>
    <t xml:space="preserve">cvr</t>
  </si>
  <si>
    <t xml:space="preserve">cpm</t>
  </si>
  <si>
    <t xml:space="preserve">cpc</t>
  </si>
  <si>
    <t xml:space="preserve">超1分钟观看成本</t>
  </si>
  <si>
    <t xml:space="preserve">观看-超1分钟观看</t>
  </si>
  <si>
    <t xml:space="preserve">评论成本</t>
  </si>
  <si>
    <t xml:space="preserve">观看-评论</t>
  </si>
  <si>
    <t xml:space="preserve">观看-关注</t>
  </si>
  <si>
    <t xml:space="preserve">展示数</t>
  </si>
  <si>
    <t xml:space="preserve">点击数</t>
  </si>
  <si>
    <t xml:space="preserve">直播间观看数</t>
  </si>
  <si>
    <t xml:space="preserve">组件点击数</t>
  </si>
  <si>
    <t xml:space="preserve">表单提交</t>
  </si>
  <si>
    <t xml:space="preserve">保险支付数</t>
  </si>
  <si>
    <t xml:space="preserve">直播间超1分钟观看数</t>
  </si>
  <si>
    <t xml:space="preserve">直播间评论数</t>
  </si>
  <si>
    <t xml:space="preserve">直播间关注数</t>
  </si>
  <si>
    <t xml:space="preserve">家庭单</t>
  </si>
  <si>
    <t xml:space="preserve">时长（别删）</t>
  </si>
  <si>
    <t xml:space="preserve">陈浏铭</t>
  </si>
  <si>
    <t xml:space="preserve">kelly</t>
  </si>
  <si>
    <t xml:space="preserve">杨蕊竹</t>
  </si>
  <si>
    <t xml:space="preserve">12:00-13:00</t>
  </si>
  <si>
    <t xml:space="preserve">13:00-14:00</t>
  </si>
  <si>
    <t xml:space="preserve">14:00-15:00</t>
  </si>
  <si>
    <t xml:space="preserve">15:00-16:00</t>
  </si>
  <si>
    <t xml:space="preserve">主播合计</t>
  </si>
  <si>
    <t xml:space="preserve">程珂珂</t>
  </si>
  <si>
    <t xml:space="preserve">16:00-17:00</t>
  </si>
  <si>
    <t xml:space="preserve">17:00-18:00</t>
  </si>
  <si>
    <t xml:space="preserve">18:00-19:00</t>
  </si>
  <si>
    <t xml:space="preserve">孟璐瑶</t>
  </si>
  <si>
    <t xml:space="preserve">19:00-20:00</t>
  </si>
  <si>
    <t xml:space="preserve">20:00-21:00</t>
  </si>
  <si>
    <t xml:space="preserve">黄佳慧</t>
  </si>
  <si>
    <t xml:space="preserve">21:00-22:00</t>
  </si>
  <si>
    <t xml:space="preserve">22:00-23:00</t>
  </si>
  <si>
    <t xml:space="preserve">23:00-24:00</t>
  </si>
  <si>
    <t xml:space="preserve">当日合计</t>
  </si>
  <si>
    <t xml:space="preserve">核心指标</t>
  </si>
  <si>
    <t xml:space="preserve">过程指标</t>
  </si>
  <si>
    <t xml:space="preserve">互动指标</t>
  </si>
  <si>
    <t xml:space="preserve">-</t>
  </si>
  <si>
    <t xml:space="preserve">日期</t>
  </si>
  <si>
    <t xml:space="preserve">投手</t>
  </si>
  <si>
    <t xml:space="preserve">运营</t>
  </si>
  <si>
    <t xml:space="preserve">主播</t>
  </si>
  <si>
    <t xml:space="preserve">时段</t>
  </si>
  <si>
    <t xml:space="preserve">消耗 （账面）</t>
  </si>
  <si>
    <t xml:space="preserve">视频消耗2</t>
  </si>
  <si>
    <t xml:space="preserve">直投消耗</t>
  </si>
  <si>
    <t xml:space="preserve">提单数</t>
  </si>
  <si>
    <t xml:space="preserve">保单数</t>
  </si>
  <si>
    <t xml:space="preserve">年化保费</t>
  </si>
  <si>
    <t xml:space="preserve">多单率</t>
  </si>
  <si>
    <t xml:space="preserve">件均</t>
  </si>
  <si>
    <t xml:space="preserve">保单成本</t>
  </si>
  <si>
    <t xml:space="preserve">ROI</t>
  </si>
  <si>
    <t xml:space="preserve">业务ROI</t>
  </si>
  <si>
    <t xml:space="preserve">观看成本</t>
  </si>
  <si>
    <t xml:space="preserve">组件点击成本</t>
  </si>
  <si>
    <t xml:space="preserve">表单提交成本</t>
  </si>
  <si>
    <t xml:space="preserve">保险支付成本</t>
  </si>
  <si>
    <t xml:space="preserve">点击-观看</t>
  </si>
  <si>
    <t xml:space="preserve">观看-组件点击</t>
  </si>
  <si>
    <t xml:space="preserve">组件点击-表单提交</t>
  </si>
  <si>
    <t xml:space="preserve">表单提交-保险支付</t>
  </si>
  <si>
    <t xml:space="preserve">ctr</t>
  </si>
  <si>
    <t xml:space="preserve">cvr</t>
  </si>
  <si>
    <t xml:space="preserve">cpm</t>
  </si>
  <si>
    <t xml:space="preserve">cpc</t>
  </si>
  <si>
    <t xml:space="preserve">超1分钟观看成本</t>
  </si>
  <si>
    <t xml:space="preserve">观看-超1分钟观看</t>
  </si>
  <si>
    <t xml:space="preserve">评论成本</t>
  </si>
  <si>
    <t xml:space="preserve">观看-评论</t>
  </si>
  <si>
    <t xml:space="preserve">观看-关注</t>
  </si>
  <si>
    <t xml:space="preserve">展示数</t>
  </si>
  <si>
    <t xml:space="preserve">点击数</t>
  </si>
  <si>
    <t xml:space="preserve">直播间观看数</t>
  </si>
  <si>
    <t xml:space="preserve">组件点击数</t>
  </si>
  <si>
    <t xml:space="preserve">表单提交</t>
  </si>
  <si>
    <t xml:space="preserve">保险支付数</t>
  </si>
  <si>
    <t xml:space="preserve">直播间超1分钟观看数</t>
  </si>
  <si>
    <t xml:space="preserve">直播间评论数</t>
  </si>
  <si>
    <t xml:space="preserve">直播间关注数</t>
  </si>
  <si>
    <t xml:space="preserve">家庭单</t>
  </si>
  <si>
    <t xml:space="preserve">时长（别删）</t>
  </si>
  <si>
    <t xml:space="preserve">赖法彬</t>
  </si>
  <si>
    <t xml:space="preserve">kelly</t>
  </si>
  <si>
    <t xml:space="preserve">米静</t>
  </si>
  <si>
    <t xml:space="preserve">16:00-17:00</t>
  </si>
  <si>
    <t xml:space="preserve">17:00-18:00</t>
  </si>
  <si>
    <t xml:space="preserve">18:00-19:00</t>
  </si>
  <si>
    <t xml:space="preserve">主播合计</t>
  </si>
  <si>
    <t xml:space="preserve">熊福露</t>
  </si>
  <si>
    <t xml:space="preserve">19:00-20:00</t>
  </si>
  <si>
    <t xml:space="preserve">20:00-21:00</t>
  </si>
  <si>
    <t xml:space="preserve">程珂珂</t>
  </si>
  <si>
    <t xml:space="preserve">21:00-22:00</t>
  </si>
  <si>
    <t xml:space="preserve">22:00-23:00</t>
  </si>
  <si>
    <t xml:space="preserve">23:00-24:00</t>
  </si>
  <si>
    <t xml:space="preserve">当日合计</t>
  </si>
  <si>
    <t xml:space="preserve">黄佳慧</t>
  </si>
  <si>
    <t xml:space="preserve">杨蕊竹</t>
  </si>
  <si>
    <t xml:space="preserve">闫雨萌</t>
  </si>
  <si>
    <t xml:space="preserve">12:00-13:00</t>
  </si>
  <si>
    <t xml:space="preserve">13:00-14:00</t>
  </si>
  <si>
    <t xml:space="preserve">14:00-15:00</t>
  </si>
  <si>
    <t xml:space="preserve">15:00-16:00</t>
  </si>
  <si>
    <t xml:space="preserve">核心指标</t>
  </si>
  <si>
    <t xml:space="preserve">过程指标</t>
  </si>
  <si>
    <t xml:space="preserve">互动指标</t>
  </si>
  <si>
    <t xml:space="preserve">-</t>
  </si>
  <si>
    <t xml:space="preserve">日期</t>
  </si>
  <si>
    <t xml:space="preserve">投手</t>
  </si>
  <si>
    <t xml:space="preserve">运营</t>
  </si>
  <si>
    <t xml:space="preserve">主播</t>
  </si>
  <si>
    <t xml:space="preserve">时段</t>
  </si>
  <si>
    <t xml:space="preserve">消耗 （账面）</t>
  </si>
  <si>
    <t xml:space="preserve">视频消耗</t>
  </si>
  <si>
    <t xml:space="preserve">视频消耗2</t>
  </si>
  <si>
    <t xml:space="preserve">直投消耗</t>
  </si>
  <si>
    <t xml:space="preserve">提单数</t>
  </si>
  <si>
    <t xml:space="preserve">保单数</t>
  </si>
  <si>
    <t xml:space="preserve">年化保费</t>
  </si>
  <si>
    <t xml:space="preserve">多单率</t>
  </si>
  <si>
    <t xml:space="preserve">件均</t>
  </si>
  <si>
    <t xml:space="preserve">保单成本</t>
  </si>
  <si>
    <t xml:space="preserve">ROI</t>
  </si>
  <si>
    <t xml:space="preserve">业务ROI</t>
  </si>
  <si>
    <t xml:space="preserve">观看成本</t>
  </si>
  <si>
    <t xml:space="preserve">组件点击成本</t>
  </si>
  <si>
    <t xml:space="preserve">表单提交成本</t>
  </si>
  <si>
    <t xml:space="preserve">保险支付成本</t>
  </si>
  <si>
    <t xml:space="preserve">点击-观看</t>
  </si>
  <si>
    <t xml:space="preserve">观看-组件点击</t>
  </si>
  <si>
    <t xml:space="preserve">组件点击-表单提交</t>
  </si>
  <si>
    <t xml:space="preserve">表单提交-保险支付</t>
  </si>
  <si>
    <t xml:space="preserve">ctr</t>
  </si>
  <si>
    <t xml:space="preserve">cvr</t>
  </si>
  <si>
    <t xml:space="preserve">cpm</t>
  </si>
  <si>
    <t xml:space="preserve">cpc</t>
  </si>
  <si>
    <t xml:space="preserve">超1分钟观看成本</t>
  </si>
  <si>
    <t xml:space="preserve">观看-超1分钟观看</t>
  </si>
  <si>
    <t xml:space="preserve">评论成本</t>
  </si>
  <si>
    <t xml:space="preserve">观看-评论</t>
  </si>
  <si>
    <t xml:space="preserve">观看-关注</t>
  </si>
  <si>
    <t xml:space="preserve">展示数</t>
  </si>
  <si>
    <t xml:space="preserve">点击数</t>
  </si>
  <si>
    <t xml:space="preserve">直播间观看数</t>
  </si>
  <si>
    <t xml:space="preserve">组件点击数</t>
  </si>
  <si>
    <t xml:space="preserve">表单提交</t>
  </si>
  <si>
    <t xml:space="preserve">保险支付数</t>
  </si>
  <si>
    <t xml:space="preserve">直播间超1分钟观看数</t>
  </si>
  <si>
    <t xml:space="preserve">直播间评论数</t>
  </si>
  <si>
    <t xml:space="preserve">直播间关注数</t>
  </si>
  <si>
    <t xml:space="preserve">家庭单</t>
  </si>
  <si>
    <t xml:space="preserve">时长（别删）</t>
  </si>
  <si>
    <t xml:space="preserve">赖法彬</t>
  </si>
  <si>
    <t xml:space="preserve">kelly</t>
  </si>
  <si>
    <t xml:space="preserve">熊福露</t>
  </si>
  <si>
    <t xml:space="preserve">18:00-19:00</t>
  </si>
  <si>
    <t xml:space="preserve">19:00-20:00</t>
  </si>
  <si>
    <t xml:space="preserve">20:00-21:00</t>
  </si>
  <si>
    <t xml:space="preserve">主播合计</t>
  </si>
  <si>
    <t xml:space="preserve">米静</t>
  </si>
  <si>
    <t xml:space="preserve">21:00-22:00</t>
  </si>
  <si>
    <t xml:space="preserve">22:00-23:00</t>
  </si>
  <si>
    <t xml:space="preserve">23:00-24:00</t>
  </si>
  <si>
    <t xml:space="preserve">当日合计</t>
  </si>
  <si>
    <t xml:space="preserve">7:00-8:00</t>
  </si>
  <si>
    <t xml:space="preserve">8:00-9:00</t>
  </si>
  <si>
    <t xml:space="preserve">9:00-10:00</t>
  </si>
  <si>
    <t xml:space="preserve">黄佳慧</t>
  </si>
  <si>
    <t xml:space="preserve">10:00-11:00</t>
  </si>
  <si>
    <t xml:space="preserve">11:00-12:00</t>
  </si>
  <si>
    <t xml:space="preserve">12:00-13:00</t>
  </si>
  <si>
    <t xml:space="preserve">13:00-14:00</t>
  </si>
  <si>
    <t xml:space="preserve">14:00-15:00</t>
  </si>
  <si>
    <t xml:space="preserve">刘凯</t>
  </si>
  <si>
    <t xml:space="preserve">邵二波</t>
  </si>
  <si>
    <t xml:space="preserve">邵二波，赖法彬</t>
  </si>
  <si>
    <t xml:space="preserve">14:00-14:30</t>
  </si>
  <si>
    <t xml:space="preserve">程珂珂</t>
  </si>
  <si>
    <t xml:space="preserve">15:00-16:00</t>
  </si>
  <si>
    <t xml:space="preserve">16:00-17:00</t>
  </si>
  <si>
    <t xml:space="preserve">17:00-18:00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</si>
</sst>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4">
    <numFmt numFmtId="164" formatCode="0.00"/>
    <numFmt numFmtId="165" formatCode="#,##0.00"/>
    <numFmt numFmtId="166" formatCode="0.00%"/>
    <numFmt numFmtId="167" formatCode="yyyy/m/d"/>
    <numFmt numFmtId="168" formatCode="#,##0"/>
    <numFmt numFmtId="169" formatCode="0.00_);(0.00)"/>
    <numFmt numFmtId="170" formatCode="0"/>
    <numFmt numFmtId="171" formatCode="0.00"/>
    <numFmt numFmtId="172" formatCode="#,##0.00"/>
    <numFmt numFmtId="173" formatCode="0.00%"/>
    <numFmt numFmtId="174" formatCode="yyyy/m/d"/>
    <numFmt numFmtId="175" formatCode="#,##0"/>
    <numFmt numFmtId="176" formatCode="0.00_);(0.00)"/>
    <numFmt numFmtId="177" formatCode="0.00"/>
    <numFmt numFmtId="178" formatCode="#,##0.00"/>
    <numFmt numFmtId="179" formatCode="0.00%"/>
    <numFmt numFmtId="180" formatCode="yyyy/m/d"/>
    <numFmt numFmtId="181" formatCode="#,##0"/>
    <numFmt numFmtId="182" formatCode="0.00"/>
    <numFmt numFmtId="183" formatCode="#,##0.00"/>
    <numFmt numFmtId="184" formatCode="0.00%"/>
    <numFmt numFmtId="185" formatCode="yyyy/m/d"/>
    <numFmt numFmtId="186" formatCode="0"/>
    <numFmt numFmtId="187" formatCode="#,##0"/>
  </numFmts>
  <fonts count="7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1F2329"/>
      <name val="Calibri"/>
      <family val="2"/>
      <scheme val="minor"/>
    </font>
    <font>
      <sz val="14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4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8CDDFA"/>
        <bgColor/>
      </patternFill>
    </fill>
    <fill>
      <patternFill patternType="solid">
        <fgColor rgb="FFFDEBFF"/>
        <bgColor/>
      </patternFill>
    </fill>
    <fill>
      <patternFill patternType="solid">
        <fgColor rgb="FFFFF9E3"/>
        <bgColor/>
      </patternFill>
    </fill>
    <fill>
      <patternFill patternType="solid">
        <fgColor rgb="FFFFF3EB"/>
        <bgColor/>
      </patternFill>
    </fill>
    <fill>
      <patternFill patternType="solid">
        <fgColor rgb="FFFDDDEF"/>
        <bgColor/>
      </patternFill>
    </fill>
    <fill>
      <patternFill patternType="solid">
        <fgColor rgb="FFF57AC0"/>
        <bgColor/>
      </patternFill>
    </fill>
    <fill>
      <patternFill patternType="solid">
        <fgColor rgb="FFF54A45"/>
        <bgColor/>
      </patternFill>
    </fill>
    <fill>
      <patternFill patternType="solid">
        <fgColor rgb="FFFFFFFF"/>
        <bgColor/>
      </patternFill>
    </fill>
    <fill>
      <patternFill patternType="solid">
        <fgColor rgb="FFDEE0E3"/>
        <bgColor/>
      </patternFill>
    </fill>
    <fill>
      <patternFill patternType="solid">
        <fgColor rgb="FFFFF258"/>
        <bgColor/>
      </patternFill>
    </fill>
    <fill>
      <patternFill patternType="solid">
        <fgColor rgb="FF14C0FF"/>
        <bgColor/>
      </patternFill>
    </fill>
    <fill>
      <patternFill patternType="solid">
        <fgColor rgb="FF8CDDFA"/>
        <bgColor/>
      </patternFill>
    </fill>
    <fill>
      <patternFill patternType="solid">
        <fgColor rgb="FFFDEBFF"/>
        <bgColor/>
      </patternFill>
    </fill>
    <fill>
      <patternFill patternType="solid">
        <fgColor rgb="FFFFF9E3"/>
        <bgColor/>
      </patternFill>
    </fill>
    <fill>
      <patternFill patternType="solid">
        <fgColor rgb="FFFFF3EB"/>
        <bgColor/>
      </patternFill>
    </fill>
    <fill>
      <patternFill patternType="solid">
        <fgColor rgb="FFFDDDEF"/>
        <bgColor/>
      </patternFill>
    </fill>
    <fill>
      <patternFill patternType="solid">
        <fgColor rgb="FFF57AC0"/>
        <bgColor/>
      </patternFill>
    </fill>
    <fill>
      <patternFill patternType="solid">
        <fgColor rgb="FFF54A45"/>
        <bgColor/>
      </patternFill>
    </fill>
    <fill>
      <patternFill patternType="solid">
        <fgColor rgb="FFFFFFFF"/>
        <bgColor/>
      </patternFill>
    </fill>
    <fill>
      <patternFill patternType="solid">
        <fgColor rgb="FFDEE0E3"/>
        <bgColor/>
      </patternFill>
    </fill>
    <fill>
      <patternFill patternType="solid">
        <fgColor rgb="FFFFF258"/>
        <bgColor/>
      </patternFill>
    </fill>
    <fill>
      <patternFill patternType="solid">
        <fgColor rgb="FFD5F6F2"/>
        <bgColor/>
      </patternFill>
    </fill>
    <fill>
      <patternFill patternType="solid">
        <fgColor rgb="FF64E8D6"/>
        <bgColor/>
      </patternFill>
    </fill>
    <fill>
      <patternFill patternType="solid">
        <fgColor rgb="FF8CDDFA"/>
        <bgColor/>
      </patternFill>
    </fill>
    <fill>
      <patternFill patternType="solid">
        <fgColor rgb="FFFDEBFF"/>
        <bgColor/>
      </patternFill>
    </fill>
    <fill>
      <patternFill patternType="solid">
        <fgColor rgb="FFFFF9E3"/>
        <bgColor/>
      </patternFill>
    </fill>
    <fill>
      <patternFill patternType="solid">
        <fgColor rgb="FFFFF3EB"/>
        <bgColor/>
      </patternFill>
    </fill>
    <fill>
      <patternFill patternType="solid">
        <fgColor rgb="FFFDDDEF"/>
        <bgColor/>
      </patternFill>
    </fill>
    <fill>
      <patternFill patternType="solid">
        <fgColor rgb="FFF57AC0"/>
        <bgColor/>
      </patternFill>
    </fill>
    <fill>
      <patternFill patternType="solid">
        <fgColor rgb="FFF54A45"/>
        <bgColor/>
      </patternFill>
    </fill>
    <fill>
      <patternFill patternType="solid">
        <fgColor rgb="FFFFFFFF"/>
        <bgColor/>
      </patternFill>
    </fill>
    <fill>
      <patternFill patternType="solid">
        <fgColor rgb="FFDEE0E3"/>
        <bgColor/>
      </patternFill>
    </fill>
    <fill>
      <patternFill patternType="solid">
        <fgColor rgb="FFFFF258"/>
        <bgColor/>
      </patternFill>
    </fill>
    <fill>
      <patternFill patternType="solid">
        <fgColor rgb="FF14C0FF"/>
        <bgColor/>
      </patternFill>
    </fill>
    <fill>
      <patternFill patternType="solid">
        <fgColor rgb="FF8CDDFA"/>
        <bgColor/>
      </patternFill>
    </fill>
    <fill>
      <patternFill patternType="solid">
        <fgColor rgb="FFFDEBFF"/>
        <bgColor/>
      </patternFill>
    </fill>
    <fill>
      <patternFill patternType="solid">
        <fgColor rgb="FFFFF9E3"/>
        <bgColor/>
      </patternFill>
    </fill>
    <fill>
      <patternFill patternType="solid">
        <fgColor rgb="FFFFF3EB"/>
        <bgColor/>
      </patternFill>
    </fill>
    <fill>
      <patternFill patternType="solid">
        <fgColor rgb="FFFDDDEF"/>
        <bgColor/>
      </patternFill>
    </fill>
    <fill>
      <patternFill patternType="solid">
        <fgColor rgb="FFF57AC0"/>
        <bgColor/>
      </patternFill>
    </fill>
    <fill>
      <patternFill patternType="solid">
        <fgColor rgb="FFF54A45"/>
        <bgColor/>
      </patternFill>
    </fill>
    <fill>
      <patternFill patternType="solid">
        <fgColor rgb="FFFFFFFF"/>
        <bgColor/>
      </patternFill>
    </fill>
    <fill>
      <patternFill patternType="solid">
        <fgColor rgb="FFDEE0E3"/>
        <bgColor/>
      </patternFill>
    </fill>
    <fill>
      <patternFill patternType="solid">
        <fgColor rgb="FFFFF258"/>
        <bgColor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1F2329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000000"/>
      </right>
      <top style="thin">
        <color rgb="FF000000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1F2329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000000"/>
      </right>
      <top style="thin">
        <color rgb="FF000000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1F2329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000000"/>
      </right>
      <top style="thin">
        <color rgb="FF000000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8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2" fillId="3" fontId="1" numFmtId="0" xfId="0">
      <alignment horizontal="center" vertical="center"/>
    </xf>
    <xf applyAlignment="true" applyBorder="false" applyFill="true" applyFont="true" applyNumberFormat="true" applyProtection="false" borderId="3" fillId="4" fontId="1" numFmtId="164" xfId="0">
      <alignment horizontal="center" vertical="center"/>
    </xf>
    <xf applyAlignment="true" applyBorder="false" applyFill="true" applyFont="true" applyNumberFormat="true" applyProtection="false" borderId="1" fillId="5" fontId="1" numFmtId="165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true" applyFont="true" applyNumberFormat="false" applyProtection="false" borderId="4" fillId="2" fontId="1" numFmtId="0" xfId="0">
      <alignment horizontal="center" vertical="center"/>
    </xf>
    <xf applyAlignment="true" applyBorder="false" applyFill="true" applyFont="true" applyNumberFormat="false" applyProtection="false" borderId="5" fillId="2" fontId="1" numFmtId="0" xfId="0">
      <alignment horizontal="center" vertical="center"/>
    </xf>
    <xf applyAlignment="true" applyBorder="false" applyFill="true" applyFont="true" applyNumberFormat="false" applyProtection="false" borderId="6" fillId="2" fontId="1" numFmtId="0" xfId="0">
      <alignment horizontal="center" vertical="center"/>
    </xf>
    <xf applyAlignment="true" applyBorder="false" applyFill="true" applyFont="true" applyNumberFormat="false" applyProtection="false" borderId="7" fillId="2" fontId="1" numFmtId="0" xfId="0">
      <alignment horizontal="center" vertical="center"/>
    </xf>
    <xf applyAlignment="true" applyBorder="false" applyFill="true" applyFont="true" applyNumberFormat="true" applyProtection="false" borderId="3" fillId="6" fontId="1" numFmtId="164" xfId="0">
      <alignment horizontal="center" vertical="center"/>
    </xf>
    <xf applyAlignment="true" applyBorder="false" applyFill="true" applyFont="true" applyNumberFormat="true" applyProtection="false" borderId="3" fillId="7" fontId="1" numFmtId="164" xfId="0">
      <alignment horizontal="center" vertical="center"/>
    </xf>
    <xf applyAlignment="true" applyBorder="false" applyFill="true" applyFont="true" applyNumberFormat="true" applyProtection="false" borderId="3" fillId="7" fontId="1" numFmtId="164" xfId="0">
      <alignment horizontal="center" vertical="center"/>
    </xf>
    <xf applyAlignment="true" applyBorder="false" applyFill="true" applyFont="true" applyNumberFormat="false" applyProtection="false" borderId="1" fillId="7" fontId="1" numFmtId="0" xfId="0">
      <alignment horizontal="center" vertical="center"/>
    </xf>
    <xf applyAlignment="true" applyBorder="false" applyFill="true" applyFont="true" applyNumberFormat="true" applyProtection="false" borderId="1" fillId="3" fontId="1" numFmtId="166" xfId="0">
      <alignment horizontal="center" vertical="center"/>
    </xf>
    <xf applyAlignment="true" applyBorder="false" applyFill="true" applyFont="true" applyNumberFormat="true" applyProtection="false" borderId="1" fillId="3" fontId="1" numFmtId="165" xfId="0">
      <alignment horizontal="center" vertical="center"/>
    </xf>
    <xf applyAlignment="true" applyBorder="false" applyFill="true" applyFont="true" applyNumberFormat="true" applyProtection="false" borderId="1" fillId="3" fontId="1" numFmtId="164" xfId="0">
      <alignment horizontal="center" vertical="center"/>
    </xf>
    <xf applyAlignment="true" applyBorder="false" applyFill="true" applyFont="true" applyNumberFormat="true" applyProtection="false" borderId="8" fillId="3" fontId="1" numFmtId="164" xfId="0">
      <alignment horizontal="center" vertical="center"/>
    </xf>
    <xf applyAlignment="true" applyBorder="false" applyFill="true" applyFont="true" applyNumberFormat="true" applyProtection="false" borderId="1" fillId="4" fontId="1" numFmtId="164" xfId="0">
      <alignment horizontal="center" vertical="center"/>
    </xf>
    <xf applyAlignment="true" applyBorder="false" applyFill="true" applyFont="true" applyNumberFormat="true" applyProtection="false" borderId="1" fillId="4" fontId="1" numFmtId="166" xfId="0">
      <alignment horizontal="center" vertical="center"/>
    </xf>
    <xf applyAlignment="true" applyBorder="false" applyFill="true" applyFont="true" applyNumberFormat="true" applyProtection="false" borderId="1" fillId="4" fontId="1" numFmtId="165" xfId="0">
      <alignment horizontal="center" vertical="center"/>
    </xf>
    <xf applyAlignment="true" applyBorder="false" applyFill="true" applyFont="true" applyNumberFormat="true" applyProtection="false" borderId="1" fillId="5" fontId="1" numFmtId="166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true" applyFont="true" applyNumberFormat="false" applyProtection="false" borderId="0" fillId="8" fontId="1" numFmtId="0" xfId="0">
      <alignment horizontal="center" vertical="center"/>
    </xf>
    <xf applyAlignment="true" applyBorder="false" applyFill="true" applyFont="true" applyNumberFormat="true" applyProtection="false" borderId="4" fillId="9" fontId="3" numFmtId="167" xfId="0">
      <alignment horizontal="center" vertical="center"/>
    </xf>
    <xf applyAlignment="true" applyBorder="false" applyFill="true" applyFont="true" applyNumberFormat="false" applyProtection="false" borderId="9" fillId="9" fontId="1" numFmtId="0" xfId="0">
      <alignment horizontal="center" vertical="center"/>
    </xf>
    <xf applyAlignment="true" applyBorder="false" applyFill="true" applyFont="true" applyNumberFormat="false" applyProtection="false" borderId="9" fillId="9" fontId="1" numFmtId="0" xfId="0">
      <alignment horizontal="center" vertical="center"/>
    </xf>
    <xf applyAlignment="true" applyBorder="false" applyFill="true" applyFont="true" applyNumberFormat="true" applyProtection="false" borderId="10" fillId="9" fontId="1" numFmtId="164" xfId="0">
      <alignment horizontal="center" vertical="center"/>
    </xf>
    <xf applyAlignment="true" applyBorder="false" applyFill="true" applyFont="true" applyNumberFormat="true" applyProtection="false" borderId="3" fillId="9" fontId="1" numFmtId="164" xfId="0">
      <alignment horizontal="center" vertical="center"/>
    </xf>
    <xf applyAlignment="true" applyBorder="false" applyFill="true" applyFont="true" applyNumberFormat="false" applyProtection="false" borderId="1" fillId="9" fontId="1" numFmtId="0" xfId="0">
      <alignment horizontal="center" vertical="center"/>
    </xf>
    <xf applyAlignment="true" applyBorder="false" applyFill="true" applyFont="true" applyNumberFormat="true" applyProtection="false" borderId="1" fillId="9" fontId="1" numFmtId="164" xfId="0">
      <alignment horizontal="center" vertical="center"/>
    </xf>
    <xf applyAlignment="true" applyBorder="false" applyFill="true" applyFont="true" applyNumberFormat="true" applyProtection="false" borderId="1" fillId="9" fontId="3" numFmtId="166" xfId="0">
      <alignment horizontal="center" vertical="center"/>
    </xf>
    <xf applyAlignment="true" applyBorder="false" applyFill="true" applyFont="true" applyNumberFormat="true" applyProtection="false" borderId="1" fillId="9" fontId="3" numFmtId="165" xfId="0">
      <alignment horizontal="center" vertical="center"/>
    </xf>
    <xf applyAlignment="true" applyBorder="false" applyFill="true" applyFont="true" applyNumberFormat="true" applyProtection="false" borderId="1" fillId="9" fontId="3" numFmtId="164" xfId="0">
      <alignment horizontal="center" vertical="center"/>
    </xf>
    <xf applyAlignment="true" applyBorder="false" applyFill="true" applyFont="true" applyNumberFormat="false" applyProtection="false" borderId="1" fillId="9" fontId="1" numFmtId="0" xfId="0">
      <alignment horizontal="center" vertical="center"/>
    </xf>
    <xf applyAlignment="true" applyBorder="false" applyFill="true" applyFont="true" applyNumberFormat="true" applyProtection="false" borderId="1" fillId="9" fontId="1" numFmtId="168" xfId="0">
      <alignment horizontal="center" vertical="center"/>
    </xf>
    <xf applyAlignment="true" applyBorder="false" applyFill="true" applyFont="true" applyNumberFormat="false" applyProtection="false" borderId="1" fillId="8" fontId="1" numFmtId="0" xfId="0">
      <alignment horizontal="center" vertical="center"/>
    </xf>
    <xf applyAlignment="true" applyBorder="false" applyFill="true" applyFont="true" applyNumberFormat="true" applyProtection="false" borderId="3" fillId="9" fontId="4" numFmtId="164" xfId="0">
      <alignment horizontal="center" vertical="center"/>
    </xf>
    <xf applyAlignment="true" applyBorder="false" applyFill="true" applyFont="true" applyNumberFormat="false" applyProtection="false" borderId="11" fillId="10" fontId="3" numFmtId="0" xfId="0">
      <alignment horizontal="center" vertical="center"/>
    </xf>
    <xf applyAlignment="true" applyBorder="false" applyFill="true" applyFont="true" applyNumberFormat="true" applyProtection="false" borderId="3" fillId="10" fontId="3" numFmtId="164" xfId="0">
      <alignment horizontal="center" vertical="center"/>
    </xf>
    <xf applyAlignment="true" applyBorder="false" applyFill="true" applyFont="true" applyNumberFormat="false" applyProtection="false" borderId="3" fillId="10" fontId="3" numFmtId="0" xfId="0">
      <alignment horizontal="center" vertical="center"/>
    </xf>
    <xf applyAlignment="true" applyBorder="false" applyFill="true" applyFont="true" applyNumberFormat="true" applyProtection="false" borderId="1" fillId="10" fontId="3" numFmtId="166" xfId="0">
      <alignment horizontal="center" vertical="center"/>
    </xf>
    <xf applyAlignment="true" applyBorder="false" applyFill="true" applyFont="true" applyNumberFormat="true" applyProtection="false" borderId="1" fillId="10" fontId="3" numFmtId="165" xfId="0">
      <alignment horizontal="center" vertical="center"/>
    </xf>
    <xf applyAlignment="true" applyBorder="false" applyFill="true" applyFont="true" applyNumberFormat="true" applyProtection="false" borderId="1" fillId="10" fontId="3" numFmtId="164" xfId="0">
      <alignment horizontal="center" vertical="center"/>
    </xf>
    <xf applyAlignment="true" applyBorder="false" applyFill="true" applyFont="true" applyNumberFormat="false" applyProtection="false" borderId="3" fillId="8" fontId="3" numFmtId="0" xfId="0">
      <alignment horizontal="center" vertical="center"/>
    </xf>
    <xf applyAlignment="true" applyBorder="false" applyFill="true" applyFont="true" applyNumberFormat="true" applyProtection="false" borderId="1" fillId="9" fontId="1" numFmtId="164" xfId="0">
      <alignment horizontal="center" vertical="center"/>
    </xf>
    <xf applyAlignment="true" applyBorder="false" applyFill="true" applyFont="true" applyNumberFormat="false" applyProtection="false" borderId="9" fillId="11" fontId="3" numFmtId="0" xfId="0">
      <alignment horizontal="center" vertical="center"/>
    </xf>
    <xf applyAlignment="true" applyBorder="false" applyFill="true" applyFont="true" applyNumberFormat="true" applyProtection="false" borderId="3" fillId="11" fontId="3" numFmtId="164" xfId="0">
      <alignment horizontal="center" vertical="center"/>
    </xf>
    <xf applyAlignment="true" applyBorder="false" applyFill="true" applyFont="true" applyNumberFormat="true" applyProtection="false" borderId="1" fillId="11" fontId="3" numFmtId="166" xfId="0">
      <alignment horizontal="center" vertical="center"/>
    </xf>
    <xf applyAlignment="true" applyBorder="false" applyFill="true" applyFont="true" applyNumberFormat="true" applyProtection="false" borderId="1" fillId="11" fontId="3" numFmtId="165" xfId="0">
      <alignment horizontal="center" vertical="center"/>
    </xf>
    <xf applyAlignment="true" applyBorder="false" applyFill="true" applyFont="true" applyNumberFormat="true" applyProtection="false" borderId="1" fillId="11" fontId="3" numFmtId="164" xfId="0">
      <alignment horizontal="center" vertical="center"/>
    </xf>
    <xf applyAlignment="true" applyBorder="false" applyFill="false" applyFont="true" applyNumberFormat="true" applyProtection="false" borderId="9" fillId="0" fontId="4" numFmtId="169" xfId="0">
      <alignment horizontal="center" vertical="center"/>
    </xf>
    <xf applyAlignment="true" applyBorder="false" applyFill="false" applyFont="true" applyNumberFormat="true" applyProtection="false" borderId="9" fillId="0" fontId="4" numFmtId="169" xfId="0">
      <alignment horizontal="center" vertical="center"/>
    </xf>
    <xf applyAlignment="true" applyBorder="false" applyFill="true" applyFont="true" applyNumberFormat="true" applyProtection="false" borderId="7" fillId="9" fontId="3" numFmtId="167" xfId="0">
      <alignment horizontal="center" vertical="center"/>
    </xf>
    <xf applyAlignment="true" applyBorder="false" applyFill="true" applyFont="true" applyNumberFormat="false" applyProtection="false" borderId="12" fillId="11" fontId="3" numFmtId="0" xfId="0">
      <alignment horizontal="center" vertical="center"/>
    </xf>
    <xf applyAlignment="true" applyBorder="false" applyFill="true" applyFont="true" applyNumberFormat="true" applyProtection="false" borderId="6" fillId="11" fontId="3" numFmtId="164" xfId="0">
      <alignment horizontal="center" vertical="center"/>
    </xf>
    <xf applyAlignment="true" applyBorder="false" applyFill="true" applyFont="true" applyNumberFormat="true" applyProtection="false" borderId="5" fillId="11" fontId="3" numFmtId="166" xfId="0">
      <alignment horizontal="center" vertical="center"/>
    </xf>
    <xf applyAlignment="true" applyBorder="false" applyFill="true" applyFont="true" applyNumberFormat="true" applyProtection="false" borderId="5" fillId="11" fontId="3" numFmtId="165" xfId="0">
      <alignment horizontal="center" vertical="center"/>
    </xf>
    <xf applyAlignment="true" applyBorder="false" applyFill="true" applyFont="true" applyNumberFormat="true" applyProtection="false" borderId="5" fillId="11" fontId="3" numFmtId="164" xfId="0">
      <alignment horizontal="center" vertical="center"/>
    </xf>
    <xf applyAlignment="true" applyBorder="false" applyFill="true" applyFont="true" applyNumberFormat="false" applyProtection="false" borderId="13" fillId="2" fontId="1" numFmtId="0" xfId="0">
      <alignment horizontal="center" vertical="center"/>
    </xf>
    <xf applyAlignment="true" applyBorder="false" applyFill="true" applyFont="true" applyNumberFormat="false" applyProtection="false" borderId="13" fillId="3" fontId="1" numFmtId="0" xfId="0">
      <alignment horizontal="center" vertical="center"/>
    </xf>
    <xf applyAlignment="true" applyBorder="false" applyFill="true" applyFont="true" applyNumberFormat="true" applyProtection="false" borderId="13" fillId="4" fontId="1" numFmtId="164" xfId="0">
      <alignment horizontal="center" vertical="center"/>
    </xf>
    <xf applyAlignment="true" applyBorder="false" applyFill="true" applyFont="true" applyNumberFormat="true" applyProtection="false" borderId="13" fillId="5" fontId="1" numFmtId="165" xfId="0">
      <alignment horizontal="center" vertical="center"/>
    </xf>
    <xf applyAlignment="true" applyBorder="false" applyFill="true" applyFont="true" applyNumberFormat="false" applyProtection="false" borderId="13" fillId="2" fontId="1" numFmtId="0" xfId="0">
      <alignment horizontal="center" vertical="center"/>
    </xf>
    <xf applyAlignment="true" applyBorder="false" applyFill="true" applyFont="true" applyNumberFormat="true" applyProtection="false" borderId="13" fillId="6" fontId="1" numFmtId="164" xfId="0">
      <alignment horizontal="center" vertical="center"/>
    </xf>
    <xf applyAlignment="true" applyBorder="false" applyFill="true" applyFont="true" applyNumberFormat="true" applyProtection="false" borderId="13" fillId="7" fontId="1" numFmtId="164" xfId="0">
      <alignment horizontal="center" vertical="center"/>
    </xf>
    <xf applyAlignment="true" applyBorder="false" applyFill="true" applyFont="true" applyNumberFormat="true" applyProtection="false" borderId="13" fillId="7" fontId="1" numFmtId="164" xfId="0">
      <alignment horizontal="center" vertical="center"/>
    </xf>
    <xf applyAlignment="true" applyBorder="false" applyFill="true" applyFont="true" applyNumberFormat="false" applyProtection="false" borderId="13" fillId="7" fontId="1" numFmtId="0" xfId="0">
      <alignment horizontal="center" vertical="center"/>
    </xf>
    <xf applyAlignment="true" applyBorder="false" applyFill="true" applyFont="true" applyNumberFormat="true" applyProtection="false" borderId="13" fillId="3" fontId="1" numFmtId="166" xfId="0">
      <alignment horizontal="center" vertical="center"/>
    </xf>
    <xf applyAlignment="true" applyBorder="false" applyFill="true" applyFont="true" applyNumberFormat="true" applyProtection="false" borderId="13" fillId="3" fontId="1" numFmtId="165" xfId="0">
      <alignment horizontal="center" vertical="center"/>
    </xf>
    <xf applyAlignment="true" applyBorder="false" applyFill="true" applyFont="true" applyNumberFormat="true" applyProtection="false" borderId="13" fillId="3" fontId="1" numFmtId="164" xfId="0">
      <alignment horizontal="center" vertical="center"/>
    </xf>
    <xf applyAlignment="true" applyBorder="false" applyFill="true" applyFont="true" applyNumberFormat="true" applyProtection="false" borderId="13" fillId="4" fontId="1" numFmtId="166" xfId="0">
      <alignment horizontal="center" vertical="center"/>
    </xf>
    <xf applyAlignment="true" applyBorder="false" applyFill="true" applyFont="true" applyNumberFormat="true" applyProtection="false" borderId="13" fillId="4" fontId="1" numFmtId="165" xfId="0">
      <alignment horizontal="center" vertical="center"/>
    </xf>
    <xf applyAlignment="true" applyBorder="false" applyFill="true" applyFont="true" applyNumberFormat="true" applyProtection="false" borderId="13" fillId="5" fontId="1" numFmtId="166" xfId="0">
      <alignment horizontal="center" vertical="center"/>
    </xf>
    <xf applyAlignment="true" applyBorder="false" applyFill="true" applyFont="true" applyNumberFormat="true" applyProtection="false" borderId="13" fillId="9" fontId="3" numFmtId="167" xfId="0">
      <alignment horizontal="center" vertical="center"/>
    </xf>
    <xf applyAlignment="true" applyBorder="false" applyFill="true" applyFont="true" applyNumberFormat="false" applyProtection="false" borderId="13" fillId="9" fontId="1" numFmtId="0" xfId="0">
      <alignment horizontal="center" vertical="center"/>
    </xf>
    <xf applyAlignment="true" applyBorder="false" applyFill="true" applyFont="true" applyNumberFormat="false" applyProtection="false" borderId="13" fillId="9" fontId="1" numFmtId="0" xfId="0">
      <alignment horizontal="center" vertical="center"/>
    </xf>
    <xf applyAlignment="true" applyBorder="false" applyFill="true" applyFont="true" applyNumberFormat="true" applyProtection="false" borderId="13" fillId="9" fontId="1" numFmtId="164" xfId="0">
      <alignment horizontal="center" vertical="center"/>
    </xf>
    <xf applyAlignment="true" applyBorder="false" applyFill="true" applyFont="true" applyNumberFormat="true" applyProtection="false" borderId="13" fillId="9" fontId="1" numFmtId="164" xfId="0">
      <alignment horizontal="center" vertical="center"/>
    </xf>
    <xf applyAlignment="true" applyBorder="false" applyFill="true" applyFont="true" applyNumberFormat="true" applyProtection="false" borderId="13" fillId="9" fontId="3" numFmtId="166" xfId="0">
      <alignment horizontal="center" vertical="center"/>
    </xf>
    <xf applyAlignment="true" applyBorder="false" applyFill="true" applyFont="true" applyNumberFormat="true" applyProtection="false" borderId="13" fillId="9" fontId="3" numFmtId="165" xfId="0">
      <alignment horizontal="center" vertical="center"/>
    </xf>
    <xf applyAlignment="true" applyBorder="false" applyFill="true" applyFont="true" applyNumberFormat="true" applyProtection="false" borderId="13" fillId="9" fontId="3" numFmtId="164" xfId="0">
      <alignment horizontal="center" vertical="center"/>
    </xf>
    <xf applyAlignment="true" applyBorder="false" applyFill="true" applyFont="true" applyNumberFormat="false" applyProtection="false" borderId="3" fillId="9" fontId="1" numFmtId="0" xfId="0">
      <alignment horizontal="center" vertical="center"/>
    </xf>
    <xf applyAlignment="true" applyBorder="false" applyFill="true" applyFont="true" applyNumberFormat="true" applyProtection="false" borderId="13" fillId="9" fontId="4" numFmtId="164" xfId="0">
      <alignment horizontal="center" vertical="center"/>
    </xf>
    <xf applyAlignment="true" applyBorder="false" applyFill="true" applyFont="true" applyNumberFormat="false" applyProtection="false" borderId="3" fillId="9" fontId="1" numFmtId="0" xfId="0">
      <alignment horizontal="center" vertical="center"/>
    </xf>
    <xf applyAlignment="true" applyBorder="false" applyFill="true" applyFont="true" applyNumberFormat="false" applyProtection="false" borderId="13" fillId="10" fontId="3" numFmtId="0" xfId="0">
      <alignment horizontal="center" vertical="center"/>
    </xf>
    <xf applyAlignment="true" applyBorder="false" applyFill="true" applyFont="true" applyNumberFormat="true" applyProtection="false" borderId="13" fillId="10" fontId="3" numFmtId="164" xfId="0">
      <alignment horizontal="center" vertical="center"/>
    </xf>
    <xf applyAlignment="true" applyBorder="false" applyFill="true" applyFont="true" applyNumberFormat="true" applyProtection="false" borderId="13" fillId="10" fontId="3" numFmtId="166" xfId="0">
      <alignment horizontal="center" vertical="center"/>
    </xf>
    <xf applyAlignment="true" applyBorder="false" applyFill="true" applyFont="true" applyNumberFormat="true" applyProtection="false" borderId="13" fillId="10" fontId="3" numFmtId="165" xfId="0">
      <alignment horizontal="center" vertical="center"/>
    </xf>
    <xf applyAlignment="true" applyBorder="false" applyFill="false" applyFont="true" applyNumberFormat="false" applyProtection="false" borderId="13" fillId="0" fontId="1" numFmtId="0" xfId="0">
      <alignment horizontal="center" vertical="center"/>
    </xf>
    <xf applyAlignment="true" applyBorder="false" applyFill="false" applyFont="true" applyNumberFormat="true" applyProtection="false" borderId="13" fillId="0" fontId="4" numFmtId="169" xfId="0">
      <alignment horizontal="center" vertical="center"/>
    </xf>
    <xf applyAlignment="true" applyBorder="false" applyFill="true" applyFont="true" applyNumberFormat="false" applyProtection="false" borderId="13" fillId="11" fontId="3" numFmtId="0" xfId="0">
      <alignment horizontal="center" vertical="center"/>
    </xf>
    <xf applyAlignment="true" applyBorder="false" applyFill="true" applyFont="true" applyNumberFormat="true" applyProtection="false" borderId="13" fillId="11" fontId="3" numFmtId="164" xfId="0">
      <alignment horizontal="center" vertical="center"/>
    </xf>
    <xf applyAlignment="true" applyBorder="false" applyFill="true" applyFont="true" applyNumberFormat="true" applyProtection="false" borderId="13" fillId="11" fontId="3" numFmtId="166" xfId="0">
      <alignment horizontal="center" vertical="center"/>
    </xf>
    <xf applyAlignment="true" applyBorder="false" applyFill="true" applyFont="true" applyNumberFormat="true" applyProtection="false" borderId="13" fillId="11" fontId="3" numFmtId="165" xfId="0">
      <alignment horizontal="center" vertical="center"/>
    </xf>
    <xf applyAlignment="true" applyBorder="false" applyFill="true" applyFont="true" applyNumberFormat="true" applyProtection="false" borderId="14" fillId="9" fontId="3" numFmtId="167" xfId="0">
      <alignment horizontal="center" vertical="center"/>
    </xf>
    <xf applyAlignment="true" applyBorder="false" applyFill="true" applyFont="true" applyNumberFormat="false" applyProtection="false" borderId="14" fillId="11" fontId="3" numFmtId="0" xfId="0">
      <alignment horizontal="center" vertical="center"/>
    </xf>
    <xf applyAlignment="true" applyBorder="false" applyFill="true" applyFont="true" applyNumberFormat="true" applyProtection="false" borderId="14" fillId="11" fontId="3" numFmtId="164" xfId="0">
      <alignment horizontal="center" vertical="center"/>
    </xf>
    <xf applyAlignment="true" applyBorder="false" applyFill="true" applyFont="true" applyNumberFormat="true" applyProtection="false" borderId="14" fillId="11" fontId="3" numFmtId="166" xfId="0">
      <alignment horizontal="center" vertical="center"/>
    </xf>
    <xf applyAlignment="true" applyBorder="false" applyFill="true" applyFont="true" applyNumberFormat="true" applyProtection="false" borderId="14" fillId="11" fontId="3" numFmtId="165" xfId="0">
      <alignment horizontal="center" vertical="center"/>
    </xf>
    <xf applyAlignment="true" applyBorder="false" applyFill="true" applyFont="true" applyNumberFormat="false" applyProtection="false" borderId="15" fillId="3" fontId="1" numFmtId="0" xfId="0">
      <alignment horizontal="center" vertical="center"/>
    </xf>
    <xf applyAlignment="true" applyBorder="false" applyFill="true" applyFont="true" applyNumberFormat="true" applyProtection="false" borderId="6" fillId="4" fontId="1" numFmtId="164" xfId="0">
      <alignment horizontal="center" vertical="center"/>
    </xf>
    <xf applyAlignment="true" applyBorder="false" applyFill="true" applyFont="true" applyNumberFormat="true" applyProtection="false" borderId="5" fillId="5" fontId="1" numFmtId="165" xfId="0">
      <alignment horizontal="center" vertical="center"/>
    </xf>
    <xf applyAlignment="true" applyBorder="false" applyFill="true" applyFont="true" applyNumberFormat="true" applyProtection="false" borderId="13" fillId="10" fontId="3" numFmtId="170" xfId="0">
      <alignment horizontal="center" vertical="center"/>
    </xf>
    <xf applyAlignment="true" applyBorder="false" applyFill="true" applyFont="true" applyNumberFormat="false" applyProtection="false" borderId="13" fillId="9" fontId="1" numFmtId="0" xfId="0">
      <alignment horizontal="center" vertical="center"/>
    </xf>
    <xf applyAlignment="true" applyBorder="false" applyFill="true" applyFont="true" applyNumberFormat="true" applyProtection="false" borderId="13" fillId="9" fontId="1" numFmtId="164" xfId="0">
      <alignment horizontal="center" vertical="center"/>
    </xf>
    <xf applyAlignment="true" applyBorder="false" applyFill="true" applyFont="true" applyNumberFormat="false" applyProtection="false" borderId="1" fillId="9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false" applyProtection="false" borderId="0" fillId="12" fontId="5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true" applyFont="true" applyNumberFormat="false" applyProtection="false" borderId="16" fillId="13" fontId="1" numFmtId="0" xfId="0">
      <alignment horizontal="center" vertical="center"/>
    </xf>
    <xf applyAlignment="true" applyBorder="false" applyFill="true" applyFont="true" applyNumberFormat="false" applyProtection="false" borderId="16" fillId="14" fontId="1" numFmtId="0" xfId="0">
      <alignment horizontal="center" vertical="center"/>
    </xf>
    <xf applyAlignment="true" applyBorder="false" applyFill="true" applyFont="true" applyNumberFormat="true" applyProtection="false" borderId="16" fillId="15" fontId="1" numFmtId="171" xfId="0">
      <alignment horizontal="center" vertical="center"/>
    </xf>
    <xf applyAlignment="true" applyBorder="false" applyFill="true" applyFont="true" applyNumberFormat="true" applyProtection="false" borderId="16" fillId="16" fontId="1" numFmtId="172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true" applyFont="true" applyNumberFormat="false" applyProtection="false" borderId="16" fillId="13" fontId="1" numFmtId="0" xfId="0">
      <alignment horizontal="center" vertical="center"/>
    </xf>
    <xf applyAlignment="true" applyBorder="false" applyFill="true" applyFont="true" applyNumberFormat="true" applyProtection="false" borderId="16" fillId="17" fontId="1" numFmtId="171" xfId="0">
      <alignment horizontal="center" vertical="center"/>
    </xf>
    <xf applyAlignment="true" applyBorder="false" applyFill="true" applyFont="true" applyNumberFormat="true" applyProtection="false" borderId="16" fillId="18" fontId="1" numFmtId="171" xfId="0">
      <alignment horizontal="center" vertical="center"/>
    </xf>
    <xf applyAlignment="true" applyBorder="false" applyFill="true" applyFont="true" applyNumberFormat="true" applyProtection="false" borderId="16" fillId="18" fontId="1" numFmtId="171" xfId="0">
      <alignment horizontal="center" vertical="center"/>
    </xf>
    <xf applyAlignment="true" applyBorder="false" applyFill="true" applyFont="true" applyNumberFormat="false" applyProtection="false" borderId="16" fillId="18" fontId="1" numFmtId="0" xfId="0">
      <alignment horizontal="center" vertical="center"/>
    </xf>
    <xf applyAlignment="true" applyBorder="false" applyFill="true" applyFont="true" applyNumberFormat="true" applyProtection="false" borderId="16" fillId="14" fontId="1" numFmtId="173" xfId="0">
      <alignment horizontal="center" vertical="center"/>
    </xf>
    <xf applyAlignment="true" applyBorder="false" applyFill="true" applyFont="true" applyNumberFormat="true" applyProtection="false" borderId="16" fillId="14" fontId="1" numFmtId="172" xfId="0">
      <alignment horizontal="center" vertical="center"/>
    </xf>
    <xf applyAlignment="true" applyBorder="false" applyFill="true" applyFont="true" applyNumberFormat="true" applyProtection="false" borderId="16" fillId="14" fontId="1" numFmtId="171" xfId="0">
      <alignment horizontal="center" vertical="center"/>
    </xf>
    <xf applyAlignment="true" applyBorder="false" applyFill="true" applyFont="true" applyNumberFormat="true" applyProtection="false" borderId="16" fillId="15" fontId="1" numFmtId="173" xfId="0">
      <alignment horizontal="center" vertical="center"/>
    </xf>
    <xf applyAlignment="true" applyBorder="false" applyFill="true" applyFont="true" applyNumberFormat="true" applyProtection="false" borderId="16" fillId="15" fontId="1" numFmtId="172" xfId="0">
      <alignment horizontal="center" vertical="center"/>
    </xf>
    <xf applyAlignment="true" applyBorder="false" applyFill="true" applyFont="true" applyNumberFormat="true" applyProtection="false" borderId="16" fillId="16" fontId="1" numFmtId="173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true" applyFont="true" applyNumberFormat="false" applyProtection="false" borderId="0" fillId="19" fontId="1" numFmtId="0" xfId="0">
      <alignment horizontal="center" vertical="center"/>
    </xf>
    <xf applyAlignment="true" applyBorder="false" applyFill="true" applyFont="true" applyNumberFormat="true" applyProtection="false" borderId="16" fillId="20" fontId="3" numFmtId="174" xfId="0">
      <alignment horizontal="center" vertical="center"/>
    </xf>
    <xf applyAlignment="true" applyBorder="false" applyFill="true" applyFont="true" applyNumberFormat="false" applyProtection="false" borderId="16" fillId="20" fontId="1" numFmtId="0" xfId="0">
      <alignment horizontal="center" vertical="center"/>
    </xf>
    <xf applyAlignment="true" applyBorder="false" applyFill="true" applyFont="true" applyNumberFormat="false" applyProtection="false" borderId="16" fillId="20" fontId="1" numFmtId="0" xfId="0">
      <alignment horizontal="center" vertical="center"/>
    </xf>
    <xf applyAlignment="true" applyBorder="false" applyFill="true" applyFont="true" applyNumberFormat="true" applyProtection="false" borderId="16" fillId="20" fontId="1" numFmtId="171" xfId="0">
      <alignment horizontal="center" vertical="center"/>
    </xf>
    <xf applyAlignment="true" applyBorder="false" applyFill="true" applyFont="true" applyNumberFormat="true" applyProtection="false" borderId="16" fillId="20" fontId="1" numFmtId="171" xfId="0">
      <alignment horizontal="center" vertical="center"/>
    </xf>
    <xf applyAlignment="true" applyBorder="false" applyFill="true" applyFont="true" applyNumberFormat="true" applyProtection="false" borderId="16" fillId="20" fontId="3" numFmtId="173" xfId="0">
      <alignment horizontal="center" vertical="center"/>
    </xf>
    <xf applyAlignment="true" applyBorder="false" applyFill="true" applyFont="true" applyNumberFormat="true" applyProtection="false" borderId="16" fillId="20" fontId="3" numFmtId="172" xfId="0">
      <alignment horizontal="center" vertical="center"/>
    </xf>
    <xf applyAlignment="true" applyBorder="false" applyFill="true" applyFont="true" applyNumberFormat="true" applyProtection="false" borderId="16" fillId="20" fontId="3" numFmtId="171" xfId="0">
      <alignment horizontal="center" vertical="center"/>
    </xf>
    <xf applyAlignment="true" applyBorder="false" applyFill="true" applyFont="true" applyNumberFormat="false" applyProtection="false" borderId="17" fillId="20" fontId="1" numFmtId="0" xfId="0">
      <alignment horizontal="center" vertical="center"/>
    </xf>
    <xf applyAlignment="true" applyBorder="false" applyFill="true" applyFont="true" applyNumberFormat="true" applyProtection="false" borderId="18" fillId="20" fontId="1" numFmtId="175" xfId="0">
      <alignment horizontal="center" vertical="center"/>
    </xf>
    <xf applyAlignment="true" applyBorder="false" applyFill="true" applyFont="true" applyNumberFormat="false" applyProtection="false" borderId="18" fillId="20" fontId="1" numFmtId="0" xfId="0">
      <alignment horizontal="center" vertical="center"/>
    </xf>
    <xf applyAlignment="true" applyBorder="false" applyFill="true" applyFont="true" applyNumberFormat="false" applyProtection="false" borderId="18" fillId="20" fontId="1" numFmtId="0" xfId="0">
      <alignment horizontal="center" vertical="center"/>
    </xf>
    <xf applyAlignment="true" applyBorder="false" applyFill="true" applyFont="true" applyNumberFormat="false" applyProtection="false" borderId="18" fillId="19" fontId="1" numFmtId="0" xfId="0">
      <alignment horizontal="center" vertical="center"/>
    </xf>
    <xf applyAlignment="true" applyBorder="false" applyFill="true" applyFont="true" applyNumberFormat="true" applyProtection="false" borderId="16" fillId="20" fontId="4" numFmtId="171" xfId="0">
      <alignment horizontal="center" vertical="center"/>
    </xf>
    <xf applyAlignment="true" applyBorder="false" applyFill="true" applyFont="true" applyNumberFormat="false" applyProtection="false" borderId="17" fillId="20" fontId="1" numFmtId="0" xfId="0">
      <alignment horizontal="center" vertical="center"/>
    </xf>
    <xf applyAlignment="true" applyBorder="false" applyFill="true" applyFont="true" applyNumberFormat="false" applyProtection="false" borderId="16" fillId="21" fontId="3" numFmtId="0" xfId="0">
      <alignment horizontal="center" vertical="center"/>
    </xf>
    <xf applyAlignment="true" applyBorder="false" applyFill="true" applyFont="true" applyNumberFormat="true" applyProtection="false" borderId="16" fillId="21" fontId="3" numFmtId="171" xfId="0">
      <alignment horizontal="center" vertical="center"/>
    </xf>
    <xf applyAlignment="true" applyBorder="false" applyFill="true" applyFont="true" applyNumberFormat="true" applyProtection="false" borderId="16" fillId="21" fontId="3" numFmtId="173" xfId="0">
      <alignment horizontal="center" vertical="center"/>
    </xf>
    <xf applyAlignment="true" applyBorder="false" applyFill="true" applyFont="true" applyNumberFormat="true" applyProtection="false" borderId="16" fillId="21" fontId="3" numFmtId="172" xfId="0">
      <alignment horizontal="center" vertical="center"/>
    </xf>
    <xf applyAlignment="true" applyBorder="false" applyFill="true" applyFont="true" applyNumberFormat="false" applyProtection="false" borderId="17" fillId="21" fontId="3" numFmtId="0" xfId="0">
      <alignment horizontal="center" vertical="center"/>
    </xf>
    <xf applyAlignment="true" applyBorder="false" applyFill="true" applyFont="true" applyNumberFormat="false" applyProtection="false" borderId="17" fillId="19" fontId="3" numFmtId="0" xfId="0">
      <alignment horizontal="center" vertical="center"/>
    </xf>
    <xf applyAlignment="true" applyBorder="false" applyFill="false" applyFont="true" applyNumberFormat="true" applyProtection="false" borderId="16" fillId="0" fontId="4" numFmtId="176" xfId="0">
      <alignment horizontal="center" vertical="center"/>
    </xf>
    <xf applyAlignment="true" applyBorder="false" applyFill="true" applyFont="true" applyNumberFormat="false" applyProtection="false" borderId="16" fillId="22" fontId="3" numFmtId="0" xfId="0">
      <alignment horizontal="center" vertical="center"/>
    </xf>
    <xf applyAlignment="true" applyBorder="false" applyFill="true" applyFont="true" applyNumberFormat="true" applyProtection="false" borderId="16" fillId="22" fontId="3" numFmtId="171" xfId="0">
      <alignment horizontal="center" vertical="center"/>
    </xf>
    <xf applyAlignment="true" applyBorder="false" applyFill="true" applyFont="true" applyNumberFormat="true" applyProtection="false" borderId="16" fillId="22" fontId="3" numFmtId="173" xfId="0">
      <alignment horizontal="center" vertical="center"/>
    </xf>
    <xf applyAlignment="true" applyBorder="false" applyFill="true" applyFont="true" applyNumberFormat="true" applyProtection="false" borderId="16" fillId="22" fontId="3" numFmtId="172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false" applyProtection="false" borderId="0" fillId="23" fontId="1" numFmtId="0" xfId="0">
      <alignment vertical="center"/>
    </xf>
    <xf applyAlignment="true" applyBorder="false" applyFill="true" applyFont="true" applyNumberFormat="false" applyProtection="false" borderId="0" fillId="23" fontId="6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false" applyProtection="false" borderId="0" fillId="24" fontId="6" numFmtId="0" xfId="0">
      <alignment vertical="center"/>
    </xf>
    <xf applyAlignment="true" applyBorder="false" applyFill="true" applyFont="true" applyNumberFormat="false" applyProtection="false" borderId="19" fillId="25" fontId="1" numFmtId="0" xfId="0">
      <alignment horizontal="center" vertical="center"/>
    </xf>
    <xf applyAlignment="true" applyBorder="false" applyFill="true" applyFont="true" applyNumberFormat="false" applyProtection="false" borderId="20" fillId="26" fontId="1" numFmtId="0" xfId="0">
      <alignment horizontal="center" vertical="center"/>
    </xf>
    <xf applyAlignment="true" applyBorder="false" applyFill="true" applyFont="true" applyNumberFormat="true" applyProtection="false" borderId="21" fillId="27" fontId="1" numFmtId="177" xfId="0">
      <alignment horizontal="center" vertical="center"/>
    </xf>
    <xf applyAlignment="true" applyBorder="false" applyFill="true" applyFont="true" applyNumberFormat="true" applyProtection="false" borderId="19" fillId="28" fontId="1" numFmtId="178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true" applyFont="true" applyNumberFormat="false" applyProtection="false" borderId="22" fillId="25" fontId="1" numFmtId="0" xfId="0">
      <alignment horizontal="center" vertical="center"/>
    </xf>
    <xf applyAlignment="true" applyBorder="false" applyFill="true" applyFont="true" applyNumberFormat="false" applyProtection="false" borderId="23" fillId="25" fontId="1" numFmtId="0" xfId="0">
      <alignment horizontal="center" vertical="center"/>
    </xf>
    <xf applyAlignment="true" applyBorder="false" applyFill="true" applyFont="true" applyNumberFormat="false" applyProtection="false" borderId="24" fillId="25" fontId="1" numFmtId="0" xfId="0">
      <alignment horizontal="center" vertical="center"/>
    </xf>
    <xf applyAlignment="true" applyBorder="false" applyFill="true" applyFont="true" applyNumberFormat="false" applyProtection="false" borderId="25" fillId="25" fontId="1" numFmtId="0" xfId="0">
      <alignment horizontal="center" vertical="center"/>
    </xf>
    <xf applyAlignment="true" applyBorder="false" applyFill="true" applyFont="true" applyNumberFormat="true" applyProtection="false" borderId="21" fillId="29" fontId="1" numFmtId="177" xfId="0">
      <alignment horizontal="center" vertical="center"/>
    </xf>
    <xf applyAlignment="true" applyBorder="false" applyFill="true" applyFont="true" applyNumberFormat="true" applyProtection="false" borderId="21" fillId="30" fontId="1" numFmtId="177" xfId="0">
      <alignment horizontal="center" vertical="center"/>
    </xf>
    <xf applyAlignment="true" applyBorder="false" applyFill="true" applyFont="true" applyNumberFormat="true" applyProtection="false" borderId="21" fillId="30" fontId="1" numFmtId="177" xfId="0">
      <alignment horizontal="center" vertical="center"/>
    </xf>
    <xf applyAlignment="true" applyBorder="false" applyFill="true" applyFont="true" applyNumberFormat="false" applyProtection="false" borderId="19" fillId="30" fontId="1" numFmtId="0" xfId="0">
      <alignment horizontal="center" vertical="center"/>
    </xf>
    <xf applyAlignment="true" applyBorder="false" applyFill="true" applyFont="true" applyNumberFormat="true" applyProtection="false" borderId="19" fillId="26" fontId="1" numFmtId="179" xfId="0">
      <alignment horizontal="center" vertical="center"/>
    </xf>
    <xf applyAlignment="true" applyBorder="false" applyFill="true" applyFont="true" applyNumberFormat="true" applyProtection="false" borderId="19" fillId="26" fontId="1" numFmtId="178" xfId="0">
      <alignment horizontal="center" vertical="center"/>
    </xf>
    <xf applyAlignment="true" applyBorder="false" applyFill="true" applyFont="true" applyNumberFormat="true" applyProtection="false" borderId="19" fillId="26" fontId="1" numFmtId="177" xfId="0">
      <alignment horizontal="center" vertical="center"/>
    </xf>
    <xf applyAlignment="true" applyBorder="false" applyFill="true" applyFont="true" applyNumberFormat="true" applyProtection="false" borderId="26" fillId="26" fontId="1" numFmtId="177" xfId="0">
      <alignment horizontal="center" vertical="center"/>
    </xf>
    <xf applyAlignment="true" applyBorder="false" applyFill="true" applyFont="true" applyNumberFormat="true" applyProtection="false" borderId="19" fillId="27" fontId="1" numFmtId="177" xfId="0">
      <alignment horizontal="center" vertical="center"/>
    </xf>
    <xf applyAlignment="true" applyBorder="false" applyFill="true" applyFont="true" applyNumberFormat="true" applyProtection="false" borderId="19" fillId="27" fontId="1" numFmtId="179" xfId="0">
      <alignment horizontal="center" vertical="center"/>
    </xf>
    <xf applyAlignment="true" applyBorder="false" applyFill="true" applyFont="true" applyNumberFormat="true" applyProtection="false" borderId="19" fillId="27" fontId="1" numFmtId="178" xfId="0">
      <alignment horizontal="center" vertical="center"/>
    </xf>
    <xf applyAlignment="true" applyBorder="false" applyFill="true" applyFont="true" applyNumberFormat="true" applyProtection="false" borderId="19" fillId="28" fontId="1" numFmtId="179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true" applyFont="true" applyNumberFormat="false" applyProtection="false" borderId="0" fillId="31" fontId="1" numFmtId="0" xfId="0">
      <alignment horizontal="center" vertical="center"/>
    </xf>
    <xf applyAlignment="true" applyBorder="false" applyFill="true" applyFont="true" applyNumberFormat="true" applyProtection="false" borderId="22" fillId="32" fontId="3" numFmtId="180" xfId="0">
      <alignment horizontal="center" vertical="center"/>
    </xf>
    <xf applyAlignment="true" applyBorder="false" applyFill="true" applyFont="true" applyNumberFormat="false" applyProtection="false" borderId="27" fillId="32" fontId="1" numFmtId="0" xfId="0">
      <alignment horizontal="center" vertical="center"/>
    </xf>
    <xf applyAlignment="true" applyBorder="false" applyFill="true" applyFont="true" applyNumberFormat="false" applyProtection="false" borderId="27" fillId="32" fontId="1" numFmtId="0" xfId="0">
      <alignment horizontal="center" vertical="center"/>
    </xf>
    <xf applyAlignment="true" applyBorder="false" applyFill="true" applyFont="true" applyNumberFormat="true" applyProtection="false" borderId="28" fillId="32" fontId="1" numFmtId="177" xfId="0">
      <alignment horizontal="center" vertical="center"/>
    </xf>
    <xf applyAlignment="true" applyBorder="false" applyFill="true" applyFont="true" applyNumberFormat="true" applyProtection="false" borderId="21" fillId="32" fontId="1" numFmtId="177" xfId="0">
      <alignment horizontal="center" vertical="center"/>
    </xf>
    <xf applyAlignment="true" applyBorder="false" applyFill="true" applyFont="true" applyNumberFormat="false" applyProtection="false" borderId="19" fillId="32" fontId="1" numFmtId="0" xfId="0">
      <alignment horizontal="center" vertical="center"/>
    </xf>
    <xf applyAlignment="true" applyBorder="false" applyFill="true" applyFont="true" applyNumberFormat="true" applyProtection="false" borderId="19" fillId="32" fontId="1" numFmtId="177" xfId="0">
      <alignment horizontal="center" vertical="center"/>
    </xf>
    <xf applyAlignment="true" applyBorder="false" applyFill="true" applyFont="true" applyNumberFormat="true" applyProtection="false" borderId="19" fillId="32" fontId="3" numFmtId="179" xfId="0">
      <alignment horizontal="center" vertical="center"/>
    </xf>
    <xf applyAlignment="true" applyBorder="false" applyFill="true" applyFont="true" applyNumberFormat="true" applyProtection="false" borderId="19" fillId="32" fontId="3" numFmtId="178" xfId="0">
      <alignment horizontal="center" vertical="center"/>
    </xf>
    <xf applyAlignment="true" applyBorder="false" applyFill="true" applyFont="true" applyNumberFormat="true" applyProtection="false" borderId="19" fillId="32" fontId="3" numFmtId="177" xfId="0">
      <alignment horizontal="center" vertical="center"/>
    </xf>
    <xf applyAlignment="true" applyBorder="false" applyFill="true" applyFont="true" applyNumberFormat="false" applyProtection="false" borderId="19" fillId="32" fontId="1" numFmtId="0" xfId="0">
      <alignment horizontal="center" vertical="center"/>
    </xf>
    <xf applyAlignment="true" applyBorder="false" applyFill="true" applyFont="true" applyNumberFormat="true" applyProtection="false" borderId="19" fillId="32" fontId="1" numFmtId="181" xfId="0">
      <alignment horizontal="center" vertical="center"/>
    </xf>
    <xf applyAlignment="true" applyBorder="false" applyFill="true" applyFont="true" applyNumberFormat="false" applyProtection="false" borderId="19" fillId="31" fontId="1" numFmtId="0" xfId="0">
      <alignment horizontal="center" vertical="center"/>
    </xf>
    <xf applyAlignment="true" applyBorder="false" applyFill="true" applyFont="true" applyNumberFormat="true" applyProtection="false" borderId="21" fillId="32" fontId="4" numFmtId="177" xfId="0">
      <alignment horizontal="center" vertical="center"/>
    </xf>
    <xf applyAlignment="true" applyBorder="false" applyFill="true" applyFont="true" applyNumberFormat="true" applyProtection="false" borderId="19" fillId="32" fontId="1" numFmtId="177" xfId="0">
      <alignment horizontal="center" vertical="center"/>
    </xf>
    <xf applyAlignment="true" applyBorder="false" applyFill="true" applyFont="true" applyNumberFormat="false" applyProtection="false" borderId="29" fillId="33" fontId="3" numFmtId="0" xfId="0">
      <alignment horizontal="center" vertical="center"/>
    </xf>
    <xf applyAlignment="true" applyBorder="false" applyFill="true" applyFont="true" applyNumberFormat="true" applyProtection="false" borderId="21" fillId="33" fontId="3" numFmtId="177" xfId="0">
      <alignment horizontal="center" vertical="center"/>
    </xf>
    <xf applyAlignment="true" applyBorder="false" applyFill="true" applyFont="true" applyNumberFormat="false" applyProtection="false" borderId="21" fillId="33" fontId="3" numFmtId="0" xfId="0">
      <alignment horizontal="center" vertical="center"/>
    </xf>
    <xf applyAlignment="true" applyBorder="false" applyFill="true" applyFont="true" applyNumberFormat="true" applyProtection="false" borderId="19" fillId="33" fontId="3" numFmtId="179" xfId="0">
      <alignment horizontal="center" vertical="center"/>
    </xf>
    <xf applyAlignment="true" applyBorder="false" applyFill="true" applyFont="true" applyNumberFormat="true" applyProtection="false" borderId="19" fillId="33" fontId="3" numFmtId="178" xfId="0">
      <alignment horizontal="center" vertical="center"/>
    </xf>
    <xf applyAlignment="true" applyBorder="false" applyFill="true" applyFont="true" applyNumberFormat="true" applyProtection="false" borderId="19" fillId="33" fontId="3" numFmtId="177" xfId="0">
      <alignment horizontal="center" vertical="center"/>
    </xf>
    <xf applyAlignment="true" applyBorder="false" applyFill="true" applyFont="true" applyNumberFormat="false" applyProtection="false" borderId="21" fillId="31" fontId="3" numFmtId="0" xfId="0">
      <alignment horizontal="center" vertical="center"/>
    </xf>
    <xf applyAlignment="true" applyBorder="false" applyFill="true" applyFont="true" applyNumberFormat="true" applyProtection="false" borderId="21" fillId="32" fontId="1" numFmtId="177" xfId="0">
      <alignment horizontal="center" vertical="center"/>
    </xf>
    <xf applyAlignment="true" applyBorder="false" applyFill="true" applyFont="true" applyNumberFormat="false" applyProtection="false" borderId="27" fillId="34" fontId="3" numFmtId="0" xfId="0">
      <alignment horizontal="center" vertical="center"/>
    </xf>
    <xf applyAlignment="true" applyBorder="false" applyFill="true" applyFont="true" applyNumberFormat="true" applyProtection="false" borderId="21" fillId="34" fontId="3" numFmtId="177" xfId="0">
      <alignment horizontal="center" vertical="center"/>
    </xf>
    <xf applyAlignment="true" applyBorder="false" applyFill="true" applyFont="true" applyNumberFormat="true" applyProtection="false" borderId="19" fillId="34" fontId="3" numFmtId="179" xfId="0">
      <alignment horizontal="center" vertical="center"/>
    </xf>
    <xf applyAlignment="true" applyBorder="false" applyFill="true" applyFont="true" applyNumberFormat="true" applyProtection="false" borderId="19" fillId="34" fontId="3" numFmtId="178" xfId="0">
      <alignment horizontal="center" vertical="center"/>
    </xf>
    <xf applyAlignment="true" applyBorder="false" applyFill="true" applyFont="true" applyNumberFormat="true" applyProtection="false" borderId="19" fillId="34" fontId="3" numFmtId="177" xfId="0">
      <alignment horizontal="center" vertical="center"/>
    </xf>
    <xf applyAlignment="true" applyBorder="false" applyFill="true" applyFont="true" applyNumberFormat="false" applyProtection="false" borderId="21" fillId="34" fontId="3" numFmtId="0" xfId="0">
      <alignment horizontal="center" vertical="center"/>
    </xf>
    <xf applyAlignment="true" applyBorder="false" applyFill="true" applyFont="true" applyNumberFormat="true" applyProtection="false" borderId="22" fillId="32" fontId="3" numFmtId="180" xfId="0">
      <alignment horizontal="center" vertical="center"/>
    </xf>
    <xf applyAlignment="true" applyBorder="false" applyFill="true" applyFont="true" applyNumberFormat="true" applyProtection="false" borderId="21" fillId="32" fontId="4" numFmtId="177" xfId="0">
      <alignment horizontal="center" vertical="center"/>
    </xf>
    <xf applyAlignment="true" applyBorder="false" applyFill="true" applyFont="true" applyNumberFormat="false" applyProtection="false" borderId="19" fillId="31" fontId="1" numFmtId="0" xfId="0">
      <alignment horizontal="center" vertical="center"/>
    </xf>
    <xf applyAlignment="true" applyBorder="false" applyFill="true" applyFont="true" applyNumberFormat="true" applyProtection="false" borderId="21" fillId="32" fontId="1" numFmtId="177" xfId="0">
      <alignment horizontal="center" vertical="center"/>
    </xf>
    <xf applyAlignment="true" applyBorder="false" applyFill="true" applyFont="true" applyNumberFormat="false" applyProtection="false" borderId="19" fillId="32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false" applyProtection="false" borderId="0" fillId="35" fontId="5" numFmtId="0" xfId="0">
      <alignment horizontal="center" vertical="center"/>
    </xf>
    <xf applyAlignment="true" applyBorder="false" applyFill="true" applyFont="true" applyNumberFormat="false" applyProtection="false" borderId="0" fillId="35" fontId="5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false" applyProtection="false" borderId="30" fillId="36" fontId="1" numFmtId="0" xfId="0">
      <alignment horizontal="center" vertical="center"/>
    </xf>
    <xf applyAlignment="true" applyBorder="false" applyFill="true" applyFont="true" applyNumberFormat="false" applyProtection="false" borderId="31" fillId="37" fontId="1" numFmtId="0" xfId="0">
      <alignment horizontal="center" vertical="center"/>
    </xf>
    <xf applyAlignment="true" applyBorder="false" applyFill="true" applyFont="true" applyNumberFormat="true" applyProtection="false" borderId="32" fillId="38" fontId="1" numFmtId="182" xfId="0">
      <alignment horizontal="center" vertical="center"/>
    </xf>
    <xf applyAlignment="true" applyBorder="false" applyFill="true" applyFont="true" applyNumberFormat="true" applyProtection="false" borderId="30" fillId="39" fontId="1" numFmtId="183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true" applyFont="true" applyNumberFormat="false" applyProtection="false" borderId="33" fillId="36" fontId="1" numFmtId="0" xfId="0">
      <alignment horizontal="center" vertical="center"/>
    </xf>
    <xf applyAlignment="true" applyBorder="false" applyFill="true" applyFont="true" applyNumberFormat="false" applyProtection="false" borderId="34" fillId="36" fontId="1" numFmtId="0" xfId="0">
      <alignment horizontal="center" vertical="center"/>
    </xf>
    <xf applyAlignment="true" applyBorder="false" applyFill="true" applyFont="true" applyNumberFormat="false" applyProtection="false" borderId="35" fillId="36" fontId="1" numFmtId="0" xfId="0">
      <alignment horizontal="center" vertical="center"/>
    </xf>
    <xf applyAlignment="true" applyBorder="false" applyFill="true" applyFont="true" applyNumberFormat="false" applyProtection="false" borderId="36" fillId="36" fontId="1" numFmtId="0" xfId="0">
      <alignment horizontal="center" vertical="center"/>
    </xf>
    <xf applyAlignment="true" applyBorder="false" applyFill="true" applyFont="true" applyNumberFormat="true" applyProtection="false" borderId="32" fillId="40" fontId="1" numFmtId="182" xfId="0">
      <alignment horizontal="center" vertical="center"/>
    </xf>
    <xf applyAlignment="true" applyBorder="false" applyFill="true" applyFont="true" applyNumberFormat="true" applyProtection="false" borderId="32" fillId="41" fontId="1" numFmtId="182" xfId="0">
      <alignment horizontal="center" vertical="center"/>
    </xf>
    <xf applyAlignment="true" applyBorder="false" applyFill="true" applyFont="true" applyNumberFormat="true" applyProtection="false" borderId="32" fillId="41" fontId="1" numFmtId="182" xfId="0">
      <alignment horizontal="center" vertical="center"/>
    </xf>
    <xf applyAlignment="true" applyBorder="false" applyFill="true" applyFont="true" applyNumberFormat="false" applyProtection="false" borderId="30" fillId="41" fontId="1" numFmtId="0" xfId="0">
      <alignment horizontal="center" vertical="center"/>
    </xf>
    <xf applyAlignment="true" applyBorder="false" applyFill="true" applyFont="true" applyNumberFormat="true" applyProtection="false" borderId="30" fillId="37" fontId="1" numFmtId="184" xfId="0">
      <alignment horizontal="center" vertical="center"/>
    </xf>
    <xf applyAlignment="true" applyBorder="false" applyFill="true" applyFont="true" applyNumberFormat="true" applyProtection="false" borderId="30" fillId="37" fontId="1" numFmtId="183" xfId="0">
      <alignment horizontal="center" vertical="center"/>
    </xf>
    <xf applyAlignment="true" applyBorder="false" applyFill="true" applyFont="true" applyNumberFormat="true" applyProtection="false" borderId="30" fillId="37" fontId="1" numFmtId="182" xfId="0">
      <alignment horizontal="center" vertical="center"/>
    </xf>
    <xf applyAlignment="true" applyBorder="false" applyFill="true" applyFont="true" applyNumberFormat="true" applyProtection="false" borderId="37" fillId="37" fontId="1" numFmtId="182" xfId="0">
      <alignment horizontal="center" vertical="center"/>
    </xf>
    <xf applyAlignment="true" applyBorder="false" applyFill="true" applyFont="true" applyNumberFormat="true" applyProtection="false" borderId="30" fillId="38" fontId="1" numFmtId="182" xfId="0">
      <alignment horizontal="center" vertical="center"/>
    </xf>
    <xf applyAlignment="true" applyBorder="false" applyFill="true" applyFont="true" applyNumberFormat="true" applyProtection="false" borderId="30" fillId="38" fontId="1" numFmtId="184" xfId="0">
      <alignment horizontal="center" vertical="center"/>
    </xf>
    <xf applyAlignment="true" applyBorder="false" applyFill="true" applyFont="true" applyNumberFormat="true" applyProtection="false" borderId="30" fillId="38" fontId="1" numFmtId="183" xfId="0">
      <alignment horizontal="center" vertical="center"/>
    </xf>
    <xf applyAlignment="true" applyBorder="false" applyFill="true" applyFont="true" applyNumberFormat="true" applyProtection="false" borderId="30" fillId="39" fontId="1" numFmtId="184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true" applyFont="true" applyNumberFormat="false" applyProtection="false" borderId="0" fillId="42" fontId="1" numFmtId="0" xfId="0">
      <alignment horizontal="center" vertical="center"/>
    </xf>
    <xf applyAlignment="true" applyBorder="false" applyFill="true" applyFont="true" applyNumberFormat="true" applyProtection="false" borderId="33" fillId="43" fontId="3" numFmtId="185" xfId="0">
      <alignment horizontal="center" vertical="center"/>
    </xf>
    <xf applyAlignment="true" applyBorder="false" applyFill="true" applyFont="true" applyNumberFormat="false" applyProtection="false" borderId="38" fillId="43" fontId="1" numFmtId="0" xfId="0">
      <alignment horizontal="center" vertical="center"/>
    </xf>
    <xf applyAlignment="true" applyBorder="false" applyFill="true" applyFont="true" applyNumberFormat="false" applyProtection="false" borderId="38" fillId="43" fontId="1" numFmtId="0" xfId="0">
      <alignment horizontal="center" vertical="center"/>
    </xf>
    <xf applyAlignment="true" applyBorder="false" applyFill="true" applyFont="true" applyNumberFormat="true" applyProtection="false" borderId="39" fillId="43" fontId="1" numFmtId="182" xfId="0">
      <alignment horizontal="center" vertical="center"/>
    </xf>
    <xf applyAlignment="true" applyBorder="false" applyFill="true" applyFont="true" applyNumberFormat="true" applyProtection="false" borderId="32" fillId="43" fontId="1" numFmtId="182" xfId="0">
      <alignment horizontal="center" vertical="center"/>
    </xf>
    <xf applyAlignment="true" applyBorder="false" applyFill="true" applyFont="true" applyNumberFormat="false" applyProtection="false" borderId="30" fillId="43" fontId="1" numFmtId="0" xfId="0">
      <alignment horizontal="center" vertical="center"/>
    </xf>
    <xf applyAlignment="true" applyBorder="false" applyFill="true" applyFont="true" applyNumberFormat="true" applyProtection="false" borderId="30" fillId="43" fontId="1" numFmtId="182" xfId="0">
      <alignment horizontal="center" vertical="center"/>
    </xf>
    <xf applyAlignment="true" applyBorder="false" applyFill="true" applyFont="true" applyNumberFormat="true" applyProtection="false" borderId="30" fillId="43" fontId="3" numFmtId="184" xfId="0">
      <alignment horizontal="center" vertical="center"/>
    </xf>
    <xf applyAlignment="true" applyBorder="false" applyFill="true" applyFont="true" applyNumberFormat="true" applyProtection="false" borderId="30" fillId="43" fontId="3" numFmtId="183" xfId="0">
      <alignment horizontal="center" vertical="center"/>
    </xf>
    <xf applyAlignment="true" applyBorder="false" applyFill="true" applyFont="true" applyNumberFormat="true" applyProtection="false" borderId="30" fillId="43" fontId="3" numFmtId="182" xfId="0">
      <alignment horizontal="center" vertical="center"/>
    </xf>
    <xf applyAlignment="true" applyBorder="false" applyFill="true" applyFont="true" applyNumberFormat="false" applyProtection="false" borderId="30" fillId="43" fontId="1" numFmtId="0" xfId="0">
      <alignment horizontal="center" vertical="center"/>
    </xf>
    <xf applyAlignment="true" applyBorder="false" applyFill="true" applyFont="true" applyNumberFormat="false" applyProtection="false" borderId="30" fillId="42" fontId="1" numFmtId="0" xfId="0">
      <alignment horizontal="center" vertical="center"/>
    </xf>
    <xf applyAlignment="true" applyBorder="false" applyFill="true" applyFont="true" applyNumberFormat="true" applyProtection="false" borderId="33" fillId="43" fontId="3" numFmtId="185" xfId="0">
      <alignment horizontal="center" vertical="center"/>
    </xf>
    <xf applyAlignment="true" applyBorder="false" applyFill="true" applyFont="true" applyNumberFormat="false" applyProtection="false" borderId="40" fillId="44" fontId="3" numFmtId="0" xfId="0">
      <alignment horizontal="center" vertical="center"/>
    </xf>
    <xf applyAlignment="true" applyBorder="false" applyFill="true" applyFont="true" applyNumberFormat="true" applyProtection="false" borderId="32" fillId="44" fontId="3" numFmtId="182" xfId="0">
      <alignment horizontal="center" vertical="center"/>
    </xf>
    <xf applyAlignment="true" applyBorder="false" applyFill="true" applyFont="true" applyNumberFormat="false" applyProtection="false" borderId="32" fillId="44" fontId="3" numFmtId="0" xfId="0">
      <alignment horizontal="center" vertical="center"/>
    </xf>
    <xf applyAlignment="true" applyBorder="false" applyFill="true" applyFont="true" applyNumberFormat="true" applyProtection="false" borderId="30" fillId="44" fontId="3" numFmtId="184" xfId="0">
      <alignment horizontal="center" vertical="center"/>
    </xf>
    <xf applyAlignment="true" applyBorder="false" applyFill="true" applyFont="true" applyNumberFormat="true" applyProtection="false" borderId="30" fillId="44" fontId="3" numFmtId="183" xfId="0">
      <alignment horizontal="center" vertical="center"/>
    </xf>
    <xf applyAlignment="true" applyBorder="false" applyFill="true" applyFont="true" applyNumberFormat="true" applyProtection="false" borderId="30" fillId="44" fontId="3" numFmtId="182" xfId="0">
      <alignment horizontal="center" vertical="center"/>
    </xf>
    <xf applyAlignment="true" applyBorder="false" applyFill="true" applyFont="true" applyNumberFormat="false" applyProtection="false" borderId="32" fillId="42" fontId="3" numFmtId="0" xfId="0">
      <alignment horizontal="center" vertical="center"/>
    </xf>
    <xf applyAlignment="true" applyBorder="false" applyFill="true" applyFont="true" applyNumberFormat="false" applyProtection="false" borderId="38" fillId="45" fontId="3" numFmtId="0" xfId="0">
      <alignment horizontal="center" vertical="center"/>
    </xf>
    <xf applyAlignment="true" applyBorder="false" applyFill="true" applyFont="true" applyNumberFormat="true" applyProtection="false" borderId="32" fillId="45" fontId="3" numFmtId="182" xfId="0">
      <alignment horizontal="center" vertical="center"/>
    </xf>
    <xf applyAlignment="true" applyBorder="false" applyFill="true" applyFont="true" applyNumberFormat="true" applyProtection="false" borderId="32" fillId="45" fontId="3" numFmtId="186" xfId="0">
      <alignment horizontal="center" vertical="center"/>
    </xf>
    <xf applyAlignment="true" applyBorder="false" applyFill="true" applyFont="true" applyNumberFormat="true" applyProtection="false" borderId="30" fillId="45" fontId="3" numFmtId="184" xfId="0">
      <alignment horizontal="center" vertical="center"/>
    </xf>
    <xf applyAlignment="true" applyBorder="false" applyFill="true" applyFont="true" applyNumberFormat="true" applyProtection="false" borderId="30" fillId="45" fontId="3" numFmtId="183" xfId="0">
      <alignment horizontal="center" vertical="center"/>
    </xf>
    <xf applyAlignment="true" applyBorder="false" applyFill="true" applyFont="true" applyNumberFormat="true" applyProtection="false" borderId="30" fillId="45" fontId="3" numFmtId="182" xfId="0">
      <alignment horizontal="center" vertical="center"/>
    </xf>
    <xf applyAlignment="true" applyBorder="false" applyFill="true" applyFont="true" applyNumberFormat="false" applyProtection="false" borderId="32" fillId="45" fontId="3" numFmtId="0" xfId="0">
      <alignment horizontal="center" vertical="center"/>
    </xf>
    <xf applyAlignment="true" applyBorder="false" applyFill="true" applyFont="true" applyNumberFormat="false" applyProtection="false" borderId="30" fillId="42" fontId="1" numFmtId="0" xfId="0">
      <alignment horizontal="center" vertical="center"/>
    </xf>
    <xf applyAlignment="true" applyBorder="false" applyFill="true" applyFont="true" applyNumberFormat="true" applyProtection="false" borderId="32" fillId="43" fontId="4" numFmtId="182" xfId="0">
      <alignment horizontal="center" vertical="center"/>
    </xf>
    <xf applyAlignment="true" applyBorder="false" applyFill="true" applyFont="true" applyNumberFormat="true" applyProtection="false" borderId="30" fillId="43" fontId="1" numFmtId="187" xfId="0">
      <alignment horizontal="center" vertical="center"/>
    </xf>
    <xf applyAlignment="true" applyBorder="false" applyFill="true" applyFont="true" applyNumberFormat="true" applyProtection="false" borderId="32" fillId="43" fontId="1" numFmtId="182" xfId="0">
      <alignment horizontal="center" vertical="center"/>
    </xf>
    <xf applyAlignment="true" applyBorder="false" applyFill="true" applyFont="true" applyNumberFormat="true" applyProtection="false" borderId="32" fillId="43" fontId="4" numFmtId="182" xfId="0">
      <alignment horizontal="center" vertical="center"/>
    </xf>
    <xf applyAlignment="true" applyBorder="false" applyFill="true" applyFont="true" applyNumberFormat="true" applyProtection="false" borderId="30" fillId="43" fontId="1" numFmtId="182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calcChain.xml" Type="http://schemas.openxmlformats.org/officeDocument/2006/relationships/calcChain"></Relationship><Relationship Id="rId10" Target="metadata.xml" Type="http://schemas.openxmlformats.org/officeDocument/2006/relationships/sheetMetadata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9" min="9" style="0" width="11.211267605633802"/>
    <col collapsed="false" customWidth="true" hidden="false" max="10" min="10" style="0" width="11.211267605633802"/>
    <col collapsed="false" customWidth="true" hidden="false" max="11" min="11" style="0" width="11.211267605633802"/>
    <col collapsed="false" customWidth="true" hidden="false" max="12" min="12" style="0" width="11.211267605633802"/>
    <col collapsed="false" customWidth="true" hidden="false" max="7" min="7" style="0" width="11.211267605633802"/>
    <col collapsed="false" customWidth="true" hidden="false" max="8" min="8" style="0" width="11.211267605633802"/>
  </cols>
  <sheetData>
    <row r="1">
      <c r="A1" s="1"/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3" t="s">
        <v>2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4" t="s">
        <v>3</v>
      </c>
      <c r="AD1" s="4"/>
      <c r="AE1" s="4"/>
      <c r="AF1" s="4"/>
      <c r="AG1" s="4"/>
      <c r="AH1" s="5" t="s">
        <v>4</v>
      </c>
      <c r="AI1" s="5"/>
      <c r="AJ1" s="5"/>
      <c r="AK1" s="5"/>
      <c r="AL1" s="5"/>
      <c r="AM1" s="5"/>
      <c r="AN1" s="5"/>
      <c r="AO1" s="5"/>
      <c r="AP1" s="5"/>
      <c r="AQ1" s="5"/>
      <c r="AR1" s="5"/>
    </row>
    <row r="2">
      <c r="A2" s="6" t="s">
        <v>5</v>
      </c>
      <c r="B2" s="7" t="s">
        <v>6</v>
      </c>
      <c r="C2" s="7" t="s">
        <v>7</v>
      </c>
      <c r="D2" s="8" t="s">
        <v>8</v>
      </c>
      <c r="E2" s="9" t="s">
        <v>9</v>
      </c>
      <c r="F2" s="10" t="s">
        <v>10</v>
      </c>
      <c r="G2" s="11" t="s">
        <v>11</v>
      </c>
      <c r="H2" s="12" t="s">
        <v>12</v>
      </c>
      <c r="I2" s="13" t="s">
        <v>13</v>
      </c>
      <c r="J2" s="13" t="s">
        <v>14</v>
      </c>
      <c r="K2" s="12" t="s">
        <v>15</v>
      </c>
      <c r="L2" s="14" t="s">
        <v>16</v>
      </c>
      <c r="M2" s="15" t="s">
        <v>17</v>
      </c>
      <c r="N2" s="16" t="s">
        <v>18</v>
      </c>
      <c r="O2" s="16" t="s">
        <v>19</v>
      </c>
      <c r="P2" s="17" t="s">
        <v>20</v>
      </c>
      <c r="Q2" s="3" t="s">
        <v>21</v>
      </c>
      <c r="R2" s="18" t="s">
        <v>22</v>
      </c>
      <c r="S2" s="18" t="s">
        <v>23</v>
      </c>
      <c r="T2" s="18" t="s">
        <v>24</v>
      </c>
      <c r="U2" s="19" t="s">
        <v>25</v>
      </c>
      <c r="V2" s="19" t="s">
        <v>26</v>
      </c>
      <c r="W2" s="19" t="s">
        <v>27</v>
      </c>
      <c r="X2" s="19" t="s">
        <v>28</v>
      </c>
      <c r="Y2" s="19" t="s">
        <v>29</v>
      </c>
      <c r="Z2" s="19" t="s">
        <v>30</v>
      </c>
      <c r="AA2" s="20" t="s">
        <v>31</v>
      </c>
      <c r="AB2" s="20" t="s">
        <v>32</v>
      </c>
      <c r="AC2" s="4" t="s">
        <v>33</v>
      </c>
      <c r="AD2" s="21" t="s">
        <v>34</v>
      </c>
      <c r="AE2" s="4" t="s">
        <v>35</v>
      </c>
      <c r="AF2" s="21" t="s">
        <v>36</v>
      </c>
      <c r="AG2" s="21" t="s">
        <v>37</v>
      </c>
      <c r="AH2" s="22" t="s">
        <v>38</v>
      </c>
      <c r="AI2" s="22" t="s">
        <v>39</v>
      </c>
      <c r="AJ2" s="22" t="s">
        <v>40</v>
      </c>
      <c r="AK2" s="22" t="s">
        <v>41</v>
      </c>
      <c r="AL2" s="22" t="s">
        <v>42</v>
      </c>
      <c r="AM2" s="22" t="s">
        <v>43</v>
      </c>
      <c r="AN2" s="22" t="s">
        <v>44</v>
      </c>
      <c r="AO2" s="22" t="s">
        <v>45</v>
      </c>
      <c r="AP2" s="22" t="s">
        <v>46</v>
      </c>
      <c r="AQ2" s="22" t="s">
        <v>47</v>
      </c>
      <c r="AR2" s="23" t="s">
        <v>48</v>
      </c>
    </row>
    <row r="3">
      <c r="A3" s="24">
        <v>46296</v>
      </c>
      <c r="B3" s="25" t="s">
        <v>49</v>
      </c>
      <c r="C3" s="25" t="s">
        <v>50</v>
      </c>
      <c r="D3" s="26" t="s">
        <v>51</v>
      </c>
      <c r="E3" s="26" t="s">
        <v>52</v>
      </c>
      <c r="F3" s="27">
        <f t="shared" ref="F3:F6" si="427">H3+G3</f>
      </c>
      <c r="G3" s="28">
        <v>714.17</v>
      </c>
      <c r="H3" s="28">
        <v>455.68</v>
      </c>
      <c r="I3" s="29">
        <v>1</v>
      </c>
      <c r="J3" s="29">
        <v>1</v>
      </c>
      <c r="K3" s="30">
        <v>474</v>
      </c>
      <c r="L3" s="31">
        <f t="shared" ref="L3:L18" si="373">AQ3/J3</f>
      </c>
      <c r="M3" s="32">
        <f t="shared" ref="M3:M18" si="319">K3/J3</f>
      </c>
      <c r="N3" s="33">
        <f t="shared" ref="N3:N18" si="229">F3/J3</f>
      </c>
      <c r="O3" s="33">
        <f t="shared" ref="O3:O18" si="175">K3/F3</f>
      </c>
      <c r="P3" s="33">
        <f t="shared" ref="P3:P18" si="72">K3/((300*AR3)+F3)</f>
      </c>
      <c r="Q3" s="33">
        <f t="shared" ref="Q3:Q18" si="36">F3/AJ3</f>
      </c>
      <c r="R3" s="33">
        <f t="shared" ref="R3:R18" si="0">F3/AK3</f>
      </c>
      <c r="S3" s="33">
        <f t="shared" ref="S3:S18" si="494">F3/AL3</f>
      </c>
      <c r="T3" s="33">
        <f t="shared" ref="T3:T18" si="391">F3/AM3</f>
      </c>
      <c r="U3" s="31">
        <f t="shared" ref="U3:U18" si="337">AI3/AJ3</f>
      </c>
      <c r="V3" s="31">
        <f t="shared" ref="V3:V18" si="247">AK3/AJ3</f>
      </c>
      <c r="W3" s="31">
        <f t="shared" ref="W3:W18" si="265">AL3/AK3</f>
      </c>
      <c r="X3" s="31">
        <f t="shared" ref="X3:X18" si="283">AM3/AL3</f>
      </c>
      <c r="Y3" s="31">
        <f t="shared" ref="Y3:Y18" si="193">AI3/AH3</f>
      </c>
      <c r="Z3" s="31">
        <f t="shared" ref="Z3:Z18" si="90">AM3/AI3</f>
      </c>
      <c r="AA3" s="32">
        <f t="shared" ref="AA3:AA18" si="54">F3/AH3*1000</f>
      </c>
      <c r="AB3" s="32">
        <f t="shared" ref="AB3:AB18" si="18">F3/AI3</f>
      </c>
      <c r="AC3" s="32">
        <f t="shared" ref="AC3:AC18" si="512">F3/AN3</f>
      </c>
      <c r="AD3" s="31">
        <f t="shared" ref="AD3:AD18" si="409">AN3/AJ3</f>
      </c>
      <c r="AE3" s="32">
        <f t="shared" ref="AE3:AE18" si="355">F3/AO3</f>
      </c>
      <c r="AF3" s="31">
        <f t="shared" ref="AF3:AF18" si="301">AO3/AJ3</f>
      </c>
      <c r="AG3" s="31">
        <f t="shared" ref="AG3:AG18" si="211">AP3/AJ3</f>
      </c>
      <c r="AH3" s="34">
        <v>15329</v>
      </c>
      <c r="AI3" s="35">
        <v>357</v>
      </c>
      <c r="AJ3" s="35">
        <v>414</v>
      </c>
      <c r="AK3" s="34">
        <v>25</v>
      </c>
      <c r="AL3" s="34">
        <v>1</v>
      </c>
      <c r="AM3" s="34">
        <v>1</v>
      </c>
      <c r="AN3" s="34">
        <v>69</v>
      </c>
      <c r="AO3" s="34">
        <v>82</v>
      </c>
      <c r="AP3" s="34">
        <v>7</v>
      </c>
      <c r="AQ3" s="29">
        <v>0</v>
      </c>
      <c r="AR3" s="36">
        <f t="shared" ref="AR3:AR6" si="108">COUNT(AQ3)</f>
      </c>
    </row>
    <row r="4">
      <c r="A4" s="24"/>
      <c r="B4" s="25" t="s">
        <v>49</v>
      </c>
      <c r="C4" s="25" t="s">
        <v>50</v>
      </c>
      <c r="D4" s="26" t="s">
        <v>51</v>
      </c>
      <c r="E4" s="26" t="s">
        <v>53</v>
      </c>
      <c r="F4" s="27">
        <f t="shared" si="427"/>
      </c>
      <c r="G4" s="37">
        <v>604.81</v>
      </c>
      <c r="H4" s="28">
        <v>307.37</v>
      </c>
      <c r="I4" s="29">
        <v>4</v>
      </c>
      <c r="J4" s="29">
        <v>4</v>
      </c>
      <c r="K4" s="30">
        <v>2209.2</v>
      </c>
      <c r="L4" s="31">
        <f t="shared" si="373"/>
      </c>
      <c r="M4" s="32">
        <f t="shared" si="319"/>
      </c>
      <c r="N4" s="33">
        <f t="shared" si="229"/>
      </c>
      <c r="O4" s="33">
        <f t="shared" si="175"/>
      </c>
      <c r="P4" s="33">
        <f t="shared" si="72"/>
      </c>
      <c r="Q4" s="33">
        <f t="shared" si="36"/>
      </c>
      <c r="R4" s="33">
        <f t="shared" si="0"/>
      </c>
      <c r="S4" s="33">
        <f t="shared" si="494"/>
      </c>
      <c r="T4" s="33">
        <f t="shared" si="391"/>
      </c>
      <c r="U4" s="31">
        <f t="shared" si="337"/>
      </c>
      <c r="V4" s="31">
        <f t="shared" si="247"/>
      </c>
      <c r="W4" s="31">
        <f t="shared" si="265"/>
      </c>
      <c r="X4" s="31">
        <f t="shared" si="283"/>
      </c>
      <c r="Y4" s="31">
        <f t="shared" si="193"/>
      </c>
      <c r="Z4" s="31">
        <f t="shared" si="90"/>
      </c>
      <c r="AA4" s="32">
        <f t="shared" si="54"/>
      </c>
      <c r="AB4" s="32">
        <f t="shared" si="18"/>
      </c>
      <c r="AC4" s="32">
        <f t="shared" si="512"/>
      </c>
      <c r="AD4" s="31">
        <f t="shared" si="409"/>
      </c>
      <c r="AE4" s="32">
        <f t="shared" si="355"/>
      </c>
      <c r="AF4" s="31">
        <f t="shared" si="301"/>
      </c>
      <c r="AG4" s="31">
        <f t="shared" si="211"/>
      </c>
      <c r="AH4" s="29">
        <v>10906</v>
      </c>
      <c r="AI4" s="34">
        <v>290</v>
      </c>
      <c r="AJ4" s="34">
        <v>375</v>
      </c>
      <c r="AK4" s="34">
        <v>31</v>
      </c>
      <c r="AL4" s="34">
        <v>3</v>
      </c>
      <c r="AM4" s="34">
        <v>3</v>
      </c>
      <c r="AN4" s="34">
        <v>51</v>
      </c>
      <c r="AO4" s="34">
        <v>39</v>
      </c>
      <c r="AP4" s="34">
        <v>6</v>
      </c>
      <c r="AQ4" s="29">
        <v>1</v>
      </c>
      <c r="AR4" s="36">
        <f t="shared" si="108"/>
      </c>
    </row>
    <row r="5">
      <c r="A5" s="24"/>
      <c r="B5" s="25" t="s">
        <v>49</v>
      </c>
      <c r="C5" s="25" t="s">
        <v>50</v>
      </c>
      <c r="D5" s="26" t="s">
        <v>51</v>
      </c>
      <c r="E5" s="26" t="s">
        <v>54</v>
      </c>
      <c r="F5" s="27">
        <f t="shared" si="427"/>
      </c>
      <c r="G5" s="28">
        <v>984.6</v>
      </c>
      <c r="H5" s="28">
        <v>261.9</v>
      </c>
      <c r="I5" s="29">
        <v>1</v>
      </c>
      <c r="J5" s="29">
        <v>1</v>
      </c>
      <c r="K5" s="30">
        <v>474</v>
      </c>
      <c r="L5" s="31">
        <f t="shared" si="373"/>
      </c>
      <c r="M5" s="32">
        <f t="shared" si="319"/>
      </c>
      <c r="N5" s="33">
        <f t="shared" si="229"/>
      </c>
      <c r="O5" s="33">
        <f t="shared" si="175"/>
      </c>
      <c r="P5" s="33">
        <f t="shared" si="72"/>
      </c>
      <c r="Q5" s="33">
        <f t="shared" si="36"/>
      </c>
      <c r="R5" s="33">
        <f t="shared" si="0"/>
      </c>
      <c r="S5" s="33">
        <f t="shared" si="494"/>
      </c>
      <c r="T5" s="33">
        <f t="shared" si="391"/>
      </c>
      <c r="U5" s="31">
        <f t="shared" si="337"/>
      </c>
      <c r="V5" s="31">
        <f t="shared" si="247"/>
      </c>
      <c r="W5" s="31">
        <f t="shared" si="265"/>
      </c>
      <c r="X5" s="31">
        <f t="shared" si="283"/>
      </c>
      <c r="Y5" s="31">
        <f t="shared" si="193"/>
      </c>
      <c r="Z5" s="31">
        <f t="shared" si="90"/>
      </c>
      <c r="AA5" s="32">
        <f t="shared" si="54"/>
      </c>
      <c r="AB5" s="32">
        <f t="shared" si="18"/>
      </c>
      <c r="AC5" s="32">
        <f t="shared" si="512"/>
      </c>
      <c r="AD5" s="31">
        <f t="shared" si="409"/>
      </c>
      <c r="AE5" s="32">
        <f t="shared" si="355"/>
      </c>
      <c r="AF5" s="31">
        <f t="shared" si="301"/>
      </c>
      <c r="AG5" s="31">
        <f t="shared" si="211"/>
      </c>
      <c r="AH5" s="29">
        <v>17002</v>
      </c>
      <c r="AI5" s="34">
        <v>368</v>
      </c>
      <c r="AJ5" s="34">
        <v>425</v>
      </c>
      <c r="AK5" s="34">
        <v>39</v>
      </c>
      <c r="AL5" s="29">
        <v>1</v>
      </c>
      <c r="AM5" s="34">
        <v>1</v>
      </c>
      <c r="AN5" s="34">
        <v>65</v>
      </c>
      <c r="AO5" s="34">
        <v>40</v>
      </c>
      <c r="AP5" s="34">
        <v>5</v>
      </c>
      <c r="AQ5" s="29">
        <v>0</v>
      </c>
      <c r="AR5" s="36">
        <f t="shared" si="108"/>
      </c>
    </row>
    <row r="6">
      <c r="A6" s="24"/>
      <c r="B6" s="25" t="s">
        <v>49</v>
      </c>
      <c r="C6" s="25" t="s">
        <v>50</v>
      </c>
      <c r="D6" s="26" t="s">
        <v>51</v>
      </c>
      <c r="E6" s="26" t="s">
        <v>55</v>
      </c>
      <c r="F6" s="27">
        <f t="shared" si="427"/>
      </c>
      <c r="G6" s="28">
        <v>800.38</v>
      </c>
      <c r="H6" s="28">
        <v>508.04</v>
      </c>
      <c r="I6" s="29">
        <v>7</v>
      </c>
      <c r="J6" s="29">
        <v>5</v>
      </c>
      <c r="K6" s="30">
        <v>3472.5999999999995</v>
      </c>
      <c r="L6" s="31">
        <f t="shared" si="373"/>
      </c>
      <c r="M6" s="32">
        <f t="shared" si="319"/>
      </c>
      <c r="N6" s="33">
        <f t="shared" si="229"/>
      </c>
      <c r="O6" s="33">
        <f t="shared" si="175"/>
      </c>
      <c r="P6" s="33">
        <f t="shared" si="72"/>
      </c>
      <c r="Q6" s="33">
        <f t="shared" si="36"/>
      </c>
      <c r="R6" s="33">
        <f t="shared" si="0"/>
      </c>
      <c r="S6" s="33">
        <f t="shared" si="494"/>
      </c>
      <c r="T6" s="33">
        <f t="shared" si="391"/>
      </c>
      <c r="U6" s="31">
        <f t="shared" si="337"/>
      </c>
      <c r="V6" s="31">
        <f t="shared" si="247"/>
      </c>
      <c r="W6" s="31">
        <f t="shared" si="265"/>
      </c>
      <c r="X6" s="31">
        <f t="shared" si="283"/>
      </c>
      <c r="Y6" s="31">
        <f t="shared" si="193"/>
      </c>
      <c r="Z6" s="31">
        <f t="shared" si="90"/>
      </c>
      <c r="AA6" s="32">
        <f t="shared" si="54"/>
      </c>
      <c r="AB6" s="32">
        <f t="shared" si="18"/>
      </c>
      <c r="AC6" s="32">
        <f t="shared" si="512"/>
      </c>
      <c r="AD6" s="31">
        <f t="shared" si="409"/>
      </c>
      <c r="AE6" s="32">
        <f t="shared" si="355"/>
      </c>
      <c r="AF6" s="31">
        <f t="shared" si="301"/>
      </c>
      <c r="AG6" s="31">
        <f t="shared" si="211"/>
      </c>
      <c r="AH6" s="34">
        <v>17701</v>
      </c>
      <c r="AI6" s="34">
        <v>473</v>
      </c>
      <c r="AJ6" s="34">
        <v>569</v>
      </c>
      <c r="AK6" s="34">
        <v>41</v>
      </c>
      <c r="AL6" s="29">
        <v>6</v>
      </c>
      <c r="AM6" s="29">
        <v>4</v>
      </c>
      <c r="AN6" s="34">
        <v>70</v>
      </c>
      <c r="AO6" s="34">
        <v>86</v>
      </c>
      <c r="AP6" s="34">
        <v>6</v>
      </c>
      <c r="AQ6" s="29">
        <v>0</v>
      </c>
      <c r="AR6" s="36">
        <f t="shared" si="108"/>
      </c>
    </row>
    <row r="7">
      <c r="A7" s="24"/>
      <c r="B7" s="38" t="s">
        <v>56</v>
      </c>
      <c r="C7" s="38"/>
      <c r="D7" s="38"/>
      <c r="E7" s="38"/>
      <c r="F7" s="39">
        <f>SUM(F3:F6)</f>
      </c>
      <c r="G7" s="39">
        <f>SUM(G3:G6)</f>
      </c>
      <c r="H7" s="39">
        <f>SUM(H3:H6)</f>
      </c>
      <c r="I7" s="40">
        <f>SUM(I3:I6)</f>
      </c>
      <c r="J7" s="40">
        <f>SUM(J3:J6)</f>
      </c>
      <c r="K7" s="39">
        <f>SUM(K3:K6)</f>
      </c>
      <c r="L7" s="41">
        <f t="shared" si="373"/>
      </c>
      <c r="M7" s="42">
        <f t="shared" si="319"/>
      </c>
      <c r="N7" s="43">
        <f t="shared" si="229"/>
      </c>
      <c r="O7" s="43">
        <f t="shared" si="175"/>
      </c>
      <c r="P7" s="43">
        <f t="shared" si="72"/>
      </c>
      <c r="Q7" s="43">
        <f t="shared" si="36"/>
      </c>
      <c r="R7" s="43">
        <f t="shared" si="0"/>
      </c>
      <c r="S7" s="43">
        <f t="shared" si="494"/>
      </c>
      <c r="T7" s="43">
        <f t="shared" si="391"/>
      </c>
      <c r="U7" s="41">
        <f t="shared" si="337"/>
      </c>
      <c r="V7" s="41">
        <f t="shared" si="247"/>
      </c>
      <c r="W7" s="41">
        <f t="shared" si="265"/>
      </c>
      <c r="X7" s="41">
        <f t="shared" si="283"/>
      </c>
      <c r="Y7" s="41">
        <f t="shared" si="193"/>
      </c>
      <c r="Z7" s="41">
        <f t="shared" si="90"/>
      </c>
      <c r="AA7" s="42">
        <f t="shared" si="54"/>
      </c>
      <c r="AB7" s="42">
        <f t="shared" si="18"/>
      </c>
      <c r="AC7" s="42">
        <f t="shared" si="512"/>
      </c>
      <c r="AD7" s="41">
        <f t="shared" si="409"/>
      </c>
      <c r="AE7" s="42">
        <f t="shared" si="355"/>
      </c>
      <c r="AF7" s="41">
        <f t="shared" si="301"/>
      </c>
      <c r="AG7" s="41">
        <f t="shared" si="211"/>
      </c>
      <c r="AH7" s="40">
        <f>SUM(AH3:AH6)</f>
      </c>
      <c r="AI7" s="40">
        <f>SUM(AI3:AI6)</f>
      </c>
      <c r="AJ7" s="40">
        <f>SUM(AJ3:AJ6)</f>
      </c>
      <c r="AK7" s="40">
        <f>SUM(AK3:AK6)</f>
      </c>
      <c r="AL7" s="40">
        <f>SUM(AL3:AL6)</f>
      </c>
      <c r="AM7" s="40">
        <f>SUM(AM3:AM6)</f>
      </c>
      <c r="AN7" s="40">
        <f>SUM(AN3:AN6)</f>
      </c>
      <c r="AO7" s="40">
        <f>SUM(AO3:AO6)</f>
      </c>
      <c r="AP7" s="40">
        <f>SUM(AP3:AP6)</f>
      </c>
      <c r="AQ7" s="40">
        <f>SUM(AQ3:AQ6)</f>
      </c>
      <c r="AR7" s="44">
        <f>SUM(AR3:AR6)</f>
      </c>
    </row>
    <row r="8">
      <c r="A8" s="24"/>
      <c r="B8" s="25" t="s">
        <v>49</v>
      </c>
      <c r="C8" s="25" t="s">
        <v>50</v>
      </c>
      <c r="D8" s="26" t="s">
        <v>57</v>
      </c>
      <c r="E8" s="26" t="s">
        <v>58</v>
      </c>
      <c r="F8" s="27">
        <f t="shared" ref="F8:F11" si="428">H8+G8</f>
      </c>
      <c r="G8" s="28">
        <v>672.28</v>
      </c>
      <c r="H8" s="28">
        <v>972.73</v>
      </c>
      <c r="I8" s="29">
        <v>4</v>
      </c>
      <c r="J8" s="29">
        <v>4</v>
      </c>
      <c r="K8" s="30">
        <v>2588.3999999999996</v>
      </c>
      <c r="L8" s="31">
        <f t="shared" si="373"/>
      </c>
      <c r="M8" s="32">
        <f t="shared" si="319"/>
      </c>
      <c r="N8" s="33">
        <f t="shared" si="229"/>
      </c>
      <c r="O8" s="33">
        <f t="shared" si="175"/>
      </c>
      <c r="P8" s="33">
        <f t="shared" si="72"/>
      </c>
      <c r="Q8" s="33">
        <f t="shared" si="36"/>
      </c>
      <c r="R8" s="33">
        <f t="shared" si="0"/>
      </c>
      <c r="S8" s="33">
        <f t="shared" si="494"/>
      </c>
      <c r="T8" s="33">
        <f t="shared" si="391"/>
      </c>
      <c r="U8" s="31">
        <f t="shared" si="337"/>
      </c>
      <c r="V8" s="31">
        <f t="shared" si="247"/>
      </c>
      <c r="W8" s="31">
        <f t="shared" si="265"/>
      </c>
      <c r="X8" s="31">
        <f t="shared" si="283"/>
      </c>
      <c r="Y8" s="31">
        <f t="shared" si="193"/>
      </c>
      <c r="Z8" s="31">
        <f t="shared" si="90"/>
      </c>
      <c r="AA8" s="32">
        <f t="shared" si="54"/>
      </c>
      <c r="AB8" s="32">
        <f t="shared" si="18"/>
      </c>
      <c r="AC8" s="32">
        <f t="shared" si="512"/>
      </c>
      <c r="AD8" s="31">
        <f t="shared" si="409"/>
      </c>
      <c r="AE8" s="32">
        <f t="shared" si="355"/>
      </c>
      <c r="AF8" s="31">
        <f t="shared" si="301"/>
      </c>
      <c r="AG8" s="31">
        <f t="shared" si="211"/>
      </c>
      <c r="AH8" s="34">
        <v>18413</v>
      </c>
      <c r="AI8" s="34">
        <v>614</v>
      </c>
      <c r="AJ8" s="34">
        <v>693</v>
      </c>
      <c r="AK8" s="34">
        <v>43</v>
      </c>
      <c r="AL8" s="29">
        <v>3</v>
      </c>
      <c r="AM8" s="29">
        <v>2</v>
      </c>
      <c r="AN8" s="34">
        <v>63</v>
      </c>
      <c r="AO8" s="34">
        <v>70</v>
      </c>
      <c r="AP8" s="34">
        <v>3</v>
      </c>
      <c r="AQ8" s="29">
        <v>1</v>
      </c>
      <c r="AR8" s="36">
        <f t="shared" ref="AR8:AR11" si="109">COUNT(AQ8)</f>
      </c>
    </row>
    <row r="9">
      <c r="A9" s="24"/>
      <c r="B9" s="25" t="s">
        <v>49</v>
      </c>
      <c r="C9" s="25" t="s">
        <v>50</v>
      </c>
      <c r="D9" s="26" t="s">
        <v>57</v>
      </c>
      <c r="E9" s="26" t="s">
        <v>59</v>
      </c>
      <c r="F9" s="27">
        <f t="shared" si="428"/>
      </c>
      <c r="G9" s="28">
        <v>433.05</v>
      </c>
      <c r="H9" s="28">
        <v>919.48</v>
      </c>
      <c r="I9" s="29">
        <v>6</v>
      </c>
      <c r="J9" s="34">
        <v>6</v>
      </c>
      <c r="K9" s="45">
        <v>3173.2000000000007</v>
      </c>
      <c r="L9" s="31">
        <f t="shared" si="373"/>
      </c>
      <c r="M9" s="32">
        <f t="shared" si="319"/>
      </c>
      <c r="N9" s="33">
        <f t="shared" si="229"/>
      </c>
      <c r="O9" s="33">
        <f t="shared" si="175"/>
      </c>
      <c r="P9" s="33">
        <f t="shared" si="72"/>
      </c>
      <c r="Q9" s="33">
        <f t="shared" si="36"/>
      </c>
      <c r="R9" s="33">
        <f t="shared" si="0"/>
      </c>
      <c r="S9" s="33">
        <f t="shared" si="494"/>
      </c>
      <c r="T9" s="33">
        <f t="shared" si="391"/>
      </c>
      <c r="U9" s="31">
        <f t="shared" si="337"/>
      </c>
      <c r="V9" s="31">
        <f t="shared" si="247"/>
      </c>
      <c r="W9" s="31">
        <f t="shared" si="265"/>
      </c>
      <c r="X9" s="31">
        <f t="shared" si="283"/>
      </c>
      <c r="Y9" s="31">
        <f t="shared" si="193"/>
      </c>
      <c r="Z9" s="31">
        <f t="shared" si="90"/>
      </c>
      <c r="AA9" s="32">
        <f t="shared" si="54"/>
      </c>
      <c r="AB9" s="32">
        <f t="shared" si="18"/>
      </c>
      <c r="AC9" s="32">
        <f t="shared" si="512"/>
      </c>
      <c r="AD9" s="31">
        <f t="shared" si="409"/>
      </c>
      <c r="AE9" s="32">
        <f t="shared" si="355"/>
      </c>
      <c r="AF9" s="31">
        <f t="shared" si="301"/>
      </c>
      <c r="AG9" s="31">
        <f t="shared" si="211"/>
      </c>
      <c r="AH9" s="34">
        <v>21188</v>
      </c>
      <c r="AI9" s="34">
        <v>697</v>
      </c>
      <c r="AJ9" s="34">
        <v>891</v>
      </c>
      <c r="AK9" s="34">
        <v>30</v>
      </c>
      <c r="AL9" s="34">
        <v>6</v>
      </c>
      <c r="AM9" s="34">
        <v>6</v>
      </c>
      <c r="AN9" s="34">
        <v>76</v>
      </c>
      <c r="AO9" s="34">
        <v>83</v>
      </c>
      <c r="AP9" s="34">
        <v>7</v>
      </c>
      <c r="AQ9" s="29">
        <v>1</v>
      </c>
      <c r="AR9" s="36">
        <f t="shared" si="109"/>
      </c>
    </row>
    <row r="10">
      <c r="A10" s="24"/>
      <c r="B10" s="25" t="s">
        <v>49</v>
      </c>
      <c r="C10" s="25" t="s">
        <v>50</v>
      </c>
      <c r="D10" s="26" t="s">
        <v>57</v>
      </c>
      <c r="E10" s="26" t="s">
        <v>60</v>
      </c>
      <c r="F10" s="27">
        <f t="shared" si="428"/>
      </c>
      <c r="G10" s="28">
        <v>638.96</v>
      </c>
      <c r="H10" s="28">
        <v>1047.59</v>
      </c>
      <c r="I10" s="29">
        <v>5</v>
      </c>
      <c r="J10" s="29">
        <v>3</v>
      </c>
      <c r="K10" s="30">
        <v>2303.999999999998</v>
      </c>
      <c r="L10" s="31">
        <f t="shared" si="373"/>
      </c>
      <c r="M10" s="32">
        <f t="shared" si="319"/>
      </c>
      <c r="N10" s="33">
        <f t="shared" si="229"/>
      </c>
      <c r="O10" s="33">
        <f t="shared" si="175"/>
      </c>
      <c r="P10" s="33">
        <f t="shared" si="72"/>
      </c>
      <c r="Q10" s="33">
        <f t="shared" si="36"/>
      </c>
      <c r="R10" s="33">
        <f t="shared" si="0"/>
      </c>
      <c r="S10" s="33">
        <f t="shared" si="494"/>
      </c>
      <c r="T10" s="33">
        <f t="shared" si="391"/>
      </c>
      <c r="U10" s="31">
        <f t="shared" si="337"/>
      </c>
      <c r="V10" s="31">
        <f t="shared" si="247"/>
      </c>
      <c r="W10" s="31">
        <f t="shared" si="265"/>
      </c>
      <c r="X10" s="31">
        <f t="shared" si="283"/>
      </c>
      <c r="Y10" s="31">
        <f t="shared" si="193"/>
      </c>
      <c r="Z10" s="31">
        <f t="shared" si="90"/>
      </c>
      <c r="AA10" s="32">
        <f t="shared" si="54"/>
      </c>
      <c r="AB10" s="32">
        <f t="shared" si="18"/>
      </c>
      <c r="AC10" s="32">
        <f t="shared" si="512"/>
      </c>
      <c r="AD10" s="31">
        <f t="shared" si="409"/>
      </c>
      <c r="AE10" s="32">
        <f t="shared" si="355"/>
      </c>
      <c r="AF10" s="31">
        <f t="shared" si="301"/>
      </c>
      <c r="AG10" s="31">
        <f t="shared" si="211"/>
      </c>
      <c r="AH10" s="34">
        <v>30122</v>
      </c>
      <c r="AI10" s="34">
        <v>984</v>
      </c>
      <c r="AJ10" s="34">
        <v>1362</v>
      </c>
      <c r="AK10" s="34">
        <v>42</v>
      </c>
      <c r="AL10" s="34">
        <v>4</v>
      </c>
      <c r="AM10" s="34">
        <v>3</v>
      </c>
      <c r="AN10" s="34">
        <v>107</v>
      </c>
      <c r="AO10" s="34">
        <v>99</v>
      </c>
      <c r="AP10" s="34">
        <v>11</v>
      </c>
      <c r="AQ10" s="29">
        <v>0</v>
      </c>
      <c r="AR10" s="36">
        <f t="shared" si="109"/>
      </c>
    </row>
    <row r="11">
      <c r="A11" s="24"/>
      <c r="B11" s="25" t="s">
        <v>49</v>
      </c>
      <c r="C11" s="25" t="s">
        <v>50</v>
      </c>
      <c r="D11" s="26" t="s">
        <v>57</v>
      </c>
      <c r="E11" s="26" t="s">
        <v>61</v>
      </c>
      <c r="F11" s="27">
        <f t="shared" si="428"/>
      </c>
      <c r="G11" s="28">
        <v>577.3</v>
      </c>
      <c r="H11" s="28">
        <v>1829.44</v>
      </c>
      <c r="I11" s="29">
        <v>7</v>
      </c>
      <c r="J11" s="29">
        <v>5</v>
      </c>
      <c r="K11" s="30">
        <v>2905.7999999999993</v>
      </c>
      <c r="L11" s="31">
        <f t="shared" si="373"/>
      </c>
      <c r="M11" s="32">
        <f t="shared" si="319"/>
      </c>
      <c r="N11" s="33">
        <f t="shared" si="229"/>
      </c>
      <c r="O11" s="33">
        <f t="shared" si="175"/>
      </c>
      <c r="P11" s="33">
        <f t="shared" si="72"/>
      </c>
      <c r="Q11" s="33">
        <f t="shared" si="36"/>
      </c>
      <c r="R11" s="33">
        <f t="shared" si="0"/>
      </c>
      <c r="S11" s="33">
        <f t="shared" si="494"/>
      </c>
      <c r="T11" s="33">
        <f t="shared" si="391"/>
      </c>
      <c r="U11" s="31">
        <f t="shared" si="337"/>
      </c>
      <c r="V11" s="31">
        <f t="shared" si="247"/>
      </c>
      <c r="W11" s="31">
        <f t="shared" si="265"/>
      </c>
      <c r="X11" s="31">
        <f t="shared" si="283"/>
      </c>
      <c r="Y11" s="31">
        <f t="shared" si="193"/>
      </c>
      <c r="Z11" s="31">
        <f t="shared" si="90"/>
      </c>
      <c r="AA11" s="32">
        <f t="shared" si="54"/>
      </c>
      <c r="AB11" s="32">
        <f t="shared" si="18"/>
      </c>
      <c r="AC11" s="32">
        <f t="shared" si="512"/>
      </c>
      <c r="AD11" s="31">
        <f t="shared" si="409"/>
      </c>
      <c r="AE11" s="32">
        <f t="shared" si="355"/>
      </c>
      <c r="AF11" s="31">
        <f t="shared" si="301"/>
      </c>
      <c r="AG11" s="31">
        <f t="shared" si="211"/>
      </c>
      <c r="AH11" s="34">
        <v>40771</v>
      </c>
      <c r="AI11" s="34">
        <v>1555</v>
      </c>
      <c r="AJ11" s="34">
        <v>2097</v>
      </c>
      <c r="AK11" s="34">
        <v>54</v>
      </c>
      <c r="AL11" s="34">
        <v>5</v>
      </c>
      <c r="AM11" s="34">
        <v>3</v>
      </c>
      <c r="AN11" s="34">
        <v>135</v>
      </c>
      <c r="AO11" s="34">
        <v>78</v>
      </c>
      <c r="AP11" s="34">
        <v>3</v>
      </c>
      <c r="AQ11" s="29">
        <v>2</v>
      </c>
      <c r="AR11" s="36">
        <f t="shared" si="109"/>
      </c>
    </row>
    <row r="12">
      <c r="A12" s="24"/>
      <c r="B12" s="38" t="s">
        <v>56</v>
      </c>
      <c r="C12" s="38"/>
      <c r="D12" s="38"/>
      <c r="E12" s="38"/>
      <c r="F12" s="39">
        <f>SUM(F8:F11)</f>
      </c>
      <c r="G12" s="39">
        <f>SUM(G8:G11)</f>
      </c>
      <c r="H12" s="39">
        <f>SUM(H8:H11)</f>
      </c>
      <c r="I12" s="40">
        <f>SUM(I8:I11)</f>
      </c>
      <c r="J12" s="40">
        <f>SUM(J8:J11)</f>
      </c>
      <c r="K12" s="39">
        <f>SUM(K8:K11)</f>
      </c>
      <c r="L12" s="41">
        <f t="shared" si="373"/>
      </c>
      <c r="M12" s="42">
        <f t="shared" si="319"/>
      </c>
      <c r="N12" s="43">
        <f t="shared" si="229"/>
      </c>
      <c r="O12" s="43">
        <f t="shared" si="175"/>
      </c>
      <c r="P12" s="43">
        <f t="shared" si="72"/>
      </c>
      <c r="Q12" s="43">
        <f t="shared" si="36"/>
      </c>
      <c r="R12" s="43">
        <f t="shared" si="0"/>
      </c>
      <c r="S12" s="43">
        <f t="shared" si="494"/>
      </c>
      <c r="T12" s="43">
        <f t="shared" si="391"/>
      </c>
      <c r="U12" s="41">
        <f t="shared" si="337"/>
      </c>
      <c r="V12" s="41">
        <f t="shared" si="247"/>
      </c>
      <c r="W12" s="41">
        <f t="shared" si="265"/>
      </c>
      <c r="X12" s="41">
        <f t="shared" si="283"/>
      </c>
      <c r="Y12" s="41">
        <f t="shared" si="193"/>
      </c>
      <c r="Z12" s="41">
        <f t="shared" si="90"/>
      </c>
      <c r="AA12" s="42">
        <f t="shared" si="54"/>
      </c>
      <c r="AB12" s="42">
        <f t="shared" si="18"/>
      </c>
      <c r="AC12" s="42">
        <f t="shared" si="512"/>
      </c>
      <c r="AD12" s="41">
        <f t="shared" si="409"/>
      </c>
      <c r="AE12" s="42">
        <f t="shared" si="355"/>
      </c>
      <c r="AF12" s="41">
        <f t="shared" si="301"/>
      </c>
      <c r="AG12" s="41">
        <f t="shared" si="211"/>
      </c>
      <c r="AH12" s="40">
        <f>SUM(AH8:AH11)</f>
      </c>
      <c r="AI12" s="40">
        <f>SUM(AI8:AI11)</f>
      </c>
      <c r="AJ12" s="40">
        <f>SUM(AJ8:AJ11)</f>
      </c>
      <c r="AK12" s="40">
        <f>SUM(AK8:AK11)</f>
      </c>
      <c r="AL12" s="40">
        <f>SUM(AL8:AL11)</f>
      </c>
      <c r="AM12" s="40">
        <f>SUM(AM8:AM11)</f>
      </c>
      <c r="AN12" s="40">
        <f>SUM(AN8:AN11)</f>
      </c>
      <c r="AO12" s="40">
        <f>SUM(AO8:AO11)</f>
      </c>
      <c r="AP12" s="40">
        <f>SUM(AP8:AP11)</f>
      </c>
      <c r="AQ12" s="40">
        <f>SUM(AQ8:AQ11)</f>
      </c>
      <c r="AR12" s="44">
        <f>SUM(AR8:AR11)</f>
      </c>
    </row>
    <row r="13">
      <c r="A13" s="24"/>
      <c r="B13" s="25" t="s">
        <v>49</v>
      </c>
      <c r="C13" s="25" t="s">
        <v>50</v>
      </c>
      <c r="D13" s="26" t="s">
        <v>62</v>
      </c>
      <c r="E13" s="26" t="s">
        <v>63</v>
      </c>
      <c r="F13" s="27">
        <f t="shared" ref="F13:F16" si="429">H13+G13</f>
      </c>
      <c r="G13" s="28">
        <v>376.51</v>
      </c>
      <c r="H13" s="28">
        <v>1905.15</v>
      </c>
      <c r="I13" s="29">
        <v>3</v>
      </c>
      <c r="J13" s="34">
        <v>3</v>
      </c>
      <c r="K13" s="45">
        <v>1387</v>
      </c>
      <c r="L13" s="31">
        <f t="shared" si="373"/>
      </c>
      <c r="M13" s="32">
        <f t="shared" si="319"/>
      </c>
      <c r="N13" s="33">
        <f t="shared" si="229"/>
      </c>
      <c r="O13" s="33">
        <f t="shared" si="175"/>
      </c>
      <c r="P13" s="33">
        <f t="shared" si="72"/>
      </c>
      <c r="Q13" s="33">
        <f t="shared" si="36"/>
      </c>
      <c r="R13" s="33">
        <f t="shared" si="0"/>
      </c>
      <c r="S13" s="33">
        <f t="shared" si="494"/>
      </c>
      <c r="T13" s="33">
        <f t="shared" si="391"/>
      </c>
      <c r="U13" s="31">
        <f t="shared" si="337"/>
      </c>
      <c r="V13" s="31">
        <f t="shared" si="247"/>
      </c>
      <c r="W13" s="31">
        <f t="shared" si="265"/>
      </c>
      <c r="X13" s="31">
        <f t="shared" si="283"/>
      </c>
      <c r="Y13" s="31">
        <f t="shared" si="193"/>
      </c>
      <c r="Z13" s="31">
        <f t="shared" si="90"/>
      </c>
      <c r="AA13" s="32">
        <f t="shared" si="54"/>
      </c>
      <c r="AB13" s="32">
        <f t="shared" si="18"/>
      </c>
      <c r="AC13" s="32">
        <f t="shared" si="512"/>
      </c>
      <c r="AD13" s="31">
        <f t="shared" si="409"/>
      </c>
      <c r="AE13" s="32">
        <f t="shared" si="355"/>
      </c>
      <c r="AF13" s="31">
        <f t="shared" si="301"/>
      </c>
      <c r="AG13" s="31">
        <f t="shared" si="211"/>
      </c>
      <c r="AH13" s="34">
        <v>34666</v>
      </c>
      <c r="AI13" s="34">
        <v>1545</v>
      </c>
      <c r="AJ13" s="34">
        <v>2103</v>
      </c>
      <c r="AK13" s="34">
        <v>57</v>
      </c>
      <c r="AL13" s="34">
        <v>3</v>
      </c>
      <c r="AM13" s="34">
        <v>3</v>
      </c>
      <c r="AN13" s="34">
        <v>115</v>
      </c>
      <c r="AO13" s="34">
        <v>51</v>
      </c>
      <c r="AP13" s="34">
        <v>6</v>
      </c>
      <c r="AQ13" s="29">
        <v>0</v>
      </c>
      <c r="AR13" s="36">
        <f t="shared" ref="AR13:AR16" si="110">COUNT(AQ13)</f>
      </c>
    </row>
    <row r="14">
      <c r="A14" s="24"/>
      <c r="B14" s="25" t="s">
        <v>49</v>
      </c>
      <c r="C14" s="25" t="s">
        <v>50</v>
      </c>
      <c r="D14" s="26" t="s">
        <v>62</v>
      </c>
      <c r="E14" s="25" t="s">
        <v>64</v>
      </c>
      <c r="F14" s="27">
        <f t="shared" si="429"/>
      </c>
      <c r="G14" s="28">
        <v>322.35</v>
      </c>
      <c r="H14" s="28">
        <v>1086.3</v>
      </c>
      <c r="I14" s="29">
        <v>2</v>
      </c>
      <c r="J14" s="34">
        <v>2</v>
      </c>
      <c r="K14" s="30">
        <v>1365.6000000000022</v>
      </c>
      <c r="L14" s="31">
        <f t="shared" si="373"/>
      </c>
      <c r="M14" s="32">
        <f t="shared" si="319"/>
      </c>
      <c r="N14" s="33">
        <f t="shared" si="229"/>
      </c>
      <c r="O14" s="33">
        <f t="shared" si="175"/>
      </c>
      <c r="P14" s="33">
        <f t="shared" si="72"/>
      </c>
      <c r="Q14" s="33">
        <f t="shared" si="36"/>
      </c>
      <c r="R14" s="33">
        <f t="shared" si="0"/>
      </c>
      <c r="S14" s="33">
        <f t="shared" si="494"/>
      </c>
      <c r="T14" s="33">
        <f t="shared" si="391"/>
      </c>
      <c r="U14" s="31">
        <f t="shared" si="337"/>
      </c>
      <c r="V14" s="31">
        <f t="shared" si="247"/>
      </c>
      <c r="W14" s="31">
        <f t="shared" si="265"/>
      </c>
      <c r="X14" s="31">
        <f t="shared" si="283"/>
      </c>
      <c r="Y14" s="31">
        <f t="shared" si="193"/>
      </c>
      <c r="Z14" s="31">
        <f t="shared" si="90"/>
      </c>
      <c r="AA14" s="32">
        <f t="shared" si="54"/>
      </c>
      <c r="AB14" s="32">
        <f t="shared" si="18"/>
      </c>
      <c r="AC14" s="32">
        <f t="shared" si="512"/>
      </c>
      <c r="AD14" s="31">
        <f t="shared" si="409"/>
      </c>
      <c r="AE14" s="32">
        <f t="shared" si="355"/>
      </c>
      <c r="AF14" s="31">
        <f t="shared" si="301"/>
      </c>
      <c r="AG14" s="31">
        <f t="shared" si="211"/>
      </c>
      <c r="AH14" s="34">
        <v>21609</v>
      </c>
      <c r="AI14" s="34">
        <v>954</v>
      </c>
      <c r="AJ14" s="34">
        <v>1335</v>
      </c>
      <c r="AK14" s="34">
        <v>48</v>
      </c>
      <c r="AL14" s="34">
        <v>2</v>
      </c>
      <c r="AM14" s="34">
        <v>2</v>
      </c>
      <c r="AN14" s="34">
        <v>80</v>
      </c>
      <c r="AO14" s="34">
        <v>75</v>
      </c>
      <c r="AP14" s="34">
        <v>4</v>
      </c>
      <c r="AQ14" s="29">
        <v>0</v>
      </c>
      <c r="AR14" s="36">
        <f t="shared" si="110"/>
      </c>
    </row>
    <row r="15">
      <c r="A15" s="24"/>
      <c r="B15" s="25" t="s">
        <v>49</v>
      </c>
      <c r="C15" s="25" t="s">
        <v>50</v>
      </c>
      <c r="D15" s="26" t="s">
        <v>62</v>
      </c>
      <c r="E15" s="25" t="s">
        <v>65</v>
      </c>
      <c r="F15" s="27">
        <f t="shared" si="429"/>
      </c>
      <c r="G15" s="28">
        <v>360.55</v>
      </c>
      <c r="H15" s="28">
        <v>1857.88</v>
      </c>
      <c r="I15" s="29">
        <v>2</v>
      </c>
      <c r="J15" s="34">
        <v>1</v>
      </c>
      <c r="K15" s="30">
        <v>398.3999999999978</v>
      </c>
      <c r="L15" s="31">
        <f t="shared" si="373"/>
      </c>
      <c r="M15" s="32">
        <f t="shared" si="319"/>
      </c>
      <c r="N15" s="33">
        <f t="shared" si="229"/>
      </c>
      <c r="O15" s="33">
        <f t="shared" si="175"/>
      </c>
      <c r="P15" s="33">
        <f t="shared" si="72"/>
      </c>
      <c r="Q15" s="33">
        <f t="shared" si="36"/>
      </c>
      <c r="R15" s="33">
        <f t="shared" si="0"/>
      </c>
      <c r="S15" s="33">
        <f t="shared" si="494"/>
      </c>
      <c r="T15" s="33">
        <f t="shared" si="391"/>
      </c>
      <c r="U15" s="31">
        <f t="shared" si="337"/>
      </c>
      <c r="V15" s="31">
        <f t="shared" si="247"/>
      </c>
      <c r="W15" s="31">
        <f t="shared" si="265"/>
      </c>
      <c r="X15" s="31">
        <f t="shared" si="283"/>
      </c>
      <c r="Y15" s="31">
        <f t="shared" si="193"/>
      </c>
      <c r="Z15" s="31">
        <f t="shared" si="90"/>
      </c>
      <c r="AA15" s="32">
        <f t="shared" si="54"/>
      </c>
      <c r="AB15" s="32">
        <f t="shared" si="18"/>
      </c>
      <c r="AC15" s="32">
        <f t="shared" si="512"/>
      </c>
      <c r="AD15" s="31">
        <f t="shared" si="409"/>
      </c>
      <c r="AE15" s="32">
        <f t="shared" si="355"/>
      </c>
      <c r="AF15" s="31">
        <f t="shared" si="301"/>
      </c>
      <c r="AG15" s="31">
        <f t="shared" si="211"/>
      </c>
      <c r="AH15" s="34">
        <v>29027</v>
      </c>
      <c r="AI15" s="34">
        <v>1354</v>
      </c>
      <c r="AJ15" s="34">
        <v>1672</v>
      </c>
      <c r="AK15" s="34">
        <v>76</v>
      </c>
      <c r="AL15" s="34">
        <v>2</v>
      </c>
      <c r="AM15" s="34">
        <v>1</v>
      </c>
      <c r="AN15" s="34">
        <v>111</v>
      </c>
      <c r="AO15" s="34">
        <v>79</v>
      </c>
      <c r="AP15" s="34">
        <v>19</v>
      </c>
      <c r="AQ15" s="29">
        <v>0</v>
      </c>
      <c r="AR15" s="36">
        <f t="shared" si="110"/>
      </c>
    </row>
    <row r="16">
      <c r="A16" s="24"/>
      <c r="B16" s="25" t="s">
        <v>49</v>
      </c>
      <c r="C16" s="25" t="s">
        <v>50</v>
      </c>
      <c r="D16" s="26" t="s">
        <v>62</v>
      </c>
      <c r="E16" s="26" t="s">
        <v>66</v>
      </c>
      <c r="F16" s="27">
        <f t="shared" si="429"/>
      </c>
      <c r="G16" s="28">
        <v>158.6</v>
      </c>
      <c r="H16" s="28">
        <v>1067.86</v>
      </c>
      <c r="I16" s="29">
        <v>0</v>
      </c>
      <c r="J16" s="29">
        <v>0</v>
      </c>
      <c r="K16" s="30">
        <v>0</v>
      </c>
      <c r="L16" s="31">
        <f t="shared" si="373"/>
      </c>
      <c r="M16" s="32">
        <f t="shared" si="319"/>
      </c>
      <c r="N16" s="33">
        <f t="shared" si="229"/>
      </c>
      <c r="O16" s="33">
        <f t="shared" si="175"/>
      </c>
      <c r="P16" s="33">
        <f t="shared" si="72"/>
      </c>
      <c r="Q16" s="33">
        <f t="shared" si="36"/>
      </c>
      <c r="R16" s="33">
        <f t="shared" si="0"/>
      </c>
      <c r="S16" s="33">
        <f t="shared" si="494"/>
      </c>
      <c r="T16" s="33">
        <f t="shared" si="391"/>
      </c>
      <c r="U16" s="31">
        <f t="shared" si="337"/>
      </c>
      <c r="V16" s="31">
        <f t="shared" si="247"/>
      </c>
      <c r="W16" s="31">
        <f t="shared" si="265"/>
      </c>
      <c r="X16" s="31">
        <f t="shared" si="283"/>
      </c>
      <c r="Y16" s="31">
        <f t="shared" si="193"/>
      </c>
      <c r="Z16" s="31">
        <f t="shared" si="90"/>
      </c>
      <c r="AA16" s="32">
        <f t="shared" si="54"/>
      </c>
      <c r="AB16" s="32">
        <f t="shared" si="18"/>
      </c>
      <c r="AC16" s="32">
        <f t="shared" si="512"/>
      </c>
      <c r="AD16" s="31">
        <f t="shared" si="409"/>
      </c>
      <c r="AE16" s="32">
        <f t="shared" si="355"/>
      </c>
      <c r="AF16" s="31">
        <f t="shared" si="301"/>
      </c>
      <c r="AG16" s="31">
        <f t="shared" si="211"/>
      </c>
      <c r="AH16" s="34">
        <v>17400</v>
      </c>
      <c r="AI16" s="34">
        <v>782</v>
      </c>
      <c r="AJ16" s="34">
        <v>1009</v>
      </c>
      <c r="AK16" s="34">
        <v>36</v>
      </c>
      <c r="AL16" s="34">
        <v>0</v>
      </c>
      <c r="AM16" s="34">
        <v>0</v>
      </c>
      <c r="AN16" s="34">
        <v>63</v>
      </c>
      <c r="AO16" s="34">
        <v>22</v>
      </c>
      <c r="AP16" s="34">
        <v>4</v>
      </c>
      <c r="AQ16" s="29">
        <v>0</v>
      </c>
      <c r="AR16" s="36">
        <f t="shared" si="110"/>
      </c>
    </row>
    <row r="17">
      <c r="A17" s="24"/>
      <c r="B17" s="38" t="s">
        <v>56</v>
      </c>
      <c r="C17" s="38"/>
      <c r="D17" s="38"/>
      <c r="E17" s="38"/>
      <c r="F17" s="39">
        <f>SUM(F13:F16)</f>
      </c>
      <c r="G17" s="39">
        <f>SUM(G13:G16)</f>
      </c>
      <c r="H17" s="39">
        <f>SUM(H13:H16)</f>
      </c>
      <c r="I17" s="40">
        <f>SUM(I13:I16)</f>
      </c>
      <c r="J17" s="40">
        <f>SUM(J13:J16)</f>
      </c>
      <c r="K17" s="39">
        <f>SUM(K13:K16)</f>
      </c>
      <c r="L17" s="41">
        <f t="shared" si="373"/>
      </c>
      <c r="M17" s="42">
        <f t="shared" si="319"/>
      </c>
      <c r="N17" s="43">
        <f t="shared" si="229"/>
      </c>
      <c r="O17" s="43">
        <f t="shared" si="175"/>
      </c>
      <c r="P17" s="43">
        <f t="shared" si="72"/>
      </c>
      <c r="Q17" s="43">
        <f t="shared" si="36"/>
      </c>
      <c r="R17" s="43">
        <f t="shared" si="0"/>
      </c>
      <c r="S17" s="43">
        <f t="shared" si="494"/>
      </c>
      <c r="T17" s="43">
        <f t="shared" si="391"/>
      </c>
      <c r="U17" s="41">
        <f t="shared" si="337"/>
      </c>
      <c r="V17" s="41">
        <f t="shared" si="247"/>
      </c>
      <c r="W17" s="41">
        <f t="shared" si="265"/>
      </c>
      <c r="X17" s="41">
        <f t="shared" si="283"/>
      </c>
      <c r="Y17" s="41">
        <f t="shared" si="193"/>
      </c>
      <c r="Z17" s="41">
        <f t="shared" si="90"/>
      </c>
      <c r="AA17" s="42">
        <f t="shared" si="54"/>
      </c>
      <c r="AB17" s="42">
        <f t="shared" si="18"/>
      </c>
      <c r="AC17" s="42">
        <f t="shared" si="512"/>
      </c>
      <c r="AD17" s="41">
        <f t="shared" si="409"/>
      </c>
      <c r="AE17" s="42">
        <f t="shared" si="355"/>
      </c>
      <c r="AF17" s="41">
        <f t="shared" si="301"/>
      </c>
      <c r="AG17" s="41">
        <f t="shared" si="211"/>
      </c>
      <c r="AH17" s="40">
        <f>SUM(AH13:AH16)</f>
      </c>
      <c r="AI17" s="40">
        <f>SUM(AI13:AI16)</f>
      </c>
      <c r="AJ17" s="40">
        <f>SUM(AJ13:AJ16)</f>
      </c>
      <c r="AK17" s="40">
        <f>SUM(AK13:AK16)</f>
      </c>
      <c r="AL17" s="40">
        <f>SUM(AL13:AL16)</f>
      </c>
      <c r="AM17" s="40">
        <f>SUM(AM13:AM16)</f>
      </c>
      <c r="AN17" s="40">
        <f>SUM(AN13:AN16)</f>
      </c>
      <c r="AO17" s="40">
        <f>SUM(AO13:AO16)</f>
      </c>
      <c r="AP17" s="40">
        <f>SUM(AP13:AP16)</f>
      </c>
      <c r="AQ17" s="40">
        <f>SUM(AQ13:AQ16)</f>
      </c>
      <c r="AR17" s="44">
        <f>SUM(AR13:AR16)</f>
      </c>
    </row>
    <row r="18">
      <c r="A18" s="24"/>
      <c r="B18" s="46" t="s">
        <v>67</v>
      </c>
      <c r="C18" s="46"/>
      <c r="D18" s="46"/>
      <c r="E18" s="46"/>
      <c r="F18" s="47">
        <f>H18+G18</f>
      </c>
      <c r="G18" s="47">
        <f>G12+G7+G17</f>
      </c>
      <c r="H18" s="47">
        <f>H12+H7+H17</f>
      </c>
      <c r="I18" s="47">
        <f>I12+I7+I17</f>
      </c>
      <c r="J18" s="47">
        <f>J12+J7+J17</f>
      </c>
      <c r="K18" s="47">
        <f>K12+K7+K17</f>
      </c>
      <c r="L18" s="48">
        <f t="shared" si="373"/>
      </c>
      <c r="M18" s="49">
        <f t="shared" si="319"/>
      </c>
      <c r="N18" s="50">
        <f t="shared" si="229"/>
      </c>
      <c r="O18" s="50">
        <f t="shared" si="175"/>
      </c>
      <c r="P18" s="50">
        <f t="shared" si="72"/>
      </c>
      <c r="Q18" s="50">
        <f t="shared" si="36"/>
      </c>
      <c r="R18" s="50">
        <f t="shared" si="0"/>
      </c>
      <c r="S18" s="50">
        <f t="shared" si="494"/>
      </c>
      <c r="T18" s="50">
        <f t="shared" si="391"/>
      </c>
      <c r="U18" s="48">
        <f t="shared" si="337"/>
      </c>
      <c r="V18" s="48">
        <f t="shared" si="247"/>
      </c>
      <c r="W18" s="48">
        <f t="shared" si="265"/>
      </c>
      <c r="X18" s="48">
        <f t="shared" si="283"/>
      </c>
      <c r="Y18" s="48">
        <f t="shared" si="193"/>
      </c>
      <c r="Z18" s="48">
        <f t="shared" si="90"/>
      </c>
      <c r="AA18" s="49">
        <f t="shared" si="54"/>
      </c>
      <c r="AB18" s="49">
        <f t="shared" si="18"/>
      </c>
      <c r="AC18" s="49">
        <f t="shared" si="512"/>
      </c>
      <c r="AD18" s="48">
        <f t="shared" si="409"/>
      </c>
      <c r="AE18" s="49">
        <f t="shared" si="355"/>
      </c>
      <c r="AF18" s="48">
        <f t="shared" si="301"/>
      </c>
      <c r="AG18" s="48">
        <f t="shared" si="211"/>
      </c>
      <c r="AH18" s="44">
        <f>AH12+AH7+AH17</f>
      </c>
      <c r="AI18" s="44">
        <f>AI12+AI7+AI17</f>
      </c>
      <c r="AJ18" s="44">
        <f>AJ12+AJ7+AJ17</f>
      </c>
      <c r="AK18" s="44">
        <f>AK12+AK7+AK17</f>
      </c>
      <c r="AL18" s="44">
        <f>AL12+AL7+AL17</f>
      </c>
      <c r="AM18" s="44">
        <f>AM12+AM7+AM17</f>
      </c>
      <c r="AN18" s="44">
        <f>AN12+AN7+AN17</f>
      </c>
      <c r="AO18" s="44">
        <f>AO12+AO7+AO17</f>
      </c>
      <c r="AP18" s="44">
        <f>AP12+AP7+AP17</f>
      </c>
      <c r="AQ18" s="44">
        <f>AQ12+AQ7+AQ17</f>
      </c>
      <c r="AR18" s="44">
        <f>AR12+AR7+AR17</f>
      </c>
    </row>
    <row r="19">
      <c r="A19" s="1"/>
      <c r="B19" s="1"/>
      <c r="C19" s="1"/>
      <c r="D19" s="1"/>
      <c r="E19" s="1"/>
      <c r="F19" s="2" t="s">
        <v>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3" t="s">
        <v>2</v>
      </c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4" t="s">
        <v>3</v>
      </c>
      <c r="AD19" s="4"/>
      <c r="AE19" s="4"/>
      <c r="AF19" s="4"/>
      <c r="AG19" s="4"/>
      <c r="AH19" s="5" t="s">
        <v>4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</row>
    <row r="20">
      <c r="A20" s="6" t="s">
        <v>5</v>
      </c>
      <c r="B20" s="7" t="s">
        <v>6</v>
      </c>
      <c r="C20" s="7" t="s">
        <v>7</v>
      </c>
      <c r="D20" s="8" t="s">
        <v>8</v>
      </c>
      <c r="E20" s="9" t="s">
        <v>9</v>
      </c>
      <c r="F20" s="10" t="s">
        <v>10</v>
      </c>
      <c r="G20" s="11" t="s">
        <v>11</v>
      </c>
      <c r="H20" s="12" t="s">
        <v>12</v>
      </c>
      <c r="I20" s="13" t="s">
        <v>13</v>
      </c>
      <c r="J20" s="13" t="s">
        <v>14</v>
      </c>
      <c r="K20" s="12" t="s">
        <v>15</v>
      </c>
      <c r="L20" s="14" t="s">
        <v>16</v>
      </c>
      <c r="M20" s="15" t="s">
        <v>17</v>
      </c>
      <c r="N20" s="16" t="s">
        <v>18</v>
      </c>
      <c r="O20" s="16" t="s">
        <v>19</v>
      </c>
      <c r="P20" s="17" t="s">
        <v>20</v>
      </c>
      <c r="Q20" s="3" t="s">
        <v>21</v>
      </c>
      <c r="R20" s="18" t="s">
        <v>22</v>
      </c>
      <c r="S20" s="18" t="s">
        <v>23</v>
      </c>
      <c r="T20" s="18" t="s">
        <v>24</v>
      </c>
      <c r="U20" s="19" t="s">
        <v>25</v>
      </c>
      <c r="V20" s="19" t="s">
        <v>26</v>
      </c>
      <c r="W20" s="19" t="s">
        <v>27</v>
      </c>
      <c r="X20" s="19" t="s">
        <v>28</v>
      </c>
      <c r="Y20" s="19" t="s">
        <v>29</v>
      </c>
      <c r="Z20" s="19" t="s">
        <v>30</v>
      </c>
      <c r="AA20" s="20" t="s">
        <v>31</v>
      </c>
      <c r="AB20" s="20" t="s">
        <v>32</v>
      </c>
      <c r="AC20" s="4" t="s">
        <v>33</v>
      </c>
      <c r="AD20" s="21" t="s">
        <v>34</v>
      </c>
      <c r="AE20" s="4" t="s">
        <v>35</v>
      </c>
      <c r="AF20" s="21" t="s">
        <v>36</v>
      </c>
      <c r="AG20" s="21" t="s">
        <v>37</v>
      </c>
      <c r="AH20" s="22" t="s">
        <v>38</v>
      </c>
      <c r="AI20" s="22" t="s">
        <v>39</v>
      </c>
      <c r="AJ20" s="22" t="s">
        <v>40</v>
      </c>
      <c r="AK20" s="22" t="s">
        <v>41</v>
      </c>
      <c r="AL20" s="22" t="s">
        <v>42</v>
      </c>
      <c r="AM20" s="22" t="s">
        <v>43</v>
      </c>
      <c r="AN20" s="22" t="s">
        <v>44</v>
      </c>
      <c r="AO20" s="22" t="s">
        <v>45</v>
      </c>
      <c r="AP20" s="22" t="s">
        <v>46</v>
      </c>
      <c r="AQ20" s="22" t="s">
        <v>47</v>
      </c>
      <c r="AR20" s="23" t="s">
        <v>48</v>
      </c>
    </row>
    <row r="21">
      <c r="A21" s="24">
        <v>46297</v>
      </c>
      <c r="B21" s="25" t="s">
        <v>49</v>
      </c>
      <c r="C21" s="25" t="s">
        <v>50</v>
      </c>
      <c r="D21" s="26" t="s">
        <v>57</v>
      </c>
      <c r="E21" s="26" t="s">
        <v>52</v>
      </c>
      <c r="F21" s="27">
        <f t="shared" ref="F21:F24" si="430">H21+G21</f>
      </c>
      <c r="G21" s="28">
        <v>486.23</v>
      </c>
      <c r="H21" s="28">
        <v>370.25</v>
      </c>
      <c r="I21" s="29">
        <v>0</v>
      </c>
      <c r="J21" s="29">
        <v>0</v>
      </c>
      <c r="K21" s="30">
        <v>0</v>
      </c>
      <c r="L21" s="31">
        <f t="shared" ref="L21:L36" si="374">AQ21/J21</f>
      </c>
      <c r="M21" s="32">
        <f t="shared" ref="M21:M36" si="320">K21/J21</f>
      </c>
      <c r="N21" s="33">
        <f t="shared" ref="N21:N36" si="230">F21/J21</f>
      </c>
      <c r="O21" s="33">
        <f t="shared" ref="O21:O36" si="176">K21/F21</f>
      </c>
      <c r="P21" s="33">
        <f t="shared" ref="P21:P36" si="73">K21/((300*AR21)+F21)</f>
      </c>
      <c r="Q21" s="33">
        <f t="shared" ref="Q21:Q36" si="37">F21/AJ21</f>
      </c>
      <c r="R21" s="33">
        <f t="shared" ref="R21:R36" si="1">F21/AK21</f>
      </c>
      <c r="S21" s="33">
        <f t="shared" ref="S21:S36" si="495">F21/AL21</f>
      </c>
      <c r="T21" s="33">
        <f t="shared" ref="T21:T36" si="392">F21/AM21</f>
      </c>
      <c r="U21" s="31">
        <f t="shared" ref="U21:U36" si="338">AI21/AJ21</f>
      </c>
      <c r="V21" s="31">
        <f t="shared" ref="V21:V36" si="248">AK21/AJ21</f>
      </c>
      <c r="W21" s="31">
        <f t="shared" ref="W21:W36" si="266">AL21/AK21</f>
      </c>
      <c r="X21" s="31">
        <f t="shared" ref="X21:X36" si="284">AM21/AL21</f>
      </c>
      <c r="Y21" s="31">
        <f t="shared" ref="Y21:Y36" si="194">AI21/AH21</f>
      </c>
      <c r="Z21" s="31">
        <f t="shared" ref="Z21:Z36" si="91">AM21/AI21</f>
      </c>
      <c r="AA21" s="32">
        <f t="shared" ref="AA21:AA36" si="55">F21/AH21*1000</f>
      </c>
      <c r="AB21" s="32">
        <f t="shared" ref="AB21:AB36" si="19">F21/AI21</f>
      </c>
      <c r="AC21" s="32">
        <f t="shared" ref="AC21:AC36" si="513">F21/AN21</f>
      </c>
      <c r="AD21" s="31">
        <f t="shared" ref="AD21:AD36" si="410">AN21/AJ21</f>
      </c>
      <c r="AE21" s="32">
        <f t="shared" ref="AE21:AE36" si="356">F21/AO21</f>
      </c>
      <c r="AF21" s="31">
        <f t="shared" ref="AF21:AF36" si="302">AO21/AJ21</f>
      </c>
      <c r="AG21" s="31">
        <f t="shared" ref="AG21:AG36" si="212">AP21/AJ21</f>
      </c>
      <c r="AH21" s="34">
        <v>8356</v>
      </c>
      <c r="AI21" s="35">
        <v>224</v>
      </c>
      <c r="AJ21" s="35">
        <v>273</v>
      </c>
      <c r="AK21" s="34">
        <v>18</v>
      </c>
      <c r="AL21" s="34">
        <v>0</v>
      </c>
      <c r="AM21" s="34">
        <v>0</v>
      </c>
      <c r="AN21" s="34">
        <v>30</v>
      </c>
      <c r="AO21" s="34">
        <v>28</v>
      </c>
      <c r="AP21" s="34">
        <v>3</v>
      </c>
      <c r="AQ21" s="29">
        <v>0</v>
      </c>
      <c r="AR21" s="36">
        <f t="shared" ref="AR21:AR24" si="111">COUNT(AQ21)</f>
      </c>
    </row>
    <row r="22">
      <c r="A22" s="24"/>
      <c r="B22" s="25" t="s">
        <v>49</v>
      </c>
      <c r="C22" s="25" t="s">
        <v>50</v>
      </c>
      <c r="D22" s="26" t="s">
        <v>57</v>
      </c>
      <c r="E22" s="26" t="s">
        <v>53</v>
      </c>
      <c r="F22" s="27">
        <f t="shared" si="430"/>
      </c>
      <c r="G22" s="37">
        <v>590.64</v>
      </c>
      <c r="H22" s="28">
        <v>390.56</v>
      </c>
      <c r="I22" s="29">
        <v>4</v>
      </c>
      <c r="J22" s="29">
        <v>3</v>
      </c>
      <c r="K22" s="30">
        <v>1374</v>
      </c>
      <c r="L22" s="31">
        <f t="shared" si="374"/>
      </c>
      <c r="M22" s="32">
        <f t="shared" si="320"/>
      </c>
      <c r="N22" s="33">
        <f t="shared" si="230"/>
      </c>
      <c r="O22" s="33">
        <f t="shared" si="176"/>
      </c>
      <c r="P22" s="33">
        <f t="shared" si="73"/>
      </c>
      <c r="Q22" s="33">
        <f t="shared" si="37"/>
      </c>
      <c r="R22" s="33">
        <f t="shared" si="1"/>
      </c>
      <c r="S22" s="33">
        <f t="shared" si="495"/>
      </c>
      <c r="T22" s="33">
        <f t="shared" si="392"/>
      </c>
      <c r="U22" s="31">
        <f t="shared" si="338"/>
      </c>
      <c r="V22" s="31">
        <f t="shared" si="248"/>
      </c>
      <c r="W22" s="31">
        <f t="shared" si="266"/>
      </c>
      <c r="X22" s="31">
        <f t="shared" si="284"/>
      </c>
      <c r="Y22" s="31">
        <f t="shared" si="194"/>
      </c>
      <c r="Z22" s="31">
        <f t="shared" si="91"/>
      </c>
      <c r="AA22" s="32">
        <f t="shared" si="55"/>
      </c>
      <c r="AB22" s="32">
        <f t="shared" si="19"/>
      </c>
      <c r="AC22" s="32">
        <f t="shared" si="513"/>
      </c>
      <c r="AD22" s="31">
        <f t="shared" si="410"/>
      </c>
      <c r="AE22" s="32">
        <f t="shared" si="356"/>
      </c>
      <c r="AF22" s="31">
        <f t="shared" si="302"/>
      </c>
      <c r="AG22" s="31">
        <f t="shared" si="212"/>
      </c>
      <c r="AH22" s="29">
        <v>9428</v>
      </c>
      <c r="AI22" s="34">
        <v>239</v>
      </c>
      <c r="AJ22" s="34">
        <v>275</v>
      </c>
      <c r="AK22" s="34">
        <v>30</v>
      </c>
      <c r="AL22" s="34">
        <v>3</v>
      </c>
      <c r="AM22" s="34">
        <v>2</v>
      </c>
      <c r="AN22" s="34">
        <v>45</v>
      </c>
      <c r="AO22" s="34">
        <v>42</v>
      </c>
      <c r="AP22" s="34">
        <v>2</v>
      </c>
      <c r="AQ22" s="29">
        <v>1</v>
      </c>
      <c r="AR22" s="36">
        <f t="shared" si="111"/>
      </c>
    </row>
    <row r="23">
      <c r="A23" s="24"/>
      <c r="B23" s="25" t="s">
        <v>49</v>
      </c>
      <c r="C23" s="25" t="s">
        <v>50</v>
      </c>
      <c r="D23" s="26" t="s">
        <v>57</v>
      </c>
      <c r="E23" s="26" t="s">
        <v>54</v>
      </c>
      <c r="F23" s="27">
        <f t="shared" si="430"/>
      </c>
      <c r="G23" s="28">
        <v>845.18</v>
      </c>
      <c r="H23" s="28">
        <v>322.51</v>
      </c>
      <c r="I23" s="29">
        <v>5</v>
      </c>
      <c r="J23" s="29">
        <v>3</v>
      </c>
      <c r="K23" s="30">
        <v>2199.6000000000004</v>
      </c>
      <c r="L23" s="31">
        <f t="shared" si="374"/>
      </c>
      <c r="M23" s="32">
        <f t="shared" si="320"/>
      </c>
      <c r="N23" s="33">
        <f t="shared" si="230"/>
      </c>
      <c r="O23" s="33">
        <f t="shared" si="176"/>
      </c>
      <c r="P23" s="33">
        <f t="shared" si="73"/>
      </c>
      <c r="Q23" s="33">
        <f t="shared" si="37"/>
      </c>
      <c r="R23" s="33">
        <f t="shared" si="1"/>
      </c>
      <c r="S23" s="33">
        <f t="shared" si="495"/>
      </c>
      <c r="T23" s="33">
        <f t="shared" si="392"/>
      </c>
      <c r="U23" s="31">
        <f t="shared" si="338"/>
      </c>
      <c r="V23" s="31">
        <f t="shared" si="248"/>
      </c>
      <c r="W23" s="31">
        <f t="shared" si="266"/>
      </c>
      <c r="X23" s="31">
        <f t="shared" si="284"/>
      </c>
      <c r="Y23" s="31">
        <f t="shared" si="194"/>
      </c>
      <c r="Z23" s="31">
        <f t="shared" si="91"/>
      </c>
      <c r="AA23" s="32">
        <f t="shared" si="55"/>
      </c>
      <c r="AB23" s="32">
        <f t="shared" si="19"/>
      </c>
      <c r="AC23" s="32">
        <f t="shared" si="513"/>
      </c>
      <c r="AD23" s="31">
        <f t="shared" si="410"/>
      </c>
      <c r="AE23" s="32">
        <f t="shared" si="356"/>
      </c>
      <c r="AF23" s="31">
        <f t="shared" si="302"/>
      </c>
      <c r="AG23" s="31">
        <f t="shared" si="212"/>
      </c>
      <c r="AH23" s="29">
        <v>10412</v>
      </c>
      <c r="AI23" s="34">
        <v>278</v>
      </c>
      <c r="AJ23" s="34">
        <v>301</v>
      </c>
      <c r="AK23" s="34">
        <v>33</v>
      </c>
      <c r="AL23" s="29">
        <v>4</v>
      </c>
      <c r="AM23" s="34">
        <v>3</v>
      </c>
      <c r="AN23" s="34">
        <v>68</v>
      </c>
      <c r="AO23" s="34">
        <v>55</v>
      </c>
      <c r="AP23" s="34">
        <v>13</v>
      </c>
      <c r="AQ23" s="29">
        <v>0</v>
      </c>
      <c r="AR23" s="36">
        <f t="shared" si="111"/>
      </c>
    </row>
    <row r="24">
      <c r="A24" s="24"/>
      <c r="B24" s="25" t="s">
        <v>49</v>
      </c>
      <c r="C24" s="25" t="s">
        <v>50</v>
      </c>
      <c r="D24" s="26" t="s">
        <v>57</v>
      </c>
      <c r="E24" s="26" t="s">
        <v>55</v>
      </c>
      <c r="F24" s="27">
        <f t="shared" si="430"/>
      </c>
      <c r="G24" s="28">
        <v>1835.04</v>
      </c>
      <c r="H24" s="28">
        <v>338.86</v>
      </c>
      <c r="I24" s="29">
        <v>8</v>
      </c>
      <c r="J24" s="29">
        <v>8</v>
      </c>
      <c r="K24" s="30">
        <v>4914.999999999998</v>
      </c>
      <c r="L24" s="31">
        <f t="shared" si="374"/>
      </c>
      <c r="M24" s="32">
        <f t="shared" si="320"/>
      </c>
      <c r="N24" s="33">
        <f t="shared" si="230"/>
      </c>
      <c r="O24" s="33">
        <f t="shared" si="176"/>
      </c>
      <c r="P24" s="33">
        <f t="shared" si="73"/>
      </c>
      <c r="Q24" s="33">
        <f t="shared" si="37"/>
      </c>
      <c r="R24" s="33">
        <f t="shared" si="1"/>
      </c>
      <c r="S24" s="33">
        <f t="shared" si="495"/>
      </c>
      <c r="T24" s="33">
        <f t="shared" si="392"/>
      </c>
      <c r="U24" s="31">
        <f t="shared" si="338"/>
      </c>
      <c r="V24" s="31">
        <f t="shared" si="248"/>
      </c>
      <c r="W24" s="31">
        <f t="shared" si="266"/>
      </c>
      <c r="X24" s="31">
        <f t="shared" si="284"/>
      </c>
      <c r="Y24" s="31">
        <f t="shared" si="194"/>
      </c>
      <c r="Z24" s="31">
        <f t="shared" si="91"/>
      </c>
      <c r="AA24" s="32">
        <f t="shared" si="55"/>
      </c>
      <c r="AB24" s="32">
        <f t="shared" si="19"/>
      </c>
      <c r="AC24" s="32">
        <f t="shared" si="513"/>
      </c>
      <c r="AD24" s="31">
        <f t="shared" si="410"/>
      </c>
      <c r="AE24" s="32">
        <f t="shared" si="356"/>
      </c>
      <c r="AF24" s="31">
        <f t="shared" si="302"/>
      </c>
      <c r="AG24" s="31">
        <f t="shared" si="212"/>
      </c>
      <c r="AH24" s="34">
        <v>24655</v>
      </c>
      <c r="AI24" s="34">
        <v>402</v>
      </c>
      <c r="AJ24" s="34">
        <v>421</v>
      </c>
      <c r="AK24" s="34">
        <v>25</v>
      </c>
      <c r="AL24" s="29">
        <v>5</v>
      </c>
      <c r="AM24" s="29">
        <v>5</v>
      </c>
      <c r="AN24" s="34">
        <v>75</v>
      </c>
      <c r="AO24" s="34">
        <v>59</v>
      </c>
      <c r="AP24" s="34">
        <v>2</v>
      </c>
      <c r="AQ24" s="29">
        <v>1</v>
      </c>
      <c r="AR24" s="36">
        <f t="shared" si="111"/>
      </c>
    </row>
    <row r="25">
      <c r="A25" s="24"/>
      <c r="B25" s="38" t="s">
        <v>56</v>
      </c>
      <c r="C25" s="38"/>
      <c r="D25" s="38"/>
      <c r="E25" s="38"/>
      <c r="F25" s="39">
        <f>SUM(F21:F24)</f>
      </c>
      <c r="G25" s="39">
        <f>SUM(G21:G24)</f>
      </c>
      <c r="H25" s="39">
        <f>SUM(H21:H24)</f>
      </c>
      <c r="I25" s="40">
        <f>SUM(I21:I24)</f>
      </c>
      <c r="J25" s="40">
        <f>SUM(J21:J24)</f>
      </c>
      <c r="K25" s="39">
        <f>SUM(K21:K24)</f>
      </c>
      <c r="L25" s="41">
        <f t="shared" si="374"/>
      </c>
      <c r="M25" s="42">
        <f t="shared" si="320"/>
      </c>
      <c r="N25" s="43">
        <f t="shared" si="230"/>
      </c>
      <c r="O25" s="43">
        <f t="shared" si="176"/>
      </c>
      <c r="P25" s="43">
        <f t="shared" si="73"/>
      </c>
      <c r="Q25" s="43">
        <f t="shared" si="37"/>
      </c>
      <c r="R25" s="43">
        <f t="shared" si="1"/>
      </c>
      <c r="S25" s="43">
        <f t="shared" si="495"/>
      </c>
      <c r="T25" s="43">
        <f t="shared" si="392"/>
      </c>
      <c r="U25" s="41">
        <f t="shared" si="338"/>
      </c>
      <c r="V25" s="41">
        <f t="shared" si="248"/>
      </c>
      <c r="W25" s="41">
        <f t="shared" si="266"/>
      </c>
      <c r="X25" s="41">
        <f t="shared" si="284"/>
      </c>
      <c r="Y25" s="41">
        <f t="shared" si="194"/>
      </c>
      <c r="Z25" s="41">
        <f t="shared" si="91"/>
      </c>
      <c r="AA25" s="42">
        <f t="shared" si="55"/>
      </c>
      <c r="AB25" s="42">
        <f t="shared" si="19"/>
      </c>
      <c r="AC25" s="42">
        <f t="shared" si="513"/>
      </c>
      <c r="AD25" s="41">
        <f t="shared" si="410"/>
      </c>
      <c r="AE25" s="42">
        <f t="shared" si="356"/>
      </c>
      <c r="AF25" s="41">
        <f t="shared" si="302"/>
      </c>
      <c r="AG25" s="41">
        <f t="shared" si="212"/>
      </c>
      <c r="AH25" s="40">
        <f>SUM(AH21:AH24)</f>
      </c>
      <c r="AI25" s="40">
        <f>SUM(AI21:AI24)</f>
      </c>
      <c r="AJ25" s="40">
        <f>SUM(AJ21:AJ24)</f>
      </c>
      <c r="AK25" s="40">
        <f>SUM(AK21:AK24)</f>
      </c>
      <c r="AL25" s="40">
        <f>SUM(AL21:AL24)</f>
      </c>
      <c r="AM25" s="40">
        <f>SUM(AM21:AM24)</f>
      </c>
      <c r="AN25" s="40">
        <f>SUM(AN21:AN24)</f>
      </c>
      <c r="AO25" s="40">
        <f>SUM(AO21:AO24)</f>
      </c>
      <c r="AP25" s="40">
        <f>SUM(AP21:AP24)</f>
      </c>
      <c r="AQ25" s="40">
        <f>SUM(AQ21:AQ24)</f>
      </c>
      <c r="AR25" s="44">
        <f>SUM(AR21:AR24)</f>
      </c>
    </row>
    <row r="26">
      <c r="A26" s="24"/>
      <c r="B26" s="25" t="s">
        <v>49</v>
      </c>
      <c r="C26" s="25" t="s">
        <v>50</v>
      </c>
      <c r="D26" s="26" t="s">
        <v>51</v>
      </c>
      <c r="E26" s="26" t="s">
        <v>58</v>
      </c>
      <c r="F26" s="27">
        <f t="shared" ref="F26:F30" si="431">H26+G26</f>
      </c>
      <c r="G26" s="28">
        <v>1340.19</v>
      </c>
      <c r="H26" s="28">
        <v>399.7</v>
      </c>
      <c r="I26" s="29">
        <v>1</v>
      </c>
      <c r="J26" s="29">
        <v>0</v>
      </c>
      <c r="K26" s="30">
        <v>0</v>
      </c>
      <c r="L26" s="31">
        <f t="shared" si="374"/>
      </c>
      <c r="M26" s="32">
        <f t="shared" si="320"/>
      </c>
      <c r="N26" s="33">
        <f t="shared" si="230"/>
      </c>
      <c r="O26" s="33">
        <f t="shared" si="176"/>
      </c>
      <c r="P26" s="33">
        <f t="shared" si="73"/>
      </c>
      <c r="Q26" s="33">
        <f t="shared" si="37"/>
      </c>
      <c r="R26" s="33">
        <f t="shared" si="1"/>
      </c>
      <c r="S26" s="33">
        <f t="shared" si="495"/>
      </c>
      <c r="T26" s="33">
        <f t="shared" si="392"/>
      </c>
      <c r="U26" s="31">
        <f t="shared" si="338"/>
      </c>
      <c r="V26" s="31">
        <f t="shared" si="248"/>
      </c>
      <c r="W26" s="31">
        <f t="shared" si="266"/>
      </c>
      <c r="X26" s="31">
        <f t="shared" si="284"/>
      </c>
      <c r="Y26" s="31">
        <f t="shared" si="194"/>
      </c>
      <c r="Z26" s="31">
        <f t="shared" si="91"/>
      </c>
      <c r="AA26" s="32">
        <f t="shared" si="55"/>
      </c>
      <c r="AB26" s="32">
        <f t="shared" si="19"/>
      </c>
      <c r="AC26" s="32">
        <f t="shared" si="513"/>
      </c>
      <c r="AD26" s="31">
        <f t="shared" si="410"/>
      </c>
      <c r="AE26" s="32">
        <f t="shared" si="356"/>
      </c>
      <c r="AF26" s="31">
        <f t="shared" si="302"/>
      </c>
      <c r="AG26" s="31">
        <f t="shared" si="212"/>
      </c>
      <c r="AH26" s="34">
        <v>25175</v>
      </c>
      <c r="AI26" s="34">
        <v>415</v>
      </c>
      <c r="AJ26" s="34">
        <v>477</v>
      </c>
      <c r="AK26" s="34">
        <v>14</v>
      </c>
      <c r="AL26" s="29">
        <v>2</v>
      </c>
      <c r="AM26" s="29">
        <v>1</v>
      </c>
      <c r="AN26" s="34">
        <v>72</v>
      </c>
      <c r="AO26" s="34">
        <v>57</v>
      </c>
      <c r="AP26" s="34">
        <v>5</v>
      </c>
      <c r="AQ26" s="29">
        <v>0</v>
      </c>
      <c r="AR26" s="36">
        <f t="shared" ref="AR26:AR30" si="112">COUNT(AQ26)</f>
      </c>
    </row>
    <row r="27">
      <c r="A27" s="24"/>
      <c r="B27" s="25" t="s">
        <v>49</v>
      </c>
      <c r="C27" s="25" t="s">
        <v>50</v>
      </c>
      <c r="D27" s="26" t="s">
        <v>51</v>
      </c>
      <c r="E27" s="26" t="s">
        <v>59</v>
      </c>
      <c r="F27" s="27">
        <f t="shared" si="431"/>
      </c>
      <c r="G27" s="28">
        <v>1374.12</v>
      </c>
      <c r="H27" s="28">
        <v>270.31</v>
      </c>
      <c r="I27" s="29">
        <v>3</v>
      </c>
      <c r="J27" s="34">
        <v>3</v>
      </c>
      <c r="K27" s="45">
        <v>1839.6000000000004</v>
      </c>
      <c r="L27" s="31">
        <f t="shared" si="374"/>
      </c>
      <c r="M27" s="32">
        <f t="shared" si="320"/>
      </c>
      <c r="N27" s="33">
        <f t="shared" si="230"/>
      </c>
      <c r="O27" s="33">
        <f t="shared" si="176"/>
      </c>
      <c r="P27" s="33">
        <f t="shared" si="73"/>
      </c>
      <c r="Q27" s="33">
        <f t="shared" si="37"/>
      </c>
      <c r="R27" s="33">
        <f t="shared" si="1"/>
      </c>
      <c r="S27" s="33">
        <f t="shared" si="495"/>
      </c>
      <c r="T27" s="33">
        <f t="shared" si="392"/>
      </c>
      <c r="U27" s="31">
        <f t="shared" si="338"/>
      </c>
      <c r="V27" s="31">
        <f t="shared" si="248"/>
      </c>
      <c r="W27" s="31">
        <f t="shared" si="266"/>
      </c>
      <c r="X27" s="31">
        <f t="shared" si="284"/>
      </c>
      <c r="Y27" s="31">
        <f t="shared" si="194"/>
      </c>
      <c r="Z27" s="31">
        <f t="shared" si="91"/>
      </c>
      <c r="AA27" s="32">
        <f t="shared" si="55"/>
      </c>
      <c r="AB27" s="32">
        <f t="shared" si="19"/>
      </c>
      <c r="AC27" s="32">
        <f t="shared" si="513"/>
      </c>
      <c r="AD27" s="31">
        <f t="shared" si="410"/>
      </c>
      <c r="AE27" s="32">
        <f t="shared" si="356"/>
      </c>
      <c r="AF27" s="31">
        <f t="shared" si="302"/>
      </c>
      <c r="AG27" s="31">
        <f t="shared" si="212"/>
      </c>
      <c r="AH27" s="34">
        <v>20220</v>
      </c>
      <c r="AI27" s="34">
        <v>319</v>
      </c>
      <c r="AJ27" s="34">
        <v>376</v>
      </c>
      <c r="AK27" s="34">
        <v>11</v>
      </c>
      <c r="AL27" s="34">
        <v>2</v>
      </c>
      <c r="AM27" s="34">
        <v>2</v>
      </c>
      <c r="AN27" s="34">
        <v>59</v>
      </c>
      <c r="AO27" s="34">
        <v>23</v>
      </c>
      <c r="AP27" s="34">
        <v>9</v>
      </c>
      <c r="AQ27" s="29">
        <v>0</v>
      </c>
      <c r="AR27" s="36">
        <f t="shared" si="112"/>
      </c>
    </row>
    <row r="28">
      <c r="A28" s="24"/>
      <c r="B28" s="25" t="s">
        <v>49</v>
      </c>
      <c r="C28" s="25" t="s">
        <v>50</v>
      </c>
      <c r="D28" s="26" t="s">
        <v>51</v>
      </c>
      <c r="E28" s="26" t="s">
        <v>60</v>
      </c>
      <c r="F28" s="27">
        <f t="shared" si="431"/>
      </c>
      <c r="G28" s="28">
        <v>564.72</v>
      </c>
      <c r="H28" s="28">
        <v>145.96</v>
      </c>
      <c r="I28" s="29">
        <v>6</v>
      </c>
      <c r="J28" s="29">
        <v>5</v>
      </c>
      <c r="K28" s="30">
        <v>4099</v>
      </c>
      <c r="L28" s="31">
        <f t="shared" si="374"/>
      </c>
      <c r="M28" s="32">
        <f t="shared" si="320"/>
      </c>
      <c r="N28" s="33">
        <f t="shared" si="230"/>
      </c>
      <c r="O28" s="33">
        <f t="shared" si="176"/>
      </c>
      <c r="P28" s="33">
        <f t="shared" si="73"/>
      </c>
      <c r="Q28" s="33">
        <f t="shared" si="37"/>
      </c>
      <c r="R28" s="33">
        <f t="shared" si="1"/>
      </c>
      <c r="S28" s="33">
        <f t="shared" si="495"/>
      </c>
      <c r="T28" s="33">
        <f t="shared" si="392"/>
      </c>
      <c r="U28" s="31">
        <f t="shared" si="338"/>
      </c>
      <c r="V28" s="31">
        <f t="shared" si="248"/>
      </c>
      <c r="W28" s="31">
        <f t="shared" si="266"/>
      </c>
      <c r="X28" s="31">
        <f t="shared" si="284"/>
      </c>
      <c r="Y28" s="31">
        <f t="shared" si="194"/>
      </c>
      <c r="Z28" s="31">
        <f t="shared" si="91"/>
      </c>
      <c r="AA28" s="32">
        <f t="shared" si="55"/>
      </c>
      <c r="AB28" s="32">
        <f t="shared" si="19"/>
      </c>
      <c r="AC28" s="32">
        <f t="shared" si="513"/>
      </c>
      <c r="AD28" s="31">
        <f t="shared" si="410"/>
      </c>
      <c r="AE28" s="32">
        <f t="shared" si="356"/>
      </c>
      <c r="AF28" s="31">
        <f t="shared" si="302"/>
      </c>
      <c r="AG28" s="31">
        <f t="shared" si="212"/>
      </c>
      <c r="AH28" s="34">
        <v>7415</v>
      </c>
      <c r="AI28" s="34">
        <v>161</v>
      </c>
      <c r="AJ28" s="34">
        <v>196</v>
      </c>
      <c r="AK28" s="34">
        <v>11</v>
      </c>
      <c r="AL28" s="34">
        <v>6</v>
      </c>
      <c r="AM28" s="34">
        <v>5</v>
      </c>
      <c r="AN28" s="34">
        <v>29</v>
      </c>
      <c r="AO28" s="34">
        <v>26</v>
      </c>
      <c r="AP28" s="34">
        <v>5</v>
      </c>
      <c r="AQ28" s="29">
        <v>1</v>
      </c>
      <c r="AR28" s="36">
        <f t="shared" si="112"/>
      </c>
    </row>
    <row customHeight="true" ht="16.071428571428573" r="29">
      <c r="A29" s="24"/>
      <c r="B29" s="25" t="s">
        <v>49</v>
      </c>
      <c r="C29" s="25" t="s">
        <v>50</v>
      </c>
      <c r="D29" s="26" t="s">
        <v>51</v>
      </c>
      <c r="E29" s="26" t="s">
        <v>61</v>
      </c>
      <c r="F29" s="27">
        <f t="shared" si="431"/>
      </c>
      <c r="G29" s="28">
        <v>2176.48</v>
      </c>
      <c r="H29" s="28">
        <v>271.68</v>
      </c>
      <c r="I29" s="29">
        <v>8</v>
      </c>
      <c r="J29" s="29">
        <v>7</v>
      </c>
      <c r="K29" s="30">
        <v>4314.999999999998</v>
      </c>
      <c r="L29" s="31">
        <f t="shared" si="374"/>
      </c>
      <c r="M29" s="32">
        <f t="shared" si="320"/>
      </c>
      <c r="N29" s="33">
        <f t="shared" si="230"/>
      </c>
      <c r="O29" s="33">
        <f t="shared" si="176"/>
      </c>
      <c r="P29" s="33">
        <f t="shared" si="73"/>
      </c>
      <c r="Q29" s="33">
        <f t="shared" si="37"/>
      </c>
      <c r="R29" s="33">
        <f t="shared" si="1"/>
      </c>
      <c r="S29" s="33">
        <f t="shared" si="495"/>
      </c>
      <c r="T29" s="33">
        <f t="shared" si="392"/>
      </c>
      <c r="U29" s="31">
        <f t="shared" si="338"/>
      </c>
      <c r="V29" s="31">
        <f t="shared" si="248"/>
      </c>
      <c r="W29" s="31">
        <f t="shared" si="266"/>
      </c>
      <c r="X29" s="31">
        <f t="shared" si="284"/>
      </c>
      <c r="Y29" s="31">
        <f t="shared" si="194"/>
      </c>
      <c r="Z29" s="31">
        <f t="shared" si="91"/>
      </c>
      <c r="AA29" s="32">
        <f t="shared" si="55"/>
      </c>
      <c r="AB29" s="32">
        <f t="shared" si="19"/>
      </c>
      <c r="AC29" s="32">
        <f t="shared" si="513"/>
      </c>
      <c r="AD29" s="31">
        <f t="shared" si="410"/>
      </c>
      <c r="AE29" s="32">
        <f t="shared" si="356"/>
      </c>
      <c r="AF29" s="31">
        <f t="shared" si="302"/>
      </c>
      <c r="AG29" s="31">
        <f t="shared" si="212"/>
      </c>
      <c r="AH29" s="34">
        <v>35499</v>
      </c>
      <c r="AI29" s="34">
        <v>522</v>
      </c>
      <c r="AJ29" s="34">
        <v>600</v>
      </c>
      <c r="AK29" s="34">
        <v>14</v>
      </c>
      <c r="AL29" s="34">
        <v>5</v>
      </c>
      <c r="AM29" s="34">
        <v>4</v>
      </c>
      <c r="AN29" s="34">
        <v>76</v>
      </c>
      <c r="AO29" s="34">
        <v>32</v>
      </c>
      <c r="AP29" s="34">
        <v>12</v>
      </c>
      <c r="AQ29" s="29">
        <v>1</v>
      </c>
      <c r="AR29" s="36">
        <f t="shared" si="112"/>
      </c>
    </row>
    <row r="30">
      <c r="A30" s="24"/>
      <c r="B30" s="25" t="s">
        <v>49</v>
      </c>
      <c r="C30" s="25" t="s">
        <v>50</v>
      </c>
      <c r="D30" s="26" t="s">
        <v>51</v>
      </c>
      <c r="E30" s="26" t="s">
        <v>63</v>
      </c>
      <c r="F30" s="27">
        <f t="shared" si="431"/>
      </c>
      <c r="G30" s="28">
        <v>1676.49</v>
      </c>
      <c r="H30" s="28">
        <v>357.72</v>
      </c>
      <c r="I30" s="29">
        <v>4</v>
      </c>
      <c r="J30" s="29">
        <v>3</v>
      </c>
      <c r="K30" s="30">
        <v>2260.600000000002</v>
      </c>
      <c r="L30" s="31">
        <f t="shared" si="374"/>
      </c>
      <c r="M30" s="32">
        <f t="shared" si="320"/>
      </c>
      <c r="N30" s="33">
        <f t="shared" si="230"/>
      </c>
      <c r="O30" s="33">
        <f t="shared" si="176"/>
      </c>
      <c r="P30" s="33">
        <f t="shared" si="73"/>
      </c>
      <c r="Q30" s="33">
        <f t="shared" si="37"/>
      </c>
      <c r="R30" s="33">
        <f t="shared" si="1"/>
      </c>
      <c r="S30" s="33">
        <f t="shared" si="495"/>
      </c>
      <c r="T30" s="33">
        <f t="shared" si="392"/>
      </c>
      <c r="U30" s="31">
        <f t="shared" si="338"/>
      </c>
      <c r="V30" s="31">
        <f t="shared" si="248"/>
      </c>
      <c r="W30" s="31">
        <f t="shared" si="266"/>
      </c>
      <c r="X30" s="31">
        <f t="shared" si="284"/>
      </c>
      <c r="Y30" s="31">
        <f t="shared" si="194"/>
      </c>
      <c r="Z30" s="31">
        <f t="shared" si="91"/>
      </c>
      <c r="AA30" s="32">
        <f t="shared" si="55"/>
      </c>
      <c r="AB30" s="32">
        <f t="shared" si="19"/>
      </c>
      <c r="AC30" s="32">
        <f t="shared" si="513"/>
      </c>
      <c r="AD30" s="31">
        <f t="shared" si="410"/>
      </c>
      <c r="AE30" s="32">
        <f t="shared" si="356"/>
      </c>
      <c r="AF30" s="31">
        <f t="shared" si="302"/>
      </c>
      <c r="AG30" s="31">
        <f t="shared" si="212"/>
      </c>
      <c r="AH30" s="34">
        <v>28941</v>
      </c>
      <c r="AI30" s="34">
        <v>504</v>
      </c>
      <c r="AJ30" s="34">
        <v>535</v>
      </c>
      <c r="AK30" s="34">
        <v>15</v>
      </c>
      <c r="AL30" s="34">
        <v>5</v>
      </c>
      <c r="AM30" s="34">
        <v>3</v>
      </c>
      <c r="AN30" s="34">
        <v>85</v>
      </c>
      <c r="AO30" s="34">
        <v>42</v>
      </c>
      <c r="AP30" s="34">
        <v>13</v>
      </c>
      <c r="AQ30" s="29">
        <v>0</v>
      </c>
      <c r="AR30" s="36">
        <f t="shared" si="112"/>
      </c>
    </row>
    <row r="31">
      <c r="A31" s="24"/>
      <c r="B31" s="38" t="s">
        <v>56</v>
      </c>
      <c r="C31" s="38"/>
      <c r="D31" s="38"/>
      <c r="E31" s="38"/>
      <c r="F31" s="39">
        <f>SUM(F26:F30)</f>
      </c>
      <c r="G31" s="39">
        <f>SUM(G26:G30)</f>
      </c>
      <c r="H31" s="39">
        <f>SUM(H26:H30)</f>
      </c>
      <c r="I31" s="40">
        <f>SUM(I26:I30)</f>
      </c>
      <c r="J31" s="40">
        <f>SUM(J26:J30)</f>
      </c>
      <c r="K31" s="39">
        <f>SUM(K26:K30)</f>
      </c>
      <c r="L31" s="41">
        <f t="shared" si="374"/>
      </c>
      <c r="M31" s="42">
        <f t="shared" si="320"/>
      </c>
      <c r="N31" s="43">
        <f t="shared" si="230"/>
      </c>
      <c r="O31" s="43">
        <f t="shared" si="176"/>
      </c>
      <c r="P31" s="43">
        <f t="shared" si="73"/>
      </c>
      <c r="Q31" s="43">
        <f t="shared" si="37"/>
      </c>
      <c r="R31" s="43">
        <f t="shared" si="1"/>
      </c>
      <c r="S31" s="43">
        <f t="shared" si="495"/>
      </c>
      <c r="T31" s="43">
        <f t="shared" si="392"/>
      </c>
      <c r="U31" s="41">
        <f t="shared" si="338"/>
      </c>
      <c r="V31" s="41">
        <f t="shared" si="248"/>
      </c>
      <c r="W31" s="41">
        <f t="shared" si="266"/>
      </c>
      <c r="X31" s="41">
        <f t="shared" si="284"/>
      </c>
      <c r="Y31" s="41">
        <f t="shared" si="194"/>
      </c>
      <c r="Z31" s="41">
        <f t="shared" si="91"/>
      </c>
      <c r="AA31" s="42">
        <f t="shared" si="55"/>
      </c>
      <c r="AB31" s="42">
        <f t="shared" si="19"/>
      </c>
      <c r="AC31" s="42">
        <f t="shared" si="513"/>
      </c>
      <c r="AD31" s="41">
        <f t="shared" si="410"/>
      </c>
      <c r="AE31" s="42">
        <f t="shared" si="356"/>
      </c>
      <c r="AF31" s="41">
        <f t="shared" si="302"/>
      </c>
      <c r="AG31" s="41">
        <f t="shared" si="212"/>
      </c>
      <c r="AH31" s="40">
        <f>SUM(AH26:AH30)</f>
      </c>
      <c r="AI31" s="40">
        <f>SUM(AI26:AI30)</f>
      </c>
      <c r="AJ31" s="40">
        <f>SUM(AJ26:AJ30)</f>
      </c>
      <c r="AK31" s="40">
        <f>SUM(AK26:AK30)</f>
      </c>
      <c r="AL31" s="40">
        <f>SUM(AL26:AL30)</f>
      </c>
      <c r="AM31" s="40">
        <f>SUM(AM26:AM30)</f>
      </c>
      <c r="AN31" s="40">
        <f>SUM(AN26:AN30)</f>
      </c>
      <c r="AO31" s="40">
        <f>SUM(AO26:AO30)</f>
      </c>
      <c r="AP31" s="40">
        <f>SUM(AP26:AP30)</f>
      </c>
      <c r="AQ31" s="40">
        <f>SUM(AQ26:AQ30)</f>
      </c>
      <c r="AR31" s="44">
        <f>SUM(AR26:AR30)</f>
      </c>
    </row>
    <row r="32">
      <c r="A32" s="24"/>
      <c r="B32" s="25" t="s">
        <v>49</v>
      </c>
      <c r="C32" s="25" t="s">
        <v>50</v>
      </c>
      <c r="D32" s="26" t="s">
        <v>68</v>
      </c>
      <c r="E32" s="25" t="s">
        <v>64</v>
      </c>
      <c r="F32" s="27">
        <f t="shared" ref="F32:F33" si="432">H32+G32</f>
      </c>
      <c r="G32" s="28">
        <v>1202.48</v>
      </c>
      <c r="H32" s="28">
        <v>617.8</v>
      </c>
      <c r="I32" s="29">
        <v>3</v>
      </c>
      <c r="J32" s="34">
        <v>2</v>
      </c>
      <c r="K32" s="30">
        <v>1392</v>
      </c>
      <c r="L32" s="31">
        <f t="shared" si="374"/>
      </c>
      <c r="M32" s="32">
        <f t="shared" si="320"/>
      </c>
      <c r="N32" s="33">
        <f t="shared" si="230"/>
      </c>
      <c r="O32" s="33">
        <f t="shared" si="176"/>
      </c>
      <c r="P32" s="33">
        <f t="shared" si="73"/>
      </c>
      <c r="Q32" s="33">
        <f t="shared" si="37"/>
      </c>
      <c r="R32" s="33">
        <f t="shared" si="1"/>
      </c>
      <c r="S32" s="33">
        <f t="shared" si="495"/>
      </c>
      <c r="T32" s="33">
        <f t="shared" si="392"/>
      </c>
      <c r="U32" s="31">
        <f t="shared" si="338"/>
      </c>
      <c r="V32" s="31">
        <f t="shared" si="248"/>
      </c>
      <c r="W32" s="31">
        <f t="shared" si="266"/>
      </c>
      <c r="X32" s="31">
        <f t="shared" si="284"/>
      </c>
      <c r="Y32" s="31">
        <f t="shared" si="194"/>
      </c>
      <c r="Z32" s="31">
        <f t="shared" si="91"/>
      </c>
      <c r="AA32" s="32">
        <f t="shared" si="55"/>
      </c>
      <c r="AB32" s="32">
        <f t="shared" si="19"/>
      </c>
      <c r="AC32" s="32">
        <f t="shared" si="513"/>
      </c>
      <c r="AD32" s="31">
        <f t="shared" si="410"/>
      </c>
      <c r="AE32" s="32">
        <f t="shared" si="356"/>
      </c>
      <c r="AF32" s="31">
        <f t="shared" si="302"/>
      </c>
      <c r="AG32" s="31">
        <f t="shared" si="212"/>
      </c>
      <c r="AH32" s="34">
        <v>21218</v>
      </c>
      <c r="AI32" s="34">
        <v>453</v>
      </c>
      <c r="AJ32" s="34">
        <v>567</v>
      </c>
      <c r="AK32" s="34">
        <v>32</v>
      </c>
      <c r="AL32" s="34">
        <v>3</v>
      </c>
      <c r="AM32" s="34">
        <v>2</v>
      </c>
      <c r="AN32" s="34">
        <v>76</v>
      </c>
      <c r="AO32" s="34">
        <v>29</v>
      </c>
      <c r="AP32" s="34">
        <v>10</v>
      </c>
      <c r="AQ32" s="29">
        <v>0</v>
      </c>
      <c r="AR32" s="36">
        <f t="shared" ref="AR32:AR34" si="113">COUNT(AQ32)</f>
      </c>
    </row>
    <row r="33">
      <c r="A33" s="24"/>
      <c r="B33" s="25" t="s">
        <v>49</v>
      </c>
      <c r="C33" s="25" t="s">
        <v>50</v>
      </c>
      <c r="D33" s="26" t="s">
        <v>68</v>
      </c>
      <c r="E33" s="25" t="s">
        <v>65</v>
      </c>
      <c r="F33" s="27">
        <f t="shared" si="432"/>
      </c>
      <c r="G33" s="28">
        <v>878.06</v>
      </c>
      <c r="H33" s="28">
        <v>392.4</v>
      </c>
      <c r="I33" s="29">
        <v>8</v>
      </c>
      <c r="J33" s="34">
        <v>7</v>
      </c>
      <c r="K33" s="30">
        <v>4411.200000000001</v>
      </c>
      <c r="L33" s="31">
        <f t="shared" si="374"/>
      </c>
      <c r="M33" s="32">
        <f t="shared" si="320"/>
      </c>
      <c r="N33" s="33">
        <f t="shared" si="230"/>
      </c>
      <c r="O33" s="33">
        <f t="shared" si="176"/>
      </c>
      <c r="P33" s="33">
        <f t="shared" si="73"/>
      </c>
      <c r="Q33" s="33">
        <f t="shared" si="37"/>
      </c>
      <c r="R33" s="33">
        <f t="shared" si="1"/>
      </c>
      <c r="S33" s="33">
        <f t="shared" si="495"/>
      </c>
      <c r="T33" s="33">
        <f t="shared" si="392"/>
      </c>
      <c r="U33" s="31">
        <f t="shared" si="338"/>
      </c>
      <c r="V33" s="31">
        <f t="shared" si="248"/>
      </c>
      <c r="W33" s="31">
        <f t="shared" si="266"/>
      </c>
      <c r="X33" s="31">
        <f t="shared" si="284"/>
      </c>
      <c r="Y33" s="31">
        <f t="shared" si="194"/>
      </c>
      <c r="Z33" s="31">
        <f t="shared" si="91"/>
      </c>
      <c r="AA33" s="32">
        <f t="shared" si="55"/>
      </c>
      <c r="AB33" s="32">
        <f t="shared" si="19"/>
      </c>
      <c r="AC33" s="32">
        <f t="shared" si="513"/>
      </c>
      <c r="AD33" s="31">
        <f t="shared" si="410"/>
      </c>
      <c r="AE33" s="32">
        <f t="shared" si="356"/>
      </c>
      <c r="AF33" s="31">
        <f t="shared" si="302"/>
      </c>
      <c r="AG33" s="31">
        <f t="shared" si="212"/>
      </c>
      <c r="AH33" s="34">
        <v>15790</v>
      </c>
      <c r="AI33" s="34">
        <v>350</v>
      </c>
      <c r="AJ33" s="34">
        <v>478</v>
      </c>
      <c r="AK33" s="34">
        <v>20</v>
      </c>
      <c r="AL33" s="34">
        <v>5</v>
      </c>
      <c r="AM33" s="34">
        <v>4</v>
      </c>
      <c r="AN33" s="34">
        <v>51</v>
      </c>
      <c r="AO33" s="34">
        <v>30</v>
      </c>
      <c r="AP33" s="34">
        <v>5</v>
      </c>
      <c r="AQ33" s="29">
        <v>2</v>
      </c>
      <c r="AR33" s="36">
        <f t="shared" si="113"/>
      </c>
    </row>
    <row r="34">
      <c r="A34" s="24"/>
      <c r="B34" s="25"/>
      <c r="C34" s="25"/>
      <c r="D34" s="26"/>
      <c r="E34" s="26"/>
      <c r="F34" s="27"/>
      <c r="G34" s="28"/>
      <c r="H34" s="28"/>
      <c r="I34" s="29"/>
      <c r="J34" s="29"/>
      <c r="K34" s="30"/>
      <c r="L34" s="31">
        <f t="shared" si="374"/>
      </c>
      <c r="M34" s="32">
        <f t="shared" si="320"/>
      </c>
      <c r="N34" s="33">
        <f t="shared" si="230"/>
      </c>
      <c r="O34" s="33">
        <f t="shared" si="176"/>
      </c>
      <c r="P34" s="33">
        <f t="shared" si="73"/>
      </c>
      <c r="Q34" s="33">
        <f t="shared" si="37"/>
      </c>
      <c r="R34" s="33">
        <f t="shared" si="1"/>
      </c>
      <c r="S34" s="33">
        <f t="shared" si="495"/>
      </c>
      <c r="T34" s="33">
        <f t="shared" si="392"/>
      </c>
      <c r="U34" s="31">
        <f t="shared" si="338"/>
      </c>
      <c r="V34" s="31">
        <f t="shared" si="248"/>
      </c>
      <c r="W34" s="31">
        <f t="shared" si="266"/>
      </c>
      <c r="X34" s="31">
        <f t="shared" si="284"/>
      </c>
      <c r="Y34" s="31">
        <f t="shared" si="194"/>
      </c>
      <c r="Z34" s="31">
        <f t="shared" si="91"/>
      </c>
      <c r="AA34" s="32">
        <f t="shared" si="55"/>
      </c>
      <c r="AB34" s="32">
        <f t="shared" si="19"/>
      </c>
      <c r="AC34" s="32">
        <f t="shared" si="513"/>
      </c>
      <c r="AD34" s="31">
        <f t="shared" si="410"/>
      </c>
      <c r="AE34" s="32">
        <f t="shared" si="356"/>
      </c>
      <c r="AF34" s="31">
        <f t="shared" si="302"/>
      </c>
      <c r="AG34" s="31">
        <f t="shared" si="212"/>
      </c>
      <c r="AH34" s="34"/>
      <c r="AI34" s="34"/>
      <c r="AJ34" s="34"/>
      <c r="AK34" s="34"/>
      <c r="AL34" s="34"/>
      <c r="AM34" s="34"/>
      <c r="AN34" s="34"/>
      <c r="AO34" s="34"/>
      <c r="AP34" s="34"/>
      <c r="AQ34" s="29"/>
      <c r="AR34" s="36">
        <f t="shared" si="113"/>
      </c>
    </row>
    <row r="35">
      <c r="A35" s="24"/>
      <c r="B35" s="38" t="s">
        <v>56</v>
      </c>
      <c r="C35" s="38"/>
      <c r="D35" s="38"/>
      <c r="E35" s="38"/>
      <c r="F35" s="39">
        <f>SUM(F32:F34)</f>
      </c>
      <c r="G35" s="39">
        <f>SUM(G32:G34)</f>
      </c>
      <c r="H35" s="39">
        <f>SUM(H32:H34)</f>
      </c>
      <c r="I35" s="40">
        <f>SUM(I32:I34)</f>
      </c>
      <c r="J35" s="40">
        <f>SUM(J32:J34)</f>
      </c>
      <c r="K35" s="39">
        <f>SUM(K32:K34)</f>
      </c>
      <c r="L35" s="41">
        <f t="shared" si="374"/>
      </c>
      <c r="M35" s="42">
        <f t="shared" si="320"/>
      </c>
      <c r="N35" s="43">
        <f t="shared" si="230"/>
      </c>
      <c r="O35" s="43">
        <f t="shared" si="176"/>
      </c>
      <c r="P35" s="43">
        <f t="shared" si="73"/>
      </c>
      <c r="Q35" s="43">
        <f t="shared" si="37"/>
      </c>
      <c r="R35" s="43">
        <f t="shared" si="1"/>
      </c>
      <c r="S35" s="43">
        <f t="shared" si="495"/>
      </c>
      <c r="T35" s="43">
        <f t="shared" si="392"/>
      </c>
      <c r="U35" s="41">
        <f t="shared" si="338"/>
      </c>
      <c r="V35" s="41">
        <f t="shared" si="248"/>
      </c>
      <c r="W35" s="41">
        <f t="shared" si="266"/>
      </c>
      <c r="X35" s="41">
        <f t="shared" si="284"/>
      </c>
      <c r="Y35" s="41">
        <f t="shared" si="194"/>
      </c>
      <c r="Z35" s="41">
        <f t="shared" si="91"/>
      </c>
      <c r="AA35" s="42">
        <f t="shared" si="55"/>
      </c>
      <c r="AB35" s="42">
        <f t="shared" si="19"/>
      </c>
      <c r="AC35" s="42">
        <f t="shared" si="513"/>
      </c>
      <c r="AD35" s="41">
        <f t="shared" si="410"/>
      </c>
      <c r="AE35" s="42">
        <f t="shared" si="356"/>
      </c>
      <c r="AF35" s="41">
        <f t="shared" si="302"/>
      </c>
      <c r="AG35" s="41">
        <f t="shared" si="212"/>
      </c>
      <c r="AH35" s="40">
        <f>SUM(AH32:AH34)</f>
      </c>
      <c r="AI35" s="40">
        <f>SUM(AI32:AI34)</f>
      </c>
      <c r="AJ35" s="40">
        <f>SUM(AJ32:AJ34)</f>
      </c>
      <c r="AK35" s="40">
        <f>SUM(AK32:AK34)</f>
      </c>
      <c r="AL35" s="40">
        <f>SUM(AL32:AL34)</f>
      </c>
      <c r="AM35" s="40">
        <f>SUM(AM32:AM34)</f>
      </c>
      <c r="AN35" s="40">
        <f>SUM(AN32:AN34)</f>
      </c>
      <c r="AO35" s="40">
        <f>SUM(AO32:AO34)</f>
      </c>
      <c r="AP35" s="40">
        <f>SUM(AP32:AP34)</f>
      </c>
      <c r="AQ35" s="40">
        <f>SUM(AQ32:AQ34)</f>
      </c>
      <c r="AR35" s="44">
        <f>SUM(AR32:AR34)</f>
      </c>
    </row>
    <row r="36">
      <c r="A36" s="24"/>
      <c r="B36" s="46" t="s">
        <v>67</v>
      </c>
      <c r="C36" s="46"/>
      <c r="D36" s="46"/>
      <c r="E36" s="46"/>
      <c r="F36" s="47">
        <f>H36+G36</f>
      </c>
      <c r="G36" s="47">
        <f>G31+G25+G35</f>
      </c>
      <c r="H36" s="47">
        <f>H31+H25+H35</f>
      </c>
      <c r="I36" s="47">
        <f>I31+I25+I35</f>
      </c>
      <c r="J36" s="47">
        <f>J31+J25+J35</f>
      </c>
      <c r="K36" s="47">
        <f>K31+K25+K35</f>
      </c>
      <c r="L36" s="48">
        <f t="shared" si="374"/>
      </c>
      <c r="M36" s="49">
        <f t="shared" si="320"/>
      </c>
      <c r="N36" s="50">
        <f t="shared" si="230"/>
      </c>
      <c r="O36" s="50">
        <f t="shared" si="176"/>
      </c>
      <c r="P36" s="50">
        <f t="shared" si="73"/>
      </c>
      <c r="Q36" s="50">
        <f t="shared" si="37"/>
      </c>
      <c r="R36" s="50">
        <f t="shared" si="1"/>
      </c>
      <c r="S36" s="50">
        <f t="shared" si="495"/>
      </c>
      <c r="T36" s="50">
        <f t="shared" si="392"/>
      </c>
      <c r="U36" s="48">
        <f t="shared" si="338"/>
      </c>
      <c r="V36" s="48">
        <f t="shared" si="248"/>
      </c>
      <c r="W36" s="48">
        <f t="shared" si="266"/>
      </c>
      <c r="X36" s="48">
        <f t="shared" si="284"/>
      </c>
      <c r="Y36" s="48">
        <f t="shared" si="194"/>
      </c>
      <c r="Z36" s="48">
        <f t="shared" si="91"/>
      </c>
      <c r="AA36" s="49">
        <f t="shared" si="55"/>
      </c>
      <c r="AB36" s="49">
        <f t="shared" si="19"/>
      </c>
      <c r="AC36" s="49">
        <f t="shared" si="513"/>
      </c>
      <c r="AD36" s="48">
        <f t="shared" si="410"/>
      </c>
      <c r="AE36" s="49">
        <f t="shared" si="356"/>
      </c>
      <c r="AF36" s="48">
        <f t="shared" si="302"/>
      </c>
      <c r="AG36" s="48">
        <f t="shared" si="212"/>
      </c>
      <c r="AH36" s="44">
        <f>AH31+AH25+AH35</f>
      </c>
      <c r="AI36" s="44">
        <f>AI31+AI25+AI35</f>
      </c>
      <c r="AJ36" s="44">
        <f>AJ31+AJ25+AJ35</f>
      </c>
      <c r="AK36" s="44">
        <f>AK31+AK25+AK35</f>
      </c>
      <c r="AL36" s="44">
        <f>AL31+AL25+AL35</f>
      </c>
      <c r="AM36" s="44">
        <f>AM31+AM25+AM35</f>
      </c>
      <c r="AN36" s="44">
        <f>AN31+AN25+AN35</f>
      </c>
      <c r="AO36" s="44">
        <f>AO31+AO25+AO35</f>
      </c>
      <c r="AP36" s="44">
        <f>AP31+AP25+AP35</f>
      </c>
      <c r="AQ36" s="44">
        <f>AQ31+AQ25+AQ35</f>
      </c>
      <c r="AR36" s="44">
        <f>AR31+AR25+AR35</f>
      </c>
    </row>
    <row r="37">
      <c r="A37" s="1"/>
      <c r="B37" s="1"/>
      <c r="C37" s="1"/>
      <c r="D37" s="1"/>
      <c r="E37" s="1"/>
      <c r="F37" s="2" t="s">
        <v>1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3" t="s">
        <v>2</v>
      </c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4" t="s">
        <v>3</v>
      </c>
      <c r="AD37" s="4"/>
      <c r="AE37" s="4"/>
      <c r="AF37" s="4"/>
      <c r="AG37" s="4"/>
      <c r="AH37" s="5" t="s">
        <v>4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</row>
    <row r="38">
      <c r="A38" s="6" t="s">
        <v>5</v>
      </c>
      <c r="B38" s="7" t="s">
        <v>6</v>
      </c>
      <c r="C38" s="7" t="s">
        <v>7</v>
      </c>
      <c r="D38" s="8" t="s">
        <v>8</v>
      </c>
      <c r="E38" s="9" t="s">
        <v>9</v>
      </c>
      <c r="F38" s="10" t="s">
        <v>10</v>
      </c>
      <c r="G38" s="11" t="s">
        <v>11</v>
      </c>
      <c r="H38" s="12" t="s">
        <v>12</v>
      </c>
      <c r="I38" s="13" t="s">
        <v>13</v>
      </c>
      <c r="J38" s="13" t="s">
        <v>14</v>
      </c>
      <c r="K38" s="12" t="s">
        <v>15</v>
      </c>
      <c r="L38" s="14" t="s">
        <v>16</v>
      </c>
      <c r="M38" s="15" t="s">
        <v>17</v>
      </c>
      <c r="N38" s="16" t="s">
        <v>18</v>
      </c>
      <c r="O38" s="16" t="s">
        <v>19</v>
      </c>
      <c r="P38" s="17" t="s">
        <v>20</v>
      </c>
      <c r="Q38" s="3" t="s">
        <v>21</v>
      </c>
      <c r="R38" s="18" t="s">
        <v>22</v>
      </c>
      <c r="S38" s="18" t="s">
        <v>23</v>
      </c>
      <c r="T38" s="18" t="s">
        <v>24</v>
      </c>
      <c r="U38" s="19" t="s">
        <v>25</v>
      </c>
      <c r="V38" s="19" t="s">
        <v>26</v>
      </c>
      <c r="W38" s="19" t="s">
        <v>27</v>
      </c>
      <c r="X38" s="19" t="s">
        <v>28</v>
      </c>
      <c r="Y38" s="19" t="s">
        <v>29</v>
      </c>
      <c r="Z38" s="19" t="s">
        <v>30</v>
      </c>
      <c r="AA38" s="20" t="s">
        <v>31</v>
      </c>
      <c r="AB38" s="20" t="s">
        <v>32</v>
      </c>
      <c r="AC38" s="4" t="s">
        <v>33</v>
      </c>
      <c r="AD38" s="21" t="s">
        <v>34</v>
      </c>
      <c r="AE38" s="4" t="s">
        <v>35</v>
      </c>
      <c r="AF38" s="21" t="s">
        <v>36</v>
      </c>
      <c r="AG38" s="21" t="s">
        <v>37</v>
      </c>
      <c r="AH38" s="22" t="s">
        <v>38</v>
      </c>
      <c r="AI38" s="22" t="s">
        <v>39</v>
      </c>
      <c r="AJ38" s="22" t="s">
        <v>40</v>
      </c>
      <c r="AK38" s="22" t="s">
        <v>41</v>
      </c>
      <c r="AL38" s="22" t="s">
        <v>42</v>
      </c>
      <c r="AM38" s="22" t="s">
        <v>43</v>
      </c>
      <c r="AN38" s="22" t="s">
        <v>44</v>
      </c>
      <c r="AO38" s="22" t="s">
        <v>45</v>
      </c>
      <c r="AP38" s="22" t="s">
        <v>46</v>
      </c>
      <c r="AQ38" s="22" t="s">
        <v>47</v>
      </c>
      <c r="AR38" s="23" t="s">
        <v>48</v>
      </c>
    </row>
    <row r="39">
      <c r="A39" s="24">
        <v>46298</v>
      </c>
      <c r="B39" s="26" t="s">
        <v>69</v>
      </c>
      <c r="C39" s="25" t="s">
        <v>50</v>
      </c>
      <c r="D39" s="26" t="s">
        <v>51</v>
      </c>
      <c r="E39" s="26" t="s">
        <v>52</v>
      </c>
      <c r="F39" s="27">
        <f t="shared" ref="F39:F43" si="433">H39+G39</f>
      </c>
      <c r="G39" s="28">
        <v>1617.58</v>
      </c>
      <c r="H39" s="28">
        <v>255.18</v>
      </c>
      <c r="I39" s="29">
        <v>7</v>
      </c>
      <c r="J39" s="29">
        <v>6</v>
      </c>
      <c r="K39" s="30">
        <v>3969.5999999999995</v>
      </c>
      <c r="L39" s="31">
        <f t="shared" ref="L39:L55" si="375">AQ39/J39</f>
      </c>
      <c r="M39" s="32">
        <f t="shared" ref="M39:M55" si="321">K39/J39</f>
      </c>
      <c r="N39" s="33">
        <f t="shared" ref="N39:N55" si="231">F39/J39</f>
      </c>
      <c r="O39" s="33">
        <f t="shared" ref="O39:O55" si="177">K39/F39</f>
      </c>
      <c r="P39" s="33">
        <f t="shared" ref="P39:P55" si="74">K39/((300*AR39)+F39)</f>
      </c>
      <c r="Q39" s="33">
        <f t="shared" ref="Q39:Q55" si="38">F39/AJ39</f>
      </c>
      <c r="R39" s="33">
        <f t="shared" ref="R39:R55" si="2">F39/AK39</f>
      </c>
      <c r="S39" s="33">
        <f t="shared" ref="S39:S55" si="496">F39/AL39</f>
      </c>
      <c r="T39" s="33">
        <f t="shared" ref="T39:T55" si="393">F39/AM39</f>
      </c>
      <c r="U39" s="31">
        <f t="shared" ref="U39:U55" si="339">AI39/AJ39</f>
      </c>
      <c r="V39" s="31">
        <f t="shared" ref="V39:V55" si="249">AK39/AJ39</f>
      </c>
      <c r="W39" s="31">
        <f t="shared" ref="W39:W55" si="267">AL39/AK39</f>
      </c>
      <c r="X39" s="31">
        <f t="shared" ref="X39:X55" si="285">AM39/AL39</f>
      </c>
      <c r="Y39" s="31">
        <f t="shared" ref="Y39:Y55" si="195">AI39/AH39</f>
      </c>
      <c r="Z39" s="31">
        <f t="shared" ref="Z39:Z55" si="92">AM39/AI39</f>
      </c>
      <c r="AA39" s="32">
        <f t="shared" ref="AA39:AA55" si="56">F39/AH39*1000</f>
      </c>
      <c r="AB39" s="32">
        <f t="shared" ref="AB39:AB55" si="20">F39/AI39</f>
      </c>
      <c r="AC39" s="32">
        <f t="shared" ref="AC39:AC55" si="514">F39/AN39</f>
      </c>
      <c r="AD39" s="31">
        <f t="shared" ref="AD39:AD55" si="411">AN39/AJ39</f>
      </c>
      <c r="AE39" s="32">
        <f t="shared" ref="AE39:AE55" si="357">F39/AO39</f>
      </c>
      <c r="AF39" s="31">
        <f t="shared" ref="AF39:AF55" si="303">AO39/AJ39</f>
      </c>
      <c r="AG39" s="31">
        <f t="shared" ref="AG39:AG55" si="213">AP39/AJ39</f>
      </c>
      <c r="AH39" s="34">
        <v>23065</v>
      </c>
      <c r="AI39" s="35">
        <v>405</v>
      </c>
      <c r="AJ39" s="35">
        <v>468</v>
      </c>
      <c r="AK39" s="34">
        <v>22</v>
      </c>
      <c r="AL39" s="34">
        <v>4</v>
      </c>
      <c r="AM39" s="34">
        <v>3</v>
      </c>
      <c r="AN39" s="34">
        <v>69</v>
      </c>
      <c r="AO39" s="34">
        <v>52</v>
      </c>
      <c r="AP39" s="34">
        <v>12</v>
      </c>
      <c r="AQ39" s="29">
        <v>1</v>
      </c>
      <c r="AR39" s="36">
        <f t="shared" ref="AR39:AR43" si="114">COUNT(AQ39)</f>
      </c>
    </row>
    <row r="40">
      <c r="A40" s="24"/>
      <c r="B40" s="26" t="s">
        <v>69</v>
      </c>
      <c r="C40" s="25" t="s">
        <v>50</v>
      </c>
      <c r="D40" s="26" t="s">
        <v>51</v>
      </c>
      <c r="E40" s="26" t="s">
        <v>53</v>
      </c>
      <c r="F40" s="27">
        <f t="shared" si="433"/>
      </c>
      <c r="G40" s="37">
        <v>2011.47</v>
      </c>
      <c r="H40" s="28">
        <v>322.61</v>
      </c>
      <c r="I40" s="29">
        <v>8</v>
      </c>
      <c r="J40" s="29">
        <v>6</v>
      </c>
      <c r="K40" s="30">
        <v>4397.400000000001</v>
      </c>
      <c r="L40" s="31">
        <f t="shared" si="375"/>
      </c>
      <c r="M40" s="32">
        <f t="shared" si="321"/>
      </c>
      <c r="N40" s="33">
        <f t="shared" si="231"/>
      </c>
      <c r="O40" s="33">
        <f t="shared" si="177"/>
      </c>
      <c r="P40" s="33">
        <f t="shared" si="74"/>
      </c>
      <c r="Q40" s="33">
        <f t="shared" si="38"/>
      </c>
      <c r="R40" s="33">
        <f t="shared" si="2"/>
      </c>
      <c r="S40" s="33">
        <f t="shared" si="496"/>
      </c>
      <c r="T40" s="33">
        <f t="shared" si="393"/>
      </c>
      <c r="U40" s="31">
        <f t="shared" si="339"/>
      </c>
      <c r="V40" s="31">
        <f t="shared" si="249"/>
      </c>
      <c r="W40" s="31">
        <f t="shared" si="267"/>
      </c>
      <c r="X40" s="31">
        <f t="shared" si="285"/>
      </c>
      <c r="Y40" s="31">
        <f t="shared" si="195"/>
      </c>
      <c r="Z40" s="31">
        <f t="shared" si="92"/>
      </c>
      <c r="AA40" s="32">
        <f t="shared" si="56"/>
      </c>
      <c r="AB40" s="32">
        <f t="shared" si="20"/>
      </c>
      <c r="AC40" s="32">
        <f t="shared" si="514"/>
      </c>
      <c r="AD40" s="31">
        <f t="shared" si="411"/>
      </c>
      <c r="AE40" s="32">
        <f t="shared" si="357"/>
      </c>
      <c r="AF40" s="31">
        <f t="shared" si="303"/>
      </c>
      <c r="AG40" s="31">
        <f t="shared" si="213"/>
      </c>
      <c r="AH40" s="29">
        <v>31869</v>
      </c>
      <c r="AI40" s="34">
        <v>528</v>
      </c>
      <c r="AJ40" s="34">
        <v>621</v>
      </c>
      <c r="AK40" s="34">
        <v>36</v>
      </c>
      <c r="AL40" s="34">
        <v>8</v>
      </c>
      <c r="AM40" s="34">
        <v>6</v>
      </c>
      <c r="AN40" s="34">
        <v>108</v>
      </c>
      <c r="AO40" s="34">
        <v>80</v>
      </c>
      <c r="AP40" s="34">
        <v>12</v>
      </c>
      <c r="AQ40" s="29">
        <v>0</v>
      </c>
      <c r="AR40" s="36">
        <f t="shared" si="114"/>
      </c>
    </row>
    <row customHeight="true" ht="16.071428571428573" r="41">
      <c r="A41" s="24"/>
      <c r="B41" s="26" t="s">
        <v>69</v>
      </c>
      <c r="C41" s="25" t="s">
        <v>50</v>
      </c>
      <c r="D41" s="26" t="s">
        <v>51</v>
      </c>
      <c r="E41" s="26" t="s">
        <v>54</v>
      </c>
      <c r="F41" s="27">
        <f t="shared" si="433"/>
      </c>
      <c r="G41" s="28">
        <v>1553.46</v>
      </c>
      <c r="H41" s="28">
        <v>358.74</v>
      </c>
      <c r="I41" s="29">
        <v>7</v>
      </c>
      <c r="J41" s="29">
        <v>7</v>
      </c>
      <c r="K41" s="30">
        <v>4470.799999999999</v>
      </c>
      <c r="L41" s="31">
        <f t="shared" si="375"/>
      </c>
      <c r="M41" s="32">
        <f t="shared" si="321"/>
      </c>
      <c r="N41" s="33">
        <f t="shared" si="231"/>
      </c>
      <c r="O41" s="33">
        <f t="shared" si="177"/>
      </c>
      <c r="P41" s="33">
        <f t="shared" si="74"/>
      </c>
      <c r="Q41" s="33">
        <f t="shared" si="38"/>
      </c>
      <c r="R41" s="33">
        <f t="shared" si="2"/>
      </c>
      <c r="S41" s="33">
        <f t="shared" si="496"/>
      </c>
      <c r="T41" s="33">
        <f t="shared" si="393"/>
      </c>
      <c r="U41" s="31">
        <f t="shared" si="339"/>
      </c>
      <c r="V41" s="31">
        <f t="shared" si="249"/>
      </c>
      <c r="W41" s="31">
        <f t="shared" si="267"/>
      </c>
      <c r="X41" s="31">
        <f t="shared" si="285"/>
      </c>
      <c r="Y41" s="31">
        <f t="shared" si="195"/>
      </c>
      <c r="Z41" s="31">
        <f t="shared" si="92"/>
      </c>
      <c r="AA41" s="32">
        <f t="shared" si="56"/>
      </c>
      <c r="AB41" s="32">
        <f t="shared" si="20"/>
      </c>
      <c r="AC41" s="32">
        <f t="shared" si="514"/>
      </c>
      <c r="AD41" s="31">
        <f t="shared" si="411"/>
      </c>
      <c r="AE41" s="32">
        <f t="shared" si="357"/>
      </c>
      <c r="AF41" s="31">
        <f t="shared" si="303"/>
      </c>
      <c r="AG41" s="31">
        <f t="shared" si="213"/>
      </c>
      <c r="AH41" s="29">
        <v>24481</v>
      </c>
      <c r="AI41" s="34">
        <v>427</v>
      </c>
      <c r="AJ41" s="34">
        <v>499</v>
      </c>
      <c r="AK41" s="34">
        <v>37</v>
      </c>
      <c r="AL41" s="29">
        <v>5</v>
      </c>
      <c r="AM41" s="34">
        <v>5</v>
      </c>
      <c r="AN41" s="34">
        <v>80</v>
      </c>
      <c r="AO41" s="34">
        <v>91</v>
      </c>
      <c r="AP41" s="34">
        <v>11</v>
      </c>
      <c r="AQ41" s="29">
        <v>1</v>
      </c>
      <c r="AR41" s="36">
        <f t="shared" si="114"/>
      </c>
    </row>
    <row r="42">
      <c r="A42" s="24"/>
      <c r="B42" s="26" t="s">
        <v>69</v>
      </c>
      <c r="C42" s="25" t="s">
        <v>50</v>
      </c>
      <c r="D42" s="26" t="s">
        <v>51</v>
      </c>
      <c r="E42" s="26" t="s">
        <v>55</v>
      </c>
      <c r="F42" s="27">
        <f t="shared" si="433"/>
      </c>
      <c r="G42" s="28">
        <v>1696.21</v>
      </c>
      <c r="H42" s="28">
        <v>294.87</v>
      </c>
      <c r="I42" s="29">
        <v>8</v>
      </c>
      <c r="J42" s="29">
        <v>7</v>
      </c>
      <c r="K42" s="30">
        <v>5372.200000000001</v>
      </c>
      <c r="L42" s="31">
        <f t="shared" si="375"/>
      </c>
      <c r="M42" s="32">
        <f t="shared" si="321"/>
      </c>
      <c r="N42" s="33">
        <f t="shared" si="231"/>
      </c>
      <c r="O42" s="33">
        <f t="shared" si="177"/>
      </c>
      <c r="P42" s="33">
        <f t="shared" si="74"/>
      </c>
      <c r="Q42" s="33">
        <f t="shared" si="38"/>
      </c>
      <c r="R42" s="33">
        <f t="shared" si="2"/>
      </c>
      <c r="S42" s="33">
        <f t="shared" si="496"/>
      </c>
      <c r="T42" s="33">
        <f t="shared" si="393"/>
      </c>
      <c r="U42" s="31">
        <f t="shared" si="339"/>
      </c>
      <c r="V42" s="31">
        <f t="shared" si="249"/>
      </c>
      <c r="W42" s="31">
        <f t="shared" si="267"/>
      </c>
      <c r="X42" s="31">
        <f t="shared" si="285"/>
      </c>
      <c r="Y42" s="31">
        <f t="shared" si="195"/>
      </c>
      <c r="Z42" s="31">
        <f t="shared" si="92"/>
      </c>
      <c r="AA42" s="32">
        <f t="shared" si="56"/>
      </c>
      <c r="AB42" s="32">
        <f t="shared" si="20"/>
      </c>
      <c r="AC42" s="32">
        <f t="shared" si="514"/>
      </c>
      <c r="AD42" s="31">
        <f t="shared" si="411"/>
      </c>
      <c r="AE42" s="32">
        <f t="shared" si="357"/>
      </c>
      <c r="AF42" s="31">
        <f t="shared" si="303"/>
      </c>
      <c r="AG42" s="31">
        <f t="shared" si="213"/>
      </c>
      <c r="AH42" s="29">
        <v>25836</v>
      </c>
      <c r="AI42" s="34">
        <v>453</v>
      </c>
      <c r="AJ42" s="34">
        <v>535</v>
      </c>
      <c r="AK42" s="34">
        <v>45</v>
      </c>
      <c r="AL42" s="29">
        <v>5</v>
      </c>
      <c r="AM42" s="34">
        <v>5</v>
      </c>
      <c r="AN42" s="34">
        <v>86</v>
      </c>
      <c r="AO42" s="34">
        <v>60</v>
      </c>
      <c r="AP42" s="34">
        <v>11</v>
      </c>
      <c r="AQ42" s="29">
        <v>1</v>
      </c>
      <c r="AR42" s="36">
        <f t="shared" si="114"/>
      </c>
    </row>
    <row r="43">
      <c r="A43" s="24"/>
      <c r="B43" s="26" t="s">
        <v>69</v>
      </c>
      <c r="C43" s="25" t="s">
        <v>50</v>
      </c>
      <c r="D43" s="26" t="s">
        <v>51</v>
      </c>
      <c r="E43" s="26" t="s">
        <v>58</v>
      </c>
      <c r="F43" s="27">
        <f t="shared" si="433"/>
      </c>
      <c r="G43" s="28">
        <v>2020.08</v>
      </c>
      <c r="H43" s="28">
        <v>296.39</v>
      </c>
      <c r="I43" s="29">
        <v>7</v>
      </c>
      <c r="J43" s="29">
        <v>7</v>
      </c>
      <c r="K43" s="30">
        <v>4516</v>
      </c>
      <c r="L43" s="31">
        <f t="shared" si="375"/>
      </c>
      <c r="M43" s="32">
        <f t="shared" si="321"/>
      </c>
      <c r="N43" s="33">
        <f t="shared" si="231"/>
      </c>
      <c r="O43" s="33">
        <f t="shared" si="177"/>
      </c>
      <c r="P43" s="33">
        <f t="shared" si="74"/>
      </c>
      <c r="Q43" s="33">
        <f t="shared" si="38"/>
      </c>
      <c r="R43" s="33">
        <f t="shared" si="2"/>
      </c>
      <c r="S43" s="33">
        <f t="shared" si="496"/>
      </c>
      <c r="T43" s="33">
        <f t="shared" si="393"/>
      </c>
      <c r="U43" s="31">
        <f t="shared" si="339"/>
      </c>
      <c r="V43" s="31">
        <f t="shared" si="249"/>
      </c>
      <c r="W43" s="31">
        <f t="shared" si="267"/>
      </c>
      <c r="X43" s="31">
        <f t="shared" si="285"/>
      </c>
      <c r="Y43" s="31">
        <f t="shared" si="195"/>
      </c>
      <c r="Z43" s="31">
        <f t="shared" si="92"/>
      </c>
      <c r="AA43" s="32">
        <f t="shared" si="56"/>
      </c>
      <c r="AB43" s="32">
        <f t="shared" si="20"/>
      </c>
      <c r="AC43" s="32">
        <f t="shared" si="514"/>
      </c>
      <c r="AD43" s="31">
        <f t="shared" si="411"/>
      </c>
      <c r="AE43" s="32">
        <f t="shared" si="357"/>
      </c>
      <c r="AF43" s="31">
        <f t="shared" si="303"/>
      </c>
      <c r="AG43" s="31">
        <f t="shared" si="213"/>
      </c>
      <c r="AH43" s="34">
        <v>31743</v>
      </c>
      <c r="AI43" s="34">
        <v>529</v>
      </c>
      <c r="AJ43" s="34">
        <v>613</v>
      </c>
      <c r="AK43" s="34">
        <v>35</v>
      </c>
      <c r="AL43" s="29">
        <v>6</v>
      </c>
      <c r="AM43" s="29">
        <v>6</v>
      </c>
      <c r="AN43" s="34">
        <v>109</v>
      </c>
      <c r="AO43" s="34">
        <v>85</v>
      </c>
      <c r="AP43" s="34">
        <v>21</v>
      </c>
      <c r="AQ43" s="29">
        <v>0</v>
      </c>
      <c r="AR43" s="36">
        <f t="shared" si="114"/>
      </c>
    </row>
    <row r="44">
      <c r="A44" s="24"/>
      <c r="B44" s="38" t="s">
        <v>56</v>
      </c>
      <c r="C44" s="38"/>
      <c r="D44" s="38"/>
      <c r="E44" s="38"/>
      <c r="F44" s="39">
        <f>SUM(F39:F43)</f>
      </c>
      <c r="G44" s="39">
        <f>SUM(G39:G43)</f>
      </c>
      <c r="H44" s="39">
        <f>SUM(H39:H43)</f>
      </c>
      <c r="I44" s="40">
        <f>SUM(I39:I43)</f>
      </c>
      <c r="J44" s="40">
        <f>SUM(J39:J43)</f>
      </c>
      <c r="K44" s="39">
        <f>SUM(K39:K43)</f>
      </c>
      <c r="L44" s="41">
        <f t="shared" si="375"/>
      </c>
      <c r="M44" s="42">
        <f t="shared" si="321"/>
      </c>
      <c r="N44" s="43">
        <f t="shared" si="231"/>
      </c>
      <c r="O44" s="43">
        <f t="shared" si="177"/>
      </c>
      <c r="P44" s="43">
        <f t="shared" si="74"/>
      </c>
      <c r="Q44" s="43">
        <f t="shared" si="38"/>
      </c>
      <c r="R44" s="43">
        <f t="shared" si="2"/>
      </c>
      <c r="S44" s="43">
        <f t="shared" si="496"/>
      </c>
      <c r="T44" s="43">
        <f t="shared" si="393"/>
      </c>
      <c r="U44" s="41">
        <f t="shared" si="339"/>
      </c>
      <c r="V44" s="41">
        <f t="shared" si="249"/>
      </c>
      <c r="W44" s="41">
        <f t="shared" si="267"/>
      </c>
      <c r="X44" s="41">
        <f t="shared" si="285"/>
      </c>
      <c r="Y44" s="41">
        <f t="shared" si="195"/>
      </c>
      <c r="Z44" s="41">
        <f t="shared" si="92"/>
      </c>
      <c r="AA44" s="42">
        <f t="shared" si="56"/>
      </c>
      <c r="AB44" s="42">
        <f t="shared" si="20"/>
      </c>
      <c r="AC44" s="42">
        <f t="shared" si="514"/>
      </c>
      <c r="AD44" s="41">
        <f t="shared" si="411"/>
      </c>
      <c r="AE44" s="42">
        <f t="shared" si="357"/>
      </c>
      <c r="AF44" s="41">
        <f t="shared" si="303"/>
      </c>
      <c r="AG44" s="41">
        <f t="shared" si="213"/>
      </c>
      <c r="AH44" s="40">
        <f>SUM(AH39:AH43)</f>
      </c>
      <c r="AI44" s="40">
        <f>SUM(AI39:AI43)</f>
      </c>
      <c r="AJ44" s="40">
        <f>SUM(AJ39:AJ43)</f>
      </c>
      <c r="AK44" s="40">
        <f>SUM(AK39:AK43)</f>
      </c>
      <c r="AL44" s="40">
        <f>SUM(AL39:AL43)</f>
      </c>
      <c r="AM44" s="40">
        <f>SUM(AM39:AM43)</f>
      </c>
      <c r="AN44" s="40">
        <f>SUM(AN39:AN43)</f>
      </c>
      <c r="AO44" s="40">
        <f>SUM(AO39:AO43)</f>
      </c>
      <c r="AP44" s="40">
        <f>SUM(AP39:AP43)</f>
      </c>
      <c r="AQ44" s="40">
        <f>SUM(AQ39:AQ43)</f>
      </c>
      <c r="AR44" s="44">
        <f>SUM(AR39:AR43)</f>
      </c>
    </row>
    <row r="45">
      <c r="A45" s="24"/>
      <c r="B45" s="26" t="s">
        <v>69</v>
      </c>
      <c r="C45" s="25" t="s">
        <v>50</v>
      </c>
      <c r="D45" s="26" t="s">
        <v>70</v>
      </c>
      <c r="E45" s="26" t="s">
        <v>59</v>
      </c>
      <c r="F45" s="27">
        <f t="shared" ref="F45:F46" si="434">H45+G45</f>
      </c>
      <c r="G45" s="28">
        <v>1564.79</v>
      </c>
      <c r="H45" s="28">
        <v>270.14</v>
      </c>
      <c r="I45" s="29">
        <v>2</v>
      </c>
      <c r="J45" s="29">
        <v>2</v>
      </c>
      <c r="K45" s="30">
        <v>900</v>
      </c>
      <c r="L45" s="31">
        <f t="shared" si="375"/>
      </c>
      <c r="M45" s="32">
        <f t="shared" si="321"/>
      </c>
      <c r="N45" s="33">
        <f t="shared" si="231"/>
      </c>
      <c r="O45" s="33">
        <f t="shared" si="177"/>
      </c>
      <c r="P45" s="33">
        <f t="shared" si="74"/>
      </c>
      <c r="Q45" s="33">
        <f t="shared" si="38"/>
      </c>
      <c r="R45" s="33">
        <f t="shared" si="2"/>
      </c>
      <c r="S45" s="33">
        <f t="shared" si="496"/>
      </c>
      <c r="T45" s="33">
        <f t="shared" si="393"/>
      </c>
      <c r="U45" s="31">
        <f t="shared" si="339"/>
      </c>
      <c r="V45" s="31">
        <f t="shared" si="249"/>
      </c>
      <c r="W45" s="31">
        <f t="shared" si="267"/>
      </c>
      <c r="X45" s="31">
        <f t="shared" si="285"/>
      </c>
      <c r="Y45" s="31">
        <f t="shared" si="195"/>
      </c>
      <c r="Z45" s="31">
        <f t="shared" si="92"/>
      </c>
      <c r="AA45" s="32">
        <f t="shared" si="56"/>
      </c>
      <c r="AB45" s="32">
        <f t="shared" si="20"/>
      </c>
      <c r="AC45" s="32">
        <f t="shared" si="514"/>
      </c>
      <c r="AD45" s="31">
        <f t="shared" si="411"/>
      </c>
      <c r="AE45" s="32">
        <f t="shared" si="357"/>
      </c>
      <c r="AF45" s="31">
        <f t="shared" si="303"/>
      </c>
      <c r="AG45" s="31">
        <f t="shared" si="213"/>
      </c>
      <c r="AH45" s="34">
        <v>30844</v>
      </c>
      <c r="AI45" s="34">
        <v>443</v>
      </c>
      <c r="AJ45" s="34">
        <v>516</v>
      </c>
      <c r="AK45" s="34">
        <v>17</v>
      </c>
      <c r="AL45" s="29">
        <v>2</v>
      </c>
      <c r="AM45" s="29">
        <v>2</v>
      </c>
      <c r="AN45" s="34">
        <v>69</v>
      </c>
      <c r="AO45" s="34">
        <v>50</v>
      </c>
      <c r="AP45" s="34">
        <v>4</v>
      </c>
      <c r="AQ45" s="29">
        <v>1</v>
      </c>
      <c r="AR45" s="36">
        <f t="shared" ref="AR45:AR46" si="115">COUNT(AQ45)</f>
      </c>
    </row>
    <row r="46">
      <c r="A46" s="24"/>
      <c r="B46" s="26" t="s">
        <v>69</v>
      </c>
      <c r="C46" s="25" t="s">
        <v>50</v>
      </c>
      <c r="D46" s="26" t="s">
        <v>70</v>
      </c>
      <c r="E46" s="26" t="s">
        <v>60</v>
      </c>
      <c r="F46" s="27">
        <f t="shared" si="434"/>
      </c>
      <c r="G46" s="28">
        <v>1406.45</v>
      </c>
      <c r="H46" s="28">
        <v>209.9</v>
      </c>
      <c r="I46" s="29">
        <v>2</v>
      </c>
      <c r="J46" s="34">
        <v>2</v>
      </c>
      <c r="K46" s="45">
        <v>843</v>
      </c>
      <c r="L46" s="31">
        <f t="shared" si="375"/>
      </c>
      <c r="M46" s="32">
        <f t="shared" si="321"/>
      </c>
      <c r="N46" s="33">
        <f t="shared" si="231"/>
      </c>
      <c r="O46" s="33">
        <f t="shared" si="177"/>
      </c>
      <c r="P46" s="33">
        <f t="shared" si="74"/>
      </c>
      <c r="Q46" s="33">
        <f t="shared" si="38"/>
      </c>
      <c r="R46" s="33">
        <f t="shared" si="2"/>
      </c>
      <c r="S46" s="33">
        <f t="shared" si="496"/>
      </c>
      <c r="T46" s="33">
        <f t="shared" si="393"/>
      </c>
      <c r="U46" s="31">
        <f t="shared" si="339"/>
      </c>
      <c r="V46" s="31">
        <f t="shared" si="249"/>
      </c>
      <c r="W46" s="31">
        <f t="shared" si="267"/>
      </c>
      <c r="X46" s="31">
        <f t="shared" si="285"/>
      </c>
      <c r="Y46" s="31">
        <f t="shared" si="195"/>
      </c>
      <c r="Z46" s="31">
        <f t="shared" si="92"/>
      </c>
      <c r="AA46" s="32">
        <f t="shared" si="56"/>
      </c>
      <c r="AB46" s="32">
        <f t="shared" si="20"/>
      </c>
      <c r="AC46" s="32">
        <f t="shared" si="514"/>
      </c>
      <c r="AD46" s="31">
        <f t="shared" si="411"/>
      </c>
      <c r="AE46" s="32">
        <f t="shared" si="357"/>
      </c>
      <c r="AF46" s="31">
        <f t="shared" si="303"/>
      </c>
      <c r="AG46" s="31">
        <f t="shared" si="213"/>
      </c>
      <c r="AH46" s="34">
        <v>30640</v>
      </c>
      <c r="AI46" s="34">
        <v>411</v>
      </c>
      <c r="AJ46" s="34">
        <v>479</v>
      </c>
      <c r="AK46" s="34">
        <v>17</v>
      </c>
      <c r="AL46" s="34">
        <v>2</v>
      </c>
      <c r="AM46" s="34">
        <v>2</v>
      </c>
      <c r="AN46" s="34">
        <v>60</v>
      </c>
      <c r="AO46" s="34">
        <v>15</v>
      </c>
      <c r="AP46" s="34">
        <v>7</v>
      </c>
      <c r="AQ46" s="29">
        <v>0</v>
      </c>
      <c r="AR46" s="36">
        <f t="shared" si="115"/>
      </c>
    </row>
    <row r="47">
      <c r="A47" s="24"/>
      <c r="B47" s="38" t="s">
        <v>56</v>
      </c>
      <c r="C47" s="38"/>
      <c r="D47" s="38"/>
      <c r="E47" s="38"/>
      <c r="F47" s="39">
        <f>SUM(F45:F46)</f>
      </c>
      <c r="G47" s="39">
        <f>SUM(G45:G46)</f>
      </c>
      <c r="H47" s="39">
        <f>SUM(H45:H46)</f>
      </c>
      <c r="I47" s="40">
        <f>SUM(I45:I46)</f>
      </c>
      <c r="J47" s="40">
        <f>SUM(J45:J46)</f>
      </c>
      <c r="K47" s="39">
        <f>SUM(K45:K46)</f>
      </c>
      <c r="L47" s="41">
        <f t="shared" si="375"/>
      </c>
      <c r="M47" s="42">
        <f t="shared" si="321"/>
      </c>
      <c r="N47" s="43">
        <f t="shared" si="231"/>
      </c>
      <c r="O47" s="43">
        <f t="shared" si="177"/>
      </c>
      <c r="P47" s="43">
        <f t="shared" si="74"/>
      </c>
      <c r="Q47" s="43">
        <f t="shared" si="38"/>
      </c>
      <c r="R47" s="43">
        <f t="shared" si="2"/>
      </c>
      <c r="S47" s="43">
        <f t="shared" si="496"/>
      </c>
      <c r="T47" s="43">
        <f t="shared" si="393"/>
      </c>
      <c r="U47" s="41">
        <f t="shared" si="339"/>
      </c>
      <c r="V47" s="41">
        <f t="shared" si="249"/>
      </c>
      <c r="W47" s="41">
        <f t="shared" si="267"/>
      </c>
      <c r="X47" s="41">
        <f t="shared" si="285"/>
      </c>
      <c r="Y47" s="41">
        <f t="shared" si="195"/>
      </c>
      <c r="Z47" s="41">
        <f t="shared" si="92"/>
      </c>
      <c r="AA47" s="42">
        <f t="shared" si="56"/>
      </c>
      <c r="AB47" s="42">
        <f t="shared" si="20"/>
      </c>
      <c r="AC47" s="42">
        <f t="shared" si="514"/>
      </c>
      <c r="AD47" s="41">
        <f t="shared" si="411"/>
      </c>
      <c r="AE47" s="42">
        <f t="shared" si="357"/>
      </c>
      <c r="AF47" s="41">
        <f t="shared" si="303"/>
      </c>
      <c r="AG47" s="41">
        <f t="shared" si="213"/>
      </c>
      <c r="AH47" s="40">
        <f>SUM(AH45:AH46)</f>
      </c>
      <c r="AI47" s="40">
        <f>SUM(AI45:AI46)</f>
      </c>
      <c r="AJ47" s="40">
        <f>SUM(AJ45:AJ46)</f>
      </c>
      <c r="AK47" s="40">
        <f>SUM(AK45:AK46)</f>
      </c>
      <c r="AL47" s="40">
        <f>SUM(AL45:AL46)</f>
      </c>
      <c r="AM47" s="40">
        <f>SUM(AM45:AM46)</f>
      </c>
      <c r="AN47" s="40">
        <f>SUM(AN45:AN46)</f>
      </c>
      <c r="AO47" s="40">
        <f>SUM(AO45:AO46)</f>
      </c>
      <c r="AP47" s="40">
        <f>SUM(AP45:AP46)</f>
      </c>
      <c r="AQ47" s="40">
        <f>SUM(AQ45:AQ46)</f>
      </c>
      <c r="AR47" s="44">
        <f>SUM(AR45:AR46)</f>
      </c>
    </row>
    <row customHeight="true" ht="16.071428571428573" r="48">
      <c r="A48" s="24"/>
      <c r="B48" s="26" t="s">
        <v>69</v>
      </c>
      <c r="C48" s="25" t="s">
        <v>50</v>
      </c>
      <c r="D48" s="26" t="s">
        <v>68</v>
      </c>
      <c r="E48" s="26" t="s">
        <v>61</v>
      </c>
      <c r="F48" s="27">
        <f t="shared" ref="F48:F49" si="435">H48+G48</f>
      </c>
      <c r="G48" s="28">
        <v>1502.84</v>
      </c>
      <c r="H48" s="28">
        <v>279.24</v>
      </c>
      <c r="I48" s="29">
        <v>2</v>
      </c>
      <c r="J48" s="34">
        <v>2</v>
      </c>
      <c r="K48" s="30">
        <v>1725.5999999999985</v>
      </c>
      <c r="L48" s="31">
        <f t="shared" si="375"/>
      </c>
      <c r="M48" s="32">
        <f t="shared" si="321"/>
      </c>
      <c r="N48" s="33">
        <f t="shared" si="231"/>
      </c>
      <c r="O48" s="33">
        <f t="shared" si="177"/>
      </c>
      <c r="P48" s="33">
        <f t="shared" si="74"/>
      </c>
      <c r="Q48" s="33">
        <f t="shared" si="38"/>
      </c>
      <c r="R48" s="33">
        <f t="shared" si="2"/>
      </c>
      <c r="S48" s="33">
        <f t="shared" si="496"/>
      </c>
      <c r="T48" s="33">
        <f t="shared" si="393"/>
      </c>
      <c r="U48" s="31">
        <f t="shared" si="339"/>
      </c>
      <c r="V48" s="31">
        <f t="shared" si="249"/>
      </c>
      <c r="W48" s="31">
        <f t="shared" si="267"/>
      </c>
      <c r="X48" s="31">
        <f t="shared" si="285"/>
      </c>
      <c r="Y48" s="31">
        <f t="shared" si="195"/>
      </c>
      <c r="Z48" s="31">
        <f t="shared" si="92"/>
      </c>
      <c r="AA48" s="32">
        <f t="shared" si="56"/>
      </c>
      <c r="AB48" s="32">
        <f t="shared" si="20"/>
      </c>
      <c r="AC48" s="32">
        <f t="shared" si="514"/>
      </c>
      <c r="AD48" s="31">
        <f t="shared" si="411"/>
      </c>
      <c r="AE48" s="32">
        <f t="shared" si="357"/>
      </c>
      <c r="AF48" s="31">
        <f t="shared" si="303"/>
      </c>
      <c r="AG48" s="31">
        <f t="shared" si="213"/>
      </c>
      <c r="AH48" s="34">
        <v>29170</v>
      </c>
      <c r="AI48" s="34">
        <v>455</v>
      </c>
      <c r="AJ48" s="34">
        <v>536</v>
      </c>
      <c r="AK48" s="34">
        <v>24</v>
      </c>
      <c r="AL48" s="34">
        <v>2</v>
      </c>
      <c r="AM48" s="34">
        <v>2</v>
      </c>
      <c r="AN48" s="34">
        <v>77</v>
      </c>
      <c r="AO48" s="34">
        <v>38</v>
      </c>
      <c r="AP48" s="34">
        <v>3</v>
      </c>
      <c r="AQ48" s="29">
        <v>0</v>
      </c>
      <c r="AR48" s="36">
        <f t="shared" ref="AR48:AR49" si="116">COUNT(AQ48)</f>
      </c>
    </row>
    <row customHeight="true" ht="16.071428571428573" r="49">
      <c r="A49" s="24"/>
      <c r="B49" s="26" t="s">
        <v>69</v>
      </c>
      <c r="C49" s="25" t="s">
        <v>50</v>
      </c>
      <c r="D49" s="26" t="s">
        <v>68</v>
      </c>
      <c r="E49" s="26" t="s">
        <v>63</v>
      </c>
      <c r="F49" s="27">
        <f t="shared" si="435"/>
      </c>
      <c r="G49" s="28">
        <v>1350.93</v>
      </c>
      <c r="H49" s="28">
        <v>297.96</v>
      </c>
      <c r="I49" s="29">
        <v>6</v>
      </c>
      <c r="J49" s="34">
        <v>4</v>
      </c>
      <c r="K49" s="30">
        <v>3135.2000000000007</v>
      </c>
      <c r="L49" s="31">
        <f t="shared" si="375"/>
      </c>
      <c r="M49" s="32">
        <f t="shared" si="321"/>
      </c>
      <c r="N49" s="33">
        <f t="shared" si="231"/>
      </c>
      <c r="O49" s="33">
        <f t="shared" si="177"/>
      </c>
      <c r="P49" s="33">
        <f t="shared" si="74"/>
      </c>
      <c r="Q49" s="33">
        <f t="shared" si="38"/>
      </c>
      <c r="R49" s="33">
        <f t="shared" si="2"/>
      </c>
      <c r="S49" s="33">
        <f t="shared" si="496"/>
      </c>
      <c r="T49" s="33">
        <f t="shared" si="393"/>
      </c>
      <c r="U49" s="31">
        <f t="shared" si="339"/>
      </c>
      <c r="V49" s="31">
        <f t="shared" si="249"/>
      </c>
      <c r="W49" s="31">
        <f t="shared" si="267"/>
      </c>
      <c r="X49" s="31">
        <f t="shared" si="285"/>
      </c>
      <c r="Y49" s="31">
        <f t="shared" si="195"/>
      </c>
      <c r="Z49" s="31">
        <f t="shared" si="92"/>
      </c>
      <c r="AA49" s="32">
        <f t="shared" si="56"/>
      </c>
      <c r="AB49" s="32">
        <f t="shared" si="20"/>
      </c>
      <c r="AC49" s="32">
        <f t="shared" si="514"/>
      </c>
      <c r="AD49" s="31">
        <f t="shared" si="411"/>
      </c>
      <c r="AE49" s="32">
        <f t="shared" si="357"/>
      </c>
      <c r="AF49" s="31">
        <f t="shared" si="303"/>
      </c>
      <c r="AG49" s="31">
        <f t="shared" si="213"/>
      </c>
      <c r="AH49" s="34">
        <v>23383</v>
      </c>
      <c r="AI49" s="34">
        <v>396</v>
      </c>
      <c r="AJ49" s="34">
        <v>495</v>
      </c>
      <c r="AK49" s="34">
        <v>18</v>
      </c>
      <c r="AL49" s="34">
        <v>5</v>
      </c>
      <c r="AM49" s="34">
        <v>3</v>
      </c>
      <c r="AN49" s="34">
        <v>66</v>
      </c>
      <c r="AO49" s="34">
        <v>53</v>
      </c>
      <c r="AP49" s="34">
        <v>5</v>
      </c>
      <c r="AQ49" s="29">
        <v>0</v>
      </c>
      <c r="AR49" s="36">
        <f t="shared" si="116"/>
      </c>
    </row>
    <row customHeight="true" ht="16.071428571428573" r="50">
      <c r="A50" s="24"/>
      <c r="B50" s="38" t="s">
        <v>56</v>
      </c>
      <c r="C50" s="38"/>
      <c r="D50" s="38"/>
      <c r="E50" s="38"/>
      <c r="F50" s="39">
        <f>SUM(F48:F49)</f>
      </c>
      <c r="G50" s="39">
        <f>SUM(G48:G49)</f>
      </c>
      <c r="H50" s="39">
        <f>SUM(H48:H49)</f>
      </c>
      <c r="I50" s="40">
        <f>SUM(I48:I49)</f>
      </c>
      <c r="J50" s="40">
        <f>SUM(J48:J49)</f>
      </c>
      <c r="K50" s="39">
        <f>SUM(K48:K49)</f>
      </c>
      <c r="L50" s="41">
        <f t="shared" si="375"/>
      </c>
      <c r="M50" s="42">
        <f t="shared" si="321"/>
      </c>
      <c r="N50" s="43">
        <f t="shared" si="231"/>
      </c>
      <c r="O50" s="43">
        <f t="shared" si="177"/>
      </c>
      <c r="P50" s="43">
        <f t="shared" si="74"/>
      </c>
      <c r="Q50" s="43">
        <f t="shared" si="38"/>
      </c>
      <c r="R50" s="43">
        <f t="shared" si="2"/>
      </c>
      <c r="S50" s="43">
        <f t="shared" si="496"/>
      </c>
      <c r="T50" s="43">
        <f t="shared" si="393"/>
      </c>
      <c r="U50" s="41">
        <f t="shared" si="339"/>
      </c>
      <c r="V50" s="41">
        <f t="shared" si="249"/>
      </c>
      <c r="W50" s="41">
        <f t="shared" si="267"/>
      </c>
      <c r="X50" s="41">
        <f t="shared" si="285"/>
      </c>
      <c r="Y50" s="41">
        <f t="shared" si="195"/>
      </c>
      <c r="Z50" s="41">
        <f t="shared" si="92"/>
      </c>
      <c r="AA50" s="42">
        <f t="shared" si="56"/>
      </c>
      <c r="AB50" s="42">
        <f t="shared" si="20"/>
      </c>
      <c r="AC50" s="42">
        <f t="shared" si="514"/>
      </c>
      <c r="AD50" s="41">
        <f t="shared" si="411"/>
      </c>
      <c r="AE50" s="42">
        <f t="shared" si="357"/>
      </c>
      <c r="AF50" s="41">
        <f t="shared" si="303"/>
      </c>
      <c r="AG50" s="41">
        <f t="shared" si="213"/>
      </c>
      <c r="AH50" s="40">
        <f>SUM(AH48:AH49)</f>
      </c>
      <c r="AI50" s="40">
        <f>SUM(AI48:AI49)</f>
      </c>
      <c r="AJ50" s="40">
        <f>SUM(AJ48:AJ49)</f>
      </c>
      <c r="AK50" s="40">
        <f>SUM(AK48:AK49)</f>
      </c>
      <c r="AL50" s="40">
        <f>SUM(AL48:AL49)</f>
      </c>
      <c r="AM50" s="40">
        <f>SUM(AM48:AM49)</f>
      </c>
      <c r="AN50" s="40">
        <f>SUM(AN48:AN49)</f>
      </c>
      <c r="AO50" s="40">
        <f>SUM(AO48:AO49)</f>
      </c>
      <c r="AP50" s="40">
        <f>SUM(AP48:AP49)</f>
      </c>
      <c r="AQ50" s="40">
        <f>SUM(AQ48:AQ49)</f>
      </c>
      <c r="AR50" s="44">
        <f>SUM(AR48:AR49)</f>
      </c>
    </row>
    <row r="51">
      <c r="A51" s="24"/>
      <c r="B51" s="26" t="s">
        <v>69</v>
      </c>
      <c r="C51" s="25" t="s">
        <v>50</v>
      </c>
      <c r="D51" s="26" t="s">
        <v>62</v>
      </c>
      <c r="E51" s="25" t="s">
        <v>64</v>
      </c>
      <c r="F51" s="27">
        <f t="shared" ref="F51:F53" si="436">H51+G51</f>
      </c>
      <c r="G51" s="28">
        <v>2925.77</v>
      </c>
      <c r="H51" s="28">
        <v>509.4</v>
      </c>
      <c r="I51" s="29">
        <v>5</v>
      </c>
      <c r="J51" s="34">
        <v>5</v>
      </c>
      <c r="K51" s="30">
        <v>2530.5999999999985</v>
      </c>
      <c r="L51" s="31">
        <f t="shared" si="375"/>
      </c>
      <c r="M51" s="32">
        <f t="shared" si="321"/>
      </c>
      <c r="N51" s="33">
        <f t="shared" si="231"/>
      </c>
      <c r="O51" s="33">
        <f t="shared" si="177"/>
      </c>
      <c r="P51" s="33">
        <f t="shared" si="74"/>
      </c>
      <c r="Q51" s="33">
        <f t="shared" si="38"/>
      </c>
      <c r="R51" s="33">
        <f t="shared" si="2"/>
      </c>
      <c r="S51" s="33">
        <f t="shared" si="496"/>
      </c>
      <c r="T51" s="33">
        <f t="shared" si="393"/>
      </c>
      <c r="U51" s="31">
        <f t="shared" si="339"/>
      </c>
      <c r="V51" s="31">
        <f t="shared" si="249"/>
      </c>
      <c r="W51" s="31">
        <f t="shared" si="267"/>
      </c>
      <c r="X51" s="31">
        <f t="shared" si="285"/>
      </c>
      <c r="Y51" s="31">
        <f t="shared" si="195"/>
      </c>
      <c r="Z51" s="31">
        <f t="shared" si="92"/>
      </c>
      <c r="AA51" s="32">
        <f t="shared" si="56"/>
      </c>
      <c r="AB51" s="32">
        <f t="shared" si="20"/>
      </c>
      <c r="AC51" s="32">
        <f t="shared" si="514"/>
      </c>
      <c r="AD51" s="31">
        <f t="shared" si="411"/>
      </c>
      <c r="AE51" s="32">
        <f t="shared" si="357"/>
      </c>
      <c r="AF51" s="31">
        <f t="shared" si="303"/>
      </c>
      <c r="AG51" s="31">
        <f t="shared" si="213"/>
      </c>
      <c r="AH51" s="34">
        <v>46742</v>
      </c>
      <c r="AI51" s="34">
        <v>838</v>
      </c>
      <c r="AJ51" s="34">
        <v>976</v>
      </c>
      <c r="AK51" s="34">
        <v>31</v>
      </c>
      <c r="AL51" s="34">
        <v>5</v>
      </c>
      <c r="AM51" s="34">
        <v>5</v>
      </c>
      <c r="AN51" s="34">
        <v>139</v>
      </c>
      <c r="AO51" s="34">
        <v>66</v>
      </c>
      <c r="AP51" s="34">
        <v>15</v>
      </c>
      <c r="AQ51" s="29">
        <v>1</v>
      </c>
      <c r="AR51" s="36">
        <f t="shared" ref="AR51:AR53" si="117">COUNT(AQ51)</f>
      </c>
    </row>
    <row r="52">
      <c r="A52" s="24"/>
      <c r="B52" s="26" t="s">
        <v>69</v>
      </c>
      <c r="C52" s="25" t="s">
        <v>50</v>
      </c>
      <c r="D52" s="26" t="s">
        <v>62</v>
      </c>
      <c r="E52" s="25" t="s">
        <v>65</v>
      </c>
      <c r="F52" s="27">
        <f t="shared" si="436"/>
      </c>
      <c r="G52" s="28">
        <v>1770.38</v>
      </c>
      <c r="H52" s="28">
        <v>615.46</v>
      </c>
      <c r="I52" s="29">
        <v>9</v>
      </c>
      <c r="J52" s="34">
        <v>9</v>
      </c>
      <c r="K52" s="30">
        <v>4105.200000000001</v>
      </c>
      <c r="L52" s="31">
        <f t="shared" si="375"/>
      </c>
      <c r="M52" s="32">
        <f t="shared" si="321"/>
      </c>
      <c r="N52" s="33">
        <f t="shared" si="231"/>
      </c>
      <c r="O52" s="33">
        <f t="shared" si="177"/>
      </c>
      <c r="P52" s="33">
        <f t="shared" si="74"/>
      </c>
      <c r="Q52" s="33">
        <f t="shared" si="38"/>
      </c>
      <c r="R52" s="33">
        <f t="shared" si="2"/>
      </c>
      <c r="S52" s="33">
        <f t="shared" si="496"/>
      </c>
      <c r="T52" s="33">
        <f t="shared" si="393"/>
      </c>
      <c r="U52" s="31">
        <f t="shared" si="339"/>
      </c>
      <c r="V52" s="31">
        <f t="shared" si="249"/>
      </c>
      <c r="W52" s="31">
        <f t="shared" si="267"/>
      </c>
      <c r="X52" s="31">
        <f t="shared" si="285"/>
      </c>
      <c r="Y52" s="31">
        <f t="shared" si="195"/>
      </c>
      <c r="Z52" s="31">
        <f t="shared" si="92"/>
      </c>
      <c r="AA52" s="32">
        <f t="shared" si="56"/>
      </c>
      <c r="AB52" s="32">
        <f t="shared" si="20"/>
      </c>
      <c r="AC52" s="32">
        <f t="shared" si="514"/>
      </c>
      <c r="AD52" s="31">
        <f t="shared" si="411"/>
      </c>
      <c r="AE52" s="32">
        <f t="shared" si="357"/>
      </c>
      <c r="AF52" s="31">
        <f t="shared" si="303"/>
      </c>
      <c r="AG52" s="31">
        <f t="shared" si="213"/>
      </c>
      <c r="AH52" s="34">
        <v>35111</v>
      </c>
      <c r="AI52" s="34">
        <v>684</v>
      </c>
      <c r="AJ52" s="34">
        <v>835</v>
      </c>
      <c r="AK52" s="34">
        <v>35</v>
      </c>
      <c r="AL52" s="34">
        <v>6</v>
      </c>
      <c r="AM52" s="34">
        <v>6</v>
      </c>
      <c r="AN52" s="34">
        <v>108</v>
      </c>
      <c r="AO52" s="34">
        <v>116</v>
      </c>
      <c r="AP52" s="34">
        <v>17</v>
      </c>
      <c r="AQ52" s="29">
        <v>3</v>
      </c>
      <c r="AR52" s="36">
        <f t="shared" si="117"/>
      </c>
    </row>
    <row r="53">
      <c r="A53" s="24"/>
      <c r="B53" s="26" t="s">
        <v>69</v>
      </c>
      <c r="C53" s="25" t="s">
        <v>50</v>
      </c>
      <c r="D53" s="26" t="s">
        <v>62</v>
      </c>
      <c r="E53" s="26" t="s">
        <v>66</v>
      </c>
      <c r="F53" s="27">
        <f t="shared" si="436"/>
      </c>
      <c r="G53" s="28">
        <v>1819.26</v>
      </c>
      <c r="H53" s="28">
        <v>415.65</v>
      </c>
      <c r="I53" s="29">
        <v>2</v>
      </c>
      <c r="J53" s="29">
        <v>1</v>
      </c>
      <c r="K53" s="30">
        <v>799</v>
      </c>
      <c r="L53" s="31">
        <f t="shared" si="375"/>
      </c>
      <c r="M53" s="32">
        <f t="shared" si="321"/>
      </c>
      <c r="N53" s="33">
        <f t="shared" si="231"/>
      </c>
      <c r="O53" s="33">
        <f t="shared" si="177"/>
      </c>
      <c r="P53" s="33">
        <f t="shared" si="74"/>
      </c>
      <c r="Q53" s="33">
        <f t="shared" si="38"/>
      </c>
      <c r="R53" s="33">
        <f t="shared" si="2"/>
      </c>
      <c r="S53" s="33">
        <f t="shared" si="496"/>
      </c>
      <c r="T53" s="33">
        <f t="shared" si="393"/>
      </c>
      <c r="U53" s="31">
        <f t="shared" si="339"/>
      </c>
      <c r="V53" s="31">
        <f t="shared" si="249"/>
      </c>
      <c r="W53" s="31">
        <f t="shared" si="267"/>
      </c>
      <c r="X53" s="31">
        <f t="shared" si="285"/>
      </c>
      <c r="Y53" s="31">
        <f t="shared" si="195"/>
      </c>
      <c r="Z53" s="31">
        <f t="shared" si="92"/>
      </c>
      <c r="AA53" s="32">
        <f t="shared" si="56"/>
      </c>
      <c r="AB53" s="32">
        <f t="shared" si="20"/>
      </c>
      <c r="AC53" s="32">
        <f t="shared" si="514"/>
      </c>
      <c r="AD53" s="31">
        <f t="shared" si="411"/>
      </c>
      <c r="AE53" s="32">
        <f t="shared" si="357"/>
      </c>
      <c r="AF53" s="31">
        <f t="shared" si="303"/>
      </c>
      <c r="AG53" s="31">
        <f t="shared" si="213"/>
      </c>
      <c r="AH53" s="34">
        <v>31647</v>
      </c>
      <c r="AI53" s="34">
        <v>614</v>
      </c>
      <c r="AJ53" s="34">
        <v>717</v>
      </c>
      <c r="AK53" s="34">
        <v>26</v>
      </c>
      <c r="AL53" s="34">
        <v>2</v>
      </c>
      <c r="AM53" s="34">
        <v>1</v>
      </c>
      <c r="AN53" s="34">
        <v>103</v>
      </c>
      <c r="AO53" s="34">
        <v>114</v>
      </c>
      <c r="AP53" s="34">
        <v>13</v>
      </c>
      <c r="AQ53" s="29">
        <v>0</v>
      </c>
      <c r="AR53" s="36">
        <f t="shared" si="117"/>
      </c>
    </row>
    <row r="54">
      <c r="A54" s="24"/>
      <c r="B54" s="38" t="s">
        <v>56</v>
      </c>
      <c r="C54" s="38"/>
      <c r="D54" s="38"/>
      <c r="E54" s="38"/>
      <c r="F54" s="39">
        <f>SUM(F51:F53)</f>
      </c>
      <c r="G54" s="39">
        <f>SUM(G51:G53)</f>
      </c>
      <c r="H54" s="39">
        <f>SUM(H51:H53)</f>
      </c>
      <c r="I54" s="40">
        <f>SUM(I51:I53)</f>
      </c>
      <c r="J54" s="40">
        <f>SUM(J51:J53)</f>
      </c>
      <c r="K54" s="39">
        <f>SUM(K51:K53)</f>
      </c>
      <c r="L54" s="41">
        <f t="shared" si="375"/>
      </c>
      <c r="M54" s="42">
        <f t="shared" si="321"/>
      </c>
      <c r="N54" s="43">
        <f t="shared" si="231"/>
      </c>
      <c r="O54" s="43">
        <f t="shared" si="177"/>
      </c>
      <c r="P54" s="43">
        <f t="shared" si="74"/>
      </c>
      <c r="Q54" s="43">
        <f t="shared" si="38"/>
      </c>
      <c r="R54" s="43">
        <f t="shared" si="2"/>
      </c>
      <c r="S54" s="43">
        <f t="shared" si="496"/>
      </c>
      <c r="T54" s="43">
        <f t="shared" si="393"/>
      </c>
      <c r="U54" s="41">
        <f t="shared" si="339"/>
      </c>
      <c r="V54" s="41">
        <f t="shared" si="249"/>
      </c>
      <c r="W54" s="41">
        <f t="shared" si="267"/>
      </c>
      <c r="X54" s="41">
        <f t="shared" si="285"/>
      </c>
      <c r="Y54" s="41">
        <f t="shared" si="195"/>
      </c>
      <c r="Z54" s="41">
        <f t="shared" si="92"/>
      </c>
      <c r="AA54" s="42">
        <f t="shared" si="56"/>
      </c>
      <c r="AB54" s="42">
        <f t="shared" si="20"/>
      </c>
      <c r="AC54" s="42">
        <f t="shared" si="514"/>
      </c>
      <c r="AD54" s="41">
        <f t="shared" si="411"/>
      </c>
      <c r="AE54" s="42">
        <f t="shared" si="357"/>
      </c>
      <c r="AF54" s="41">
        <f t="shared" si="303"/>
      </c>
      <c r="AG54" s="41">
        <f t="shared" si="213"/>
      </c>
      <c r="AH54" s="40">
        <f>SUM(AH51:AH53)</f>
      </c>
      <c r="AI54" s="40">
        <f>SUM(AI51:AI53)</f>
      </c>
      <c r="AJ54" s="40">
        <f>SUM(AJ51:AJ53)</f>
      </c>
      <c r="AK54" s="40">
        <f>SUM(AK51:AK53)</f>
      </c>
      <c r="AL54" s="40">
        <f>SUM(AL51:AL53)</f>
      </c>
      <c r="AM54" s="40">
        <f>SUM(AM51:AM53)</f>
      </c>
      <c r="AN54" s="40">
        <f>SUM(AN51:AN53)</f>
      </c>
      <c r="AO54" s="40">
        <f>SUM(AO51:AO53)</f>
      </c>
      <c r="AP54" s="40">
        <f>SUM(AP51:AP53)</f>
      </c>
      <c r="AQ54" s="40">
        <f>SUM(AQ51:AQ53)</f>
      </c>
      <c r="AR54" s="44">
        <f>SUM(AR51:AR53)</f>
      </c>
    </row>
    <row r="55">
      <c r="A55" s="24"/>
      <c r="B55" s="46" t="s">
        <v>67</v>
      </c>
      <c r="C55" s="46"/>
      <c r="D55" s="46"/>
      <c r="E55" s="46"/>
      <c r="F55" s="47">
        <f>F47+F44+F54+F50</f>
      </c>
      <c r="G55" s="47">
        <f>G47+G44+G54+G50</f>
      </c>
      <c r="H55" s="47">
        <f>H47+H44+H54+H50</f>
      </c>
      <c r="I55" s="47">
        <f>I47+I44+I54+I50</f>
      </c>
      <c r="J55" s="47">
        <f>J47+J44+J54+J50</f>
      </c>
      <c r="K55" s="47">
        <f>K47+K44+K54+K50</f>
      </c>
      <c r="L55" s="48">
        <f t="shared" si="375"/>
      </c>
      <c r="M55" s="49">
        <f t="shared" si="321"/>
      </c>
      <c r="N55" s="50">
        <f t="shared" si="231"/>
      </c>
      <c r="O55" s="50">
        <f t="shared" si="177"/>
      </c>
      <c r="P55" s="50">
        <f t="shared" si="74"/>
      </c>
      <c r="Q55" s="50">
        <f t="shared" si="38"/>
      </c>
      <c r="R55" s="50">
        <f t="shared" si="2"/>
      </c>
      <c r="S55" s="50">
        <f t="shared" si="496"/>
      </c>
      <c r="T55" s="50">
        <f t="shared" si="393"/>
      </c>
      <c r="U55" s="48">
        <f t="shared" si="339"/>
      </c>
      <c r="V55" s="48">
        <f t="shared" si="249"/>
      </c>
      <c r="W55" s="48">
        <f t="shared" si="267"/>
      </c>
      <c r="X55" s="48">
        <f t="shared" si="285"/>
      </c>
      <c r="Y55" s="48">
        <f t="shared" si="195"/>
      </c>
      <c r="Z55" s="48">
        <f t="shared" si="92"/>
      </c>
      <c r="AA55" s="49">
        <f t="shared" si="56"/>
      </c>
      <c r="AB55" s="49">
        <f t="shared" si="20"/>
      </c>
      <c r="AC55" s="49">
        <f t="shared" si="514"/>
      </c>
      <c r="AD55" s="48">
        <f t="shared" si="411"/>
      </c>
      <c r="AE55" s="49">
        <f t="shared" si="357"/>
      </c>
      <c r="AF55" s="48">
        <f t="shared" si="303"/>
      </c>
      <c r="AG55" s="48">
        <f t="shared" si="213"/>
      </c>
      <c r="AH55" s="44">
        <f>AH47+AH44+AH54+AH50</f>
      </c>
      <c r="AI55" s="44">
        <f>AI47+AI44+AI54+AI50</f>
      </c>
      <c r="AJ55" s="44">
        <f>AJ47+AJ44+AJ54+AJ50</f>
      </c>
      <c r="AK55" s="44">
        <f>AK47+AK44+AK54+AK50</f>
      </c>
      <c r="AL55" s="44">
        <f>AL47+AL44+AL54+AL50</f>
      </c>
      <c r="AM55" s="44">
        <f>AM47+AM44+AM54+AM50</f>
      </c>
      <c r="AN55" s="44">
        <f>AN47+AN44+AN54+AN50</f>
      </c>
      <c r="AO55" s="44">
        <f>AO47+AO44+AO54+AO50</f>
      </c>
      <c r="AP55" s="44">
        <f>AP47+AP44+AP54+AP50</f>
      </c>
      <c r="AQ55" s="44">
        <f>AQ47+AQ44+AQ54+AQ50</f>
      </c>
      <c r="AR55" s="44">
        <f>AR47+AR44+AR54+AR50</f>
      </c>
    </row>
    <row r="56">
      <c r="A56" s="1"/>
      <c r="B56" s="1"/>
      <c r="C56" s="1"/>
      <c r="D56" s="1"/>
      <c r="E56" s="1"/>
      <c r="F56" s="2" t="s">
        <v>1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3" t="s">
        <v>2</v>
      </c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4" t="s">
        <v>3</v>
      </c>
      <c r="AD56" s="4"/>
      <c r="AE56" s="4"/>
      <c r="AF56" s="4"/>
      <c r="AG56" s="4"/>
      <c r="AH56" s="5" t="s">
        <v>4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</row>
    <row r="57">
      <c r="A57" s="6" t="s">
        <v>5</v>
      </c>
      <c r="B57" s="7" t="s">
        <v>6</v>
      </c>
      <c r="C57" s="7" t="s">
        <v>7</v>
      </c>
      <c r="D57" s="8" t="s">
        <v>8</v>
      </c>
      <c r="E57" s="9" t="s">
        <v>9</v>
      </c>
      <c r="F57" s="10" t="s">
        <v>10</v>
      </c>
      <c r="G57" s="11" t="s">
        <v>11</v>
      </c>
      <c r="H57" s="12" t="s">
        <v>12</v>
      </c>
      <c r="I57" s="13" t="s">
        <v>13</v>
      </c>
      <c r="J57" s="13" t="s">
        <v>14</v>
      </c>
      <c r="K57" s="12" t="s">
        <v>15</v>
      </c>
      <c r="L57" s="14" t="s">
        <v>16</v>
      </c>
      <c r="M57" s="15" t="s">
        <v>17</v>
      </c>
      <c r="N57" s="16" t="s">
        <v>18</v>
      </c>
      <c r="O57" s="16" t="s">
        <v>19</v>
      </c>
      <c r="P57" s="17" t="s">
        <v>20</v>
      </c>
      <c r="Q57" s="3" t="s">
        <v>21</v>
      </c>
      <c r="R57" s="18" t="s">
        <v>22</v>
      </c>
      <c r="S57" s="18" t="s">
        <v>23</v>
      </c>
      <c r="T57" s="18" t="s">
        <v>24</v>
      </c>
      <c r="U57" s="19" t="s">
        <v>25</v>
      </c>
      <c r="V57" s="19" t="s">
        <v>26</v>
      </c>
      <c r="W57" s="19" t="s">
        <v>27</v>
      </c>
      <c r="X57" s="19" t="s">
        <v>28</v>
      </c>
      <c r="Y57" s="19" t="s">
        <v>29</v>
      </c>
      <c r="Z57" s="19" t="s">
        <v>30</v>
      </c>
      <c r="AA57" s="20" t="s">
        <v>31</v>
      </c>
      <c r="AB57" s="20" t="s">
        <v>32</v>
      </c>
      <c r="AC57" s="4" t="s">
        <v>33</v>
      </c>
      <c r="AD57" s="21" t="s">
        <v>34</v>
      </c>
      <c r="AE57" s="4" t="s">
        <v>35</v>
      </c>
      <c r="AF57" s="21" t="s">
        <v>36</v>
      </c>
      <c r="AG57" s="21" t="s">
        <v>37</v>
      </c>
      <c r="AH57" s="22" t="s">
        <v>38</v>
      </c>
      <c r="AI57" s="22" t="s">
        <v>39</v>
      </c>
      <c r="AJ57" s="22" t="s">
        <v>40</v>
      </c>
      <c r="AK57" s="22" t="s">
        <v>41</v>
      </c>
      <c r="AL57" s="22" t="s">
        <v>42</v>
      </c>
      <c r="AM57" s="22" t="s">
        <v>43</v>
      </c>
      <c r="AN57" s="22" t="s">
        <v>44</v>
      </c>
      <c r="AO57" s="22" t="s">
        <v>45</v>
      </c>
      <c r="AP57" s="22" t="s">
        <v>46</v>
      </c>
      <c r="AQ57" s="22" t="s">
        <v>47</v>
      </c>
      <c r="AR57" s="23" t="s">
        <v>48</v>
      </c>
    </row>
    <row r="58">
      <c r="A58" s="24">
        <v>46299</v>
      </c>
      <c r="B58" s="26" t="s">
        <v>69</v>
      </c>
      <c r="C58" s="25" t="s">
        <v>50</v>
      </c>
      <c r="D58" s="26" t="s">
        <v>51</v>
      </c>
      <c r="E58" s="26" t="s">
        <v>52</v>
      </c>
      <c r="F58" s="27">
        <f t="shared" ref="F58:F62" si="437">H58+G58</f>
      </c>
      <c r="G58" s="28">
        <v>1557.55</v>
      </c>
      <c r="H58" s="28">
        <v>246.69</v>
      </c>
      <c r="I58" s="29">
        <v>4</v>
      </c>
      <c r="J58" s="29">
        <v>4</v>
      </c>
      <c r="K58" s="30">
        <v>2575</v>
      </c>
      <c r="L58" s="31">
        <f t="shared" ref="L58:L74" si="376">AQ58/J58</f>
      </c>
      <c r="M58" s="32">
        <f t="shared" ref="M58:M74" si="322">K58/J58</f>
      </c>
      <c r="N58" s="33">
        <f t="shared" ref="N58:N74" si="232">F58/J58</f>
      </c>
      <c r="O58" s="33">
        <f t="shared" ref="O58:O74" si="178">K58/F58</f>
      </c>
      <c r="P58" s="33">
        <f t="shared" ref="P58:P74" si="75">K58/((300*AR58)+F58)</f>
      </c>
      <c r="Q58" s="33">
        <f t="shared" ref="Q58:Q74" si="39">F58/AJ58</f>
      </c>
      <c r="R58" s="33">
        <f t="shared" ref="R58:R74" si="3">F58/AK58</f>
      </c>
      <c r="S58" s="33">
        <f t="shared" ref="S58:S74" si="497">F58/AL58</f>
      </c>
      <c r="T58" s="33">
        <f t="shared" ref="T58:T74" si="394">F58/AM58</f>
      </c>
      <c r="U58" s="31">
        <f t="shared" ref="U58:U74" si="340">AI58/AJ58</f>
      </c>
      <c r="V58" s="31">
        <f t="shared" ref="V58:V74" si="250">AK58/AJ58</f>
      </c>
      <c r="W58" s="31">
        <f t="shared" ref="W58:W74" si="268">AL58/AK58</f>
      </c>
      <c r="X58" s="31">
        <f t="shared" ref="X58:X74" si="286">AM58/AL58</f>
      </c>
      <c r="Y58" s="31">
        <f t="shared" ref="Y58:Y74" si="196">AI58/AH58</f>
      </c>
      <c r="Z58" s="31">
        <f t="shared" ref="Z58:Z74" si="93">AM58/AI58</f>
      </c>
      <c r="AA58" s="32">
        <f t="shared" ref="AA58:AA74" si="57">F58/AH58*1000</f>
      </c>
      <c r="AB58" s="32">
        <f t="shared" ref="AB58:AB74" si="21">F58/AI58</f>
      </c>
      <c r="AC58" s="32">
        <f t="shared" ref="AC58:AC74" si="515">F58/AN58</f>
      </c>
      <c r="AD58" s="31">
        <f t="shared" ref="AD58:AD74" si="412">AN58/AJ58</f>
      </c>
      <c r="AE58" s="32">
        <f t="shared" ref="AE58:AE74" si="358">F58/AO58</f>
      </c>
      <c r="AF58" s="31">
        <f t="shared" ref="AF58:AF74" si="304">AO58/AJ58</f>
      </c>
      <c r="AG58" s="31">
        <f t="shared" ref="AG58:AG74" si="214">AP58/AJ58</f>
      </c>
      <c r="AH58" s="34">
        <v>25738</v>
      </c>
      <c r="AI58" s="35">
        <v>419</v>
      </c>
      <c r="AJ58" s="35">
        <v>485</v>
      </c>
      <c r="AK58" s="34">
        <v>16</v>
      </c>
      <c r="AL58" s="34">
        <v>3</v>
      </c>
      <c r="AM58" s="34">
        <v>3</v>
      </c>
      <c r="AN58" s="34">
        <v>58</v>
      </c>
      <c r="AO58" s="34">
        <v>57</v>
      </c>
      <c r="AP58" s="34">
        <v>6</v>
      </c>
      <c r="AQ58" s="29">
        <v>1</v>
      </c>
      <c r="AR58" s="36">
        <f t="shared" ref="AR58:AR62" si="118">COUNT(AQ58)</f>
      </c>
    </row>
    <row r="59">
      <c r="A59" s="24"/>
      <c r="B59" s="26" t="s">
        <v>69</v>
      </c>
      <c r="C59" s="25" t="s">
        <v>50</v>
      </c>
      <c r="D59" s="26" t="s">
        <v>51</v>
      </c>
      <c r="E59" s="26" t="s">
        <v>53</v>
      </c>
      <c r="F59" s="27">
        <f t="shared" si="437"/>
      </c>
      <c r="G59" s="37">
        <v>953.24</v>
      </c>
      <c r="H59" s="28">
        <v>388.39</v>
      </c>
      <c r="I59" s="29">
        <v>3</v>
      </c>
      <c r="J59" s="29">
        <v>2</v>
      </c>
      <c r="K59" s="30">
        <v>1441.2000000000003</v>
      </c>
      <c r="L59" s="31">
        <f t="shared" si="376"/>
      </c>
      <c r="M59" s="32">
        <f t="shared" si="322"/>
      </c>
      <c r="N59" s="33">
        <f t="shared" si="232"/>
      </c>
      <c r="O59" s="33">
        <f t="shared" si="178"/>
      </c>
      <c r="P59" s="33">
        <f t="shared" si="75"/>
      </c>
      <c r="Q59" s="33">
        <f t="shared" si="39"/>
      </c>
      <c r="R59" s="33">
        <f t="shared" si="3"/>
      </c>
      <c r="S59" s="33">
        <f t="shared" si="497"/>
      </c>
      <c r="T59" s="33">
        <f t="shared" si="394"/>
      </c>
      <c r="U59" s="31">
        <f t="shared" si="340"/>
      </c>
      <c r="V59" s="31">
        <f t="shared" si="250"/>
      </c>
      <c r="W59" s="31">
        <f t="shared" si="268"/>
      </c>
      <c r="X59" s="31">
        <f t="shared" si="286"/>
      </c>
      <c r="Y59" s="31">
        <f t="shared" si="196"/>
      </c>
      <c r="Z59" s="31">
        <f t="shared" si="93"/>
      </c>
      <c r="AA59" s="32">
        <f t="shared" si="57"/>
      </c>
      <c r="AB59" s="32">
        <f t="shared" si="21"/>
      </c>
      <c r="AC59" s="32">
        <f t="shared" si="515"/>
      </c>
      <c r="AD59" s="31">
        <f t="shared" si="412"/>
      </c>
      <c r="AE59" s="32">
        <f t="shared" si="358"/>
      </c>
      <c r="AF59" s="31">
        <f t="shared" si="304"/>
      </c>
      <c r="AG59" s="31">
        <f t="shared" si="214"/>
      </c>
      <c r="AH59" s="29">
        <v>13814</v>
      </c>
      <c r="AI59" s="34">
        <v>333</v>
      </c>
      <c r="AJ59" s="34">
        <v>411</v>
      </c>
      <c r="AK59" s="34">
        <v>23</v>
      </c>
      <c r="AL59" s="34">
        <v>2</v>
      </c>
      <c r="AM59" s="34">
        <v>2</v>
      </c>
      <c r="AN59" s="34">
        <v>44</v>
      </c>
      <c r="AO59" s="34">
        <v>62</v>
      </c>
      <c r="AP59" s="34">
        <v>5</v>
      </c>
      <c r="AQ59" s="29">
        <v>0</v>
      </c>
      <c r="AR59" s="36">
        <f t="shared" si="118"/>
      </c>
    </row>
    <row r="60">
      <c r="A60" s="24"/>
      <c r="B60" s="26" t="s">
        <v>69</v>
      </c>
      <c r="C60" s="25" t="s">
        <v>50</v>
      </c>
      <c r="D60" s="26" t="s">
        <v>51</v>
      </c>
      <c r="E60" s="26" t="s">
        <v>54</v>
      </c>
      <c r="F60" s="27">
        <f t="shared" si="437"/>
      </c>
      <c r="G60" s="28">
        <v>496.57</v>
      </c>
      <c r="H60" s="28">
        <v>573.81</v>
      </c>
      <c r="I60" s="29">
        <v>3</v>
      </c>
      <c r="J60" s="29">
        <v>3</v>
      </c>
      <c r="K60" s="30">
        <v>2336.2000000000003</v>
      </c>
      <c r="L60" s="31">
        <f t="shared" si="376"/>
      </c>
      <c r="M60" s="32">
        <f t="shared" si="322"/>
      </c>
      <c r="N60" s="33">
        <f t="shared" si="232"/>
      </c>
      <c r="O60" s="33">
        <f t="shared" si="178"/>
      </c>
      <c r="P60" s="33">
        <f t="shared" si="75"/>
      </c>
      <c r="Q60" s="33">
        <f t="shared" si="39"/>
      </c>
      <c r="R60" s="33">
        <f t="shared" si="3"/>
      </c>
      <c r="S60" s="33">
        <f t="shared" si="497"/>
      </c>
      <c r="T60" s="33">
        <f t="shared" si="394"/>
      </c>
      <c r="U60" s="31">
        <f t="shared" si="340"/>
      </c>
      <c r="V60" s="31">
        <f t="shared" si="250"/>
      </c>
      <c r="W60" s="31">
        <f t="shared" si="268"/>
      </c>
      <c r="X60" s="31">
        <f t="shared" si="286"/>
      </c>
      <c r="Y60" s="31">
        <f t="shared" si="196"/>
      </c>
      <c r="Z60" s="31">
        <f t="shared" si="93"/>
      </c>
      <c r="AA60" s="32">
        <f t="shared" si="57"/>
      </c>
      <c r="AB60" s="32">
        <f t="shared" si="21"/>
      </c>
      <c r="AC60" s="32">
        <f t="shared" si="515"/>
      </c>
      <c r="AD60" s="31">
        <f t="shared" si="412"/>
      </c>
      <c r="AE60" s="32">
        <f t="shared" si="358"/>
      </c>
      <c r="AF60" s="31">
        <f t="shared" si="304"/>
      </c>
      <c r="AG60" s="31">
        <f t="shared" si="214"/>
      </c>
      <c r="AH60" s="29">
        <v>10126</v>
      </c>
      <c r="AI60" s="34">
        <v>347</v>
      </c>
      <c r="AJ60" s="34">
        <v>402</v>
      </c>
      <c r="AK60" s="34">
        <v>23</v>
      </c>
      <c r="AL60" s="29">
        <v>2</v>
      </c>
      <c r="AM60" s="34">
        <v>2</v>
      </c>
      <c r="AN60" s="34">
        <v>53</v>
      </c>
      <c r="AO60" s="34">
        <v>33</v>
      </c>
      <c r="AP60" s="34">
        <v>4</v>
      </c>
      <c r="AQ60" s="29">
        <v>0</v>
      </c>
      <c r="AR60" s="36">
        <f t="shared" si="118"/>
      </c>
    </row>
    <row r="61">
      <c r="A61" s="24"/>
      <c r="B61" s="26" t="s">
        <v>69</v>
      </c>
      <c r="C61" s="25" t="s">
        <v>50</v>
      </c>
      <c r="D61" s="26" t="s">
        <v>51</v>
      </c>
      <c r="E61" s="26" t="s">
        <v>55</v>
      </c>
      <c r="F61" s="27">
        <f t="shared" si="437"/>
      </c>
      <c r="G61" s="28">
        <v>356.19</v>
      </c>
      <c r="H61" s="28">
        <v>515.55</v>
      </c>
      <c r="I61" s="29">
        <v>1</v>
      </c>
      <c r="J61" s="29">
        <v>1</v>
      </c>
      <c r="K61" s="30">
        <v>967.1999999999998</v>
      </c>
      <c r="L61" s="31">
        <f t="shared" si="376"/>
      </c>
      <c r="M61" s="32">
        <f t="shared" si="322"/>
      </c>
      <c r="N61" s="33">
        <f t="shared" si="232"/>
      </c>
      <c r="O61" s="33">
        <f t="shared" si="178"/>
      </c>
      <c r="P61" s="33">
        <f t="shared" si="75"/>
      </c>
      <c r="Q61" s="33">
        <f t="shared" si="39"/>
      </c>
      <c r="R61" s="33">
        <f t="shared" si="3"/>
      </c>
      <c r="S61" s="33">
        <f t="shared" si="497"/>
      </c>
      <c r="T61" s="33">
        <f t="shared" si="394"/>
      </c>
      <c r="U61" s="31">
        <f t="shared" si="340"/>
      </c>
      <c r="V61" s="31">
        <f t="shared" si="250"/>
      </c>
      <c r="W61" s="31">
        <f t="shared" si="268"/>
      </c>
      <c r="X61" s="31">
        <f t="shared" si="286"/>
      </c>
      <c r="Y61" s="31">
        <f t="shared" si="196"/>
      </c>
      <c r="Z61" s="31">
        <f t="shared" si="93"/>
      </c>
      <c r="AA61" s="32">
        <f t="shared" si="57"/>
      </c>
      <c r="AB61" s="32">
        <f t="shared" si="21"/>
      </c>
      <c r="AC61" s="32">
        <f t="shared" si="515"/>
      </c>
      <c r="AD61" s="31">
        <f t="shared" si="412"/>
      </c>
      <c r="AE61" s="32">
        <f t="shared" si="358"/>
      </c>
      <c r="AF61" s="31">
        <f t="shared" si="304"/>
      </c>
      <c r="AG61" s="31">
        <f t="shared" si="214"/>
      </c>
      <c r="AH61" s="29">
        <v>7832</v>
      </c>
      <c r="AI61" s="34">
        <v>299</v>
      </c>
      <c r="AJ61" s="34">
        <v>353</v>
      </c>
      <c r="AK61" s="34">
        <v>19</v>
      </c>
      <c r="AL61" s="29">
        <v>0</v>
      </c>
      <c r="AM61" s="34">
        <v>0</v>
      </c>
      <c r="AN61" s="34">
        <v>27</v>
      </c>
      <c r="AO61" s="34">
        <v>30</v>
      </c>
      <c r="AP61" s="34">
        <v>1</v>
      </c>
      <c r="AQ61" s="29">
        <v>0</v>
      </c>
      <c r="AR61" s="36">
        <f t="shared" si="118"/>
      </c>
    </row>
    <row r="62">
      <c r="A62" s="24"/>
      <c r="B62" s="26" t="s">
        <v>69</v>
      </c>
      <c r="C62" s="25" t="s">
        <v>50</v>
      </c>
      <c r="D62" s="26" t="s">
        <v>51</v>
      </c>
      <c r="E62" s="26" t="s">
        <v>58</v>
      </c>
      <c r="F62" s="27">
        <f t="shared" si="437"/>
      </c>
      <c r="G62" s="28">
        <v>618.6</v>
      </c>
      <c r="H62" s="28">
        <v>425.84</v>
      </c>
      <c r="I62" s="29">
        <v>1</v>
      </c>
      <c r="J62" s="29">
        <v>1</v>
      </c>
      <c r="K62" s="30">
        <v>967.2000000000007</v>
      </c>
      <c r="L62" s="31">
        <f t="shared" si="376"/>
      </c>
      <c r="M62" s="32">
        <f t="shared" si="322"/>
      </c>
      <c r="N62" s="33">
        <f t="shared" si="232"/>
      </c>
      <c r="O62" s="33">
        <f t="shared" si="178"/>
      </c>
      <c r="P62" s="33">
        <f t="shared" si="75"/>
      </c>
      <c r="Q62" s="33">
        <f t="shared" si="39"/>
      </c>
      <c r="R62" s="33">
        <f t="shared" si="3"/>
      </c>
      <c r="S62" s="33">
        <f t="shared" si="497"/>
      </c>
      <c r="T62" s="33">
        <f t="shared" si="394"/>
      </c>
      <c r="U62" s="31">
        <f t="shared" si="340"/>
      </c>
      <c r="V62" s="31">
        <f t="shared" si="250"/>
      </c>
      <c r="W62" s="31">
        <f t="shared" si="268"/>
      </c>
      <c r="X62" s="31">
        <f t="shared" si="286"/>
      </c>
      <c r="Y62" s="31">
        <f t="shared" si="196"/>
      </c>
      <c r="Z62" s="31">
        <f t="shared" si="93"/>
      </c>
      <c r="AA62" s="32">
        <f t="shared" si="57"/>
      </c>
      <c r="AB62" s="32">
        <f t="shared" si="21"/>
      </c>
      <c r="AC62" s="32">
        <f t="shared" si="515"/>
      </c>
      <c r="AD62" s="31">
        <f t="shared" si="412"/>
      </c>
      <c r="AE62" s="32">
        <f t="shared" si="358"/>
      </c>
      <c r="AF62" s="31">
        <f t="shared" si="304"/>
      </c>
      <c r="AG62" s="31">
        <f t="shared" si="214"/>
      </c>
      <c r="AH62" s="34">
        <v>9767</v>
      </c>
      <c r="AI62" s="34">
        <v>242</v>
      </c>
      <c r="AJ62" s="34">
        <v>288</v>
      </c>
      <c r="AK62" s="34">
        <v>13</v>
      </c>
      <c r="AL62" s="29">
        <v>1</v>
      </c>
      <c r="AM62" s="29">
        <v>1</v>
      </c>
      <c r="AN62" s="34">
        <v>28</v>
      </c>
      <c r="AO62" s="34">
        <v>38</v>
      </c>
      <c r="AP62" s="34">
        <v>3</v>
      </c>
      <c r="AQ62" s="29">
        <v>0</v>
      </c>
      <c r="AR62" s="36">
        <f t="shared" si="118"/>
      </c>
    </row>
    <row r="63">
      <c r="A63" s="24"/>
      <c r="B63" s="38" t="s">
        <v>56</v>
      </c>
      <c r="C63" s="38"/>
      <c r="D63" s="38"/>
      <c r="E63" s="38"/>
      <c r="F63" s="39">
        <f>SUM(F58:F62)</f>
      </c>
      <c r="G63" s="39">
        <f>SUM(G58:G62)</f>
      </c>
      <c r="H63" s="39">
        <f>SUM(H58:H62)</f>
      </c>
      <c r="I63" s="40">
        <f>SUM(I58:I62)</f>
      </c>
      <c r="J63" s="40">
        <f>SUM(J58:J62)</f>
      </c>
      <c r="K63" s="39">
        <f>SUM(K58:K62)</f>
      </c>
      <c r="L63" s="41">
        <f t="shared" si="376"/>
      </c>
      <c r="M63" s="42">
        <f t="shared" si="322"/>
      </c>
      <c r="N63" s="43">
        <f t="shared" si="232"/>
      </c>
      <c r="O63" s="43">
        <f t="shared" si="178"/>
      </c>
      <c r="P63" s="43">
        <f t="shared" si="75"/>
      </c>
      <c r="Q63" s="43">
        <f t="shared" si="39"/>
      </c>
      <c r="R63" s="43">
        <f t="shared" si="3"/>
      </c>
      <c r="S63" s="43">
        <f t="shared" si="497"/>
      </c>
      <c r="T63" s="43">
        <f t="shared" si="394"/>
      </c>
      <c r="U63" s="41">
        <f t="shared" si="340"/>
      </c>
      <c r="V63" s="41">
        <f t="shared" si="250"/>
      </c>
      <c r="W63" s="41">
        <f t="shared" si="268"/>
      </c>
      <c r="X63" s="41">
        <f t="shared" si="286"/>
      </c>
      <c r="Y63" s="41">
        <f t="shared" si="196"/>
      </c>
      <c r="Z63" s="41">
        <f t="shared" si="93"/>
      </c>
      <c r="AA63" s="42">
        <f t="shared" si="57"/>
      </c>
      <c r="AB63" s="42">
        <f t="shared" si="21"/>
      </c>
      <c r="AC63" s="42">
        <f t="shared" si="515"/>
      </c>
      <c r="AD63" s="41">
        <f t="shared" si="412"/>
      </c>
      <c r="AE63" s="42">
        <f t="shared" si="358"/>
      </c>
      <c r="AF63" s="41">
        <f t="shared" si="304"/>
      </c>
      <c r="AG63" s="41">
        <f t="shared" si="214"/>
      </c>
      <c r="AH63" s="40">
        <f>SUM(AH58:AH62)</f>
      </c>
      <c r="AI63" s="40">
        <f>SUM(AI58:AI62)</f>
      </c>
      <c r="AJ63" s="40">
        <f>SUM(AJ58:AJ62)</f>
      </c>
      <c r="AK63" s="40">
        <f>SUM(AK58:AK62)</f>
      </c>
      <c r="AL63" s="40">
        <f>SUM(AL58:AL62)</f>
      </c>
      <c r="AM63" s="40">
        <f>SUM(AM58:AM62)</f>
      </c>
      <c r="AN63" s="40">
        <f>SUM(AN58:AN62)</f>
      </c>
      <c r="AO63" s="40">
        <f>SUM(AO58:AO62)</f>
      </c>
      <c r="AP63" s="40">
        <f>SUM(AP58:AP62)</f>
      </c>
      <c r="AQ63" s="40">
        <f>SUM(AQ58:AQ62)</f>
      </c>
      <c r="AR63" s="44">
        <f>SUM(AR58:AR62)</f>
      </c>
    </row>
    <row r="64">
      <c r="A64" s="24"/>
      <c r="B64" s="26" t="s">
        <v>69</v>
      </c>
      <c r="C64" s="25" t="s">
        <v>50</v>
      </c>
      <c r="D64" s="26" t="s">
        <v>68</v>
      </c>
      <c r="E64" s="26" t="s">
        <v>59</v>
      </c>
      <c r="F64" s="27">
        <f t="shared" ref="F64:F65" si="438">H64+G64</f>
      </c>
      <c r="G64" s="28">
        <v>481.32</v>
      </c>
      <c r="H64" s="28">
        <v>250.1</v>
      </c>
      <c r="I64" s="29">
        <v>4</v>
      </c>
      <c r="J64" s="29">
        <v>3</v>
      </c>
      <c r="K64" s="30">
        <v>2408.3999999999996</v>
      </c>
      <c r="L64" s="31">
        <f t="shared" si="376"/>
      </c>
      <c r="M64" s="32">
        <f t="shared" si="322"/>
      </c>
      <c r="N64" s="33">
        <f t="shared" si="232"/>
      </c>
      <c r="O64" s="33">
        <f t="shared" si="178"/>
      </c>
      <c r="P64" s="33">
        <f t="shared" si="75"/>
      </c>
      <c r="Q64" s="33">
        <f t="shared" si="39"/>
      </c>
      <c r="R64" s="33">
        <f t="shared" si="3"/>
      </c>
      <c r="S64" s="33">
        <f t="shared" si="497"/>
      </c>
      <c r="T64" s="33">
        <f t="shared" si="394"/>
      </c>
      <c r="U64" s="31">
        <f t="shared" si="340"/>
      </c>
      <c r="V64" s="31">
        <f t="shared" si="250"/>
      </c>
      <c r="W64" s="31">
        <f t="shared" si="268"/>
      </c>
      <c r="X64" s="31">
        <f t="shared" si="286"/>
      </c>
      <c r="Y64" s="31">
        <f t="shared" si="196"/>
      </c>
      <c r="Z64" s="31">
        <f t="shared" si="93"/>
      </c>
      <c r="AA64" s="32">
        <f t="shared" si="57"/>
      </c>
      <c r="AB64" s="32">
        <f t="shared" si="21"/>
      </c>
      <c r="AC64" s="32">
        <f t="shared" si="515"/>
      </c>
      <c r="AD64" s="31">
        <f t="shared" si="412"/>
      </c>
      <c r="AE64" s="32">
        <f t="shared" si="358"/>
      </c>
      <c r="AF64" s="31">
        <f t="shared" si="304"/>
      </c>
      <c r="AG64" s="31">
        <f t="shared" si="214"/>
      </c>
      <c r="AH64" s="34">
        <v>8302</v>
      </c>
      <c r="AI64" s="34">
        <v>210</v>
      </c>
      <c r="AJ64" s="34">
        <v>237</v>
      </c>
      <c r="AK64" s="34">
        <v>11</v>
      </c>
      <c r="AL64" s="29">
        <v>4</v>
      </c>
      <c r="AM64" s="29">
        <v>3</v>
      </c>
      <c r="AN64" s="34">
        <v>33</v>
      </c>
      <c r="AO64" s="34">
        <v>44</v>
      </c>
      <c r="AP64" s="34">
        <v>3</v>
      </c>
      <c r="AQ64" s="29">
        <v>0</v>
      </c>
      <c r="AR64" s="36">
        <f t="shared" ref="AR64:AR65" si="119">COUNT(AQ64)</f>
      </c>
    </row>
    <row r="65">
      <c r="A65" s="24"/>
      <c r="B65" s="26" t="s">
        <v>69</v>
      </c>
      <c r="C65" s="25" t="s">
        <v>50</v>
      </c>
      <c r="D65" s="26" t="s">
        <v>68</v>
      </c>
      <c r="E65" s="26" t="s">
        <v>60</v>
      </c>
      <c r="F65" s="27">
        <f t="shared" si="438"/>
      </c>
      <c r="G65" s="28">
        <v>475.35</v>
      </c>
      <c r="H65" s="28">
        <v>187.53</v>
      </c>
      <c r="I65" s="29">
        <v>4</v>
      </c>
      <c r="J65" s="34">
        <v>4</v>
      </c>
      <c r="K65" s="45">
        <v>2524.7999999999993</v>
      </c>
      <c r="L65" s="31">
        <f t="shared" si="376"/>
      </c>
      <c r="M65" s="32">
        <f t="shared" si="322"/>
      </c>
      <c r="N65" s="33">
        <f t="shared" si="232"/>
      </c>
      <c r="O65" s="33">
        <f t="shared" si="178"/>
      </c>
      <c r="P65" s="33">
        <f t="shared" si="75"/>
      </c>
      <c r="Q65" s="33">
        <f t="shared" si="39"/>
      </c>
      <c r="R65" s="33">
        <f t="shared" si="3"/>
      </c>
      <c r="S65" s="33">
        <f t="shared" si="497"/>
      </c>
      <c r="T65" s="33">
        <f t="shared" si="394"/>
      </c>
      <c r="U65" s="31">
        <f t="shared" si="340"/>
      </c>
      <c r="V65" s="31">
        <f t="shared" si="250"/>
      </c>
      <c r="W65" s="31">
        <f t="shared" si="268"/>
      </c>
      <c r="X65" s="31">
        <f t="shared" si="286"/>
      </c>
      <c r="Y65" s="31">
        <f t="shared" si="196"/>
      </c>
      <c r="Z65" s="31">
        <f t="shared" si="93"/>
      </c>
      <c r="AA65" s="32">
        <f t="shared" si="57"/>
      </c>
      <c r="AB65" s="32">
        <f t="shared" si="21"/>
      </c>
      <c r="AC65" s="32">
        <f t="shared" si="515"/>
      </c>
      <c r="AD65" s="31">
        <f t="shared" si="412"/>
      </c>
      <c r="AE65" s="32">
        <f t="shared" si="358"/>
      </c>
      <c r="AF65" s="31">
        <f t="shared" si="304"/>
      </c>
      <c r="AG65" s="31">
        <f t="shared" si="214"/>
      </c>
      <c r="AH65" s="34">
        <v>10107</v>
      </c>
      <c r="AI65" s="34">
        <v>219</v>
      </c>
      <c r="AJ65" s="34">
        <v>265</v>
      </c>
      <c r="AK65" s="34">
        <v>15</v>
      </c>
      <c r="AL65" s="34">
        <v>1</v>
      </c>
      <c r="AM65" s="34">
        <v>1</v>
      </c>
      <c r="AN65" s="34">
        <v>40</v>
      </c>
      <c r="AO65" s="34">
        <v>33</v>
      </c>
      <c r="AP65" s="34">
        <v>3</v>
      </c>
      <c r="AQ65" s="29">
        <v>0</v>
      </c>
      <c r="AR65" s="36">
        <f t="shared" si="119"/>
      </c>
    </row>
    <row r="66">
      <c r="A66" s="24"/>
      <c r="B66" s="38" t="s">
        <v>56</v>
      </c>
      <c r="C66" s="38"/>
      <c r="D66" s="38"/>
      <c r="E66" s="38"/>
      <c r="F66" s="39">
        <f>SUM(F64:F65)</f>
      </c>
      <c r="G66" s="39">
        <f>SUM(G64:G65)</f>
      </c>
      <c r="H66" s="39">
        <f>SUM(H64:H65)</f>
      </c>
      <c r="I66" s="40">
        <f>SUM(I64:I65)</f>
      </c>
      <c r="J66" s="40">
        <f>SUM(J64:J65)</f>
      </c>
      <c r="K66" s="39">
        <f>SUM(K64:K65)</f>
      </c>
      <c r="L66" s="41">
        <f t="shared" si="376"/>
      </c>
      <c r="M66" s="42">
        <f t="shared" si="322"/>
      </c>
      <c r="N66" s="43">
        <f t="shared" si="232"/>
      </c>
      <c r="O66" s="43">
        <f t="shared" si="178"/>
      </c>
      <c r="P66" s="43">
        <f t="shared" si="75"/>
      </c>
      <c r="Q66" s="43">
        <f t="shared" si="39"/>
      </c>
      <c r="R66" s="43">
        <f t="shared" si="3"/>
      </c>
      <c r="S66" s="43">
        <f t="shared" si="497"/>
      </c>
      <c r="T66" s="43">
        <f t="shared" si="394"/>
      </c>
      <c r="U66" s="41">
        <f t="shared" si="340"/>
      </c>
      <c r="V66" s="41">
        <f t="shared" si="250"/>
      </c>
      <c r="W66" s="41">
        <f t="shared" si="268"/>
      </c>
      <c r="X66" s="41">
        <f t="shared" si="286"/>
      </c>
      <c r="Y66" s="41">
        <f t="shared" si="196"/>
      </c>
      <c r="Z66" s="41">
        <f t="shared" si="93"/>
      </c>
      <c r="AA66" s="42">
        <f t="shared" si="57"/>
      </c>
      <c r="AB66" s="42">
        <f t="shared" si="21"/>
      </c>
      <c r="AC66" s="42">
        <f t="shared" si="515"/>
      </c>
      <c r="AD66" s="41">
        <f t="shared" si="412"/>
      </c>
      <c r="AE66" s="42">
        <f t="shared" si="358"/>
      </c>
      <c r="AF66" s="41">
        <f t="shared" si="304"/>
      </c>
      <c r="AG66" s="41">
        <f t="shared" si="214"/>
      </c>
      <c r="AH66" s="40">
        <f>SUM(AH64:AH65)</f>
      </c>
      <c r="AI66" s="40">
        <f>SUM(AI64:AI65)</f>
      </c>
      <c r="AJ66" s="40">
        <f>SUM(AJ64:AJ65)</f>
      </c>
      <c r="AK66" s="40">
        <f>SUM(AK64:AK65)</f>
      </c>
      <c r="AL66" s="40">
        <f>SUM(AL64:AL65)</f>
      </c>
      <c r="AM66" s="40">
        <f>SUM(AM64:AM65)</f>
      </c>
      <c r="AN66" s="40">
        <f>SUM(AN64:AN65)</f>
      </c>
      <c r="AO66" s="40">
        <f>SUM(AO64:AO65)</f>
      </c>
      <c r="AP66" s="40">
        <f>SUM(AP64:AP65)</f>
      </c>
      <c r="AQ66" s="40">
        <f>SUM(AQ64:AQ65)</f>
      </c>
      <c r="AR66" s="44">
        <f>SUM(AR64:AR65)</f>
      </c>
    </row>
    <row r="67">
      <c r="A67" s="24"/>
      <c r="B67" s="26" t="s">
        <v>69</v>
      </c>
      <c r="C67" s="25" t="s">
        <v>50</v>
      </c>
      <c r="D67" s="26" t="s">
        <v>71</v>
      </c>
      <c r="E67" s="26" t="s">
        <v>61</v>
      </c>
      <c r="F67" s="27">
        <f t="shared" ref="F67:F68" si="439">H67+G67</f>
      </c>
      <c r="G67" s="28">
        <v>382.34</v>
      </c>
      <c r="H67" s="28">
        <v>230.8</v>
      </c>
      <c r="I67" s="29">
        <v>2</v>
      </c>
      <c r="J67" s="34">
        <v>2</v>
      </c>
      <c r="K67" s="30">
        <v>1336.800000000001</v>
      </c>
      <c r="L67" s="31">
        <f t="shared" si="376"/>
      </c>
      <c r="M67" s="32">
        <f t="shared" si="322"/>
      </c>
      <c r="N67" s="33">
        <f t="shared" si="232"/>
      </c>
      <c r="O67" s="33">
        <f t="shared" si="178"/>
      </c>
      <c r="P67" s="33">
        <f t="shared" si="75"/>
      </c>
      <c r="Q67" s="33">
        <f t="shared" si="39"/>
      </c>
      <c r="R67" s="33">
        <f t="shared" si="3"/>
      </c>
      <c r="S67" s="33">
        <f t="shared" si="497"/>
      </c>
      <c r="T67" s="33">
        <f t="shared" si="394"/>
      </c>
      <c r="U67" s="31">
        <f t="shared" si="340"/>
      </c>
      <c r="V67" s="31">
        <f t="shared" si="250"/>
      </c>
      <c r="W67" s="31">
        <f t="shared" si="268"/>
      </c>
      <c r="X67" s="31">
        <f t="shared" si="286"/>
      </c>
      <c r="Y67" s="31">
        <f t="shared" si="196"/>
      </c>
      <c r="Z67" s="31">
        <f t="shared" si="93"/>
      </c>
      <c r="AA67" s="32">
        <f t="shared" si="57"/>
      </c>
      <c r="AB67" s="32">
        <f t="shared" si="21"/>
      </c>
      <c r="AC67" s="32">
        <f t="shared" si="515"/>
      </c>
      <c r="AD67" s="31">
        <f t="shared" si="412"/>
      </c>
      <c r="AE67" s="32">
        <f t="shared" si="358"/>
      </c>
      <c r="AF67" s="31">
        <f t="shared" si="304"/>
      </c>
      <c r="AG67" s="31">
        <f t="shared" si="214"/>
      </c>
      <c r="AH67" s="34">
        <v>7448</v>
      </c>
      <c r="AI67" s="34">
        <v>206</v>
      </c>
      <c r="AJ67" s="34">
        <v>256</v>
      </c>
      <c r="AK67" s="34">
        <v>25</v>
      </c>
      <c r="AL67" s="34">
        <v>4</v>
      </c>
      <c r="AM67" s="34">
        <v>4</v>
      </c>
      <c r="AN67" s="34">
        <v>52</v>
      </c>
      <c r="AO67" s="34">
        <v>49</v>
      </c>
      <c r="AP67" s="34">
        <v>1</v>
      </c>
      <c r="AQ67" s="29">
        <v>0</v>
      </c>
      <c r="AR67" s="36">
        <f t="shared" ref="AR67:AR68" si="120">COUNT(AQ67)</f>
      </c>
    </row>
    <row r="68">
      <c r="A68" s="24"/>
      <c r="B68" s="26" t="s">
        <v>69</v>
      </c>
      <c r="C68" s="25" t="s">
        <v>50</v>
      </c>
      <c r="D68" s="26" t="s">
        <v>71</v>
      </c>
      <c r="E68" s="26" t="s">
        <v>63</v>
      </c>
      <c r="F68" s="27">
        <f t="shared" si="439"/>
      </c>
      <c r="G68" s="28">
        <v>701.73</v>
      </c>
      <c r="H68" s="28">
        <v>335.14</v>
      </c>
      <c r="I68" s="29">
        <v>7</v>
      </c>
      <c r="J68" s="34">
        <v>6</v>
      </c>
      <c r="K68" s="30">
        <v>3007.7999999999975</v>
      </c>
      <c r="L68" s="31">
        <f t="shared" si="376"/>
      </c>
      <c r="M68" s="32">
        <f t="shared" si="322"/>
      </c>
      <c r="N68" s="33">
        <f t="shared" si="232"/>
      </c>
      <c r="O68" s="33">
        <f t="shared" si="178"/>
      </c>
      <c r="P68" s="33">
        <f t="shared" si="75"/>
      </c>
      <c r="Q68" s="33">
        <f t="shared" si="39"/>
      </c>
      <c r="R68" s="33">
        <f t="shared" si="3"/>
      </c>
      <c r="S68" s="33">
        <f t="shared" si="497"/>
      </c>
      <c r="T68" s="33">
        <f t="shared" si="394"/>
      </c>
      <c r="U68" s="31">
        <f t="shared" si="340"/>
      </c>
      <c r="V68" s="31">
        <f t="shared" si="250"/>
      </c>
      <c r="W68" s="31">
        <f t="shared" si="268"/>
      </c>
      <c r="X68" s="31">
        <f t="shared" si="286"/>
      </c>
      <c r="Y68" s="31">
        <f t="shared" si="196"/>
      </c>
      <c r="Z68" s="31">
        <f t="shared" si="93"/>
      </c>
      <c r="AA68" s="32">
        <f t="shared" si="57"/>
      </c>
      <c r="AB68" s="32">
        <f t="shared" si="21"/>
      </c>
      <c r="AC68" s="32">
        <f t="shared" si="515"/>
      </c>
      <c r="AD68" s="31">
        <f t="shared" si="412"/>
      </c>
      <c r="AE68" s="32">
        <f t="shared" si="358"/>
      </c>
      <c r="AF68" s="31">
        <f t="shared" si="304"/>
      </c>
      <c r="AG68" s="31">
        <f t="shared" si="214"/>
      </c>
      <c r="AH68" s="34">
        <v>11392</v>
      </c>
      <c r="AI68" s="34">
        <v>312</v>
      </c>
      <c r="AJ68" s="34">
        <v>362</v>
      </c>
      <c r="AK68" s="34">
        <v>24</v>
      </c>
      <c r="AL68" s="34">
        <v>4</v>
      </c>
      <c r="AM68" s="34">
        <v>3</v>
      </c>
      <c r="AN68" s="34">
        <v>52</v>
      </c>
      <c r="AO68" s="34">
        <v>52</v>
      </c>
      <c r="AP68" s="34">
        <v>2</v>
      </c>
      <c r="AQ68" s="29">
        <v>0</v>
      </c>
      <c r="AR68" s="36">
        <f t="shared" si="120"/>
      </c>
    </row>
    <row r="69">
      <c r="A69" s="24"/>
      <c r="B69" s="38" t="s">
        <v>56</v>
      </c>
      <c r="C69" s="38"/>
      <c r="D69" s="38"/>
      <c r="E69" s="38"/>
      <c r="F69" s="39">
        <f>SUM(F67:F68)</f>
      </c>
      <c r="G69" s="39">
        <f>SUM(G67:G68)</f>
      </c>
      <c r="H69" s="39">
        <f>SUM(H67:H68)</f>
      </c>
      <c r="I69" s="40">
        <f>SUM(I67:I68)</f>
      </c>
      <c r="J69" s="40">
        <f>SUM(J67:J68)</f>
      </c>
      <c r="K69" s="39">
        <f>SUM(K67:K68)</f>
      </c>
      <c r="L69" s="41">
        <f t="shared" si="376"/>
      </c>
      <c r="M69" s="42">
        <f t="shared" si="322"/>
      </c>
      <c r="N69" s="43">
        <f t="shared" si="232"/>
      </c>
      <c r="O69" s="43">
        <f t="shared" si="178"/>
      </c>
      <c r="P69" s="43">
        <f t="shared" si="75"/>
      </c>
      <c r="Q69" s="43">
        <f t="shared" si="39"/>
      </c>
      <c r="R69" s="43">
        <f t="shared" si="3"/>
      </c>
      <c r="S69" s="43">
        <f t="shared" si="497"/>
      </c>
      <c r="T69" s="43">
        <f t="shared" si="394"/>
      </c>
      <c r="U69" s="41">
        <f t="shared" si="340"/>
      </c>
      <c r="V69" s="41">
        <f t="shared" si="250"/>
      </c>
      <c r="W69" s="41">
        <f t="shared" si="268"/>
      </c>
      <c r="X69" s="41">
        <f t="shared" si="286"/>
      </c>
      <c r="Y69" s="41">
        <f t="shared" si="196"/>
      </c>
      <c r="Z69" s="41">
        <f t="shared" si="93"/>
      </c>
      <c r="AA69" s="42">
        <f t="shared" si="57"/>
      </c>
      <c r="AB69" s="42">
        <f t="shared" si="21"/>
      </c>
      <c r="AC69" s="42">
        <f t="shared" si="515"/>
      </c>
      <c r="AD69" s="41">
        <f t="shared" si="412"/>
      </c>
      <c r="AE69" s="42">
        <f t="shared" si="358"/>
      </c>
      <c r="AF69" s="41">
        <f t="shared" si="304"/>
      </c>
      <c r="AG69" s="41">
        <f t="shared" si="214"/>
      </c>
      <c r="AH69" s="40">
        <f>SUM(AH67:AH68)</f>
      </c>
      <c r="AI69" s="40">
        <f>SUM(AI67:AI68)</f>
      </c>
      <c r="AJ69" s="40">
        <f>SUM(AJ67:AJ68)</f>
      </c>
      <c r="AK69" s="40">
        <f>SUM(AK67:AK68)</f>
      </c>
      <c r="AL69" s="40">
        <f>SUM(AL67:AL68)</f>
      </c>
      <c r="AM69" s="40">
        <f>SUM(AM67:AM68)</f>
      </c>
      <c r="AN69" s="40">
        <f>SUM(AN67:AN68)</f>
      </c>
      <c r="AO69" s="40">
        <f>SUM(AO67:AO68)</f>
      </c>
      <c r="AP69" s="40">
        <f>SUM(AP67:AP68)</f>
      </c>
      <c r="AQ69" s="40">
        <f>SUM(AQ67:AQ68)</f>
      </c>
      <c r="AR69" s="44">
        <f>SUM(AR67:AR68)</f>
      </c>
    </row>
    <row r="70">
      <c r="A70" s="24"/>
      <c r="B70" s="26" t="s">
        <v>69</v>
      </c>
      <c r="C70" s="25" t="s">
        <v>50</v>
      </c>
      <c r="D70" s="26" t="s">
        <v>62</v>
      </c>
      <c r="E70" s="25" t="s">
        <v>64</v>
      </c>
      <c r="F70" s="27">
        <f t="shared" ref="F70:F72" si="440">H70+G70</f>
      </c>
      <c r="G70" s="28">
        <v>1355.03</v>
      </c>
      <c r="H70" s="28">
        <v>566.42</v>
      </c>
      <c r="I70" s="29">
        <v>6</v>
      </c>
      <c r="J70" s="34">
        <v>6</v>
      </c>
      <c r="K70" s="30">
        <v>3507.2000000000007</v>
      </c>
      <c r="L70" s="31">
        <f t="shared" si="376"/>
      </c>
      <c r="M70" s="32">
        <f t="shared" si="322"/>
      </c>
      <c r="N70" s="33">
        <f t="shared" si="232"/>
      </c>
      <c r="O70" s="33">
        <f t="shared" si="178"/>
      </c>
      <c r="P70" s="33">
        <f t="shared" si="75"/>
      </c>
      <c r="Q70" s="33">
        <f t="shared" si="39"/>
      </c>
      <c r="R70" s="33">
        <f t="shared" si="3"/>
      </c>
      <c r="S70" s="33">
        <f t="shared" si="497"/>
      </c>
      <c r="T70" s="33">
        <f t="shared" si="394"/>
      </c>
      <c r="U70" s="31">
        <f t="shared" si="340"/>
      </c>
      <c r="V70" s="31">
        <f t="shared" si="250"/>
      </c>
      <c r="W70" s="31">
        <f t="shared" si="268"/>
      </c>
      <c r="X70" s="31">
        <f t="shared" si="286"/>
      </c>
      <c r="Y70" s="31">
        <f t="shared" si="196"/>
      </c>
      <c r="Z70" s="31">
        <f t="shared" si="93"/>
      </c>
      <c r="AA70" s="32">
        <f t="shared" si="57"/>
      </c>
      <c r="AB70" s="32">
        <f t="shared" si="21"/>
      </c>
      <c r="AC70" s="32">
        <f t="shared" si="515"/>
      </c>
      <c r="AD70" s="31">
        <f t="shared" si="412"/>
      </c>
      <c r="AE70" s="32">
        <f t="shared" si="358"/>
      </c>
      <c r="AF70" s="31">
        <f t="shared" si="304"/>
      </c>
      <c r="AG70" s="31">
        <f t="shared" si="214"/>
      </c>
      <c r="AH70" s="34">
        <v>23681</v>
      </c>
      <c r="AI70" s="34">
        <v>584</v>
      </c>
      <c r="AJ70" s="34">
        <v>728</v>
      </c>
      <c r="AK70" s="34">
        <v>38</v>
      </c>
      <c r="AL70" s="34">
        <v>6</v>
      </c>
      <c r="AM70" s="34">
        <v>6</v>
      </c>
      <c r="AN70" s="34">
        <v>86</v>
      </c>
      <c r="AO70" s="34">
        <v>82</v>
      </c>
      <c r="AP70" s="34">
        <v>13</v>
      </c>
      <c r="AQ70" s="29">
        <v>1</v>
      </c>
      <c r="AR70" s="36">
        <f t="shared" ref="AR70:AR72" si="121">COUNT(AQ70)</f>
      </c>
    </row>
    <row r="71">
      <c r="A71" s="24"/>
      <c r="B71" s="26" t="s">
        <v>69</v>
      </c>
      <c r="C71" s="25" t="s">
        <v>50</v>
      </c>
      <c r="D71" s="26" t="s">
        <v>62</v>
      </c>
      <c r="E71" s="25" t="s">
        <v>65</v>
      </c>
      <c r="F71" s="27">
        <f t="shared" si="440"/>
      </c>
      <c r="G71" s="28">
        <v>2102.07</v>
      </c>
      <c r="H71" s="28">
        <v>659.29</v>
      </c>
      <c r="I71" s="29">
        <v>1</v>
      </c>
      <c r="J71" s="29">
        <v>0</v>
      </c>
      <c r="K71" s="30">
        <v>0</v>
      </c>
      <c r="L71" s="31">
        <f t="shared" si="376"/>
      </c>
      <c r="M71" s="32">
        <f t="shared" si="322"/>
      </c>
      <c r="N71" s="33">
        <f t="shared" si="232"/>
      </c>
      <c r="O71" s="33">
        <f t="shared" si="178"/>
      </c>
      <c r="P71" s="33">
        <f t="shared" si="75"/>
      </c>
      <c r="Q71" s="33">
        <f t="shared" si="39"/>
      </c>
      <c r="R71" s="33">
        <f t="shared" si="3"/>
      </c>
      <c r="S71" s="33">
        <f t="shared" si="497"/>
      </c>
      <c r="T71" s="33">
        <f t="shared" si="394"/>
      </c>
      <c r="U71" s="31">
        <f t="shared" si="340"/>
      </c>
      <c r="V71" s="31">
        <f t="shared" si="250"/>
      </c>
      <c r="W71" s="31">
        <f t="shared" si="268"/>
      </c>
      <c r="X71" s="31">
        <f t="shared" si="286"/>
      </c>
      <c r="Y71" s="31">
        <f t="shared" si="196"/>
      </c>
      <c r="Z71" s="31">
        <f t="shared" si="93"/>
      </c>
      <c r="AA71" s="32">
        <f t="shared" si="57"/>
      </c>
      <c r="AB71" s="32">
        <f t="shared" si="21"/>
      </c>
      <c r="AC71" s="32">
        <f t="shared" si="515"/>
      </c>
      <c r="AD71" s="31">
        <f t="shared" si="412"/>
      </c>
      <c r="AE71" s="32">
        <f t="shared" si="358"/>
      </c>
      <c r="AF71" s="31">
        <f t="shared" si="304"/>
      </c>
      <c r="AG71" s="31">
        <f t="shared" si="214"/>
      </c>
      <c r="AH71" s="34">
        <v>37577</v>
      </c>
      <c r="AI71" s="34">
        <v>894</v>
      </c>
      <c r="AJ71" s="34">
        <v>1140</v>
      </c>
      <c r="AK71" s="34">
        <v>36</v>
      </c>
      <c r="AL71" s="34">
        <v>1</v>
      </c>
      <c r="AM71" s="34">
        <v>0</v>
      </c>
      <c r="AN71" s="34">
        <v>144</v>
      </c>
      <c r="AO71" s="34">
        <v>65</v>
      </c>
      <c r="AP71" s="34">
        <v>13</v>
      </c>
      <c r="AQ71" s="29">
        <v>0</v>
      </c>
      <c r="AR71" s="36">
        <f t="shared" si="121"/>
      </c>
    </row>
    <row r="72">
      <c r="A72" s="24"/>
      <c r="B72" s="26" t="s">
        <v>69</v>
      </c>
      <c r="C72" s="25" t="s">
        <v>50</v>
      </c>
      <c r="D72" s="26" t="s">
        <v>62</v>
      </c>
      <c r="E72" s="26" t="s">
        <v>66</v>
      </c>
      <c r="F72" s="27">
        <f t="shared" si="440"/>
      </c>
      <c r="G72" s="51">
        <v>500.67</v>
      </c>
      <c r="H72" s="52">
        <v>304.17</v>
      </c>
      <c r="I72" s="29">
        <v>7</v>
      </c>
      <c r="J72" s="29">
        <v>6</v>
      </c>
      <c r="K72" s="30">
        <v>4825.799999999999</v>
      </c>
      <c r="L72" s="31">
        <f t="shared" si="376"/>
      </c>
      <c r="M72" s="32">
        <f t="shared" si="322"/>
      </c>
      <c r="N72" s="33">
        <f t="shared" si="232"/>
      </c>
      <c r="O72" s="33">
        <f t="shared" si="178"/>
      </c>
      <c r="P72" s="33">
        <f t="shared" si="75"/>
      </c>
      <c r="Q72" s="33">
        <f t="shared" si="39"/>
      </c>
      <c r="R72" s="33">
        <f t="shared" si="3"/>
      </c>
      <c r="S72" s="33">
        <f t="shared" si="497"/>
      </c>
      <c r="T72" s="33">
        <f t="shared" si="394"/>
      </c>
      <c r="U72" s="31">
        <f t="shared" si="340"/>
      </c>
      <c r="V72" s="31">
        <f t="shared" si="250"/>
      </c>
      <c r="W72" s="31">
        <f t="shared" si="268"/>
      </c>
      <c r="X72" s="31">
        <f t="shared" si="286"/>
      </c>
      <c r="Y72" s="31">
        <f t="shared" si="196"/>
      </c>
      <c r="Z72" s="31">
        <f t="shared" si="93"/>
      </c>
      <c r="AA72" s="32">
        <f t="shared" si="57"/>
      </c>
      <c r="AB72" s="32">
        <f t="shared" si="21"/>
      </c>
      <c r="AC72" s="32">
        <f t="shared" si="515"/>
      </c>
      <c r="AD72" s="31">
        <f t="shared" si="412"/>
      </c>
      <c r="AE72" s="32">
        <f t="shared" si="358"/>
      </c>
      <c r="AF72" s="31">
        <f t="shared" si="304"/>
      </c>
      <c r="AG72" s="31">
        <f t="shared" si="214"/>
      </c>
      <c r="AH72" s="34">
        <v>10963</v>
      </c>
      <c r="AI72" s="34">
        <v>315</v>
      </c>
      <c r="AJ72" s="34">
        <v>420</v>
      </c>
      <c r="AK72" s="34">
        <v>28</v>
      </c>
      <c r="AL72" s="34">
        <v>4</v>
      </c>
      <c r="AM72" s="34">
        <v>5</v>
      </c>
      <c r="AN72" s="34">
        <v>47</v>
      </c>
      <c r="AO72" s="34">
        <v>55</v>
      </c>
      <c r="AP72" s="34">
        <v>6</v>
      </c>
      <c r="AQ72" s="29">
        <v>0</v>
      </c>
      <c r="AR72" s="36">
        <f t="shared" si="121"/>
      </c>
    </row>
    <row r="73">
      <c r="A73" s="24"/>
      <c r="B73" s="38" t="s">
        <v>56</v>
      </c>
      <c r="C73" s="38"/>
      <c r="D73" s="38"/>
      <c r="E73" s="38"/>
      <c r="F73" s="39">
        <f>SUM(F70:F72)</f>
      </c>
      <c r="G73" s="39">
        <f>SUM(G70:G72)</f>
      </c>
      <c r="H73" s="39">
        <f>SUM(H70:H72)</f>
      </c>
      <c r="I73" s="40">
        <f>SUM(I70:I72)</f>
      </c>
      <c r="J73" s="40">
        <f>SUM(J70:J72)</f>
      </c>
      <c r="K73" s="39">
        <f>SUM(K70:K72)</f>
      </c>
      <c r="L73" s="41">
        <f t="shared" si="376"/>
      </c>
      <c r="M73" s="42">
        <f t="shared" si="322"/>
      </c>
      <c r="N73" s="43">
        <f t="shared" si="232"/>
      </c>
      <c r="O73" s="43">
        <f t="shared" si="178"/>
      </c>
      <c r="P73" s="43">
        <f t="shared" si="75"/>
      </c>
      <c r="Q73" s="43">
        <f t="shared" si="39"/>
      </c>
      <c r="R73" s="43">
        <f t="shared" si="3"/>
      </c>
      <c r="S73" s="43">
        <f t="shared" si="497"/>
      </c>
      <c r="T73" s="43">
        <f t="shared" si="394"/>
      </c>
      <c r="U73" s="41">
        <f t="shared" si="340"/>
      </c>
      <c r="V73" s="41">
        <f t="shared" si="250"/>
      </c>
      <c r="W73" s="41">
        <f t="shared" si="268"/>
      </c>
      <c r="X73" s="41">
        <f t="shared" si="286"/>
      </c>
      <c r="Y73" s="41">
        <f t="shared" si="196"/>
      </c>
      <c r="Z73" s="41">
        <f t="shared" si="93"/>
      </c>
      <c r="AA73" s="42">
        <f t="shared" si="57"/>
      </c>
      <c r="AB73" s="42">
        <f t="shared" si="21"/>
      </c>
      <c r="AC73" s="42">
        <f t="shared" si="515"/>
      </c>
      <c r="AD73" s="41">
        <f t="shared" si="412"/>
      </c>
      <c r="AE73" s="42">
        <f t="shared" si="358"/>
      </c>
      <c r="AF73" s="41">
        <f t="shared" si="304"/>
      </c>
      <c r="AG73" s="41">
        <f t="shared" si="214"/>
      </c>
      <c r="AH73" s="40">
        <f>SUM(AH70:AH72)</f>
      </c>
      <c r="AI73" s="40">
        <f>SUM(AI70:AI72)</f>
      </c>
      <c r="AJ73" s="40">
        <f>SUM(AJ70:AJ72)</f>
      </c>
      <c r="AK73" s="40">
        <f>SUM(AK70:AK72)</f>
      </c>
      <c r="AL73" s="40">
        <f>SUM(AL70:AL72)</f>
      </c>
      <c r="AM73" s="40">
        <f>SUM(AM70:AM72)</f>
      </c>
      <c r="AN73" s="40">
        <f>SUM(AN70:AN72)</f>
      </c>
      <c r="AO73" s="40">
        <f>SUM(AO70:AO72)</f>
      </c>
      <c r="AP73" s="40">
        <f>SUM(AP70:AP72)</f>
      </c>
      <c r="AQ73" s="40">
        <f>SUM(AQ70:AQ72)</f>
      </c>
      <c r="AR73" s="44">
        <f>SUM(AR70:AR72)</f>
      </c>
    </row>
    <row r="74">
      <c r="A74" s="24"/>
      <c r="B74" s="46" t="s">
        <v>67</v>
      </c>
      <c r="C74" s="46"/>
      <c r="D74" s="46"/>
      <c r="E74" s="46"/>
      <c r="F74" s="47">
        <f>F66+F63+F73+F69</f>
      </c>
      <c r="G74" s="47">
        <f>G66+G63+G73+G69</f>
      </c>
      <c r="H74" s="47">
        <f>H66+H63+H73+H69</f>
      </c>
      <c r="I74" s="47">
        <f>I66+I63+I73+I69</f>
      </c>
      <c r="J74" s="47">
        <f>J66+J63+J73+J69</f>
      </c>
      <c r="K74" s="47">
        <f>K66+K63+K73+K69</f>
      </c>
      <c r="L74" s="48">
        <f t="shared" si="376"/>
      </c>
      <c r="M74" s="49">
        <f t="shared" si="322"/>
      </c>
      <c r="N74" s="50">
        <f t="shared" si="232"/>
      </c>
      <c r="O74" s="50">
        <f t="shared" si="178"/>
      </c>
      <c r="P74" s="50">
        <f t="shared" si="75"/>
      </c>
      <c r="Q74" s="50">
        <f t="shared" si="39"/>
      </c>
      <c r="R74" s="50">
        <f t="shared" si="3"/>
      </c>
      <c r="S74" s="50">
        <f t="shared" si="497"/>
      </c>
      <c r="T74" s="50">
        <f t="shared" si="394"/>
      </c>
      <c r="U74" s="48">
        <f t="shared" si="340"/>
      </c>
      <c r="V74" s="48">
        <f t="shared" si="250"/>
      </c>
      <c r="W74" s="48">
        <f t="shared" si="268"/>
      </c>
      <c r="X74" s="48">
        <f t="shared" si="286"/>
      </c>
      <c r="Y74" s="48">
        <f t="shared" si="196"/>
      </c>
      <c r="Z74" s="48">
        <f t="shared" si="93"/>
      </c>
      <c r="AA74" s="49">
        <f t="shared" si="57"/>
      </c>
      <c r="AB74" s="49">
        <f t="shared" si="21"/>
      </c>
      <c r="AC74" s="49">
        <f t="shared" si="515"/>
      </c>
      <c r="AD74" s="48">
        <f t="shared" si="412"/>
      </c>
      <c r="AE74" s="49">
        <f t="shared" si="358"/>
      </c>
      <c r="AF74" s="48">
        <f t="shared" si="304"/>
      </c>
      <c r="AG74" s="48">
        <f t="shared" si="214"/>
      </c>
      <c r="AH74" s="44">
        <f>AH66+AH63+AH73+AH69</f>
      </c>
      <c r="AI74" s="44">
        <f>AI66+AI63+AI73+AI69</f>
      </c>
      <c r="AJ74" s="44">
        <f>AJ66+AJ63+AJ73+AJ69</f>
      </c>
      <c r="AK74" s="44">
        <f>AK66+AK63+AK73+AK69</f>
      </c>
      <c r="AL74" s="44">
        <f>AL66+AL63+AL73+AL69</f>
      </c>
      <c r="AM74" s="44">
        <f>AM66+AM63+AM73+AM69</f>
      </c>
      <c r="AN74" s="44">
        <f>AN66+AN63+AN73+AN69</f>
      </c>
      <c r="AO74" s="44">
        <f>AO66+AO63+AO73+AO69</f>
      </c>
      <c r="AP74" s="44">
        <f>AP66+AP63+AP73+AP69</f>
      </c>
      <c r="AQ74" s="44">
        <f>AQ66+AQ63+AQ73+AQ69</f>
      </c>
      <c r="AR74" s="44">
        <f>AR66+AR63+AR73+AR69</f>
      </c>
    </row>
    <row r="75">
      <c r="A75" s="1"/>
      <c r="B75" s="1"/>
      <c r="C75" s="1"/>
      <c r="D75" s="1"/>
      <c r="E75" s="1"/>
      <c r="F75" s="2" t="s">
        <v>1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3" t="s">
        <v>2</v>
      </c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4" t="s">
        <v>3</v>
      </c>
      <c r="AD75" s="4"/>
      <c r="AE75" s="4"/>
      <c r="AF75" s="4"/>
      <c r="AG75" s="4"/>
      <c r="AH75" s="5" t="s">
        <v>4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</row>
    <row r="76">
      <c r="A76" s="6" t="s">
        <v>5</v>
      </c>
      <c r="B76" s="7" t="s">
        <v>6</v>
      </c>
      <c r="C76" s="7" t="s">
        <v>7</v>
      </c>
      <c r="D76" s="8" t="s">
        <v>8</v>
      </c>
      <c r="E76" s="9" t="s">
        <v>9</v>
      </c>
      <c r="F76" s="10" t="s">
        <v>10</v>
      </c>
      <c r="G76" s="11" t="s">
        <v>11</v>
      </c>
      <c r="H76" s="12" t="s">
        <v>12</v>
      </c>
      <c r="I76" s="13" t="s">
        <v>13</v>
      </c>
      <c r="J76" s="13" t="s">
        <v>14</v>
      </c>
      <c r="K76" s="12" t="s">
        <v>15</v>
      </c>
      <c r="L76" s="14" t="s">
        <v>16</v>
      </c>
      <c r="M76" s="15" t="s">
        <v>17</v>
      </c>
      <c r="N76" s="16" t="s">
        <v>18</v>
      </c>
      <c r="O76" s="16" t="s">
        <v>19</v>
      </c>
      <c r="P76" s="17" t="s">
        <v>20</v>
      </c>
      <c r="Q76" s="3" t="s">
        <v>21</v>
      </c>
      <c r="R76" s="18" t="s">
        <v>22</v>
      </c>
      <c r="S76" s="18" t="s">
        <v>23</v>
      </c>
      <c r="T76" s="18" t="s">
        <v>24</v>
      </c>
      <c r="U76" s="19" t="s">
        <v>25</v>
      </c>
      <c r="V76" s="19" t="s">
        <v>26</v>
      </c>
      <c r="W76" s="19" t="s">
        <v>27</v>
      </c>
      <c r="X76" s="19" t="s">
        <v>28</v>
      </c>
      <c r="Y76" s="19" t="s">
        <v>29</v>
      </c>
      <c r="Z76" s="19" t="s">
        <v>30</v>
      </c>
      <c r="AA76" s="20" t="s">
        <v>31</v>
      </c>
      <c r="AB76" s="20" t="s">
        <v>32</v>
      </c>
      <c r="AC76" s="4" t="s">
        <v>33</v>
      </c>
      <c r="AD76" s="21" t="s">
        <v>34</v>
      </c>
      <c r="AE76" s="4" t="s">
        <v>35</v>
      </c>
      <c r="AF76" s="21" t="s">
        <v>36</v>
      </c>
      <c r="AG76" s="21" t="s">
        <v>37</v>
      </c>
      <c r="AH76" s="22" t="s">
        <v>38</v>
      </c>
      <c r="AI76" s="22" t="s">
        <v>39</v>
      </c>
      <c r="AJ76" s="22" t="s">
        <v>40</v>
      </c>
      <c r="AK76" s="22" t="s">
        <v>41</v>
      </c>
      <c r="AL76" s="22" t="s">
        <v>42</v>
      </c>
      <c r="AM76" s="22" t="s">
        <v>43</v>
      </c>
      <c r="AN76" s="22" t="s">
        <v>44</v>
      </c>
      <c r="AO76" s="22" t="s">
        <v>45</v>
      </c>
      <c r="AP76" s="22" t="s">
        <v>46</v>
      </c>
      <c r="AQ76" s="22" t="s">
        <v>47</v>
      </c>
      <c r="AR76" s="23" t="s">
        <v>48</v>
      </c>
    </row>
    <row r="77">
      <c r="A77" s="24">
        <v>46300</v>
      </c>
      <c r="B77" s="26" t="s">
        <v>69</v>
      </c>
      <c r="C77" s="25" t="s">
        <v>50</v>
      </c>
      <c r="D77" s="26" t="s">
        <v>51</v>
      </c>
      <c r="E77" s="26" t="s">
        <v>52</v>
      </c>
      <c r="F77" s="27">
        <f t="shared" ref="F77:F80" si="441">H77+G77</f>
      </c>
      <c r="G77" s="28">
        <v>1376.45</v>
      </c>
      <c r="H77" s="28">
        <v>308.8</v>
      </c>
      <c r="I77" s="29">
        <v>2</v>
      </c>
      <c r="J77" s="29">
        <v>2</v>
      </c>
      <c r="K77" s="30">
        <v>1766.1999999999998</v>
      </c>
      <c r="L77" s="31">
        <f t="shared" ref="L77:L93" si="377">AQ77/J77</f>
      </c>
      <c r="M77" s="32">
        <f t="shared" ref="M77:M93" si="323">K77/J77</f>
      </c>
      <c r="N77" s="33">
        <f t="shared" ref="N77:N93" si="233">F77/J77</f>
      </c>
      <c r="O77" s="33">
        <f t="shared" ref="O77:O93" si="179">K77/F77</f>
      </c>
      <c r="P77" s="33">
        <f t="shared" ref="P77:P93" si="76">K77/((300*AR77)+F77)</f>
      </c>
      <c r="Q77" s="33">
        <f t="shared" ref="Q77:Q93" si="40">F77/AJ77</f>
      </c>
      <c r="R77" s="33">
        <f t="shared" ref="R77:R93" si="4">F77/AK77</f>
      </c>
      <c r="S77" s="33">
        <f t="shared" ref="S77:S93" si="498">F77/AL77</f>
      </c>
      <c r="T77" s="33">
        <f t="shared" ref="T77:T93" si="395">F77/AM77</f>
      </c>
      <c r="U77" s="31">
        <f t="shared" ref="U77:U93" si="341">AI77/AJ77</f>
      </c>
      <c r="V77" s="31">
        <f t="shared" ref="V77:V93" si="251">AK77/AJ77</f>
      </c>
      <c r="W77" s="31">
        <f t="shared" ref="W77:W93" si="269">AL77/AK77</f>
      </c>
      <c r="X77" s="31">
        <f t="shared" ref="X77:X93" si="287">AM77/AL77</f>
      </c>
      <c r="Y77" s="31">
        <f t="shared" ref="Y77:Y93" si="197">AI77/AH77</f>
      </c>
      <c r="Z77" s="31">
        <f t="shared" ref="Z77:Z93" si="94">AM77/AI77</f>
      </c>
      <c r="AA77" s="32">
        <f t="shared" ref="AA77:AA93" si="58">F77/AH77*1000</f>
      </c>
      <c r="AB77" s="32">
        <f t="shared" ref="AB77:AB93" si="22">F77/AI77</f>
      </c>
      <c r="AC77" s="32">
        <f t="shared" ref="AC77:AC93" si="516">F77/AN77</f>
      </c>
      <c r="AD77" s="31">
        <f t="shared" ref="AD77:AD93" si="413">AN77/AJ77</f>
      </c>
      <c r="AE77" s="32">
        <f t="shared" ref="AE77:AE93" si="359">F77/AO77</f>
      </c>
      <c r="AF77" s="31">
        <f t="shared" ref="AF77:AF93" si="305">AO77/AJ77</f>
      </c>
      <c r="AG77" s="31">
        <f t="shared" ref="AG77:AG93" si="215">AP77/AJ77</f>
      </c>
      <c r="AH77" s="34">
        <v>20711</v>
      </c>
      <c r="AI77" s="35">
        <v>415</v>
      </c>
      <c r="AJ77" s="35">
        <v>491</v>
      </c>
      <c r="AK77" s="34">
        <v>26</v>
      </c>
      <c r="AL77" s="34">
        <v>2</v>
      </c>
      <c r="AM77" s="34">
        <v>2</v>
      </c>
      <c r="AN77" s="34">
        <v>74</v>
      </c>
      <c r="AO77" s="34">
        <v>41</v>
      </c>
      <c r="AP77" s="34">
        <v>6</v>
      </c>
      <c r="AQ77" s="29">
        <v>0</v>
      </c>
      <c r="AR77" s="36">
        <f t="shared" ref="AR77:AR80" si="122">COUNT(AQ77)</f>
      </c>
    </row>
    <row r="78">
      <c r="A78" s="24"/>
      <c r="B78" s="26" t="s">
        <v>69</v>
      </c>
      <c r="C78" s="25" t="s">
        <v>50</v>
      </c>
      <c r="D78" s="26" t="s">
        <v>51</v>
      </c>
      <c r="E78" s="26" t="s">
        <v>53</v>
      </c>
      <c r="F78" s="27">
        <f t="shared" si="441"/>
      </c>
      <c r="G78" s="37">
        <v>1008.12</v>
      </c>
      <c r="H78" s="28">
        <v>652.87</v>
      </c>
      <c r="I78" s="29">
        <v>5</v>
      </c>
      <c r="J78" s="29">
        <v>5</v>
      </c>
      <c r="K78" s="30">
        <v>3622.3999999999996</v>
      </c>
      <c r="L78" s="31">
        <f t="shared" si="377"/>
      </c>
      <c r="M78" s="32">
        <f t="shared" si="323"/>
      </c>
      <c r="N78" s="33">
        <f t="shared" si="233"/>
      </c>
      <c r="O78" s="33">
        <f t="shared" si="179"/>
      </c>
      <c r="P78" s="33">
        <f t="shared" si="76"/>
      </c>
      <c r="Q78" s="33">
        <f t="shared" si="40"/>
      </c>
      <c r="R78" s="33">
        <f t="shared" si="4"/>
      </c>
      <c r="S78" s="33">
        <f t="shared" si="498"/>
      </c>
      <c r="T78" s="33">
        <f t="shared" si="395"/>
      </c>
      <c r="U78" s="31">
        <f t="shared" si="341"/>
      </c>
      <c r="V78" s="31">
        <f t="shared" si="251"/>
      </c>
      <c r="W78" s="31">
        <f t="shared" si="269"/>
      </c>
      <c r="X78" s="31">
        <f t="shared" si="287"/>
      </c>
      <c r="Y78" s="31">
        <f t="shared" si="197"/>
      </c>
      <c r="Z78" s="31">
        <f t="shared" si="94"/>
      </c>
      <c r="AA78" s="32">
        <f t="shared" si="58"/>
      </c>
      <c r="AB78" s="32">
        <f t="shared" si="22"/>
      </c>
      <c r="AC78" s="32">
        <f t="shared" si="516"/>
      </c>
      <c r="AD78" s="31">
        <f t="shared" si="413"/>
      </c>
      <c r="AE78" s="32">
        <f t="shared" si="359"/>
      </c>
      <c r="AF78" s="31">
        <f t="shared" si="305"/>
      </c>
      <c r="AG78" s="31">
        <f t="shared" si="215"/>
      </c>
      <c r="AH78" s="29">
        <v>16258</v>
      </c>
      <c r="AI78" s="34">
        <v>463</v>
      </c>
      <c r="AJ78" s="34">
        <v>548</v>
      </c>
      <c r="AK78" s="34">
        <v>47</v>
      </c>
      <c r="AL78" s="34">
        <v>4</v>
      </c>
      <c r="AM78" s="34">
        <v>4</v>
      </c>
      <c r="AN78" s="34">
        <v>57</v>
      </c>
      <c r="AO78" s="34">
        <v>63</v>
      </c>
      <c r="AP78" s="34">
        <v>9</v>
      </c>
      <c r="AQ78" s="29">
        <v>0</v>
      </c>
      <c r="AR78" s="36">
        <f t="shared" si="122"/>
      </c>
    </row>
    <row r="79">
      <c r="A79" s="24"/>
      <c r="B79" s="26" t="s">
        <v>69</v>
      </c>
      <c r="C79" s="25" t="s">
        <v>50</v>
      </c>
      <c r="D79" s="26" t="s">
        <v>51</v>
      </c>
      <c r="E79" s="26" t="s">
        <v>54</v>
      </c>
      <c r="F79" s="27">
        <f t="shared" si="441"/>
      </c>
      <c r="G79" s="28">
        <v>906.64</v>
      </c>
      <c r="H79" s="28">
        <v>588.09</v>
      </c>
      <c r="I79" s="29">
        <v>5</v>
      </c>
      <c r="J79" s="29">
        <v>4</v>
      </c>
      <c r="K79" s="30">
        <v>2011.1999999999998</v>
      </c>
      <c r="L79" s="31">
        <f t="shared" si="377"/>
      </c>
      <c r="M79" s="32">
        <f t="shared" si="323"/>
      </c>
      <c r="N79" s="33">
        <f t="shared" si="233"/>
      </c>
      <c r="O79" s="33">
        <f t="shared" si="179"/>
      </c>
      <c r="P79" s="33">
        <f t="shared" si="76"/>
      </c>
      <c r="Q79" s="33">
        <f t="shared" si="40"/>
      </c>
      <c r="R79" s="33">
        <f t="shared" si="4"/>
      </c>
      <c r="S79" s="33">
        <f t="shared" si="498"/>
      </c>
      <c r="T79" s="33">
        <f t="shared" si="395"/>
      </c>
      <c r="U79" s="31">
        <f t="shared" si="341"/>
      </c>
      <c r="V79" s="31">
        <f t="shared" si="251"/>
      </c>
      <c r="W79" s="31">
        <f t="shared" si="269"/>
      </c>
      <c r="X79" s="31">
        <f t="shared" si="287"/>
      </c>
      <c r="Y79" s="31">
        <f t="shared" si="197"/>
      </c>
      <c r="Z79" s="31">
        <f t="shared" si="94"/>
      </c>
      <c r="AA79" s="32">
        <f t="shared" si="58"/>
      </c>
      <c r="AB79" s="32">
        <f t="shared" si="22"/>
      </c>
      <c r="AC79" s="32">
        <f t="shared" si="516"/>
      </c>
      <c r="AD79" s="31">
        <f t="shared" si="413"/>
      </c>
      <c r="AE79" s="32">
        <f t="shared" si="359"/>
      </c>
      <c r="AF79" s="31">
        <f t="shared" si="305"/>
      </c>
      <c r="AG79" s="31">
        <f t="shared" si="215"/>
      </c>
      <c r="AH79" s="29">
        <v>15503</v>
      </c>
      <c r="AI79" s="34">
        <v>422</v>
      </c>
      <c r="AJ79" s="34">
        <v>537</v>
      </c>
      <c r="AK79" s="34">
        <v>50</v>
      </c>
      <c r="AL79" s="29">
        <v>3</v>
      </c>
      <c r="AM79" s="34">
        <v>2</v>
      </c>
      <c r="AN79" s="34">
        <v>45</v>
      </c>
      <c r="AO79" s="34">
        <v>37</v>
      </c>
      <c r="AP79" s="34">
        <v>6</v>
      </c>
      <c r="AQ79" s="29">
        <v>1</v>
      </c>
      <c r="AR79" s="36">
        <f t="shared" si="122"/>
      </c>
    </row>
    <row r="80">
      <c r="A80" s="24"/>
      <c r="B80" s="26" t="s">
        <v>69</v>
      </c>
      <c r="C80" s="25" t="s">
        <v>50</v>
      </c>
      <c r="D80" s="26" t="s">
        <v>51</v>
      </c>
      <c r="E80" s="26" t="s">
        <v>55</v>
      </c>
      <c r="F80" s="27">
        <f t="shared" si="441"/>
      </c>
      <c r="G80" s="28">
        <v>739.43</v>
      </c>
      <c r="H80" s="28">
        <v>740.69</v>
      </c>
      <c r="I80" s="29">
        <v>4</v>
      </c>
      <c r="J80" s="29">
        <v>4</v>
      </c>
      <c r="K80" s="30">
        <v>3660</v>
      </c>
      <c r="L80" s="31">
        <f t="shared" si="377"/>
      </c>
      <c r="M80" s="32">
        <f t="shared" si="323"/>
      </c>
      <c r="N80" s="33">
        <f t="shared" si="233"/>
      </c>
      <c r="O80" s="33">
        <f t="shared" si="179"/>
      </c>
      <c r="P80" s="33">
        <f t="shared" si="76"/>
      </c>
      <c r="Q80" s="33">
        <f t="shared" si="40"/>
      </c>
      <c r="R80" s="33">
        <f t="shared" si="4"/>
      </c>
      <c r="S80" s="33">
        <f t="shared" si="498"/>
      </c>
      <c r="T80" s="33">
        <f t="shared" si="395"/>
      </c>
      <c r="U80" s="31">
        <f t="shared" si="341"/>
      </c>
      <c r="V80" s="31">
        <f t="shared" si="251"/>
      </c>
      <c r="W80" s="31">
        <f t="shared" si="269"/>
      </c>
      <c r="X80" s="31">
        <f t="shared" si="287"/>
      </c>
      <c r="Y80" s="31">
        <f t="shared" si="197"/>
      </c>
      <c r="Z80" s="31">
        <f t="shared" si="94"/>
      </c>
      <c r="AA80" s="32">
        <f t="shared" si="58"/>
      </c>
      <c r="AB80" s="32">
        <f t="shared" si="22"/>
      </c>
      <c r="AC80" s="32">
        <f t="shared" si="516"/>
      </c>
      <c r="AD80" s="31">
        <f t="shared" si="413"/>
      </c>
      <c r="AE80" s="32">
        <f t="shared" si="359"/>
      </c>
      <c r="AF80" s="31">
        <f t="shared" si="305"/>
      </c>
      <c r="AG80" s="31">
        <f t="shared" si="215"/>
      </c>
      <c r="AH80" s="29">
        <v>15454</v>
      </c>
      <c r="AI80" s="34">
        <v>527</v>
      </c>
      <c r="AJ80" s="34">
        <v>605</v>
      </c>
      <c r="AK80" s="34">
        <v>56</v>
      </c>
      <c r="AL80" s="29">
        <v>3</v>
      </c>
      <c r="AM80" s="34">
        <v>3</v>
      </c>
      <c r="AN80" s="34">
        <v>57</v>
      </c>
      <c r="AO80" s="34">
        <v>69</v>
      </c>
      <c r="AP80" s="34">
        <v>4</v>
      </c>
      <c r="AQ80" s="29">
        <v>0</v>
      </c>
      <c r="AR80" s="36">
        <f t="shared" si="122"/>
      </c>
    </row>
    <row r="81">
      <c r="A81" s="24"/>
      <c r="B81" s="38" t="s">
        <v>56</v>
      </c>
      <c r="C81" s="38"/>
      <c r="D81" s="38"/>
      <c r="E81" s="38"/>
      <c r="F81" s="39">
        <f>SUM(F77:F80)</f>
      </c>
      <c r="G81" s="39">
        <f>SUM(G77:G80)</f>
      </c>
      <c r="H81" s="39">
        <f>SUM(H77:H80)</f>
      </c>
      <c r="I81" s="40">
        <f>SUM(I77:I80)</f>
      </c>
      <c r="J81" s="40">
        <f>SUM(J77:J80)</f>
      </c>
      <c r="K81" s="39">
        <f>SUM(K77:K80)</f>
      </c>
      <c r="L81" s="41">
        <f t="shared" si="377"/>
      </c>
      <c r="M81" s="42">
        <f t="shared" si="323"/>
      </c>
      <c r="N81" s="43">
        <f t="shared" si="233"/>
      </c>
      <c r="O81" s="43">
        <f t="shared" si="179"/>
      </c>
      <c r="P81" s="43">
        <f t="shared" si="76"/>
      </c>
      <c r="Q81" s="43">
        <f t="shared" si="40"/>
      </c>
      <c r="R81" s="43">
        <f t="shared" si="4"/>
      </c>
      <c r="S81" s="43">
        <f t="shared" si="498"/>
      </c>
      <c r="T81" s="43">
        <f t="shared" si="395"/>
      </c>
      <c r="U81" s="41">
        <f t="shared" si="341"/>
      </c>
      <c r="V81" s="41">
        <f t="shared" si="251"/>
      </c>
      <c r="W81" s="41">
        <f t="shared" si="269"/>
      </c>
      <c r="X81" s="41">
        <f t="shared" si="287"/>
      </c>
      <c r="Y81" s="41">
        <f t="shared" si="197"/>
      </c>
      <c r="Z81" s="41">
        <f t="shared" si="94"/>
      </c>
      <c r="AA81" s="42">
        <f t="shared" si="58"/>
      </c>
      <c r="AB81" s="42">
        <f t="shared" si="22"/>
      </c>
      <c r="AC81" s="42">
        <f t="shared" si="516"/>
      </c>
      <c r="AD81" s="41">
        <f t="shared" si="413"/>
      </c>
      <c r="AE81" s="42">
        <f t="shared" si="359"/>
      </c>
      <c r="AF81" s="41">
        <f t="shared" si="305"/>
      </c>
      <c r="AG81" s="41">
        <f t="shared" si="215"/>
      </c>
      <c r="AH81" s="40">
        <f>SUM(AH77:AH80)</f>
      </c>
      <c r="AI81" s="40">
        <f>SUM(AI77:AI80)</f>
      </c>
      <c r="AJ81" s="40">
        <f>SUM(AJ77:AJ80)</f>
      </c>
      <c r="AK81" s="40">
        <f>SUM(AK77:AK80)</f>
      </c>
      <c r="AL81" s="40">
        <f>SUM(AL77:AL80)</f>
      </c>
      <c r="AM81" s="40">
        <f>SUM(AM77:AM80)</f>
      </c>
      <c r="AN81" s="40">
        <f>SUM(AN77:AN80)</f>
      </c>
      <c r="AO81" s="40">
        <f>SUM(AO77:AO80)</f>
      </c>
      <c r="AP81" s="40">
        <f>SUM(AP77:AP80)</f>
      </c>
      <c r="AQ81" s="40">
        <f>SUM(AQ77:AQ80)</f>
      </c>
      <c r="AR81" s="44">
        <f>SUM(AR77:AR80)</f>
      </c>
    </row>
    <row r="82">
      <c r="A82" s="24"/>
      <c r="B82" s="26" t="s">
        <v>69</v>
      </c>
      <c r="C82" s="25" t="s">
        <v>50</v>
      </c>
      <c r="D82" s="26" t="s">
        <v>68</v>
      </c>
      <c r="E82" s="26" t="s">
        <v>58</v>
      </c>
      <c r="F82" s="27">
        <f t="shared" ref="F82:F84" si="442">H82+G82</f>
      </c>
      <c r="G82" s="28">
        <v>793.55</v>
      </c>
      <c r="H82" s="28">
        <v>637.61</v>
      </c>
      <c r="I82" s="29">
        <v>2</v>
      </c>
      <c r="J82" s="29">
        <v>1</v>
      </c>
      <c r="K82" s="30">
        <v>439</v>
      </c>
      <c r="L82" s="31">
        <f t="shared" si="377"/>
      </c>
      <c r="M82" s="32">
        <f t="shared" si="323"/>
      </c>
      <c r="N82" s="33">
        <f t="shared" si="233"/>
      </c>
      <c r="O82" s="33">
        <f t="shared" si="179"/>
      </c>
      <c r="P82" s="33">
        <f t="shared" si="76"/>
      </c>
      <c r="Q82" s="33">
        <f t="shared" si="40"/>
      </c>
      <c r="R82" s="33">
        <f t="shared" si="4"/>
      </c>
      <c r="S82" s="33">
        <f t="shared" si="498"/>
      </c>
      <c r="T82" s="33">
        <f t="shared" si="395"/>
      </c>
      <c r="U82" s="31">
        <f t="shared" si="341"/>
      </c>
      <c r="V82" s="31">
        <f t="shared" si="251"/>
      </c>
      <c r="W82" s="31">
        <f t="shared" si="269"/>
      </c>
      <c r="X82" s="31">
        <f t="shared" si="287"/>
      </c>
      <c r="Y82" s="31">
        <f t="shared" si="197"/>
      </c>
      <c r="Z82" s="31">
        <f t="shared" si="94"/>
      </c>
      <c r="AA82" s="32">
        <f t="shared" si="58"/>
      </c>
      <c r="AB82" s="32">
        <f t="shared" si="22"/>
      </c>
      <c r="AC82" s="32">
        <f t="shared" si="516"/>
      </c>
      <c r="AD82" s="31">
        <f t="shared" si="413"/>
      </c>
      <c r="AE82" s="32">
        <f t="shared" si="359"/>
      </c>
      <c r="AF82" s="31">
        <f t="shared" si="305"/>
      </c>
      <c r="AG82" s="31">
        <f t="shared" si="215"/>
      </c>
      <c r="AH82" s="34">
        <v>13789</v>
      </c>
      <c r="AI82" s="34">
        <v>449</v>
      </c>
      <c r="AJ82" s="34">
        <v>540</v>
      </c>
      <c r="AK82" s="34">
        <v>47</v>
      </c>
      <c r="AL82" s="29">
        <v>2</v>
      </c>
      <c r="AM82" s="29">
        <v>1</v>
      </c>
      <c r="AN82" s="34">
        <v>63</v>
      </c>
      <c r="AO82" s="34">
        <v>30</v>
      </c>
      <c r="AP82" s="34">
        <v>7</v>
      </c>
      <c r="AQ82" s="29">
        <v>0</v>
      </c>
      <c r="AR82" s="36">
        <f t="shared" ref="AR82:AR84" si="123">COUNT(AQ82)</f>
      </c>
    </row>
    <row customHeight="true" ht="16.071428571428573" r="83">
      <c r="A83" s="24"/>
      <c r="B83" s="26" t="s">
        <v>69</v>
      </c>
      <c r="C83" s="25" t="s">
        <v>50</v>
      </c>
      <c r="D83" s="26" t="s">
        <v>68</v>
      </c>
      <c r="E83" s="26" t="s">
        <v>59</v>
      </c>
      <c r="F83" s="27">
        <f t="shared" si="442"/>
      </c>
      <c r="G83" s="28">
        <v>331.52</v>
      </c>
      <c r="H83" s="28">
        <v>564.8</v>
      </c>
      <c r="I83" s="29">
        <v>2</v>
      </c>
      <c r="J83" s="29">
        <v>1</v>
      </c>
      <c r="K83" s="30">
        <v>862.7999999999993</v>
      </c>
      <c r="L83" s="31">
        <f t="shared" si="377"/>
      </c>
      <c r="M83" s="32">
        <f t="shared" si="323"/>
      </c>
      <c r="N83" s="33">
        <f t="shared" si="233"/>
      </c>
      <c r="O83" s="33">
        <f t="shared" si="179"/>
      </c>
      <c r="P83" s="33">
        <f t="shared" si="76"/>
      </c>
      <c r="Q83" s="33">
        <f t="shared" si="40"/>
      </c>
      <c r="R83" s="33">
        <f t="shared" si="4"/>
      </c>
      <c r="S83" s="33">
        <f t="shared" si="498"/>
      </c>
      <c r="T83" s="33">
        <f t="shared" si="395"/>
      </c>
      <c r="U83" s="31">
        <f t="shared" si="341"/>
      </c>
      <c r="V83" s="31">
        <f t="shared" si="251"/>
      </c>
      <c r="W83" s="31">
        <f t="shared" si="269"/>
      </c>
      <c r="X83" s="31">
        <f t="shared" si="287"/>
      </c>
      <c r="Y83" s="31">
        <f t="shared" si="197"/>
      </c>
      <c r="Z83" s="31">
        <f t="shared" si="94"/>
      </c>
      <c r="AA83" s="32">
        <f t="shared" si="58"/>
      </c>
      <c r="AB83" s="32">
        <f t="shared" si="22"/>
      </c>
      <c r="AC83" s="32">
        <f t="shared" si="516"/>
      </c>
      <c r="AD83" s="31">
        <f t="shared" si="413"/>
      </c>
      <c r="AE83" s="32">
        <f t="shared" si="359"/>
      </c>
      <c r="AF83" s="31">
        <f t="shared" si="305"/>
      </c>
      <c r="AG83" s="31">
        <f t="shared" si="215"/>
      </c>
      <c r="AH83" s="34">
        <v>7849</v>
      </c>
      <c r="AI83" s="34">
        <v>299</v>
      </c>
      <c r="AJ83" s="34">
        <v>360</v>
      </c>
      <c r="AK83" s="34">
        <v>31</v>
      </c>
      <c r="AL83" s="29">
        <v>2</v>
      </c>
      <c r="AM83" s="29">
        <v>1</v>
      </c>
      <c r="AN83" s="34">
        <v>38</v>
      </c>
      <c r="AO83" s="34">
        <v>51</v>
      </c>
      <c r="AP83" s="34">
        <v>4</v>
      </c>
      <c r="AQ83" s="29">
        <v>0</v>
      </c>
      <c r="AR83" s="36">
        <f t="shared" si="123"/>
      </c>
    </row>
    <row r="84">
      <c r="A84" s="24"/>
      <c r="B84" s="26" t="s">
        <v>69</v>
      </c>
      <c r="C84" s="25" t="s">
        <v>50</v>
      </c>
      <c r="D84" s="26" t="s">
        <v>68</v>
      </c>
      <c r="E84" s="26" t="s">
        <v>60</v>
      </c>
      <c r="F84" s="27">
        <f t="shared" si="442"/>
      </c>
      <c r="G84" s="28">
        <v>380.06</v>
      </c>
      <c r="H84" s="28">
        <v>370.63</v>
      </c>
      <c r="I84" s="29">
        <v>0</v>
      </c>
      <c r="J84" s="29">
        <v>0</v>
      </c>
      <c r="K84" s="30">
        <v>0</v>
      </c>
      <c r="L84" s="31">
        <f t="shared" si="377"/>
      </c>
      <c r="M84" s="32">
        <f t="shared" si="323"/>
      </c>
      <c r="N84" s="33">
        <f t="shared" si="233"/>
      </c>
      <c r="O84" s="33">
        <f t="shared" si="179"/>
      </c>
      <c r="P84" s="33">
        <f t="shared" si="76"/>
      </c>
      <c r="Q84" s="33">
        <f t="shared" si="40"/>
      </c>
      <c r="R84" s="33">
        <f t="shared" si="4"/>
      </c>
      <c r="S84" s="33">
        <f t="shared" si="498"/>
      </c>
      <c r="T84" s="33">
        <f t="shared" si="395"/>
      </c>
      <c r="U84" s="31">
        <f t="shared" si="341"/>
      </c>
      <c r="V84" s="31">
        <f t="shared" si="251"/>
      </c>
      <c r="W84" s="31">
        <f t="shared" si="269"/>
      </c>
      <c r="X84" s="31">
        <f t="shared" si="287"/>
      </c>
      <c r="Y84" s="31">
        <f t="shared" si="197"/>
      </c>
      <c r="Z84" s="31">
        <f t="shared" si="94"/>
      </c>
      <c r="AA84" s="32">
        <f t="shared" si="58"/>
      </c>
      <c r="AB84" s="32">
        <f t="shared" si="22"/>
      </c>
      <c r="AC84" s="32">
        <f t="shared" si="516"/>
      </c>
      <c r="AD84" s="31">
        <f t="shared" si="413"/>
      </c>
      <c r="AE84" s="32">
        <f t="shared" si="359"/>
      </c>
      <c r="AF84" s="31">
        <f t="shared" si="305"/>
      </c>
      <c r="AG84" s="31">
        <f t="shared" si="215"/>
      </c>
      <c r="AH84" s="34">
        <v>8242</v>
      </c>
      <c r="AI84" s="34">
        <v>225</v>
      </c>
      <c r="AJ84" s="34">
        <v>271</v>
      </c>
      <c r="AK84" s="34">
        <v>14</v>
      </c>
      <c r="AL84" s="34">
        <v>0</v>
      </c>
      <c r="AM84" s="34">
        <v>0</v>
      </c>
      <c r="AN84" s="34">
        <v>20</v>
      </c>
      <c r="AO84" s="34">
        <v>12</v>
      </c>
      <c r="AP84" s="34">
        <v>2</v>
      </c>
      <c r="AQ84" s="29">
        <v>0</v>
      </c>
      <c r="AR84" s="36">
        <f t="shared" si="123"/>
      </c>
    </row>
    <row r="85">
      <c r="A85" s="24"/>
      <c r="B85" s="38" t="s">
        <v>56</v>
      </c>
      <c r="C85" s="38"/>
      <c r="D85" s="38"/>
      <c r="E85" s="38"/>
      <c r="F85" s="39">
        <f>SUM(F82:F84)</f>
      </c>
      <c r="G85" s="39">
        <f>SUM(G82:G84)</f>
      </c>
      <c r="H85" s="39">
        <f>SUM(H82:H84)</f>
      </c>
      <c r="I85" s="40">
        <f>SUM(I82:I84)</f>
      </c>
      <c r="J85" s="40">
        <f>SUM(J82:J84)</f>
      </c>
      <c r="K85" s="39">
        <f>SUM(K82:K84)</f>
      </c>
      <c r="L85" s="41">
        <f t="shared" si="377"/>
      </c>
      <c r="M85" s="42">
        <f t="shared" si="323"/>
      </c>
      <c r="N85" s="43">
        <f t="shared" si="233"/>
      </c>
      <c r="O85" s="43">
        <f t="shared" si="179"/>
      </c>
      <c r="P85" s="43">
        <f t="shared" si="76"/>
      </c>
      <c r="Q85" s="43">
        <f t="shared" si="40"/>
      </c>
      <c r="R85" s="43">
        <f t="shared" si="4"/>
      </c>
      <c r="S85" s="43">
        <f t="shared" si="498"/>
      </c>
      <c r="T85" s="43">
        <f t="shared" si="395"/>
      </c>
      <c r="U85" s="41">
        <f t="shared" si="341"/>
      </c>
      <c r="V85" s="41">
        <f t="shared" si="251"/>
      </c>
      <c r="W85" s="41">
        <f t="shared" si="269"/>
      </c>
      <c r="X85" s="41">
        <f t="shared" si="287"/>
      </c>
      <c r="Y85" s="41">
        <f t="shared" si="197"/>
      </c>
      <c r="Z85" s="41">
        <f t="shared" si="94"/>
      </c>
      <c r="AA85" s="42">
        <f t="shared" si="58"/>
      </c>
      <c r="AB85" s="42">
        <f t="shared" si="22"/>
      </c>
      <c r="AC85" s="42">
        <f t="shared" si="516"/>
      </c>
      <c r="AD85" s="41">
        <f t="shared" si="413"/>
      </c>
      <c r="AE85" s="42">
        <f t="shared" si="359"/>
      </c>
      <c r="AF85" s="41">
        <f t="shared" si="305"/>
      </c>
      <c r="AG85" s="41">
        <f t="shared" si="215"/>
      </c>
      <c r="AH85" s="40">
        <f>SUM(AH82:AH84)</f>
      </c>
      <c r="AI85" s="40">
        <f>SUM(AI82:AI84)</f>
      </c>
      <c r="AJ85" s="40">
        <f>SUM(AJ82:AJ84)</f>
      </c>
      <c r="AK85" s="40">
        <f>SUM(AK82:AK84)</f>
      </c>
      <c r="AL85" s="40">
        <f>SUM(AL82:AL84)</f>
      </c>
      <c r="AM85" s="40">
        <f>SUM(AM82:AM84)</f>
      </c>
      <c r="AN85" s="40">
        <f>SUM(AN82:AN84)</f>
      </c>
      <c r="AO85" s="40">
        <f>SUM(AO82:AO84)</f>
      </c>
      <c r="AP85" s="40">
        <f>SUM(AP82:AP84)</f>
      </c>
      <c r="AQ85" s="40">
        <f>SUM(AQ82:AQ84)</f>
      </c>
      <c r="AR85" s="44">
        <f>SUM(AR82:AR84)</f>
      </c>
    </row>
    <row r="86">
      <c r="A86" s="24"/>
      <c r="B86" s="26" t="s">
        <v>69</v>
      </c>
      <c r="C86" s="25" t="s">
        <v>50</v>
      </c>
      <c r="D86" s="26" t="s">
        <v>71</v>
      </c>
      <c r="E86" s="26" t="s">
        <v>61</v>
      </c>
      <c r="F86" s="27">
        <f t="shared" ref="F86:F87" si="443">H86+G86</f>
      </c>
      <c r="G86" s="28">
        <v>347.86</v>
      </c>
      <c r="H86" s="28">
        <v>349.85</v>
      </c>
      <c r="I86" s="29">
        <v>0</v>
      </c>
      <c r="J86" s="29">
        <v>0</v>
      </c>
      <c r="K86" s="30">
        <v>0</v>
      </c>
      <c r="L86" s="31">
        <f t="shared" si="377"/>
      </c>
      <c r="M86" s="32">
        <f t="shared" si="323"/>
      </c>
      <c r="N86" s="33">
        <f t="shared" si="233"/>
      </c>
      <c r="O86" s="33">
        <f t="shared" si="179"/>
      </c>
      <c r="P86" s="33">
        <f t="shared" si="76"/>
      </c>
      <c r="Q86" s="33">
        <f t="shared" si="40"/>
      </c>
      <c r="R86" s="33">
        <f t="shared" si="4"/>
      </c>
      <c r="S86" s="33">
        <f t="shared" si="498"/>
      </c>
      <c r="T86" s="33">
        <f t="shared" si="395"/>
      </c>
      <c r="U86" s="31">
        <f t="shared" si="341"/>
      </c>
      <c r="V86" s="31">
        <f t="shared" si="251"/>
      </c>
      <c r="W86" s="31">
        <f t="shared" si="269"/>
      </c>
      <c r="X86" s="31">
        <f t="shared" si="287"/>
      </c>
      <c r="Y86" s="31">
        <f t="shared" si="197"/>
      </c>
      <c r="Z86" s="31">
        <f t="shared" si="94"/>
      </c>
      <c r="AA86" s="32">
        <f t="shared" si="58"/>
      </c>
      <c r="AB86" s="32">
        <f t="shared" si="22"/>
      </c>
      <c r="AC86" s="32">
        <f t="shared" si="516"/>
      </c>
      <c r="AD86" s="31">
        <f t="shared" si="413"/>
      </c>
      <c r="AE86" s="32">
        <f t="shared" si="359"/>
      </c>
      <c r="AF86" s="31">
        <f t="shared" si="305"/>
      </c>
      <c r="AG86" s="31">
        <f t="shared" si="215"/>
      </c>
      <c r="AH86" s="34">
        <v>7507</v>
      </c>
      <c r="AI86" s="34">
        <v>202</v>
      </c>
      <c r="AJ86" s="34">
        <v>224</v>
      </c>
      <c r="AK86" s="34">
        <v>24</v>
      </c>
      <c r="AL86" s="34">
        <v>0</v>
      </c>
      <c r="AM86" s="34">
        <v>0</v>
      </c>
      <c r="AN86" s="34">
        <v>33</v>
      </c>
      <c r="AO86" s="34">
        <v>47</v>
      </c>
      <c r="AP86" s="34">
        <v>2</v>
      </c>
      <c r="AQ86" s="29">
        <v>0</v>
      </c>
      <c r="AR86" s="36">
        <f t="shared" ref="AR86:AR87" si="124">COUNT(AQ86)</f>
      </c>
    </row>
    <row r="87">
      <c r="A87" s="24"/>
      <c r="B87" s="26" t="s">
        <v>69</v>
      </c>
      <c r="C87" s="25" t="s">
        <v>50</v>
      </c>
      <c r="D87" s="26" t="s">
        <v>71</v>
      </c>
      <c r="E87" s="26" t="s">
        <v>63</v>
      </c>
      <c r="F87" s="27">
        <f t="shared" si="443"/>
      </c>
      <c r="G87" s="28">
        <v>463.97</v>
      </c>
      <c r="H87" s="28">
        <v>286.77</v>
      </c>
      <c r="I87" s="29">
        <v>7</v>
      </c>
      <c r="J87" s="34">
        <v>6</v>
      </c>
      <c r="K87" s="30">
        <v>3574.7999999999993</v>
      </c>
      <c r="L87" s="31">
        <f t="shared" si="377"/>
      </c>
      <c r="M87" s="32">
        <f t="shared" si="323"/>
      </c>
      <c r="N87" s="33">
        <f t="shared" si="233"/>
      </c>
      <c r="O87" s="33">
        <f t="shared" si="179"/>
      </c>
      <c r="P87" s="33">
        <f t="shared" si="76"/>
      </c>
      <c r="Q87" s="33">
        <f t="shared" si="40"/>
      </c>
      <c r="R87" s="33">
        <f t="shared" si="4"/>
      </c>
      <c r="S87" s="33">
        <f t="shared" si="498"/>
      </c>
      <c r="T87" s="33">
        <f t="shared" si="395"/>
      </c>
      <c r="U87" s="31">
        <f t="shared" si="341"/>
      </c>
      <c r="V87" s="31">
        <f t="shared" si="251"/>
      </c>
      <c r="W87" s="31">
        <f t="shared" si="269"/>
      </c>
      <c r="X87" s="31">
        <f t="shared" si="287"/>
      </c>
      <c r="Y87" s="31">
        <f t="shared" si="197"/>
      </c>
      <c r="Z87" s="31">
        <f t="shared" si="94"/>
      </c>
      <c r="AA87" s="32">
        <f t="shared" si="58"/>
      </c>
      <c r="AB87" s="32">
        <f t="shared" si="22"/>
      </c>
      <c r="AC87" s="32">
        <f t="shared" si="516"/>
      </c>
      <c r="AD87" s="31">
        <f t="shared" si="413"/>
      </c>
      <c r="AE87" s="32">
        <f t="shared" si="359"/>
      </c>
      <c r="AF87" s="31">
        <f t="shared" si="305"/>
      </c>
      <c r="AG87" s="31">
        <f t="shared" si="215"/>
      </c>
      <c r="AH87" s="34">
        <v>7164</v>
      </c>
      <c r="AI87" s="34">
        <v>210</v>
      </c>
      <c r="AJ87" s="34">
        <v>263</v>
      </c>
      <c r="AK87" s="34">
        <v>30</v>
      </c>
      <c r="AL87" s="34">
        <v>6</v>
      </c>
      <c r="AM87" s="34">
        <v>5</v>
      </c>
      <c r="AN87" s="34">
        <v>53</v>
      </c>
      <c r="AO87" s="34">
        <v>81</v>
      </c>
      <c r="AP87" s="34">
        <v>5</v>
      </c>
      <c r="AQ87" s="29">
        <v>1</v>
      </c>
      <c r="AR87" s="36">
        <f t="shared" si="124"/>
      </c>
    </row>
    <row r="88">
      <c r="A88" s="24"/>
      <c r="B88" s="38" t="s">
        <v>56</v>
      </c>
      <c r="C88" s="38"/>
      <c r="D88" s="38"/>
      <c r="E88" s="38"/>
      <c r="F88" s="39">
        <f>SUM(F86:F87)</f>
      </c>
      <c r="G88" s="39">
        <f>SUM(G86:G87)</f>
      </c>
      <c r="H88" s="39">
        <f>SUM(H86:H87)</f>
      </c>
      <c r="I88" s="40">
        <f>SUM(I86:I87)</f>
      </c>
      <c r="J88" s="40">
        <f>SUM(J86:J87)</f>
      </c>
      <c r="K88" s="39">
        <f>SUM(K86:K87)</f>
      </c>
      <c r="L88" s="41">
        <f t="shared" si="377"/>
      </c>
      <c r="M88" s="42">
        <f t="shared" si="323"/>
      </c>
      <c r="N88" s="43">
        <f t="shared" si="233"/>
      </c>
      <c r="O88" s="43">
        <f t="shared" si="179"/>
      </c>
      <c r="P88" s="43">
        <f t="shared" si="76"/>
      </c>
      <c r="Q88" s="43">
        <f t="shared" si="40"/>
      </c>
      <c r="R88" s="43">
        <f t="shared" si="4"/>
      </c>
      <c r="S88" s="43">
        <f t="shared" si="498"/>
      </c>
      <c r="T88" s="43">
        <f t="shared" si="395"/>
      </c>
      <c r="U88" s="41">
        <f t="shared" si="341"/>
      </c>
      <c r="V88" s="41">
        <f t="shared" si="251"/>
      </c>
      <c r="W88" s="41">
        <f t="shared" si="269"/>
      </c>
      <c r="X88" s="41">
        <f t="shared" si="287"/>
      </c>
      <c r="Y88" s="41">
        <f t="shared" si="197"/>
      </c>
      <c r="Z88" s="41">
        <f t="shared" si="94"/>
      </c>
      <c r="AA88" s="42">
        <f t="shared" si="58"/>
      </c>
      <c r="AB88" s="42">
        <f t="shared" si="22"/>
      </c>
      <c r="AC88" s="42">
        <f t="shared" si="516"/>
      </c>
      <c r="AD88" s="41">
        <f t="shared" si="413"/>
      </c>
      <c r="AE88" s="42">
        <f t="shared" si="359"/>
      </c>
      <c r="AF88" s="41">
        <f t="shared" si="305"/>
      </c>
      <c r="AG88" s="41">
        <f t="shared" si="215"/>
      </c>
      <c r="AH88" s="40">
        <f>SUM(AH86:AH87)</f>
      </c>
      <c r="AI88" s="40">
        <f>SUM(AI86:AI87)</f>
      </c>
      <c r="AJ88" s="40">
        <f>SUM(AJ86:AJ87)</f>
      </c>
      <c r="AK88" s="40">
        <f>SUM(AK86:AK87)</f>
      </c>
      <c r="AL88" s="40">
        <f>SUM(AL86:AL87)</f>
      </c>
      <c r="AM88" s="40">
        <f>SUM(AM86:AM87)</f>
      </c>
      <c r="AN88" s="40">
        <f>SUM(AN86:AN87)</f>
      </c>
      <c r="AO88" s="40">
        <f>SUM(AO86:AO87)</f>
      </c>
      <c r="AP88" s="40">
        <f>SUM(AP86:AP87)</f>
      </c>
      <c r="AQ88" s="40">
        <f>SUM(AQ86:AQ87)</f>
      </c>
      <c r="AR88" s="44">
        <f>SUM(AR86:AR87)</f>
      </c>
    </row>
    <row r="89">
      <c r="A89" s="24"/>
      <c r="B89" s="26" t="s">
        <v>69</v>
      </c>
      <c r="C89" s="25" t="s">
        <v>50</v>
      </c>
      <c r="D89" s="26" t="s">
        <v>62</v>
      </c>
      <c r="E89" s="25" t="s">
        <v>64</v>
      </c>
      <c r="F89" s="27">
        <f t="shared" ref="F89:F91" si="444">H89+G89</f>
      </c>
      <c r="G89" s="28">
        <v>1301.18</v>
      </c>
      <c r="H89" s="28">
        <v>351.33</v>
      </c>
      <c r="I89" s="29">
        <v>4</v>
      </c>
      <c r="J89" s="34">
        <v>3</v>
      </c>
      <c r="K89" s="30">
        <v>2332.7999999999993</v>
      </c>
      <c r="L89" s="31">
        <f t="shared" si="377"/>
      </c>
      <c r="M89" s="32">
        <f t="shared" si="323"/>
      </c>
      <c r="N89" s="33">
        <f t="shared" si="233"/>
      </c>
      <c r="O89" s="33">
        <f t="shared" si="179"/>
      </c>
      <c r="P89" s="33">
        <f t="shared" si="76"/>
      </c>
      <c r="Q89" s="33">
        <f t="shared" si="40"/>
      </c>
      <c r="R89" s="33">
        <f t="shared" si="4"/>
      </c>
      <c r="S89" s="33">
        <f t="shared" si="498"/>
      </c>
      <c r="T89" s="33">
        <f t="shared" si="395"/>
      </c>
      <c r="U89" s="31">
        <f t="shared" si="341"/>
      </c>
      <c r="V89" s="31">
        <f t="shared" si="251"/>
      </c>
      <c r="W89" s="31">
        <f t="shared" si="269"/>
      </c>
      <c r="X89" s="31">
        <f t="shared" si="287"/>
      </c>
      <c r="Y89" s="31">
        <f t="shared" si="197"/>
      </c>
      <c r="Z89" s="31">
        <f t="shared" si="94"/>
      </c>
      <c r="AA89" s="32">
        <f t="shared" si="58"/>
      </c>
      <c r="AB89" s="32">
        <f t="shared" si="22"/>
      </c>
      <c r="AC89" s="32">
        <f t="shared" si="516"/>
      </c>
      <c r="AD89" s="31">
        <f t="shared" si="413"/>
      </c>
      <c r="AE89" s="32">
        <f t="shared" si="359"/>
      </c>
      <c r="AF89" s="31">
        <f t="shared" si="305"/>
      </c>
      <c r="AG89" s="31">
        <f t="shared" si="215"/>
      </c>
      <c r="AH89" s="34">
        <v>16721</v>
      </c>
      <c r="AI89" s="34">
        <v>379</v>
      </c>
      <c r="AJ89" s="34">
        <v>472</v>
      </c>
      <c r="AK89" s="34">
        <v>43</v>
      </c>
      <c r="AL89" s="34">
        <v>4</v>
      </c>
      <c r="AM89" s="34">
        <v>3</v>
      </c>
      <c r="AN89" s="34">
        <v>73</v>
      </c>
      <c r="AO89" s="34">
        <v>51</v>
      </c>
      <c r="AP89" s="34">
        <v>3</v>
      </c>
      <c r="AQ89" s="29">
        <v>1</v>
      </c>
      <c r="AR89" s="36">
        <f t="shared" ref="AR89:AR91" si="125">COUNT(AQ89)</f>
      </c>
    </row>
    <row r="90">
      <c r="A90" s="24"/>
      <c r="B90" s="26" t="s">
        <v>69</v>
      </c>
      <c r="C90" s="25" t="s">
        <v>50</v>
      </c>
      <c r="D90" s="26" t="s">
        <v>62</v>
      </c>
      <c r="E90" s="25" t="s">
        <v>65</v>
      </c>
      <c r="F90" s="27">
        <f t="shared" si="444"/>
      </c>
      <c r="G90" s="28">
        <v>1342.19</v>
      </c>
      <c r="H90" s="28">
        <v>396.47</v>
      </c>
      <c r="I90" s="29">
        <v>7</v>
      </c>
      <c r="J90" s="29">
        <v>7</v>
      </c>
      <c r="K90" s="30">
        <v>4648.799999999999</v>
      </c>
      <c r="L90" s="31">
        <f t="shared" si="377"/>
      </c>
      <c r="M90" s="32">
        <f t="shared" si="323"/>
      </c>
      <c r="N90" s="33">
        <f t="shared" si="233"/>
      </c>
      <c r="O90" s="33">
        <f t="shared" si="179"/>
      </c>
      <c r="P90" s="33">
        <f t="shared" si="76"/>
      </c>
      <c r="Q90" s="33">
        <f t="shared" si="40"/>
      </c>
      <c r="R90" s="33">
        <f t="shared" si="4"/>
      </c>
      <c r="S90" s="33">
        <f t="shared" si="498"/>
      </c>
      <c r="T90" s="33">
        <f t="shared" si="395"/>
      </c>
      <c r="U90" s="31">
        <f t="shared" si="341"/>
      </c>
      <c r="V90" s="31">
        <f t="shared" si="251"/>
      </c>
      <c r="W90" s="31">
        <f t="shared" si="269"/>
      </c>
      <c r="X90" s="31">
        <f t="shared" si="287"/>
      </c>
      <c r="Y90" s="31">
        <f t="shared" si="197"/>
      </c>
      <c r="Z90" s="31">
        <f t="shared" si="94"/>
      </c>
      <c r="AA90" s="32">
        <f t="shared" si="58"/>
      </c>
      <c r="AB90" s="32">
        <f t="shared" si="22"/>
      </c>
      <c r="AC90" s="32">
        <f t="shared" si="516"/>
      </c>
      <c r="AD90" s="31">
        <f t="shared" si="413"/>
      </c>
      <c r="AE90" s="32">
        <f t="shared" si="359"/>
      </c>
      <c r="AF90" s="31">
        <f t="shared" si="305"/>
      </c>
      <c r="AG90" s="31">
        <f t="shared" si="215"/>
      </c>
      <c r="AH90" s="34">
        <v>21442</v>
      </c>
      <c r="AI90" s="34">
        <v>452</v>
      </c>
      <c r="AJ90" s="34">
        <v>596</v>
      </c>
      <c r="AK90" s="34">
        <v>36</v>
      </c>
      <c r="AL90" s="34">
        <v>5</v>
      </c>
      <c r="AM90" s="34">
        <v>6</v>
      </c>
      <c r="AN90" s="34">
        <v>77</v>
      </c>
      <c r="AO90" s="34">
        <v>90</v>
      </c>
      <c r="AP90" s="34">
        <v>5</v>
      </c>
      <c r="AQ90" s="29">
        <v>1</v>
      </c>
      <c r="AR90" s="36">
        <f t="shared" si="125"/>
      </c>
    </row>
    <row r="91">
      <c r="A91" s="24"/>
      <c r="B91" s="26" t="s">
        <v>69</v>
      </c>
      <c r="C91" s="25" t="s">
        <v>50</v>
      </c>
      <c r="D91" s="26" t="s">
        <v>62</v>
      </c>
      <c r="E91" s="26" t="s">
        <v>66</v>
      </c>
      <c r="F91" s="27">
        <f t="shared" si="444"/>
      </c>
      <c r="G91" s="52">
        <v>1252.84</v>
      </c>
      <c r="H91" s="52">
        <v>172.23</v>
      </c>
      <c r="I91" s="29">
        <v>4</v>
      </c>
      <c r="J91" s="29">
        <v>4</v>
      </c>
      <c r="K91" s="30">
        <v>2998.600000000002</v>
      </c>
      <c r="L91" s="31">
        <f t="shared" si="377"/>
      </c>
      <c r="M91" s="32">
        <f t="shared" si="323"/>
      </c>
      <c r="N91" s="33">
        <f t="shared" si="233"/>
      </c>
      <c r="O91" s="33">
        <f t="shared" si="179"/>
      </c>
      <c r="P91" s="33">
        <f t="shared" si="76"/>
      </c>
      <c r="Q91" s="33">
        <f t="shared" si="40"/>
      </c>
      <c r="R91" s="33">
        <f t="shared" si="4"/>
      </c>
      <c r="S91" s="33">
        <f t="shared" si="498"/>
      </c>
      <c r="T91" s="33">
        <f t="shared" si="395"/>
      </c>
      <c r="U91" s="31">
        <f t="shared" si="341"/>
      </c>
      <c r="V91" s="31">
        <f t="shared" si="251"/>
      </c>
      <c r="W91" s="31">
        <f t="shared" si="269"/>
      </c>
      <c r="X91" s="31">
        <f t="shared" si="287"/>
      </c>
      <c r="Y91" s="31">
        <f t="shared" si="197"/>
      </c>
      <c r="Z91" s="31">
        <f t="shared" si="94"/>
      </c>
      <c r="AA91" s="32">
        <f t="shared" si="58"/>
      </c>
      <c r="AB91" s="32">
        <f t="shared" si="22"/>
      </c>
      <c r="AC91" s="32">
        <f t="shared" si="516"/>
      </c>
      <c r="AD91" s="31">
        <f t="shared" si="413"/>
      </c>
      <c r="AE91" s="32">
        <f t="shared" si="359"/>
      </c>
      <c r="AF91" s="31">
        <f t="shared" si="305"/>
      </c>
      <c r="AG91" s="31">
        <f t="shared" si="215"/>
      </c>
      <c r="AH91" s="34">
        <v>16686</v>
      </c>
      <c r="AI91" s="34">
        <v>263</v>
      </c>
      <c r="AJ91" s="34">
        <v>315</v>
      </c>
      <c r="AK91" s="34">
        <v>25</v>
      </c>
      <c r="AL91" s="34">
        <v>2</v>
      </c>
      <c r="AM91" s="34">
        <v>1</v>
      </c>
      <c r="AN91" s="34">
        <v>60</v>
      </c>
      <c r="AO91" s="34">
        <v>62</v>
      </c>
      <c r="AP91" s="34">
        <v>4</v>
      </c>
      <c r="AQ91" s="29">
        <v>0</v>
      </c>
      <c r="AR91" s="36">
        <f t="shared" si="125"/>
      </c>
    </row>
    <row r="92">
      <c r="A92" s="24"/>
      <c r="B92" s="38" t="s">
        <v>56</v>
      </c>
      <c r="C92" s="38"/>
      <c r="D92" s="38"/>
      <c r="E92" s="38"/>
      <c r="F92" s="39">
        <f>SUM(F89:F91)</f>
      </c>
      <c r="G92" s="39">
        <f>SUM(G89:G91)</f>
      </c>
      <c r="H92" s="39">
        <f>SUM(H89:H91)</f>
      </c>
      <c r="I92" s="40">
        <f>SUM(I89:I91)</f>
      </c>
      <c r="J92" s="40">
        <f>SUM(J89:J91)</f>
      </c>
      <c r="K92" s="39">
        <f>SUM(K89:K91)</f>
      </c>
      <c r="L92" s="41">
        <f t="shared" si="377"/>
      </c>
      <c r="M92" s="42">
        <f t="shared" si="323"/>
      </c>
      <c r="N92" s="43">
        <f t="shared" si="233"/>
      </c>
      <c r="O92" s="43">
        <f t="shared" si="179"/>
      </c>
      <c r="P92" s="43">
        <f t="shared" si="76"/>
      </c>
      <c r="Q92" s="43">
        <f t="shared" si="40"/>
      </c>
      <c r="R92" s="43">
        <f t="shared" si="4"/>
      </c>
      <c r="S92" s="43">
        <f t="shared" si="498"/>
      </c>
      <c r="T92" s="43">
        <f t="shared" si="395"/>
      </c>
      <c r="U92" s="41">
        <f t="shared" si="341"/>
      </c>
      <c r="V92" s="41">
        <f t="shared" si="251"/>
      </c>
      <c r="W92" s="41">
        <f t="shared" si="269"/>
      </c>
      <c r="X92" s="41">
        <f t="shared" si="287"/>
      </c>
      <c r="Y92" s="41">
        <f t="shared" si="197"/>
      </c>
      <c r="Z92" s="41">
        <f t="shared" si="94"/>
      </c>
      <c r="AA92" s="42">
        <f t="shared" si="58"/>
      </c>
      <c r="AB92" s="42">
        <f t="shared" si="22"/>
      </c>
      <c r="AC92" s="42">
        <f t="shared" si="516"/>
      </c>
      <c r="AD92" s="41">
        <f t="shared" si="413"/>
      </c>
      <c r="AE92" s="42">
        <f t="shared" si="359"/>
      </c>
      <c r="AF92" s="41">
        <f t="shared" si="305"/>
      </c>
      <c r="AG92" s="41">
        <f t="shared" si="215"/>
      </c>
      <c r="AH92" s="40">
        <f>SUM(AH89:AH91)</f>
      </c>
      <c r="AI92" s="40">
        <f>SUM(AI89:AI91)</f>
      </c>
      <c r="AJ92" s="40">
        <f>SUM(AJ89:AJ91)</f>
      </c>
      <c r="AK92" s="40">
        <f>SUM(AK89:AK91)</f>
      </c>
      <c r="AL92" s="40">
        <f>SUM(AL89:AL91)</f>
      </c>
      <c r="AM92" s="40">
        <f>SUM(AM89:AM91)</f>
      </c>
      <c r="AN92" s="40">
        <f>SUM(AN89:AN91)</f>
      </c>
      <c r="AO92" s="40">
        <f>SUM(AO89:AO91)</f>
      </c>
      <c r="AP92" s="40">
        <f>SUM(AP89:AP91)</f>
      </c>
      <c r="AQ92" s="40">
        <f>SUM(AQ89:AQ91)</f>
      </c>
      <c r="AR92" s="44">
        <f>SUM(AR89:AR91)</f>
      </c>
    </row>
    <row r="93">
      <c r="A93" s="24"/>
      <c r="B93" s="46" t="s">
        <v>67</v>
      </c>
      <c r="C93" s="46"/>
      <c r="D93" s="46"/>
      <c r="E93" s="46"/>
      <c r="F93" s="47">
        <f>F85+F81+F92+F88</f>
      </c>
      <c r="G93" s="47">
        <f>G85+G81+G92+G88</f>
      </c>
      <c r="H93" s="47">
        <f>H85+H81+H92+H88</f>
      </c>
      <c r="I93" s="47">
        <f>I85+I81+I92+I88</f>
      </c>
      <c r="J93" s="47">
        <f>J85+J81+J92+J88</f>
      </c>
      <c r="K93" s="47">
        <f>K85+K81+K92+K88</f>
      </c>
      <c r="L93" s="48">
        <f t="shared" si="377"/>
      </c>
      <c r="M93" s="49">
        <f t="shared" si="323"/>
      </c>
      <c r="N93" s="50">
        <f t="shared" si="233"/>
      </c>
      <c r="O93" s="50">
        <f t="shared" si="179"/>
      </c>
      <c r="P93" s="50">
        <f t="shared" si="76"/>
      </c>
      <c r="Q93" s="50">
        <f t="shared" si="40"/>
      </c>
      <c r="R93" s="50">
        <f t="shared" si="4"/>
      </c>
      <c r="S93" s="50">
        <f t="shared" si="498"/>
      </c>
      <c r="T93" s="50">
        <f t="shared" si="395"/>
      </c>
      <c r="U93" s="48">
        <f t="shared" si="341"/>
      </c>
      <c r="V93" s="48">
        <f t="shared" si="251"/>
      </c>
      <c r="W93" s="48">
        <f t="shared" si="269"/>
      </c>
      <c r="X93" s="48">
        <f t="shared" si="287"/>
      </c>
      <c r="Y93" s="48">
        <f t="shared" si="197"/>
      </c>
      <c r="Z93" s="48">
        <f t="shared" si="94"/>
      </c>
      <c r="AA93" s="49">
        <f t="shared" si="58"/>
      </c>
      <c r="AB93" s="49">
        <f t="shared" si="22"/>
      </c>
      <c r="AC93" s="49">
        <f t="shared" si="516"/>
      </c>
      <c r="AD93" s="48">
        <f t="shared" si="413"/>
      </c>
      <c r="AE93" s="49">
        <f t="shared" si="359"/>
      </c>
      <c r="AF93" s="48">
        <f t="shared" si="305"/>
      </c>
      <c r="AG93" s="48">
        <f t="shared" si="215"/>
      </c>
      <c r="AH93" s="44">
        <f>AH85+AH81+AH92+AH88</f>
      </c>
      <c r="AI93" s="44">
        <f>AI85+AI81+AI92+AI88</f>
      </c>
      <c r="AJ93" s="44">
        <f>AJ85+AJ81+AJ92+AJ88</f>
      </c>
      <c r="AK93" s="44">
        <f>AK85+AK81+AK92+AK88</f>
      </c>
      <c r="AL93" s="44">
        <f>AL85+AL81+AL92+AL88</f>
      </c>
      <c r="AM93" s="44">
        <f>AM85+AM81+AM92+AM88</f>
      </c>
      <c r="AN93" s="44">
        <f>AN85+AN81+AN92+AN88</f>
      </c>
      <c r="AO93" s="44">
        <f>AO85+AO81+AO92+AO88</f>
      </c>
      <c r="AP93" s="44">
        <f>AP85+AP81+AP92+AP88</f>
      </c>
      <c r="AQ93" s="44">
        <f>AQ85+AQ81+AQ92+AQ88</f>
      </c>
      <c r="AR93" s="44">
        <f>AR85+AR81+AR92+AR88</f>
      </c>
    </row>
    <row r="94">
      <c r="A94" s="1"/>
      <c r="B94" s="1"/>
      <c r="C94" s="1"/>
      <c r="D94" s="1"/>
      <c r="E94" s="1"/>
      <c r="F94" s="2" t="s">
        <v>1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3" t="s">
        <v>2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4" t="s">
        <v>3</v>
      </c>
      <c r="AD94" s="4"/>
      <c r="AE94" s="4"/>
      <c r="AF94" s="4"/>
      <c r="AG94" s="4"/>
      <c r="AH94" s="5" t="s">
        <v>4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</row>
    <row r="95">
      <c r="A95" s="6" t="s">
        <v>5</v>
      </c>
      <c r="B95" s="7" t="s">
        <v>6</v>
      </c>
      <c r="C95" s="7" t="s">
        <v>7</v>
      </c>
      <c r="D95" s="8" t="s">
        <v>8</v>
      </c>
      <c r="E95" s="9" t="s">
        <v>9</v>
      </c>
      <c r="F95" s="10" t="s">
        <v>10</v>
      </c>
      <c r="G95" s="11" t="s">
        <v>11</v>
      </c>
      <c r="H95" s="12" t="s">
        <v>12</v>
      </c>
      <c r="I95" s="13" t="s">
        <v>13</v>
      </c>
      <c r="J95" s="13" t="s">
        <v>14</v>
      </c>
      <c r="K95" s="12" t="s">
        <v>15</v>
      </c>
      <c r="L95" s="14" t="s">
        <v>16</v>
      </c>
      <c r="M95" s="15" t="s">
        <v>17</v>
      </c>
      <c r="N95" s="16" t="s">
        <v>18</v>
      </c>
      <c r="O95" s="16" t="s">
        <v>19</v>
      </c>
      <c r="P95" s="17" t="s">
        <v>20</v>
      </c>
      <c r="Q95" s="3" t="s">
        <v>21</v>
      </c>
      <c r="R95" s="18" t="s">
        <v>22</v>
      </c>
      <c r="S95" s="18" t="s">
        <v>23</v>
      </c>
      <c r="T95" s="18" t="s">
        <v>24</v>
      </c>
      <c r="U95" s="19" t="s">
        <v>25</v>
      </c>
      <c r="V95" s="19" t="s">
        <v>26</v>
      </c>
      <c r="W95" s="19" t="s">
        <v>27</v>
      </c>
      <c r="X95" s="19" t="s">
        <v>28</v>
      </c>
      <c r="Y95" s="19" t="s">
        <v>29</v>
      </c>
      <c r="Z95" s="19" t="s">
        <v>30</v>
      </c>
      <c r="AA95" s="20" t="s">
        <v>31</v>
      </c>
      <c r="AB95" s="20" t="s">
        <v>32</v>
      </c>
      <c r="AC95" s="4" t="s">
        <v>33</v>
      </c>
      <c r="AD95" s="21" t="s">
        <v>34</v>
      </c>
      <c r="AE95" s="4" t="s">
        <v>35</v>
      </c>
      <c r="AF95" s="21" t="s">
        <v>36</v>
      </c>
      <c r="AG95" s="21" t="s">
        <v>37</v>
      </c>
      <c r="AH95" s="22" t="s">
        <v>38</v>
      </c>
      <c r="AI95" s="22" t="s">
        <v>39</v>
      </c>
      <c r="AJ95" s="22" t="s">
        <v>40</v>
      </c>
      <c r="AK95" s="22" t="s">
        <v>41</v>
      </c>
      <c r="AL95" s="22" t="s">
        <v>42</v>
      </c>
      <c r="AM95" s="22" t="s">
        <v>43</v>
      </c>
      <c r="AN95" s="22" t="s">
        <v>44</v>
      </c>
      <c r="AO95" s="22" t="s">
        <v>45</v>
      </c>
      <c r="AP95" s="22" t="s">
        <v>46</v>
      </c>
      <c r="AQ95" s="22" t="s">
        <v>47</v>
      </c>
      <c r="AR95" s="23" t="s">
        <v>48</v>
      </c>
    </row>
    <row r="96">
      <c r="A96" s="24">
        <v>46301</v>
      </c>
      <c r="B96" s="26" t="s">
        <v>69</v>
      </c>
      <c r="C96" s="25" t="s">
        <v>50</v>
      </c>
      <c r="D96" s="26" t="s">
        <v>51</v>
      </c>
      <c r="E96" s="26" t="s">
        <v>52</v>
      </c>
      <c r="F96" s="27">
        <f t="shared" ref="F96:F99" si="445">H96+G96</f>
      </c>
      <c r="G96" s="28">
        <v>1657.99</v>
      </c>
      <c r="H96" s="28">
        <v>393.4</v>
      </c>
      <c r="I96" s="29">
        <v>5</v>
      </c>
      <c r="J96" s="29">
        <v>5</v>
      </c>
      <c r="K96" s="30">
        <v>3577</v>
      </c>
      <c r="L96" s="31">
        <f t="shared" ref="L96:L112" si="378">AQ96/J96</f>
      </c>
      <c r="M96" s="32">
        <f t="shared" ref="M96:M112" si="324">K96/J96</f>
      </c>
      <c r="N96" s="33">
        <f t="shared" ref="N96:N112" si="234">F96/J96</f>
      </c>
      <c r="O96" s="33">
        <f t="shared" ref="O96:O112" si="180">K96/F96</f>
      </c>
      <c r="P96" s="33">
        <f t="shared" ref="P96:P112" si="77">K96/((300*AR96)+F96)</f>
      </c>
      <c r="Q96" s="33">
        <f t="shared" ref="Q96:Q112" si="41">F96/AJ96</f>
      </c>
      <c r="R96" s="33">
        <f t="shared" ref="R96:R112" si="5">F96/AK96</f>
      </c>
      <c r="S96" s="33">
        <f t="shared" ref="S96:S112" si="499">F96/AL96</f>
      </c>
      <c r="T96" s="33">
        <f t="shared" ref="T96:T112" si="396">F96/AM96</f>
      </c>
      <c r="U96" s="31">
        <f t="shared" ref="U96:U112" si="342">AI96/AJ96</f>
      </c>
      <c r="V96" s="31">
        <f t="shared" ref="V96:V112" si="252">AK96/AJ96</f>
      </c>
      <c r="W96" s="31">
        <f t="shared" ref="W96:W112" si="270">AL96/AK96</f>
      </c>
      <c r="X96" s="31">
        <f t="shared" ref="X96:X112" si="288">AM96/AL96</f>
      </c>
      <c r="Y96" s="31">
        <f t="shared" ref="Y96:Y112" si="198">AI96/AH96</f>
      </c>
      <c r="Z96" s="31">
        <f t="shared" ref="Z96:Z112" si="95">AM96/AI96</f>
      </c>
      <c r="AA96" s="32">
        <f t="shared" ref="AA96:AA112" si="59">F96/AH96*1000</f>
      </c>
      <c r="AB96" s="32">
        <f t="shared" ref="AB96:AB112" si="23">F96/AI96</f>
      </c>
      <c r="AC96" s="32">
        <f t="shared" ref="AC96:AC112" si="517">F96/AN96</f>
      </c>
      <c r="AD96" s="31">
        <f t="shared" ref="AD96:AD112" si="414">AN96/AJ96</f>
      </c>
      <c r="AE96" s="32">
        <f t="shared" ref="AE96:AE112" si="360">F96/AO96</f>
      </c>
      <c r="AF96" s="31">
        <f t="shared" ref="AF96:AF112" si="306">AO96/AJ96</f>
      </c>
      <c r="AG96" s="31">
        <f t="shared" ref="AG96:AG112" si="216">AP96/AJ96</f>
      </c>
      <c r="AH96" s="34">
        <v>24958</v>
      </c>
      <c r="AI96" s="35">
        <v>448</v>
      </c>
      <c r="AJ96" s="35">
        <v>479</v>
      </c>
      <c r="AK96" s="34">
        <v>44</v>
      </c>
      <c r="AL96" s="34">
        <v>4</v>
      </c>
      <c r="AM96" s="34">
        <v>4</v>
      </c>
      <c r="AN96" s="34">
        <v>79</v>
      </c>
      <c r="AO96" s="34">
        <v>50</v>
      </c>
      <c r="AP96" s="34">
        <v>6</v>
      </c>
      <c r="AQ96" s="29">
        <v>0</v>
      </c>
      <c r="AR96" s="36">
        <f t="shared" ref="AR96:AR99" si="126">COUNT(AQ96)</f>
      </c>
    </row>
    <row r="97">
      <c r="A97" s="24"/>
      <c r="B97" s="26" t="s">
        <v>69</v>
      </c>
      <c r="C97" s="25" t="s">
        <v>50</v>
      </c>
      <c r="D97" s="26" t="s">
        <v>51</v>
      </c>
      <c r="E97" s="26" t="s">
        <v>53</v>
      </c>
      <c r="F97" s="27">
        <f t="shared" si="445"/>
      </c>
      <c r="G97" s="37">
        <v>1932.45</v>
      </c>
      <c r="H97" s="28">
        <v>231.91</v>
      </c>
      <c r="I97" s="29">
        <v>8</v>
      </c>
      <c r="J97" s="29">
        <v>7</v>
      </c>
      <c r="K97" s="30">
        <v>5395</v>
      </c>
      <c r="L97" s="31">
        <f t="shared" si="378"/>
      </c>
      <c r="M97" s="32">
        <f t="shared" si="324"/>
      </c>
      <c r="N97" s="33">
        <f t="shared" si="234"/>
      </c>
      <c r="O97" s="33">
        <f t="shared" si="180"/>
      </c>
      <c r="P97" s="33">
        <f t="shared" si="77"/>
      </c>
      <c r="Q97" s="33">
        <f t="shared" si="41"/>
      </c>
      <c r="R97" s="33">
        <f t="shared" si="5"/>
      </c>
      <c r="S97" s="33">
        <f t="shared" si="499"/>
      </c>
      <c r="T97" s="33">
        <f t="shared" si="396"/>
      </c>
      <c r="U97" s="31">
        <f t="shared" si="342"/>
      </c>
      <c r="V97" s="31">
        <f t="shared" si="252"/>
      </c>
      <c r="W97" s="31">
        <f t="shared" si="270"/>
      </c>
      <c r="X97" s="31">
        <f t="shared" si="288"/>
      </c>
      <c r="Y97" s="31">
        <f t="shared" si="198"/>
      </c>
      <c r="Z97" s="31">
        <f t="shared" si="95"/>
      </c>
      <c r="AA97" s="32">
        <f t="shared" si="59"/>
      </c>
      <c r="AB97" s="32">
        <f t="shared" si="23"/>
      </c>
      <c r="AC97" s="32">
        <f t="shared" si="517"/>
      </c>
      <c r="AD97" s="31">
        <f t="shared" si="414"/>
      </c>
      <c r="AE97" s="32">
        <f t="shared" si="360"/>
      </c>
      <c r="AF97" s="31">
        <f t="shared" si="306"/>
      </c>
      <c r="AG97" s="31">
        <f t="shared" si="216"/>
      </c>
      <c r="AH97" s="29">
        <v>25382</v>
      </c>
      <c r="AI97" s="34">
        <v>397</v>
      </c>
      <c r="AJ97" s="34">
        <v>423</v>
      </c>
      <c r="AK97" s="34">
        <v>62</v>
      </c>
      <c r="AL97" s="34">
        <v>8</v>
      </c>
      <c r="AM97" s="34">
        <v>7</v>
      </c>
      <c r="AN97" s="34">
        <v>94</v>
      </c>
      <c r="AO97" s="34">
        <v>103</v>
      </c>
      <c r="AP97" s="34">
        <v>6</v>
      </c>
      <c r="AQ97" s="29">
        <v>0</v>
      </c>
      <c r="AR97" s="36">
        <f t="shared" si="126"/>
      </c>
    </row>
    <row r="98">
      <c r="A98" s="24"/>
      <c r="B98" s="26" t="s">
        <v>69</v>
      </c>
      <c r="C98" s="25" t="s">
        <v>50</v>
      </c>
      <c r="D98" s="26" t="s">
        <v>51</v>
      </c>
      <c r="E98" s="26" t="s">
        <v>54</v>
      </c>
      <c r="F98" s="27">
        <f t="shared" si="445"/>
      </c>
      <c r="G98" s="28">
        <v>2035.39</v>
      </c>
      <c r="H98" s="28">
        <v>358.22</v>
      </c>
      <c r="I98" s="29">
        <v>6</v>
      </c>
      <c r="J98" s="29">
        <v>5</v>
      </c>
      <c r="K98" s="30">
        <v>4450.5999999999985</v>
      </c>
      <c r="L98" s="31">
        <f t="shared" si="378"/>
      </c>
      <c r="M98" s="32">
        <f t="shared" si="324"/>
      </c>
      <c r="N98" s="33">
        <f t="shared" si="234"/>
      </c>
      <c r="O98" s="33">
        <f t="shared" si="180"/>
      </c>
      <c r="P98" s="33">
        <f t="shared" si="77"/>
      </c>
      <c r="Q98" s="33">
        <f t="shared" si="41"/>
      </c>
      <c r="R98" s="33">
        <f t="shared" si="5"/>
      </c>
      <c r="S98" s="33">
        <f t="shared" si="499"/>
      </c>
      <c r="T98" s="33">
        <f t="shared" si="396"/>
      </c>
      <c r="U98" s="31">
        <f t="shared" si="342"/>
      </c>
      <c r="V98" s="31">
        <f t="shared" si="252"/>
      </c>
      <c r="W98" s="31">
        <f t="shared" si="270"/>
      </c>
      <c r="X98" s="31">
        <f t="shared" si="288"/>
      </c>
      <c r="Y98" s="31">
        <f t="shared" si="198"/>
      </c>
      <c r="Z98" s="31">
        <f t="shared" si="95"/>
      </c>
      <c r="AA98" s="32">
        <f t="shared" si="59"/>
      </c>
      <c r="AB98" s="32">
        <f t="shared" si="23"/>
      </c>
      <c r="AC98" s="32">
        <f t="shared" si="517"/>
      </c>
      <c r="AD98" s="31">
        <f t="shared" si="414"/>
      </c>
      <c r="AE98" s="32">
        <f t="shared" si="360"/>
      </c>
      <c r="AF98" s="31">
        <f t="shared" si="306"/>
      </c>
      <c r="AG98" s="31">
        <f t="shared" si="216"/>
      </c>
      <c r="AH98" s="29">
        <v>30230</v>
      </c>
      <c r="AI98" s="34">
        <v>511</v>
      </c>
      <c r="AJ98" s="34">
        <v>561</v>
      </c>
      <c r="AK98" s="34">
        <v>39</v>
      </c>
      <c r="AL98" s="29">
        <v>5</v>
      </c>
      <c r="AM98" s="34">
        <v>4</v>
      </c>
      <c r="AN98" s="34">
        <v>93</v>
      </c>
      <c r="AO98" s="34">
        <v>68</v>
      </c>
      <c r="AP98" s="34">
        <v>5</v>
      </c>
      <c r="AQ98" s="29">
        <v>0</v>
      </c>
      <c r="AR98" s="36">
        <f t="shared" si="126"/>
      </c>
    </row>
    <row r="99">
      <c r="A99" s="24"/>
      <c r="B99" s="26" t="s">
        <v>69</v>
      </c>
      <c r="C99" s="25" t="s">
        <v>50</v>
      </c>
      <c r="D99" s="26" t="s">
        <v>51</v>
      </c>
      <c r="E99" s="26" t="s">
        <v>55</v>
      </c>
      <c r="F99" s="27">
        <f t="shared" si="445"/>
      </c>
      <c r="G99" s="28">
        <v>1917.89</v>
      </c>
      <c r="H99" s="28">
        <v>307.2</v>
      </c>
      <c r="I99" s="29">
        <v>9</v>
      </c>
      <c r="J99" s="29">
        <v>9</v>
      </c>
      <c r="K99" s="30">
        <v>6661.5999999999985</v>
      </c>
      <c r="L99" s="31">
        <f t="shared" si="378"/>
      </c>
      <c r="M99" s="32">
        <f t="shared" si="324"/>
      </c>
      <c r="N99" s="33">
        <f t="shared" si="234"/>
      </c>
      <c r="O99" s="33">
        <f t="shared" si="180"/>
      </c>
      <c r="P99" s="33">
        <f t="shared" si="77"/>
      </c>
      <c r="Q99" s="33">
        <f t="shared" si="41"/>
      </c>
      <c r="R99" s="33">
        <f t="shared" si="5"/>
      </c>
      <c r="S99" s="33">
        <f t="shared" si="499"/>
      </c>
      <c r="T99" s="33">
        <f t="shared" si="396"/>
      </c>
      <c r="U99" s="31">
        <f t="shared" si="342"/>
      </c>
      <c r="V99" s="31">
        <f t="shared" si="252"/>
      </c>
      <c r="W99" s="31">
        <f t="shared" si="270"/>
      </c>
      <c r="X99" s="31">
        <f t="shared" si="288"/>
      </c>
      <c r="Y99" s="31">
        <f t="shared" si="198"/>
      </c>
      <c r="Z99" s="31">
        <f t="shared" si="95"/>
      </c>
      <c r="AA99" s="32">
        <f t="shared" si="59"/>
      </c>
      <c r="AB99" s="32">
        <f t="shared" si="23"/>
      </c>
      <c r="AC99" s="32">
        <f t="shared" si="517"/>
      </c>
      <c r="AD99" s="31">
        <f t="shared" si="414"/>
      </c>
      <c r="AE99" s="32">
        <f t="shared" si="360"/>
      </c>
      <c r="AF99" s="31">
        <f t="shared" si="306"/>
      </c>
      <c r="AG99" s="31">
        <f t="shared" si="216"/>
      </c>
      <c r="AH99" s="29">
        <v>27008</v>
      </c>
      <c r="AI99" s="34">
        <v>399</v>
      </c>
      <c r="AJ99" s="34">
        <v>452</v>
      </c>
      <c r="AK99" s="34">
        <v>47</v>
      </c>
      <c r="AL99" s="29">
        <v>9</v>
      </c>
      <c r="AM99" s="34">
        <v>9</v>
      </c>
      <c r="AN99" s="34">
        <v>83</v>
      </c>
      <c r="AO99" s="34">
        <v>112</v>
      </c>
      <c r="AP99" s="34">
        <v>6</v>
      </c>
      <c r="AQ99" s="29">
        <v>1</v>
      </c>
      <c r="AR99" s="36">
        <f t="shared" si="126"/>
      </c>
    </row>
    <row r="100">
      <c r="A100" s="24"/>
      <c r="B100" s="38" t="s">
        <v>56</v>
      </c>
      <c r="C100" s="38"/>
      <c r="D100" s="38"/>
      <c r="E100" s="38"/>
      <c r="F100" s="39">
        <f>SUM(F96:F99)</f>
      </c>
      <c r="G100" s="39">
        <f>SUM(G96:G99)</f>
      </c>
      <c r="H100" s="39">
        <f>SUM(H96:H99)</f>
      </c>
      <c r="I100" s="40">
        <f>SUM(I96:I99)</f>
      </c>
      <c r="J100" s="40">
        <f>SUM(J96:J99)</f>
      </c>
      <c r="K100" s="39">
        <f>SUM(K96:K99)</f>
      </c>
      <c r="L100" s="41">
        <f t="shared" si="378"/>
      </c>
      <c r="M100" s="42">
        <f t="shared" si="324"/>
      </c>
      <c r="N100" s="43">
        <f t="shared" si="234"/>
      </c>
      <c r="O100" s="43">
        <f t="shared" si="180"/>
      </c>
      <c r="P100" s="43">
        <f t="shared" si="77"/>
      </c>
      <c r="Q100" s="43">
        <f t="shared" si="41"/>
      </c>
      <c r="R100" s="43">
        <f t="shared" si="5"/>
      </c>
      <c r="S100" s="43">
        <f t="shared" si="499"/>
      </c>
      <c r="T100" s="43">
        <f t="shared" si="396"/>
      </c>
      <c r="U100" s="41">
        <f t="shared" si="342"/>
      </c>
      <c r="V100" s="41">
        <f t="shared" si="252"/>
      </c>
      <c r="W100" s="41">
        <f t="shared" si="270"/>
      </c>
      <c r="X100" s="41">
        <f t="shared" si="288"/>
      </c>
      <c r="Y100" s="41">
        <f t="shared" si="198"/>
      </c>
      <c r="Z100" s="41">
        <f t="shared" si="95"/>
      </c>
      <c r="AA100" s="42">
        <f t="shared" si="59"/>
      </c>
      <c r="AB100" s="42">
        <f t="shared" si="23"/>
      </c>
      <c r="AC100" s="42">
        <f t="shared" si="517"/>
      </c>
      <c r="AD100" s="41">
        <f t="shared" si="414"/>
      </c>
      <c r="AE100" s="42">
        <f t="shared" si="360"/>
      </c>
      <c r="AF100" s="41">
        <f t="shared" si="306"/>
      </c>
      <c r="AG100" s="41">
        <f t="shared" si="216"/>
      </c>
      <c r="AH100" s="40">
        <f>SUM(AH96:AH99)</f>
      </c>
      <c r="AI100" s="40">
        <f>SUM(AI96:AI99)</f>
      </c>
      <c r="AJ100" s="40">
        <f>SUM(AJ96:AJ99)</f>
      </c>
      <c r="AK100" s="40">
        <f>SUM(AK96:AK99)</f>
      </c>
      <c r="AL100" s="40">
        <f>SUM(AL96:AL99)</f>
      </c>
      <c r="AM100" s="40">
        <f>SUM(AM96:AM99)</f>
      </c>
      <c r="AN100" s="40">
        <f>SUM(AN96:AN99)</f>
      </c>
      <c r="AO100" s="40">
        <f>SUM(AO96:AO99)</f>
      </c>
      <c r="AP100" s="40">
        <f>SUM(AP96:AP99)</f>
      </c>
      <c r="AQ100" s="40">
        <f>SUM(AQ96:AQ99)</f>
      </c>
      <c r="AR100" s="44">
        <f>SUM(AR96:AR99)</f>
      </c>
    </row>
    <row r="101">
      <c r="A101" s="24"/>
      <c r="B101" s="26" t="s">
        <v>69</v>
      </c>
      <c r="C101" s="25" t="s">
        <v>50</v>
      </c>
      <c r="D101" s="26" t="s">
        <v>62</v>
      </c>
      <c r="E101" s="26" t="s">
        <v>58</v>
      </c>
      <c r="F101" s="27">
        <f t="shared" ref="F101:F103" si="446">H101+G101</f>
      </c>
      <c r="G101" s="28">
        <v>2106.12</v>
      </c>
      <c r="H101" s="28">
        <v>271.33</v>
      </c>
      <c r="I101" s="29">
        <v>3</v>
      </c>
      <c r="J101" s="29">
        <v>2</v>
      </c>
      <c r="K101" s="30">
        <v>1365.5999999999985</v>
      </c>
      <c r="L101" s="31">
        <f t="shared" si="378"/>
      </c>
      <c r="M101" s="32">
        <f t="shared" si="324"/>
      </c>
      <c r="N101" s="33">
        <f t="shared" si="234"/>
      </c>
      <c r="O101" s="33">
        <f t="shared" si="180"/>
      </c>
      <c r="P101" s="33">
        <f t="shared" si="77"/>
      </c>
      <c r="Q101" s="33">
        <f t="shared" si="41"/>
      </c>
      <c r="R101" s="33">
        <f t="shared" si="5"/>
      </c>
      <c r="S101" s="33">
        <f t="shared" si="499"/>
      </c>
      <c r="T101" s="33">
        <f t="shared" si="396"/>
      </c>
      <c r="U101" s="31">
        <f t="shared" si="342"/>
      </c>
      <c r="V101" s="31">
        <f t="shared" si="252"/>
      </c>
      <c r="W101" s="31">
        <f t="shared" si="270"/>
      </c>
      <c r="X101" s="31">
        <f t="shared" si="288"/>
      </c>
      <c r="Y101" s="31">
        <f t="shared" si="198"/>
      </c>
      <c r="Z101" s="31">
        <f t="shared" si="95"/>
      </c>
      <c r="AA101" s="32">
        <f t="shared" si="59"/>
      </c>
      <c r="AB101" s="32">
        <f t="shared" si="23"/>
      </c>
      <c r="AC101" s="32">
        <f t="shared" si="517"/>
      </c>
      <c r="AD101" s="31">
        <f t="shared" si="414"/>
      </c>
      <c r="AE101" s="32">
        <f t="shared" si="360"/>
      </c>
      <c r="AF101" s="31">
        <f t="shared" si="306"/>
      </c>
      <c r="AG101" s="31">
        <f t="shared" si="216"/>
      </c>
      <c r="AH101" s="34">
        <v>35469</v>
      </c>
      <c r="AI101" s="34">
        <v>581</v>
      </c>
      <c r="AJ101" s="34">
        <v>662</v>
      </c>
      <c r="AK101" s="34">
        <v>55</v>
      </c>
      <c r="AL101" s="29">
        <v>3</v>
      </c>
      <c r="AM101" s="29">
        <v>2</v>
      </c>
      <c r="AN101" s="34">
        <v>110</v>
      </c>
      <c r="AO101" s="34">
        <v>74</v>
      </c>
      <c r="AP101" s="34">
        <v>18</v>
      </c>
      <c r="AQ101" s="29">
        <v>0</v>
      </c>
      <c r="AR101" s="36">
        <f t="shared" ref="AR101:AR103" si="127">COUNT(AQ101)</f>
      </c>
    </row>
    <row r="102">
      <c r="A102" s="24"/>
      <c r="B102" s="26" t="s">
        <v>69</v>
      </c>
      <c r="C102" s="25" t="s">
        <v>50</v>
      </c>
      <c r="D102" s="26" t="s">
        <v>62</v>
      </c>
      <c r="E102" s="26" t="s">
        <v>59</v>
      </c>
      <c r="F102" s="27">
        <f t="shared" si="446"/>
      </c>
      <c r="G102" s="28">
        <v>1781.51</v>
      </c>
      <c r="H102" s="28">
        <v>351.5</v>
      </c>
      <c r="I102" s="29">
        <v>6</v>
      </c>
      <c r="J102" s="29">
        <v>5</v>
      </c>
      <c r="K102" s="30">
        <v>2893.2000000000007</v>
      </c>
      <c r="L102" s="31">
        <f t="shared" si="378"/>
      </c>
      <c r="M102" s="32">
        <f t="shared" si="324"/>
      </c>
      <c r="N102" s="33">
        <f t="shared" si="234"/>
      </c>
      <c r="O102" s="33">
        <f t="shared" si="180"/>
      </c>
      <c r="P102" s="33">
        <f t="shared" si="77"/>
      </c>
      <c r="Q102" s="33">
        <f t="shared" si="41"/>
      </c>
      <c r="R102" s="33">
        <f t="shared" si="5"/>
      </c>
      <c r="S102" s="33">
        <f t="shared" si="499"/>
      </c>
      <c r="T102" s="33">
        <f t="shared" si="396"/>
      </c>
      <c r="U102" s="31">
        <f t="shared" si="342"/>
      </c>
      <c r="V102" s="31">
        <f t="shared" si="252"/>
      </c>
      <c r="W102" s="31">
        <f t="shared" si="270"/>
      </c>
      <c r="X102" s="31">
        <f t="shared" si="288"/>
      </c>
      <c r="Y102" s="31">
        <f t="shared" si="198"/>
      </c>
      <c r="Z102" s="31">
        <f t="shared" si="95"/>
      </c>
      <c r="AA102" s="32">
        <f t="shared" si="59"/>
      </c>
      <c r="AB102" s="32">
        <f t="shared" si="23"/>
      </c>
      <c r="AC102" s="32">
        <f t="shared" si="517"/>
      </c>
      <c r="AD102" s="31">
        <f t="shared" si="414"/>
      </c>
      <c r="AE102" s="32">
        <f t="shared" si="360"/>
      </c>
      <c r="AF102" s="31">
        <f t="shared" si="306"/>
      </c>
      <c r="AG102" s="31">
        <f t="shared" si="216"/>
      </c>
      <c r="AH102" s="34">
        <v>33010</v>
      </c>
      <c r="AI102" s="34">
        <v>497</v>
      </c>
      <c r="AJ102" s="34">
        <v>575</v>
      </c>
      <c r="AK102" s="34">
        <v>39</v>
      </c>
      <c r="AL102" s="29">
        <v>3</v>
      </c>
      <c r="AM102" s="29">
        <v>3</v>
      </c>
      <c r="AN102" s="34">
        <v>78</v>
      </c>
      <c r="AO102" s="34">
        <v>86</v>
      </c>
      <c r="AP102" s="34">
        <v>6</v>
      </c>
      <c r="AQ102" s="29">
        <v>2</v>
      </c>
      <c r="AR102" s="36">
        <f t="shared" si="127"/>
      </c>
    </row>
    <row r="103">
      <c r="A103" s="24"/>
      <c r="B103" s="26" t="s">
        <v>69</v>
      </c>
      <c r="C103" s="25" t="s">
        <v>50</v>
      </c>
      <c r="D103" s="26" t="s">
        <v>62</v>
      </c>
      <c r="E103" s="26" t="s">
        <v>60</v>
      </c>
      <c r="F103" s="27">
        <f t="shared" si="446"/>
      </c>
      <c r="G103" s="28">
        <v>1185.19</v>
      </c>
      <c r="H103" s="28">
        <v>435.58</v>
      </c>
      <c r="I103" s="29">
        <v>5</v>
      </c>
      <c r="J103" s="29">
        <v>5</v>
      </c>
      <c r="K103" s="30">
        <v>4450.600000000002</v>
      </c>
      <c r="L103" s="31">
        <f t="shared" si="378"/>
      </c>
      <c r="M103" s="32">
        <f t="shared" si="324"/>
      </c>
      <c r="N103" s="33">
        <f t="shared" si="234"/>
      </c>
      <c r="O103" s="33">
        <f t="shared" si="180"/>
      </c>
      <c r="P103" s="33">
        <f t="shared" si="77"/>
      </c>
      <c r="Q103" s="33">
        <f t="shared" si="41"/>
      </c>
      <c r="R103" s="33">
        <f t="shared" si="5"/>
      </c>
      <c r="S103" s="33">
        <f t="shared" si="499"/>
      </c>
      <c r="T103" s="33">
        <f t="shared" si="396"/>
      </c>
      <c r="U103" s="31">
        <f t="shared" si="342"/>
      </c>
      <c r="V103" s="31">
        <f t="shared" si="252"/>
      </c>
      <c r="W103" s="31">
        <f t="shared" si="270"/>
      </c>
      <c r="X103" s="31">
        <f t="shared" si="288"/>
      </c>
      <c r="Y103" s="31">
        <f t="shared" si="198"/>
      </c>
      <c r="Z103" s="31">
        <f t="shared" si="95"/>
      </c>
      <c r="AA103" s="32">
        <f t="shared" si="59"/>
      </c>
      <c r="AB103" s="32">
        <f t="shared" si="23"/>
      </c>
      <c r="AC103" s="32">
        <f t="shared" si="517"/>
      </c>
      <c r="AD103" s="31">
        <f t="shared" si="414"/>
      </c>
      <c r="AE103" s="32">
        <f t="shared" si="360"/>
      </c>
      <c r="AF103" s="31">
        <f t="shared" si="306"/>
      </c>
      <c r="AG103" s="31">
        <f t="shared" si="216"/>
      </c>
      <c r="AH103" s="34">
        <v>24034</v>
      </c>
      <c r="AI103" s="34">
        <v>463</v>
      </c>
      <c r="AJ103" s="34">
        <v>567</v>
      </c>
      <c r="AK103" s="34">
        <v>34</v>
      </c>
      <c r="AL103" s="34">
        <v>5</v>
      </c>
      <c r="AM103" s="34">
        <v>5</v>
      </c>
      <c r="AN103" s="34">
        <v>68</v>
      </c>
      <c r="AO103" s="34">
        <v>47</v>
      </c>
      <c r="AP103" s="34">
        <v>5</v>
      </c>
      <c r="AQ103" s="29">
        <v>0</v>
      </c>
      <c r="AR103" s="36">
        <f t="shared" si="127"/>
      </c>
    </row>
    <row r="104">
      <c r="A104" s="24"/>
      <c r="B104" s="38" t="s">
        <v>56</v>
      </c>
      <c r="C104" s="38"/>
      <c r="D104" s="38"/>
      <c r="E104" s="38"/>
      <c r="F104" s="39">
        <f>SUM(F101:F103)</f>
      </c>
      <c r="G104" s="39">
        <f>SUM(G101:G103)</f>
      </c>
      <c r="H104" s="39">
        <f>SUM(H101:H103)</f>
      </c>
      <c r="I104" s="40">
        <f>SUM(I101:I103)</f>
      </c>
      <c r="J104" s="40">
        <f>SUM(J101:J103)</f>
      </c>
      <c r="K104" s="39">
        <f>SUM(K101:K103)</f>
      </c>
      <c r="L104" s="41">
        <f t="shared" si="378"/>
      </c>
      <c r="M104" s="42">
        <f t="shared" si="324"/>
      </c>
      <c r="N104" s="43">
        <f t="shared" si="234"/>
      </c>
      <c r="O104" s="43">
        <f t="shared" si="180"/>
      </c>
      <c r="P104" s="43">
        <f t="shared" si="77"/>
      </c>
      <c r="Q104" s="43">
        <f t="shared" si="41"/>
      </c>
      <c r="R104" s="43">
        <f t="shared" si="5"/>
      </c>
      <c r="S104" s="43">
        <f t="shared" si="499"/>
      </c>
      <c r="T104" s="43">
        <f t="shared" si="396"/>
      </c>
      <c r="U104" s="41">
        <f t="shared" si="342"/>
      </c>
      <c r="V104" s="41">
        <f t="shared" si="252"/>
      </c>
      <c r="W104" s="41">
        <f t="shared" si="270"/>
      </c>
      <c r="X104" s="41">
        <f t="shared" si="288"/>
      </c>
      <c r="Y104" s="41">
        <f t="shared" si="198"/>
      </c>
      <c r="Z104" s="41">
        <f t="shared" si="95"/>
      </c>
      <c r="AA104" s="42">
        <f t="shared" si="59"/>
      </c>
      <c r="AB104" s="42">
        <f t="shared" si="23"/>
      </c>
      <c r="AC104" s="42">
        <f t="shared" si="517"/>
      </c>
      <c r="AD104" s="41">
        <f t="shared" si="414"/>
      </c>
      <c r="AE104" s="42">
        <f t="shared" si="360"/>
      </c>
      <c r="AF104" s="41">
        <f t="shared" si="306"/>
      </c>
      <c r="AG104" s="41">
        <f t="shared" si="216"/>
      </c>
      <c r="AH104" s="40">
        <f>SUM(AH101:AH103)</f>
      </c>
      <c r="AI104" s="40">
        <f>SUM(AI101:AI103)</f>
      </c>
      <c r="AJ104" s="40">
        <f>SUM(AJ101:AJ103)</f>
      </c>
      <c r="AK104" s="40">
        <f>SUM(AK101:AK103)</f>
      </c>
      <c r="AL104" s="40">
        <f>SUM(AL101:AL103)</f>
      </c>
      <c r="AM104" s="40">
        <f>SUM(AM101:AM103)</f>
      </c>
      <c r="AN104" s="40">
        <f>SUM(AN101:AN103)</f>
      </c>
      <c r="AO104" s="40">
        <f>SUM(AO101:AO103)</f>
      </c>
      <c r="AP104" s="40">
        <f>SUM(AP101:AP103)</f>
      </c>
      <c r="AQ104" s="40">
        <f>SUM(AQ101:AQ103)</f>
      </c>
      <c r="AR104" s="44">
        <f>SUM(AR101:AR103)</f>
      </c>
    </row>
    <row r="105">
      <c r="A105" s="24"/>
      <c r="B105" s="26" t="s">
        <v>69</v>
      </c>
      <c r="C105" s="25" t="s">
        <v>50</v>
      </c>
      <c r="D105" s="26" t="s">
        <v>71</v>
      </c>
      <c r="E105" s="26" t="s">
        <v>61</v>
      </c>
      <c r="F105" s="27">
        <f t="shared" ref="F105:F106" si="447">H105+G105</f>
      </c>
      <c r="G105" s="28">
        <v>898.09</v>
      </c>
      <c r="H105" s="28">
        <v>598.21</v>
      </c>
      <c r="I105" s="29">
        <v>5</v>
      </c>
      <c r="J105" s="29">
        <v>4</v>
      </c>
      <c r="K105" s="30">
        <v>3166.7999999999993</v>
      </c>
      <c r="L105" s="31">
        <f t="shared" si="378"/>
      </c>
      <c r="M105" s="32">
        <f t="shared" si="324"/>
      </c>
      <c r="N105" s="33">
        <f t="shared" si="234"/>
      </c>
      <c r="O105" s="33">
        <f t="shared" si="180"/>
      </c>
      <c r="P105" s="33">
        <f t="shared" si="77"/>
      </c>
      <c r="Q105" s="33">
        <f t="shared" si="41"/>
      </c>
      <c r="R105" s="33">
        <f t="shared" si="5"/>
      </c>
      <c r="S105" s="33">
        <f t="shared" si="499"/>
      </c>
      <c r="T105" s="33">
        <f t="shared" si="396"/>
      </c>
      <c r="U105" s="31">
        <f t="shared" si="342"/>
      </c>
      <c r="V105" s="31">
        <f t="shared" si="252"/>
      </c>
      <c r="W105" s="31">
        <f t="shared" si="270"/>
      </c>
      <c r="X105" s="31">
        <f t="shared" si="288"/>
      </c>
      <c r="Y105" s="31">
        <f t="shared" si="198"/>
      </c>
      <c r="Z105" s="31">
        <f t="shared" si="95"/>
      </c>
      <c r="AA105" s="32">
        <f t="shared" si="59"/>
      </c>
      <c r="AB105" s="32">
        <f t="shared" si="23"/>
      </c>
      <c r="AC105" s="32">
        <f t="shared" si="517"/>
      </c>
      <c r="AD105" s="31">
        <f t="shared" si="414"/>
      </c>
      <c r="AE105" s="32">
        <f t="shared" si="360"/>
      </c>
      <c r="AF105" s="31">
        <f t="shared" si="306"/>
      </c>
      <c r="AG105" s="31">
        <f t="shared" si="216"/>
      </c>
      <c r="AH105" s="34">
        <v>19723</v>
      </c>
      <c r="AI105" s="34">
        <v>533</v>
      </c>
      <c r="AJ105" s="34">
        <v>623</v>
      </c>
      <c r="AK105" s="34">
        <v>39</v>
      </c>
      <c r="AL105" s="34">
        <v>5</v>
      </c>
      <c r="AM105" s="34">
        <v>4</v>
      </c>
      <c r="AN105" s="34">
        <v>77</v>
      </c>
      <c r="AO105" s="34">
        <v>61</v>
      </c>
      <c r="AP105" s="34">
        <v>6</v>
      </c>
      <c r="AQ105" s="29">
        <v>0</v>
      </c>
      <c r="AR105" s="36">
        <f t="shared" ref="AR105:AR106" si="128">COUNT(AQ105)</f>
      </c>
    </row>
    <row r="106">
      <c r="A106" s="24"/>
      <c r="B106" s="26" t="s">
        <v>69</v>
      </c>
      <c r="C106" s="25" t="s">
        <v>50</v>
      </c>
      <c r="D106" s="26" t="s">
        <v>71</v>
      </c>
      <c r="E106" s="26" t="s">
        <v>63</v>
      </c>
      <c r="F106" s="27">
        <f t="shared" si="447"/>
      </c>
      <c r="G106" s="28">
        <v>1136.35</v>
      </c>
      <c r="H106" s="28">
        <v>786.51</v>
      </c>
      <c r="I106" s="29">
        <v>13</v>
      </c>
      <c r="J106" s="34">
        <v>11</v>
      </c>
      <c r="K106" s="30">
        <v>7121.200000000001</v>
      </c>
      <c r="L106" s="31">
        <f t="shared" si="378"/>
      </c>
      <c r="M106" s="32">
        <f t="shared" si="324"/>
      </c>
      <c r="N106" s="33">
        <f t="shared" si="234"/>
      </c>
      <c r="O106" s="33">
        <f t="shared" si="180"/>
      </c>
      <c r="P106" s="33">
        <f t="shared" si="77"/>
      </c>
      <c r="Q106" s="33">
        <f t="shared" si="41"/>
      </c>
      <c r="R106" s="33">
        <f t="shared" si="5"/>
      </c>
      <c r="S106" s="33">
        <f t="shared" si="499"/>
      </c>
      <c r="T106" s="33">
        <f t="shared" si="396"/>
      </c>
      <c r="U106" s="31">
        <f t="shared" si="342"/>
      </c>
      <c r="V106" s="31">
        <f t="shared" si="252"/>
      </c>
      <c r="W106" s="31">
        <f t="shared" si="270"/>
      </c>
      <c r="X106" s="31">
        <f t="shared" si="288"/>
      </c>
      <c r="Y106" s="31">
        <f t="shared" si="198"/>
      </c>
      <c r="Z106" s="31">
        <f t="shared" si="95"/>
      </c>
      <c r="AA106" s="32">
        <f t="shared" si="59"/>
      </c>
      <c r="AB106" s="32">
        <f t="shared" si="23"/>
      </c>
      <c r="AC106" s="32">
        <f t="shared" si="517"/>
      </c>
      <c r="AD106" s="31">
        <f t="shared" si="414"/>
      </c>
      <c r="AE106" s="32">
        <f t="shared" si="360"/>
      </c>
      <c r="AF106" s="31">
        <f t="shared" si="306"/>
      </c>
      <c r="AG106" s="31">
        <f t="shared" si="216"/>
      </c>
      <c r="AH106" s="34">
        <v>24982</v>
      </c>
      <c r="AI106" s="34">
        <v>688</v>
      </c>
      <c r="AJ106" s="34">
        <v>827</v>
      </c>
      <c r="AK106" s="34">
        <v>62</v>
      </c>
      <c r="AL106" s="34">
        <v>12</v>
      </c>
      <c r="AM106" s="34">
        <v>7</v>
      </c>
      <c r="AN106" s="34">
        <v>110</v>
      </c>
      <c r="AO106" s="34">
        <v>109</v>
      </c>
      <c r="AP106" s="34">
        <v>6</v>
      </c>
      <c r="AQ106" s="29">
        <v>2</v>
      </c>
      <c r="AR106" s="36">
        <f t="shared" si="128"/>
      </c>
    </row>
    <row r="107">
      <c r="A107" s="24"/>
      <c r="B107" s="38" t="s">
        <v>56</v>
      </c>
      <c r="C107" s="38"/>
      <c r="D107" s="38"/>
      <c r="E107" s="38"/>
      <c r="F107" s="39">
        <f>SUM(F105:F106)</f>
      </c>
      <c r="G107" s="39">
        <f>SUM(G105:G106)</f>
      </c>
      <c r="H107" s="39">
        <f>SUM(H105:H106)</f>
      </c>
      <c r="I107" s="40">
        <f>SUM(I105:I106)</f>
      </c>
      <c r="J107" s="40">
        <f>SUM(J105:J106)</f>
      </c>
      <c r="K107" s="39">
        <f>SUM(K105:K106)</f>
      </c>
      <c r="L107" s="41">
        <f t="shared" si="378"/>
      </c>
      <c r="M107" s="42">
        <f t="shared" si="324"/>
      </c>
      <c r="N107" s="43">
        <f t="shared" si="234"/>
      </c>
      <c r="O107" s="43">
        <f t="shared" si="180"/>
      </c>
      <c r="P107" s="43">
        <f t="shared" si="77"/>
      </c>
      <c r="Q107" s="43">
        <f t="shared" si="41"/>
      </c>
      <c r="R107" s="43">
        <f t="shared" si="5"/>
      </c>
      <c r="S107" s="43">
        <f t="shared" si="499"/>
      </c>
      <c r="T107" s="43">
        <f t="shared" si="396"/>
      </c>
      <c r="U107" s="41">
        <f t="shared" si="342"/>
      </c>
      <c r="V107" s="41">
        <f t="shared" si="252"/>
      </c>
      <c r="W107" s="41">
        <f t="shared" si="270"/>
      </c>
      <c r="X107" s="41">
        <f t="shared" si="288"/>
      </c>
      <c r="Y107" s="41">
        <f t="shared" si="198"/>
      </c>
      <c r="Z107" s="41">
        <f t="shared" si="95"/>
      </c>
      <c r="AA107" s="42">
        <f t="shared" si="59"/>
      </c>
      <c r="AB107" s="42">
        <f t="shared" si="23"/>
      </c>
      <c r="AC107" s="42">
        <f t="shared" si="517"/>
      </c>
      <c r="AD107" s="41">
        <f t="shared" si="414"/>
      </c>
      <c r="AE107" s="42">
        <f t="shared" si="360"/>
      </c>
      <c r="AF107" s="41">
        <f t="shared" si="306"/>
      </c>
      <c r="AG107" s="41">
        <f t="shared" si="216"/>
      </c>
      <c r="AH107" s="40">
        <f>SUM(AH105:AH106)</f>
      </c>
      <c r="AI107" s="40">
        <f>SUM(AI105:AI106)</f>
      </c>
      <c r="AJ107" s="40">
        <f>SUM(AJ105:AJ106)</f>
      </c>
      <c r="AK107" s="40">
        <f>SUM(AK105:AK106)</f>
      </c>
      <c r="AL107" s="40">
        <f>SUM(AL105:AL106)</f>
      </c>
      <c r="AM107" s="40">
        <f>SUM(AM105:AM106)</f>
      </c>
      <c r="AN107" s="40">
        <f>SUM(AN105:AN106)</f>
      </c>
      <c r="AO107" s="40">
        <f>SUM(AO105:AO106)</f>
      </c>
      <c r="AP107" s="40">
        <f>SUM(AP105:AP106)</f>
      </c>
      <c r="AQ107" s="40">
        <f>SUM(AQ105:AQ106)</f>
      </c>
      <c r="AR107" s="44">
        <f>SUM(AR105:AR106)</f>
      </c>
    </row>
    <row r="108">
      <c r="A108" s="24"/>
      <c r="B108" s="26" t="s">
        <v>69</v>
      </c>
      <c r="C108" s="25" t="s">
        <v>50</v>
      </c>
      <c r="D108" s="26" t="s">
        <v>57</v>
      </c>
      <c r="E108" s="25" t="s">
        <v>64</v>
      </c>
      <c r="F108" s="27">
        <f t="shared" ref="F108:F110" si="448">H108+G108</f>
      </c>
      <c r="G108" s="28">
        <v>1650.76</v>
      </c>
      <c r="H108" s="28">
        <v>1707.48</v>
      </c>
      <c r="I108" s="29">
        <v>8</v>
      </c>
      <c r="J108" s="29">
        <v>8</v>
      </c>
      <c r="K108" s="30">
        <v>7230.5999999999985</v>
      </c>
      <c r="L108" s="31">
        <f t="shared" si="378"/>
      </c>
      <c r="M108" s="32">
        <f t="shared" si="324"/>
      </c>
      <c r="N108" s="33">
        <f t="shared" si="234"/>
      </c>
      <c r="O108" s="33">
        <f t="shared" si="180"/>
      </c>
      <c r="P108" s="33">
        <f t="shared" si="77"/>
      </c>
      <c r="Q108" s="33">
        <f t="shared" si="41"/>
      </c>
      <c r="R108" s="33">
        <f t="shared" si="5"/>
      </c>
      <c r="S108" s="33">
        <f t="shared" si="499"/>
      </c>
      <c r="T108" s="33">
        <f t="shared" si="396"/>
      </c>
      <c r="U108" s="31">
        <f t="shared" si="342"/>
      </c>
      <c r="V108" s="31">
        <f t="shared" si="252"/>
      </c>
      <c r="W108" s="31">
        <f t="shared" si="270"/>
      </c>
      <c r="X108" s="31">
        <f t="shared" si="288"/>
      </c>
      <c r="Y108" s="31">
        <f t="shared" si="198"/>
      </c>
      <c r="Z108" s="31">
        <f t="shared" si="95"/>
      </c>
      <c r="AA108" s="32">
        <f t="shared" si="59"/>
      </c>
      <c r="AB108" s="32">
        <f t="shared" si="23"/>
      </c>
      <c r="AC108" s="32">
        <f t="shared" si="517"/>
      </c>
      <c r="AD108" s="31">
        <f t="shared" si="414"/>
      </c>
      <c r="AE108" s="32">
        <f t="shared" si="360"/>
      </c>
      <c r="AF108" s="31">
        <f t="shared" si="306"/>
      </c>
      <c r="AG108" s="31">
        <f t="shared" si="216"/>
      </c>
      <c r="AH108" s="34">
        <v>37727</v>
      </c>
      <c r="AI108" s="34">
        <v>1213</v>
      </c>
      <c r="AJ108" s="34">
        <v>1394</v>
      </c>
      <c r="AK108" s="34">
        <v>80</v>
      </c>
      <c r="AL108" s="34">
        <v>6</v>
      </c>
      <c r="AM108" s="34">
        <v>7</v>
      </c>
      <c r="AN108" s="34">
        <v>114</v>
      </c>
      <c r="AO108" s="34">
        <v>122</v>
      </c>
      <c r="AP108" s="34">
        <v>14</v>
      </c>
      <c r="AQ108" s="29">
        <v>1</v>
      </c>
      <c r="AR108" s="36">
        <f t="shared" ref="AR108:AR110" si="129">COUNT(AQ108)</f>
      </c>
    </row>
    <row r="109">
      <c r="A109" s="24"/>
      <c r="B109" s="26" t="s">
        <v>69</v>
      </c>
      <c r="C109" s="25" t="s">
        <v>50</v>
      </c>
      <c r="D109" s="26" t="s">
        <v>57</v>
      </c>
      <c r="E109" s="25" t="s">
        <v>65</v>
      </c>
      <c r="F109" s="27">
        <f t="shared" si="448"/>
      </c>
      <c r="G109" s="28">
        <v>2183.38</v>
      </c>
      <c r="H109" s="28">
        <v>1423.73</v>
      </c>
      <c r="I109" s="29">
        <v>4</v>
      </c>
      <c r="J109" s="29">
        <v>3</v>
      </c>
      <c r="K109" s="30">
        <v>2408.4000000000015</v>
      </c>
      <c r="L109" s="31">
        <f t="shared" si="378"/>
      </c>
      <c r="M109" s="32">
        <f t="shared" si="324"/>
      </c>
      <c r="N109" s="33">
        <f t="shared" si="234"/>
      </c>
      <c r="O109" s="33">
        <f t="shared" si="180"/>
      </c>
      <c r="P109" s="33">
        <f t="shared" si="77"/>
      </c>
      <c r="Q109" s="33">
        <f t="shared" si="41"/>
      </c>
      <c r="R109" s="33">
        <f t="shared" si="5"/>
      </c>
      <c r="S109" s="33">
        <f t="shared" si="499"/>
      </c>
      <c r="T109" s="33">
        <f t="shared" si="396"/>
      </c>
      <c r="U109" s="31">
        <f t="shared" si="342"/>
      </c>
      <c r="V109" s="31">
        <f t="shared" si="252"/>
      </c>
      <c r="W109" s="31">
        <f t="shared" si="270"/>
      </c>
      <c r="X109" s="31">
        <f t="shared" si="288"/>
      </c>
      <c r="Y109" s="31">
        <f t="shared" si="198"/>
      </c>
      <c r="Z109" s="31">
        <f t="shared" si="95"/>
      </c>
      <c r="AA109" s="32">
        <f t="shared" si="59"/>
      </c>
      <c r="AB109" s="32">
        <f t="shared" si="23"/>
      </c>
      <c r="AC109" s="32">
        <f t="shared" si="517"/>
      </c>
      <c r="AD109" s="31">
        <f t="shared" si="414"/>
      </c>
      <c r="AE109" s="32">
        <f t="shared" si="360"/>
      </c>
      <c r="AF109" s="31">
        <f t="shared" si="306"/>
      </c>
      <c r="AG109" s="31">
        <f t="shared" si="216"/>
      </c>
      <c r="AH109" s="34">
        <v>42142</v>
      </c>
      <c r="AI109" s="34">
        <v>1244</v>
      </c>
      <c r="AJ109" s="34">
        <v>1476</v>
      </c>
      <c r="AK109" s="34">
        <v>110</v>
      </c>
      <c r="AL109" s="34">
        <v>5</v>
      </c>
      <c r="AM109" s="34">
        <v>4</v>
      </c>
      <c r="AN109" s="34">
        <v>155</v>
      </c>
      <c r="AO109" s="34">
        <v>101</v>
      </c>
      <c r="AP109" s="34">
        <v>15</v>
      </c>
      <c r="AQ109" s="29">
        <v>0</v>
      </c>
      <c r="AR109" s="36">
        <f t="shared" si="129"/>
      </c>
    </row>
    <row r="110">
      <c r="A110" s="24"/>
      <c r="B110" s="26" t="s">
        <v>69</v>
      </c>
      <c r="C110" s="25" t="s">
        <v>50</v>
      </c>
      <c r="D110" s="26" t="s">
        <v>57</v>
      </c>
      <c r="E110" s="26" t="s">
        <v>66</v>
      </c>
      <c r="F110" s="27">
        <f t="shared" si="448"/>
      </c>
      <c r="G110" s="52">
        <v>701.24</v>
      </c>
      <c r="H110" s="52">
        <v>1296.02</v>
      </c>
      <c r="I110" s="29">
        <v>6</v>
      </c>
      <c r="J110" s="29">
        <v>4</v>
      </c>
      <c r="K110" s="30">
        <v>2278.5999999999985</v>
      </c>
      <c r="L110" s="31">
        <f t="shared" si="378"/>
      </c>
      <c r="M110" s="32">
        <f t="shared" si="324"/>
      </c>
      <c r="N110" s="33">
        <f t="shared" si="234"/>
      </c>
      <c r="O110" s="33">
        <f t="shared" si="180"/>
      </c>
      <c r="P110" s="33">
        <f t="shared" si="77"/>
      </c>
      <c r="Q110" s="33">
        <f t="shared" si="41"/>
      </c>
      <c r="R110" s="33">
        <f t="shared" si="5"/>
      </c>
      <c r="S110" s="33">
        <f t="shared" si="499"/>
      </c>
      <c r="T110" s="33">
        <f t="shared" si="396"/>
      </c>
      <c r="U110" s="31">
        <f t="shared" si="342"/>
      </c>
      <c r="V110" s="31">
        <f t="shared" si="252"/>
      </c>
      <c r="W110" s="31">
        <f t="shared" si="270"/>
      </c>
      <c r="X110" s="31">
        <f t="shared" si="288"/>
      </c>
      <c r="Y110" s="31">
        <f t="shared" si="198"/>
      </c>
      <c r="Z110" s="31">
        <f t="shared" si="95"/>
      </c>
      <c r="AA110" s="32">
        <f t="shared" si="59"/>
      </c>
      <c r="AB110" s="32">
        <f t="shared" si="23"/>
      </c>
      <c r="AC110" s="32">
        <f t="shared" si="517"/>
      </c>
      <c r="AD110" s="31">
        <f t="shared" si="414"/>
      </c>
      <c r="AE110" s="32">
        <f t="shared" si="360"/>
      </c>
      <c r="AF110" s="31">
        <f t="shared" si="306"/>
      </c>
      <c r="AG110" s="31">
        <f t="shared" si="216"/>
      </c>
      <c r="AH110" s="34">
        <v>21864</v>
      </c>
      <c r="AI110" s="34">
        <v>860</v>
      </c>
      <c r="AJ110" s="34">
        <v>982</v>
      </c>
      <c r="AK110" s="34">
        <v>78</v>
      </c>
      <c r="AL110" s="34">
        <v>7</v>
      </c>
      <c r="AM110" s="34">
        <v>4</v>
      </c>
      <c r="AN110" s="34">
        <v>94</v>
      </c>
      <c r="AO110" s="34">
        <v>44</v>
      </c>
      <c r="AP110" s="34">
        <v>8</v>
      </c>
      <c r="AQ110" s="29">
        <v>0</v>
      </c>
      <c r="AR110" s="36">
        <f t="shared" si="129"/>
      </c>
    </row>
    <row r="111">
      <c r="A111" s="24"/>
      <c r="B111" s="38" t="s">
        <v>56</v>
      </c>
      <c r="C111" s="38"/>
      <c r="D111" s="38"/>
      <c r="E111" s="38"/>
      <c r="F111" s="39">
        <f>SUM(F108:F110)</f>
      </c>
      <c r="G111" s="39">
        <f>SUM(G108:G110)</f>
      </c>
      <c r="H111" s="39">
        <f>SUM(H108:H110)</f>
      </c>
      <c r="I111" s="40">
        <f>SUM(I108:I110)</f>
      </c>
      <c r="J111" s="40">
        <f>SUM(J108:J110)</f>
      </c>
      <c r="K111" s="39">
        <f>SUM(K108:K110)</f>
      </c>
      <c r="L111" s="41">
        <f t="shared" si="378"/>
      </c>
      <c r="M111" s="42">
        <f t="shared" si="324"/>
      </c>
      <c r="N111" s="43">
        <f t="shared" si="234"/>
      </c>
      <c r="O111" s="43">
        <f t="shared" si="180"/>
      </c>
      <c r="P111" s="43">
        <f t="shared" si="77"/>
      </c>
      <c r="Q111" s="43">
        <f t="shared" si="41"/>
      </c>
      <c r="R111" s="43">
        <f t="shared" si="5"/>
      </c>
      <c r="S111" s="43">
        <f t="shared" si="499"/>
      </c>
      <c r="T111" s="43">
        <f t="shared" si="396"/>
      </c>
      <c r="U111" s="41">
        <f t="shared" si="342"/>
      </c>
      <c r="V111" s="41">
        <f t="shared" si="252"/>
      </c>
      <c r="W111" s="41">
        <f t="shared" si="270"/>
      </c>
      <c r="X111" s="41">
        <f t="shared" si="288"/>
      </c>
      <c r="Y111" s="41">
        <f t="shared" si="198"/>
      </c>
      <c r="Z111" s="41">
        <f t="shared" si="95"/>
      </c>
      <c r="AA111" s="42">
        <f t="shared" si="59"/>
      </c>
      <c r="AB111" s="42">
        <f t="shared" si="23"/>
      </c>
      <c r="AC111" s="42">
        <f t="shared" si="517"/>
      </c>
      <c r="AD111" s="41">
        <f t="shared" si="414"/>
      </c>
      <c r="AE111" s="42">
        <f t="shared" si="360"/>
      </c>
      <c r="AF111" s="41">
        <f t="shared" si="306"/>
      </c>
      <c r="AG111" s="41">
        <f t="shared" si="216"/>
      </c>
      <c r="AH111" s="40">
        <f>SUM(AH108:AH110)</f>
      </c>
      <c r="AI111" s="40">
        <f>SUM(AI108:AI110)</f>
      </c>
      <c r="AJ111" s="40">
        <f>SUM(AJ108:AJ110)</f>
      </c>
      <c r="AK111" s="40">
        <f>SUM(AK108:AK110)</f>
      </c>
      <c r="AL111" s="40">
        <f>SUM(AL108:AL110)</f>
      </c>
      <c r="AM111" s="40">
        <f>SUM(AM108:AM110)</f>
      </c>
      <c r="AN111" s="40">
        <f>SUM(AN108:AN110)</f>
      </c>
      <c r="AO111" s="40">
        <f>SUM(AO108:AO110)</f>
      </c>
      <c r="AP111" s="40">
        <f>SUM(AP108:AP110)</f>
      </c>
      <c r="AQ111" s="40">
        <f>SUM(AQ108:AQ110)</f>
      </c>
      <c r="AR111" s="44">
        <f>SUM(AR108:AR110)</f>
      </c>
    </row>
    <row r="112">
      <c r="A112" s="24"/>
      <c r="B112" s="46" t="s">
        <v>67</v>
      </c>
      <c r="C112" s="46"/>
      <c r="D112" s="46"/>
      <c r="E112" s="46"/>
      <c r="F112" s="47">
        <f>F104+F100+F111+F107</f>
      </c>
      <c r="G112" s="47">
        <f>G104+G100+G111+G107</f>
      </c>
      <c r="H112" s="47">
        <f>H104+H100+H111+H107</f>
      </c>
      <c r="I112" s="47">
        <f>I104+I100+I111+I107</f>
      </c>
      <c r="J112" s="47">
        <f>J104+J100+J111+J107</f>
      </c>
      <c r="K112" s="47">
        <f>K104+K100+K111+K107</f>
      </c>
      <c r="L112" s="48">
        <f t="shared" si="378"/>
      </c>
      <c r="M112" s="49">
        <f t="shared" si="324"/>
      </c>
      <c r="N112" s="50">
        <f t="shared" si="234"/>
      </c>
      <c r="O112" s="50">
        <f t="shared" si="180"/>
      </c>
      <c r="P112" s="50">
        <f t="shared" si="77"/>
      </c>
      <c r="Q112" s="50">
        <f t="shared" si="41"/>
      </c>
      <c r="R112" s="50">
        <f t="shared" si="5"/>
      </c>
      <c r="S112" s="50">
        <f t="shared" si="499"/>
      </c>
      <c r="T112" s="50">
        <f t="shared" si="396"/>
      </c>
      <c r="U112" s="48">
        <f t="shared" si="342"/>
      </c>
      <c r="V112" s="48">
        <f t="shared" si="252"/>
      </c>
      <c r="W112" s="48">
        <f t="shared" si="270"/>
      </c>
      <c r="X112" s="48">
        <f t="shared" si="288"/>
      </c>
      <c r="Y112" s="48">
        <f t="shared" si="198"/>
      </c>
      <c r="Z112" s="48">
        <f t="shared" si="95"/>
      </c>
      <c r="AA112" s="49">
        <f t="shared" si="59"/>
      </c>
      <c r="AB112" s="49">
        <f t="shared" si="23"/>
      </c>
      <c r="AC112" s="49">
        <f t="shared" si="517"/>
      </c>
      <c r="AD112" s="48">
        <f t="shared" si="414"/>
      </c>
      <c r="AE112" s="49">
        <f t="shared" si="360"/>
      </c>
      <c r="AF112" s="48">
        <f t="shared" si="306"/>
      </c>
      <c r="AG112" s="48">
        <f t="shared" si="216"/>
      </c>
      <c r="AH112" s="44">
        <f>AH104+AH100+AH111+AH107</f>
      </c>
      <c r="AI112" s="44">
        <f>AI104+AI100+AI111+AI107</f>
      </c>
      <c r="AJ112" s="44">
        <f>AJ104+AJ100+AJ111+AJ107</f>
      </c>
      <c r="AK112" s="44">
        <f>AK104+AK100+AK111+AK107</f>
      </c>
      <c r="AL112" s="44">
        <f>AL104+AL100+AL111+AL107</f>
      </c>
      <c r="AM112" s="44">
        <f>AM104+AM100+AM111+AM107</f>
      </c>
      <c r="AN112" s="44">
        <f>AN104+AN100+AN111+AN107</f>
      </c>
      <c r="AO112" s="44">
        <f>AO104+AO100+AO111+AO107</f>
      </c>
      <c r="AP112" s="44">
        <f>AP104+AP100+AP111+AP107</f>
      </c>
      <c r="AQ112" s="44">
        <f>AQ104+AQ100+AQ111+AQ107</f>
      </c>
      <c r="AR112" s="44">
        <f>AR104+AR100+AR111+AR107</f>
      </c>
    </row>
    <row r="113">
      <c r="A113" s="1"/>
      <c r="B113" s="1"/>
      <c r="C113" s="1"/>
      <c r="D113" s="1"/>
      <c r="E113" s="1"/>
      <c r="F113" s="2" t="s">
        <v>1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3" t="s">
        <v>2</v>
      </c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4" t="s">
        <v>3</v>
      </c>
      <c r="AD113" s="4"/>
      <c r="AE113" s="4"/>
      <c r="AF113" s="4"/>
      <c r="AG113" s="4"/>
      <c r="AH113" s="5" t="s">
        <v>4</v>
      </c>
      <c r="AI113" s="5"/>
      <c r="AJ113" s="5"/>
      <c r="AK113" s="5"/>
      <c r="AL113" s="5"/>
      <c r="AM113" s="5"/>
      <c r="AN113" s="5"/>
      <c r="AO113" s="5"/>
      <c r="AP113" s="5"/>
      <c r="AQ113" s="5"/>
      <c r="AR113" s="5"/>
    </row>
    <row r="114">
      <c r="A114" s="6" t="s">
        <v>5</v>
      </c>
      <c r="B114" s="7" t="s">
        <v>6</v>
      </c>
      <c r="C114" s="7" t="s">
        <v>7</v>
      </c>
      <c r="D114" s="8" t="s">
        <v>8</v>
      </c>
      <c r="E114" s="9" t="s">
        <v>9</v>
      </c>
      <c r="F114" s="10" t="s">
        <v>10</v>
      </c>
      <c r="G114" s="11" t="s">
        <v>11</v>
      </c>
      <c r="H114" s="12" t="s">
        <v>12</v>
      </c>
      <c r="I114" s="13" t="s">
        <v>13</v>
      </c>
      <c r="J114" s="13" t="s">
        <v>14</v>
      </c>
      <c r="K114" s="12" t="s">
        <v>15</v>
      </c>
      <c r="L114" s="14" t="s">
        <v>16</v>
      </c>
      <c r="M114" s="15" t="s">
        <v>17</v>
      </c>
      <c r="N114" s="16" t="s">
        <v>18</v>
      </c>
      <c r="O114" s="16" t="s">
        <v>19</v>
      </c>
      <c r="P114" s="17" t="s">
        <v>20</v>
      </c>
      <c r="Q114" s="3" t="s">
        <v>21</v>
      </c>
      <c r="R114" s="18" t="s">
        <v>22</v>
      </c>
      <c r="S114" s="18" t="s">
        <v>23</v>
      </c>
      <c r="T114" s="18" t="s">
        <v>24</v>
      </c>
      <c r="U114" s="19" t="s">
        <v>25</v>
      </c>
      <c r="V114" s="19" t="s">
        <v>26</v>
      </c>
      <c r="W114" s="19" t="s">
        <v>27</v>
      </c>
      <c r="X114" s="19" t="s">
        <v>28</v>
      </c>
      <c r="Y114" s="19" t="s">
        <v>29</v>
      </c>
      <c r="Z114" s="19" t="s">
        <v>30</v>
      </c>
      <c r="AA114" s="20" t="s">
        <v>31</v>
      </c>
      <c r="AB114" s="20" t="s">
        <v>32</v>
      </c>
      <c r="AC114" s="4" t="s">
        <v>33</v>
      </c>
      <c r="AD114" s="21" t="s">
        <v>34</v>
      </c>
      <c r="AE114" s="4" t="s">
        <v>35</v>
      </c>
      <c r="AF114" s="21" t="s">
        <v>36</v>
      </c>
      <c r="AG114" s="21" t="s">
        <v>37</v>
      </c>
      <c r="AH114" s="22" t="s">
        <v>38</v>
      </c>
      <c r="AI114" s="22" t="s">
        <v>39</v>
      </c>
      <c r="AJ114" s="22" t="s">
        <v>40</v>
      </c>
      <c r="AK114" s="22" t="s">
        <v>41</v>
      </c>
      <c r="AL114" s="22" t="s">
        <v>42</v>
      </c>
      <c r="AM114" s="22" t="s">
        <v>43</v>
      </c>
      <c r="AN114" s="22" t="s">
        <v>44</v>
      </c>
      <c r="AO114" s="22" t="s">
        <v>45</v>
      </c>
      <c r="AP114" s="22" t="s">
        <v>46</v>
      </c>
      <c r="AQ114" s="22" t="s">
        <v>47</v>
      </c>
      <c r="AR114" s="23" t="s">
        <v>48</v>
      </c>
    </row>
    <row r="115">
      <c r="A115" s="24">
        <v>46302</v>
      </c>
      <c r="B115" s="26" t="s">
        <v>69</v>
      </c>
      <c r="C115" s="25" t="s">
        <v>50</v>
      </c>
      <c r="D115" s="26" t="s">
        <v>51</v>
      </c>
      <c r="E115" s="26" t="s">
        <v>52</v>
      </c>
      <c r="F115" s="27">
        <f t="shared" ref="F115:F118" si="449">H115+G115</f>
      </c>
      <c r="G115" s="28">
        <v>2052.6</v>
      </c>
      <c r="H115" s="28">
        <v>906.09</v>
      </c>
      <c r="I115" s="29">
        <v>12</v>
      </c>
      <c r="J115" s="29">
        <v>9</v>
      </c>
      <c r="K115" s="30">
        <v>5544.6</v>
      </c>
      <c r="L115" s="31">
        <f t="shared" ref="L115:L131" si="379">AQ115/J115</f>
      </c>
      <c r="M115" s="32">
        <f t="shared" ref="M115:M131" si="325">K115/J115</f>
      </c>
      <c r="N115" s="33">
        <f t="shared" ref="N115:N131" si="235">F115/J115</f>
      </c>
      <c r="O115" s="33">
        <f t="shared" ref="O115:O131" si="181">K115/F115</f>
      </c>
      <c r="P115" s="33">
        <f t="shared" ref="P115:P131" si="78">K115/((300*AR115)+F115)</f>
      </c>
      <c r="Q115" s="33">
        <f t="shared" ref="Q115:Q131" si="42">F115/AJ115</f>
      </c>
      <c r="R115" s="33">
        <f t="shared" ref="R115:R131" si="6">F115/AK115</f>
      </c>
      <c r="S115" s="33">
        <f t="shared" ref="S115:S131" si="500">F115/AL115</f>
      </c>
      <c r="T115" s="33">
        <f t="shared" ref="T115:T131" si="397">F115/AM115</f>
      </c>
      <c r="U115" s="31">
        <f t="shared" ref="U115:U131" si="343">AI115/AJ115</f>
      </c>
      <c r="V115" s="31">
        <f t="shared" ref="V115:V131" si="253">AK115/AJ115</f>
      </c>
      <c r="W115" s="31">
        <f t="shared" ref="W115:W131" si="271">AL115/AK115</f>
      </c>
      <c r="X115" s="31">
        <f t="shared" ref="X115:X131" si="289">AM115/AL115</f>
      </c>
      <c r="Y115" s="31">
        <f t="shared" ref="Y115:Y131" si="199">AI115/AH115</f>
      </c>
      <c r="Z115" s="31">
        <f t="shared" ref="Z115:Z131" si="96">AM115/AI115</f>
      </c>
      <c r="AA115" s="32">
        <f t="shared" ref="AA115:AA131" si="60">F115/AH115*1000</f>
      </c>
      <c r="AB115" s="32">
        <f t="shared" ref="AB115:AB131" si="24">F115/AI115</f>
      </c>
      <c r="AC115" s="32">
        <f t="shared" ref="AC115:AC131" si="518">F115/AN115</f>
      </c>
      <c r="AD115" s="31">
        <f t="shared" ref="AD115:AD131" si="415">AN115/AJ115</f>
      </c>
      <c r="AE115" s="32">
        <f t="shared" ref="AE115:AE131" si="361">F115/AO115</f>
      </c>
      <c r="AF115" s="31">
        <f t="shared" ref="AF115:AF131" si="307">AO115/AJ115</f>
      </c>
      <c r="AG115" s="31">
        <f t="shared" ref="AG115:AG131" si="217">AP115/AJ115</f>
      </c>
      <c r="AH115" s="34">
        <v>38127</v>
      </c>
      <c r="AI115" s="35">
        <v>752</v>
      </c>
      <c r="AJ115" s="35">
        <v>862</v>
      </c>
      <c r="AK115" s="34">
        <v>50</v>
      </c>
      <c r="AL115" s="34">
        <v>10</v>
      </c>
      <c r="AM115" s="34">
        <v>7</v>
      </c>
      <c r="AN115" s="34">
        <v>97</v>
      </c>
      <c r="AO115" s="34">
        <v>109</v>
      </c>
      <c r="AP115" s="34">
        <v>12</v>
      </c>
      <c r="AQ115" s="29">
        <v>2</v>
      </c>
      <c r="AR115" s="36">
        <f t="shared" ref="AR115:AR118" si="130">COUNT(AQ115)</f>
      </c>
    </row>
    <row r="116">
      <c r="A116" s="24"/>
      <c r="B116" s="26" t="s">
        <v>69</v>
      </c>
      <c r="C116" s="25" t="s">
        <v>50</v>
      </c>
      <c r="D116" s="26" t="s">
        <v>51</v>
      </c>
      <c r="E116" s="26" t="s">
        <v>53</v>
      </c>
      <c r="F116" s="27">
        <f t="shared" si="449"/>
      </c>
      <c r="G116" s="37">
        <v>1310.67</v>
      </c>
      <c r="H116" s="28">
        <v>802.81</v>
      </c>
      <c r="I116" s="29">
        <v>2</v>
      </c>
      <c r="J116" s="29">
        <v>2</v>
      </c>
      <c r="K116" s="30">
        <v>1934.3999999999996</v>
      </c>
      <c r="L116" s="31">
        <f t="shared" si="379"/>
      </c>
      <c r="M116" s="32">
        <f t="shared" si="325"/>
      </c>
      <c r="N116" s="33">
        <f t="shared" si="235"/>
      </c>
      <c r="O116" s="33">
        <f t="shared" si="181"/>
      </c>
      <c r="P116" s="33">
        <f t="shared" si="78"/>
      </c>
      <c r="Q116" s="33">
        <f t="shared" si="42"/>
      </c>
      <c r="R116" s="33">
        <f t="shared" si="6"/>
      </c>
      <c r="S116" s="33">
        <f t="shared" si="500"/>
      </c>
      <c r="T116" s="33">
        <f t="shared" si="397"/>
      </c>
      <c r="U116" s="31">
        <f t="shared" si="343"/>
      </c>
      <c r="V116" s="31">
        <f t="shared" si="253"/>
      </c>
      <c r="W116" s="31">
        <f t="shared" si="271"/>
      </c>
      <c r="X116" s="31">
        <f t="shared" si="289"/>
      </c>
      <c r="Y116" s="31">
        <f t="shared" si="199"/>
      </c>
      <c r="Z116" s="31">
        <f t="shared" si="96"/>
      </c>
      <c r="AA116" s="32">
        <f t="shared" si="60"/>
      </c>
      <c r="AB116" s="32">
        <f t="shared" si="24"/>
      </c>
      <c r="AC116" s="32">
        <f t="shared" si="518"/>
      </c>
      <c r="AD116" s="31">
        <f t="shared" si="415"/>
      </c>
      <c r="AE116" s="32">
        <f t="shared" si="361"/>
      </c>
      <c r="AF116" s="31">
        <f t="shared" si="307"/>
      </c>
      <c r="AG116" s="31">
        <f t="shared" si="217"/>
      </c>
      <c r="AH116" s="29">
        <v>30206</v>
      </c>
      <c r="AI116" s="34">
        <v>660</v>
      </c>
      <c r="AJ116" s="34">
        <v>791</v>
      </c>
      <c r="AK116" s="34">
        <v>53</v>
      </c>
      <c r="AL116" s="34">
        <v>2</v>
      </c>
      <c r="AM116" s="34">
        <v>2</v>
      </c>
      <c r="AN116" s="34">
        <v>103</v>
      </c>
      <c r="AO116" s="34">
        <v>76</v>
      </c>
      <c r="AP116" s="34">
        <v>5</v>
      </c>
      <c r="AQ116" s="29">
        <v>0</v>
      </c>
      <c r="AR116" s="36">
        <f t="shared" si="130"/>
      </c>
    </row>
    <row r="117">
      <c r="A117" s="24"/>
      <c r="B117" s="26" t="s">
        <v>69</v>
      </c>
      <c r="C117" s="25" t="s">
        <v>50</v>
      </c>
      <c r="D117" s="26" t="s">
        <v>51</v>
      </c>
      <c r="E117" s="26" t="s">
        <v>54</v>
      </c>
      <c r="F117" s="27">
        <f t="shared" si="449"/>
      </c>
      <c r="G117" s="28">
        <v>1024.98</v>
      </c>
      <c r="H117" s="28">
        <v>626.57</v>
      </c>
      <c r="I117" s="29">
        <v>5</v>
      </c>
      <c r="J117" s="29">
        <v>4</v>
      </c>
      <c r="K117" s="30">
        <v>3172.4000000000015</v>
      </c>
      <c r="L117" s="31">
        <f t="shared" si="379"/>
      </c>
      <c r="M117" s="32">
        <f t="shared" si="325"/>
      </c>
      <c r="N117" s="33">
        <f t="shared" si="235"/>
      </c>
      <c r="O117" s="33">
        <f t="shared" si="181"/>
      </c>
      <c r="P117" s="33">
        <f t="shared" si="78"/>
      </c>
      <c r="Q117" s="33">
        <f t="shared" si="42"/>
      </c>
      <c r="R117" s="33">
        <f t="shared" si="6"/>
      </c>
      <c r="S117" s="33">
        <f t="shared" si="500"/>
      </c>
      <c r="T117" s="33">
        <f t="shared" si="397"/>
      </c>
      <c r="U117" s="31">
        <f t="shared" si="343"/>
      </c>
      <c r="V117" s="31">
        <f t="shared" si="253"/>
      </c>
      <c r="W117" s="31">
        <f t="shared" si="271"/>
      </c>
      <c r="X117" s="31">
        <f t="shared" si="289"/>
      </c>
      <c r="Y117" s="31">
        <f t="shared" si="199"/>
      </c>
      <c r="Z117" s="31">
        <f t="shared" si="96"/>
      </c>
      <c r="AA117" s="32">
        <f t="shared" si="60"/>
      </c>
      <c r="AB117" s="32">
        <f t="shared" si="24"/>
      </c>
      <c r="AC117" s="32">
        <f t="shared" si="518"/>
      </c>
      <c r="AD117" s="31">
        <f t="shared" si="415"/>
      </c>
      <c r="AE117" s="32">
        <f t="shared" si="361"/>
      </c>
      <c r="AF117" s="31">
        <f t="shared" si="307"/>
      </c>
      <c r="AG117" s="31">
        <f t="shared" si="217"/>
      </c>
      <c r="AH117" s="29">
        <v>21201</v>
      </c>
      <c r="AI117" s="34">
        <v>472</v>
      </c>
      <c r="AJ117" s="34">
        <v>548</v>
      </c>
      <c r="AK117" s="34">
        <v>46</v>
      </c>
      <c r="AL117" s="29">
        <v>5</v>
      </c>
      <c r="AM117" s="34">
        <v>3</v>
      </c>
      <c r="AN117" s="34">
        <v>71</v>
      </c>
      <c r="AO117" s="34">
        <v>60</v>
      </c>
      <c r="AP117" s="34">
        <v>5</v>
      </c>
      <c r="AQ117" s="29">
        <v>0</v>
      </c>
      <c r="AR117" s="36">
        <f t="shared" si="130"/>
      </c>
    </row>
    <row r="118">
      <c r="A118" s="24"/>
      <c r="B118" s="26" t="s">
        <v>69</v>
      </c>
      <c r="C118" s="25" t="s">
        <v>50</v>
      </c>
      <c r="D118" s="26" t="s">
        <v>51</v>
      </c>
      <c r="E118" s="26" t="s">
        <v>55</v>
      </c>
      <c r="F118" s="27">
        <f t="shared" si="449"/>
      </c>
      <c r="G118" s="28">
        <v>816.71</v>
      </c>
      <c r="H118" s="28">
        <v>556.32</v>
      </c>
      <c r="I118" s="29">
        <v>5</v>
      </c>
      <c r="J118" s="29">
        <v>5</v>
      </c>
      <c r="K118" s="30">
        <v>4067.7999999999993</v>
      </c>
      <c r="L118" s="31">
        <f t="shared" si="379"/>
      </c>
      <c r="M118" s="32">
        <f t="shared" si="325"/>
      </c>
      <c r="N118" s="33">
        <f t="shared" si="235"/>
      </c>
      <c r="O118" s="33">
        <f t="shared" si="181"/>
      </c>
      <c r="P118" s="33">
        <f t="shared" si="78"/>
      </c>
      <c r="Q118" s="33">
        <f t="shared" si="42"/>
      </c>
      <c r="R118" s="33">
        <f t="shared" si="6"/>
      </c>
      <c r="S118" s="33">
        <f t="shared" si="500"/>
      </c>
      <c r="T118" s="33">
        <f t="shared" si="397"/>
      </c>
      <c r="U118" s="31">
        <f t="shared" si="343"/>
      </c>
      <c r="V118" s="31">
        <f t="shared" si="253"/>
      </c>
      <c r="W118" s="31">
        <f t="shared" si="271"/>
      </c>
      <c r="X118" s="31">
        <f t="shared" si="289"/>
      </c>
      <c r="Y118" s="31">
        <f t="shared" si="199"/>
      </c>
      <c r="Z118" s="31">
        <f t="shared" si="96"/>
      </c>
      <c r="AA118" s="32">
        <f t="shared" si="60"/>
      </c>
      <c r="AB118" s="32">
        <f t="shared" si="24"/>
      </c>
      <c r="AC118" s="32">
        <f t="shared" si="518"/>
      </c>
      <c r="AD118" s="31">
        <f t="shared" si="415"/>
      </c>
      <c r="AE118" s="32">
        <f t="shared" si="361"/>
      </c>
      <c r="AF118" s="31">
        <f t="shared" si="307"/>
      </c>
      <c r="AG118" s="31">
        <f t="shared" si="217"/>
      </c>
      <c r="AH118" s="29">
        <v>14392</v>
      </c>
      <c r="AI118" s="34">
        <v>298</v>
      </c>
      <c r="AJ118" s="34">
        <v>363</v>
      </c>
      <c r="AK118" s="34">
        <v>37</v>
      </c>
      <c r="AL118" s="29">
        <v>3</v>
      </c>
      <c r="AM118" s="34">
        <v>4</v>
      </c>
      <c r="AN118" s="34">
        <v>40</v>
      </c>
      <c r="AO118" s="34">
        <v>22</v>
      </c>
      <c r="AP118" s="34">
        <v>1</v>
      </c>
      <c r="AQ118" s="29">
        <v>1</v>
      </c>
      <c r="AR118" s="36">
        <f t="shared" si="130"/>
      </c>
    </row>
    <row r="119">
      <c r="A119" s="24"/>
      <c r="B119" s="38" t="s">
        <v>56</v>
      </c>
      <c r="C119" s="38"/>
      <c r="D119" s="38"/>
      <c r="E119" s="38"/>
      <c r="F119" s="39">
        <f>SUM(F115:F118)</f>
      </c>
      <c r="G119" s="39">
        <f>SUM(G115:G118)</f>
      </c>
      <c r="H119" s="39">
        <f>SUM(H115:H118)</f>
      </c>
      <c r="I119" s="40">
        <f>SUM(I115:I118)</f>
      </c>
      <c r="J119" s="40">
        <f>SUM(J115:J118)</f>
      </c>
      <c r="K119" s="39">
        <f>SUM(K115:K118)</f>
      </c>
      <c r="L119" s="41">
        <f t="shared" si="379"/>
      </c>
      <c r="M119" s="42">
        <f t="shared" si="325"/>
      </c>
      <c r="N119" s="43">
        <f t="shared" si="235"/>
      </c>
      <c r="O119" s="43">
        <f t="shared" si="181"/>
      </c>
      <c r="P119" s="43">
        <f t="shared" si="78"/>
      </c>
      <c r="Q119" s="43">
        <f t="shared" si="42"/>
      </c>
      <c r="R119" s="43">
        <f t="shared" si="6"/>
      </c>
      <c r="S119" s="43">
        <f t="shared" si="500"/>
      </c>
      <c r="T119" s="43">
        <f t="shared" si="397"/>
      </c>
      <c r="U119" s="41">
        <f t="shared" si="343"/>
      </c>
      <c r="V119" s="41">
        <f t="shared" si="253"/>
      </c>
      <c r="W119" s="41">
        <f t="shared" si="271"/>
      </c>
      <c r="X119" s="41">
        <f t="shared" si="289"/>
      </c>
      <c r="Y119" s="41">
        <f t="shared" si="199"/>
      </c>
      <c r="Z119" s="41">
        <f t="shared" si="96"/>
      </c>
      <c r="AA119" s="42">
        <f t="shared" si="60"/>
      </c>
      <c r="AB119" s="42">
        <f t="shared" si="24"/>
      </c>
      <c r="AC119" s="42">
        <f t="shared" si="518"/>
      </c>
      <c r="AD119" s="41">
        <f t="shared" si="415"/>
      </c>
      <c r="AE119" s="42">
        <f t="shared" si="361"/>
      </c>
      <c r="AF119" s="41">
        <f t="shared" si="307"/>
      </c>
      <c r="AG119" s="41">
        <f t="shared" si="217"/>
      </c>
      <c r="AH119" s="40">
        <f>SUM(AH115:AH118)</f>
      </c>
      <c r="AI119" s="40">
        <f>SUM(AI115:AI118)</f>
      </c>
      <c r="AJ119" s="40">
        <f>SUM(AJ115:AJ118)</f>
      </c>
      <c r="AK119" s="40">
        <f>SUM(AK115:AK118)</f>
      </c>
      <c r="AL119" s="40">
        <f>SUM(AL115:AL118)</f>
      </c>
      <c r="AM119" s="40">
        <f>SUM(AM115:AM118)</f>
      </c>
      <c r="AN119" s="40">
        <f>SUM(AN115:AN118)</f>
      </c>
      <c r="AO119" s="40">
        <f>SUM(AO115:AO118)</f>
      </c>
      <c r="AP119" s="40">
        <f>SUM(AP115:AP118)</f>
      </c>
      <c r="AQ119" s="40">
        <f>SUM(AQ115:AQ118)</f>
      </c>
      <c r="AR119" s="44">
        <f>SUM(AR115:AR118)</f>
      </c>
    </row>
    <row r="120">
      <c r="A120" s="24"/>
      <c r="B120" s="26" t="s">
        <v>69</v>
      </c>
      <c r="C120" s="25" t="s">
        <v>50</v>
      </c>
      <c r="D120" s="26" t="s">
        <v>71</v>
      </c>
      <c r="E120" s="26" t="s">
        <v>58</v>
      </c>
      <c r="F120" s="27">
        <f t="shared" ref="F120:F122" si="450">H120+G120</f>
      </c>
      <c r="G120" s="28">
        <v>976.78</v>
      </c>
      <c r="H120" s="28">
        <v>483.25</v>
      </c>
      <c r="I120" s="29">
        <v>2</v>
      </c>
      <c r="J120" s="29">
        <v>1</v>
      </c>
      <c r="K120" s="30">
        <v>474</v>
      </c>
      <c r="L120" s="31">
        <f t="shared" si="379"/>
      </c>
      <c r="M120" s="32">
        <f t="shared" si="325"/>
      </c>
      <c r="N120" s="33">
        <f t="shared" si="235"/>
      </c>
      <c r="O120" s="33">
        <f t="shared" si="181"/>
      </c>
      <c r="P120" s="33">
        <f t="shared" si="78"/>
      </c>
      <c r="Q120" s="33">
        <f t="shared" si="42"/>
      </c>
      <c r="R120" s="33">
        <f t="shared" si="6"/>
      </c>
      <c r="S120" s="33">
        <f t="shared" si="500"/>
      </c>
      <c r="T120" s="33">
        <f t="shared" si="397"/>
      </c>
      <c r="U120" s="31">
        <f t="shared" si="343"/>
      </c>
      <c r="V120" s="31">
        <f t="shared" si="253"/>
      </c>
      <c r="W120" s="31">
        <f t="shared" si="271"/>
      </c>
      <c r="X120" s="31">
        <f t="shared" si="289"/>
      </c>
      <c r="Y120" s="31">
        <f t="shared" si="199"/>
      </c>
      <c r="Z120" s="31">
        <f t="shared" si="96"/>
      </c>
      <c r="AA120" s="32">
        <f t="shared" si="60"/>
      </c>
      <c r="AB120" s="32">
        <f t="shared" si="24"/>
      </c>
      <c r="AC120" s="32">
        <f t="shared" si="518"/>
      </c>
      <c r="AD120" s="31">
        <f t="shared" si="415"/>
      </c>
      <c r="AE120" s="32">
        <f t="shared" si="361"/>
      </c>
      <c r="AF120" s="31">
        <f t="shared" si="307"/>
      </c>
      <c r="AG120" s="31">
        <f t="shared" si="217"/>
      </c>
      <c r="AH120" s="34">
        <v>19096</v>
      </c>
      <c r="AI120" s="34">
        <v>420</v>
      </c>
      <c r="AJ120" s="34">
        <v>461</v>
      </c>
      <c r="AK120" s="34">
        <v>34</v>
      </c>
      <c r="AL120" s="29">
        <v>3</v>
      </c>
      <c r="AM120" s="29">
        <v>2</v>
      </c>
      <c r="AN120" s="34">
        <v>72</v>
      </c>
      <c r="AO120" s="34">
        <v>78</v>
      </c>
      <c r="AP120" s="34">
        <v>5</v>
      </c>
      <c r="AQ120" s="29">
        <v>0</v>
      </c>
      <c r="AR120" s="36">
        <f t="shared" ref="AR120:AR122" si="131">COUNT(AQ120)</f>
      </c>
    </row>
    <row r="121">
      <c r="A121" s="24"/>
      <c r="B121" s="26" t="s">
        <v>69</v>
      </c>
      <c r="C121" s="25" t="s">
        <v>50</v>
      </c>
      <c r="D121" s="26" t="s">
        <v>71</v>
      </c>
      <c r="E121" s="26" t="s">
        <v>59</v>
      </c>
      <c r="F121" s="27">
        <f t="shared" si="450"/>
      </c>
      <c r="G121" s="28">
        <v>1078.27</v>
      </c>
      <c r="H121" s="28">
        <v>331.37</v>
      </c>
      <c r="I121" s="29">
        <v>4</v>
      </c>
      <c r="J121" s="29">
        <v>3</v>
      </c>
      <c r="K121" s="30">
        <v>1915.2000000000007</v>
      </c>
      <c r="L121" s="31">
        <f t="shared" si="379"/>
      </c>
      <c r="M121" s="32">
        <f t="shared" si="325"/>
      </c>
      <c r="N121" s="33">
        <f t="shared" si="235"/>
      </c>
      <c r="O121" s="33">
        <f t="shared" si="181"/>
      </c>
      <c r="P121" s="33">
        <f t="shared" si="78"/>
      </c>
      <c r="Q121" s="33">
        <f t="shared" si="42"/>
      </c>
      <c r="R121" s="33">
        <f t="shared" si="6"/>
      </c>
      <c r="S121" s="33">
        <f t="shared" si="500"/>
      </c>
      <c r="T121" s="33">
        <f t="shared" si="397"/>
      </c>
      <c r="U121" s="31">
        <f t="shared" si="343"/>
      </c>
      <c r="V121" s="31">
        <f t="shared" si="253"/>
      </c>
      <c r="W121" s="31">
        <f t="shared" si="271"/>
      </c>
      <c r="X121" s="31">
        <f t="shared" si="289"/>
      </c>
      <c r="Y121" s="31">
        <f t="shared" si="199"/>
      </c>
      <c r="Z121" s="31">
        <f t="shared" si="96"/>
      </c>
      <c r="AA121" s="32">
        <f t="shared" si="60"/>
      </c>
      <c r="AB121" s="32">
        <f t="shared" si="24"/>
      </c>
      <c r="AC121" s="32">
        <f t="shared" si="518"/>
      </c>
      <c r="AD121" s="31">
        <f t="shared" si="415"/>
      </c>
      <c r="AE121" s="32">
        <f t="shared" si="361"/>
      </c>
      <c r="AF121" s="31">
        <f t="shared" si="307"/>
      </c>
      <c r="AG121" s="31">
        <f t="shared" si="217"/>
      </c>
      <c r="AH121" s="34">
        <v>23459</v>
      </c>
      <c r="AI121" s="34">
        <v>415</v>
      </c>
      <c r="AJ121" s="34">
        <v>491</v>
      </c>
      <c r="AK121" s="34">
        <v>36</v>
      </c>
      <c r="AL121" s="29">
        <v>4</v>
      </c>
      <c r="AM121" s="29">
        <v>3</v>
      </c>
      <c r="AN121" s="34">
        <v>61</v>
      </c>
      <c r="AO121" s="34">
        <v>72</v>
      </c>
      <c r="AP121" s="34">
        <v>3</v>
      </c>
      <c r="AQ121" s="29">
        <v>0</v>
      </c>
      <c r="AR121" s="36">
        <f t="shared" si="131"/>
      </c>
    </row>
    <row r="122">
      <c r="A122" s="24"/>
      <c r="B122" s="26" t="s">
        <v>69</v>
      </c>
      <c r="C122" s="25" t="s">
        <v>50</v>
      </c>
      <c r="D122" s="26" t="s">
        <v>71</v>
      </c>
      <c r="E122" s="26" t="s">
        <v>60</v>
      </c>
      <c r="F122" s="27">
        <f t="shared" si="450"/>
      </c>
      <c r="G122" s="28">
        <v>873.17</v>
      </c>
      <c r="H122" s="28">
        <v>520.96</v>
      </c>
      <c r="I122" s="29">
        <v>1</v>
      </c>
      <c r="J122" s="29">
        <v>1</v>
      </c>
      <c r="K122" s="30">
        <v>474</v>
      </c>
      <c r="L122" s="31">
        <f t="shared" si="379"/>
      </c>
      <c r="M122" s="32">
        <f t="shared" si="325"/>
      </c>
      <c r="N122" s="33">
        <f t="shared" si="235"/>
      </c>
      <c r="O122" s="33">
        <f t="shared" si="181"/>
      </c>
      <c r="P122" s="33">
        <f t="shared" si="78"/>
      </c>
      <c r="Q122" s="33">
        <f t="shared" si="42"/>
      </c>
      <c r="R122" s="33">
        <f t="shared" si="6"/>
      </c>
      <c r="S122" s="33">
        <f t="shared" si="500"/>
      </c>
      <c r="T122" s="33">
        <f t="shared" si="397"/>
      </c>
      <c r="U122" s="31">
        <f t="shared" si="343"/>
      </c>
      <c r="V122" s="31">
        <f t="shared" si="253"/>
      </c>
      <c r="W122" s="31">
        <f t="shared" si="271"/>
      </c>
      <c r="X122" s="31">
        <f t="shared" si="289"/>
      </c>
      <c r="Y122" s="31">
        <f t="shared" si="199"/>
      </c>
      <c r="Z122" s="31">
        <f t="shared" si="96"/>
      </c>
      <c r="AA122" s="32">
        <f t="shared" si="60"/>
      </c>
      <c r="AB122" s="32">
        <f t="shared" si="24"/>
      </c>
      <c r="AC122" s="32">
        <f t="shared" si="518"/>
      </c>
      <c r="AD122" s="31">
        <f t="shared" si="415"/>
      </c>
      <c r="AE122" s="32">
        <f t="shared" si="361"/>
      </c>
      <c r="AF122" s="31">
        <f t="shared" si="307"/>
      </c>
      <c r="AG122" s="31">
        <f t="shared" si="217"/>
      </c>
      <c r="AH122" s="34">
        <v>22667</v>
      </c>
      <c r="AI122" s="34">
        <v>406</v>
      </c>
      <c r="AJ122" s="34">
        <v>516</v>
      </c>
      <c r="AK122" s="34">
        <v>31</v>
      </c>
      <c r="AL122" s="34">
        <v>1</v>
      </c>
      <c r="AM122" s="34">
        <v>1</v>
      </c>
      <c r="AN122" s="34">
        <v>51</v>
      </c>
      <c r="AO122" s="34">
        <v>34</v>
      </c>
      <c r="AP122" s="34">
        <v>2</v>
      </c>
      <c r="AQ122" s="29">
        <v>0</v>
      </c>
      <c r="AR122" s="36">
        <f t="shared" si="131"/>
      </c>
    </row>
    <row r="123">
      <c r="A123" s="24"/>
      <c r="B123" s="38" t="s">
        <v>56</v>
      </c>
      <c r="C123" s="38"/>
      <c r="D123" s="38"/>
      <c r="E123" s="38"/>
      <c r="F123" s="39">
        <f>SUM(F120:F122)</f>
      </c>
      <c r="G123" s="39">
        <f>SUM(G120:G122)</f>
      </c>
      <c r="H123" s="39">
        <f>SUM(H120:H122)</f>
      </c>
      <c r="I123" s="40">
        <f>SUM(I120:I122)</f>
      </c>
      <c r="J123" s="40">
        <f>SUM(J120:J122)</f>
      </c>
      <c r="K123" s="39">
        <f>SUM(K120:K122)</f>
      </c>
      <c r="L123" s="41">
        <f t="shared" si="379"/>
      </c>
      <c r="M123" s="42">
        <f t="shared" si="325"/>
      </c>
      <c r="N123" s="43">
        <f t="shared" si="235"/>
      </c>
      <c r="O123" s="43">
        <f t="shared" si="181"/>
      </c>
      <c r="P123" s="43">
        <f t="shared" si="78"/>
      </c>
      <c r="Q123" s="43">
        <f t="shared" si="42"/>
      </c>
      <c r="R123" s="43">
        <f t="shared" si="6"/>
      </c>
      <c r="S123" s="43">
        <f t="shared" si="500"/>
      </c>
      <c r="T123" s="43">
        <f t="shared" si="397"/>
      </c>
      <c r="U123" s="41">
        <f t="shared" si="343"/>
      </c>
      <c r="V123" s="41">
        <f t="shared" si="253"/>
      </c>
      <c r="W123" s="41">
        <f t="shared" si="271"/>
      </c>
      <c r="X123" s="41">
        <f t="shared" si="289"/>
      </c>
      <c r="Y123" s="41">
        <f t="shared" si="199"/>
      </c>
      <c r="Z123" s="41">
        <f t="shared" si="96"/>
      </c>
      <c r="AA123" s="42">
        <f t="shared" si="60"/>
      </c>
      <c r="AB123" s="42">
        <f t="shared" si="24"/>
      </c>
      <c r="AC123" s="42">
        <f t="shared" si="518"/>
      </c>
      <c r="AD123" s="41">
        <f t="shared" si="415"/>
      </c>
      <c r="AE123" s="42">
        <f t="shared" si="361"/>
      </c>
      <c r="AF123" s="41">
        <f t="shared" si="307"/>
      </c>
      <c r="AG123" s="41">
        <f t="shared" si="217"/>
      </c>
      <c r="AH123" s="40">
        <f>SUM(AH120:AH122)</f>
      </c>
      <c r="AI123" s="40">
        <f>SUM(AI120:AI122)</f>
      </c>
      <c r="AJ123" s="40">
        <f>SUM(AJ120:AJ122)</f>
      </c>
      <c r="AK123" s="40">
        <f>SUM(AK120:AK122)</f>
      </c>
      <c r="AL123" s="40">
        <f>SUM(AL120:AL122)</f>
      </c>
      <c r="AM123" s="40">
        <f>SUM(AM120:AM122)</f>
      </c>
      <c r="AN123" s="40">
        <f>SUM(AN120:AN122)</f>
      </c>
      <c r="AO123" s="40">
        <f>SUM(AO120:AO122)</f>
      </c>
      <c r="AP123" s="40">
        <f>SUM(AP120:AP122)</f>
      </c>
      <c r="AQ123" s="40">
        <f>SUM(AQ120:AQ122)</f>
      </c>
      <c r="AR123" s="44">
        <f>SUM(AR120:AR122)</f>
      </c>
    </row>
    <row r="124">
      <c r="A124" s="24"/>
      <c r="B124" s="26" t="s">
        <v>69</v>
      </c>
      <c r="C124" s="25" t="s">
        <v>50</v>
      </c>
      <c r="D124" s="26" t="s">
        <v>62</v>
      </c>
      <c r="E124" s="26" t="s">
        <v>61</v>
      </c>
      <c r="F124" s="27">
        <f t="shared" ref="F124:F125" si="451">H124+G124</f>
      </c>
      <c r="G124" s="28">
        <v>911.31</v>
      </c>
      <c r="H124" s="28">
        <v>445.2</v>
      </c>
      <c r="I124" s="29">
        <v>2</v>
      </c>
      <c r="J124" s="29">
        <v>0</v>
      </c>
      <c r="K124" s="30">
        <v>0</v>
      </c>
      <c r="L124" s="31">
        <f t="shared" si="379"/>
      </c>
      <c r="M124" s="32">
        <f t="shared" si="325"/>
      </c>
      <c r="N124" s="33">
        <f t="shared" si="235"/>
      </c>
      <c r="O124" s="33">
        <f t="shared" si="181"/>
      </c>
      <c r="P124" s="33">
        <f t="shared" si="78"/>
      </c>
      <c r="Q124" s="33">
        <f t="shared" si="42"/>
      </c>
      <c r="R124" s="33">
        <f t="shared" si="6"/>
      </c>
      <c r="S124" s="33">
        <f t="shared" si="500"/>
      </c>
      <c r="T124" s="33">
        <f t="shared" si="397"/>
      </c>
      <c r="U124" s="31">
        <f t="shared" si="343"/>
      </c>
      <c r="V124" s="31">
        <f t="shared" si="253"/>
      </c>
      <c r="W124" s="31">
        <f t="shared" si="271"/>
      </c>
      <c r="X124" s="31">
        <f t="shared" si="289"/>
      </c>
      <c r="Y124" s="31">
        <f t="shared" si="199"/>
      </c>
      <c r="Z124" s="31">
        <f t="shared" si="96"/>
      </c>
      <c r="AA124" s="32">
        <f t="shared" si="60"/>
      </c>
      <c r="AB124" s="32">
        <f t="shared" si="24"/>
      </c>
      <c r="AC124" s="32">
        <f t="shared" si="518"/>
      </c>
      <c r="AD124" s="31">
        <f t="shared" si="415"/>
      </c>
      <c r="AE124" s="32">
        <f t="shared" si="361"/>
      </c>
      <c r="AF124" s="31">
        <f t="shared" si="307"/>
      </c>
      <c r="AG124" s="31">
        <f t="shared" si="217"/>
      </c>
      <c r="AH124" s="34">
        <v>18060</v>
      </c>
      <c r="AI124" s="34">
        <v>389</v>
      </c>
      <c r="AJ124" s="34">
        <v>491</v>
      </c>
      <c r="AK124" s="34">
        <v>33</v>
      </c>
      <c r="AL124" s="34">
        <v>2</v>
      </c>
      <c r="AM124" s="34">
        <v>0</v>
      </c>
      <c r="AN124" s="34">
        <v>63</v>
      </c>
      <c r="AO124" s="34">
        <v>32</v>
      </c>
      <c r="AP124" s="34">
        <v>8</v>
      </c>
      <c r="AQ124" s="29">
        <v>0</v>
      </c>
      <c r="AR124" s="36">
        <f t="shared" ref="AR124:AR125" si="132">COUNT(AQ124)</f>
      </c>
    </row>
    <row r="125">
      <c r="A125" s="24"/>
      <c r="B125" s="26" t="s">
        <v>69</v>
      </c>
      <c r="C125" s="25" t="s">
        <v>50</v>
      </c>
      <c r="D125" s="26" t="s">
        <v>62</v>
      </c>
      <c r="E125" s="26" t="s">
        <v>63</v>
      </c>
      <c r="F125" s="27">
        <f t="shared" si="451"/>
      </c>
      <c r="G125" s="28">
        <v>668.72</v>
      </c>
      <c r="H125" s="28">
        <v>542.9</v>
      </c>
      <c r="I125" s="29">
        <v>6</v>
      </c>
      <c r="J125" s="34">
        <v>5</v>
      </c>
      <c r="K125" s="30">
        <v>3458.4000000000015</v>
      </c>
      <c r="L125" s="31">
        <f t="shared" si="379"/>
      </c>
      <c r="M125" s="32">
        <f t="shared" si="325"/>
      </c>
      <c r="N125" s="33">
        <f t="shared" si="235"/>
      </c>
      <c r="O125" s="33">
        <f t="shared" si="181"/>
      </c>
      <c r="P125" s="33">
        <f t="shared" si="78"/>
      </c>
      <c r="Q125" s="33">
        <f t="shared" si="42"/>
      </c>
      <c r="R125" s="33">
        <f t="shared" si="6"/>
      </c>
      <c r="S125" s="33">
        <f t="shared" si="500"/>
      </c>
      <c r="T125" s="33">
        <f t="shared" si="397"/>
      </c>
      <c r="U125" s="31">
        <f t="shared" si="343"/>
      </c>
      <c r="V125" s="31">
        <f t="shared" si="253"/>
      </c>
      <c r="W125" s="31">
        <f t="shared" si="271"/>
      </c>
      <c r="X125" s="31">
        <f t="shared" si="289"/>
      </c>
      <c r="Y125" s="31">
        <f t="shared" si="199"/>
      </c>
      <c r="Z125" s="31">
        <f t="shared" si="96"/>
      </c>
      <c r="AA125" s="32">
        <f t="shared" si="60"/>
      </c>
      <c r="AB125" s="32">
        <f t="shared" si="24"/>
      </c>
      <c r="AC125" s="32">
        <f t="shared" si="518"/>
      </c>
      <c r="AD125" s="31">
        <f t="shared" si="415"/>
      </c>
      <c r="AE125" s="32">
        <f t="shared" si="361"/>
      </c>
      <c r="AF125" s="31">
        <f t="shared" si="307"/>
      </c>
      <c r="AG125" s="31">
        <f t="shared" si="217"/>
      </c>
      <c r="AH125" s="34">
        <v>15521</v>
      </c>
      <c r="AI125" s="34">
        <v>368</v>
      </c>
      <c r="AJ125" s="34">
        <v>486</v>
      </c>
      <c r="AK125" s="34">
        <v>27</v>
      </c>
      <c r="AL125" s="34">
        <v>3</v>
      </c>
      <c r="AM125" s="34">
        <v>1</v>
      </c>
      <c r="AN125" s="34">
        <v>52</v>
      </c>
      <c r="AO125" s="34">
        <v>61</v>
      </c>
      <c r="AP125" s="34">
        <v>2</v>
      </c>
      <c r="AQ125" s="29">
        <v>1</v>
      </c>
      <c r="AR125" s="36">
        <f t="shared" si="132"/>
      </c>
    </row>
    <row r="126">
      <c r="A126" s="24"/>
      <c r="B126" s="38" t="s">
        <v>56</v>
      </c>
      <c r="C126" s="38"/>
      <c r="D126" s="38"/>
      <c r="E126" s="38"/>
      <c r="F126" s="39">
        <f>SUM(F124:F125)</f>
      </c>
      <c r="G126" s="39">
        <f>SUM(G124:G125)</f>
      </c>
      <c r="H126" s="39">
        <f>SUM(H124:H125)</f>
      </c>
      <c r="I126" s="40">
        <f>SUM(I124:I125)</f>
      </c>
      <c r="J126" s="40">
        <f>SUM(J124:J125)</f>
      </c>
      <c r="K126" s="39">
        <f>SUM(K124:K125)</f>
      </c>
      <c r="L126" s="41">
        <f t="shared" si="379"/>
      </c>
      <c r="M126" s="42">
        <f t="shared" si="325"/>
      </c>
      <c r="N126" s="43">
        <f t="shared" si="235"/>
      </c>
      <c r="O126" s="43">
        <f t="shared" si="181"/>
      </c>
      <c r="P126" s="43">
        <f t="shared" si="78"/>
      </c>
      <c r="Q126" s="43">
        <f t="shared" si="42"/>
      </c>
      <c r="R126" s="43">
        <f t="shared" si="6"/>
      </c>
      <c r="S126" s="43">
        <f t="shared" si="500"/>
      </c>
      <c r="T126" s="43">
        <f t="shared" si="397"/>
      </c>
      <c r="U126" s="41">
        <f t="shared" si="343"/>
      </c>
      <c r="V126" s="41">
        <f t="shared" si="253"/>
      </c>
      <c r="W126" s="41">
        <f t="shared" si="271"/>
      </c>
      <c r="X126" s="41">
        <f t="shared" si="289"/>
      </c>
      <c r="Y126" s="41">
        <f t="shared" si="199"/>
      </c>
      <c r="Z126" s="41">
        <f t="shared" si="96"/>
      </c>
      <c r="AA126" s="42">
        <f t="shared" si="60"/>
      </c>
      <c r="AB126" s="42">
        <f t="shared" si="24"/>
      </c>
      <c r="AC126" s="42">
        <f t="shared" si="518"/>
      </c>
      <c r="AD126" s="41">
        <f t="shared" si="415"/>
      </c>
      <c r="AE126" s="42">
        <f t="shared" si="361"/>
      </c>
      <c r="AF126" s="41">
        <f t="shared" si="307"/>
      </c>
      <c r="AG126" s="41">
        <f t="shared" si="217"/>
      </c>
      <c r="AH126" s="40">
        <f>SUM(AH124:AH125)</f>
      </c>
      <c r="AI126" s="40">
        <f>SUM(AI124:AI125)</f>
      </c>
      <c r="AJ126" s="40">
        <f>SUM(AJ124:AJ125)</f>
      </c>
      <c r="AK126" s="40">
        <f>SUM(AK124:AK125)</f>
      </c>
      <c r="AL126" s="40">
        <f>SUM(AL124:AL125)</f>
      </c>
      <c r="AM126" s="40">
        <f>SUM(AM124:AM125)</f>
      </c>
      <c r="AN126" s="40">
        <f>SUM(AN124:AN125)</f>
      </c>
      <c r="AO126" s="40">
        <f>SUM(AO124:AO125)</f>
      </c>
      <c r="AP126" s="40">
        <f>SUM(AP124:AP125)</f>
      </c>
      <c r="AQ126" s="40">
        <f>SUM(AQ124:AQ125)</f>
      </c>
      <c r="AR126" s="44">
        <f>SUM(AR124:AR125)</f>
      </c>
    </row>
    <row r="127">
      <c r="A127" s="24"/>
      <c r="B127" s="26" t="s">
        <v>69</v>
      </c>
      <c r="C127" s="25" t="s">
        <v>50</v>
      </c>
      <c r="D127" s="26" t="s">
        <v>57</v>
      </c>
      <c r="E127" s="25" t="s">
        <v>64</v>
      </c>
      <c r="F127" s="27">
        <f t="shared" ref="F127:F129" si="452">H127+G127</f>
      </c>
      <c r="G127" s="28">
        <v>994.34</v>
      </c>
      <c r="H127" s="28">
        <v>568.26</v>
      </c>
      <c r="I127" s="29">
        <v>9</v>
      </c>
      <c r="J127" s="29">
        <v>9</v>
      </c>
      <c r="K127" s="30">
        <v>6903.4000000000015</v>
      </c>
      <c r="L127" s="31">
        <f t="shared" si="379"/>
      </c>
      <c r="M127" s="32">
        <f t="shared" si="325"/>
      </c>
      <c r="N127" s="33">
        <f t="shared" si="235"/>
      </c>
      <c r="O127" s="33">
        <f t="shared" si="181"/>
      </c>
      <c r="P127" s="33">
        <f t="shared" si="78"/>
      </c>
      <c r="Q127" s="33">
        <f t="shared" si="42"/>
      </c>
      <c r="R127" s="33">
        <f t="shared" si="6"/>
      </c>
      <c r="S127" s="33">
        <f t="shared" si="500"/>
      </c>
      <c r="T127" s="33">
        <f t="shared" si="397"/>
      </c>
      <c r="U127" s="31">
        <f t="shared" si="343"/>
      </c>
      <c r="V127" s="31">
        <f t="shared" si="253"/>
      </c>
      <c r="W127" s="31">
        <f t="shared" si="271"/>
      </c>
      <c r="X127" s="31">
        <f t="shared" si="289"/>
      </c>
      <c r="Y127" s="31">
        <f t="shared" si="199"/>
      </c>
      <c r="Z127" s="31">
        <f t="shared" si="96"/>
      </c>
      <c r="AA127" s="32">
        <f t="shared" si="60"/>
      </c>
      <c r="AB127" s="32">
        <f t="shared" si="24"/>
      </c>
      <c r="AC127" s="32">
        <f t="shared" si="518"/>
      </c>
      <c r="AD127" s="31">
        <f t="shared" si="415"/>
      </c>
      <c r="AE127" s="32">
        <f t="shared" si="361"/>
      </c>
      <c r="AF127" s="31">
        <f t="shared" si="307"/>
      </c>
      <c r="AG127" s="31">
        <f t="shared" si="217"/>
      </c>
      <c r="AH127" s="34">
        <v>20610</v>
      </c>
      <c r="AI127" s="34">
        <v>454</v>
      </c>
      <c r="AJ127" s="34">
        <v>580</v>
      </c>
      <c r="AK127" s="34">
        <v>38</v>
      </c>
      <c r="AL127" s="29">
        <v>8</v>
      </c>
      <c r="AM127" s="29">
        <v>7</v>
      </c>
      <c r="AN127" s="34">
        <v>86</v>
      </c>
      <c r="AO127" s="34">
        <v>75</v>
      </c>
      <c r="AP127" s="34">
        <v>10</v>
      </c>
      <c r="AQ127" s="29">
        <v>2</v>
      </c>
      <c r="AR127" s="36">
        <f t="shared" ref="AR127:AR129" si="133">COUNT(AQ127)</f>
      </c>
    </row>
    <row r="128">
      <c r="A128" s="24"/>
      <c r="B128" s="26" t="s">
        <v>69</v>
      </c>
      <c r="C128" s="25" t="s">
        <v>50</v>
      </c>
      <c r="D128" s="26" t="s">
        <v>57</v>
      </c>
      <c r="E128" s="25" t="s">
        <v>65</v>
      </c>
      <c r="F128" s="27">
        <f t="shared" si="452"/>
      </c>
      <c r="G128" s="28">
        <v>1110.9</v>
      </c>
      <c r="H128" s="28">
        <v>729.29</v>
      </c>
      <c r="I128" s="29">
        <v>4</v>
      </c>
      <c r="J128" s="29">
        <v>4</v>
      </c>
      <c r="K128" s="30">
        <v>3524</v>
      </c>
      <c r="L128" s="31">
        <f t="shared" si="379"/>
      </c>
      <c r="M128" s="32">
        <f t="shared" si="325"/>
      </c>
      <c r="N128" s="33">
        <f t="shared" si="235"/>
      </c>
      <c r="O128" s="33">
        <f t="shared" si="181"/>
      </c>
      <c r="P128" s="33">
        <f t="shared" si="78"/>
      </c>
      <c r="Q128" s="33">
        <f t="shared" si="42"/>
      </c>
      <c r="R128" s="33">
        <f t="shared" si="6"/>
      </c>
      <c r="S128" s="33">
        <f t="shared" si="500"/>
      </c>
      <c r="T128" s="33">
        <f t="shared" si="397"/>
      </c>
      <c r="U128" s="31">
        <f t="shared" si="343"/>
      </c>
      <c r="V128" s="31">
        <f t="shared" si="253"/>
      </c>
      <c r="W128" s="31">
        <f t="shared" si="271"/>
      </c>
      <c r="X128" s="31">
        <f t="shared" si="289"/>
      </c>
      <c r="Y128" s="31">
        <f t="shared" si="199"/>
      </c>
      <c r="Z128" s="31">
        <f t="shared" si="96"/>
      </c>
      <c r="AA128" s="32">
        <f t="shared" si="60"/>
      </c>
      <c r="AB128" s="32">
        <f t="shared" si="24"/>
      </c>
      <c r="AC128" s="32">
        <f t="shared" si="518"/>
      </c>
      <c r="AD128" s="31">
        <f t="shared" si="415"/>
      </c>
      <c r="AE128" s="32">
        <f t="shared" si="361"/>
      </c>
      <c r="AF128" s="31">
        <f t="shared" si="307"/>
      </c>
      <c r="AG128" s="31">
        <f t="shared" si="217"/>
      </c>
      <c r="AH128" s="34">
        <v>23265</v>
      </c>
      <c r="AI128" s="34">
        <v>583</v>
      </c>
      <c r="AJ128" s="34">
        <v>694</v>
      </c>
      <c r="AK128" s="34">
        <v>46</v>
      </c>
      <c r="AL128" s="34">
        <v>4</v>
      </c>
      <c r="AM128" s="34">
        <v>4</v>
      </c>
      <c r="AN128" s="34">
        <v>78</v>
      </c>
      <c r="AO128" s="34">
        <v>42</v>
      </c>
      <c r="AP128" s="34">
        <v>7</v>
      </c>
      <c r="AQ128" s="29">
        <v>0</v>
      </c>
      <c r="AR128" s="36">
        <f t="shared" si="133"/>
      </c>
    </row>
    <row r="129">
      <c r="A129" s="24"/>
      <c r="B129" s="26" t="s">
        <v>69</v>
      </c>
      <c r="C129" s="25" t="s">
        <v>50</v>
      </c>
      <c r="D129" s="26" t="s">
        <v>57</v>
      </c>
      <c r="E129" s="26" t="s">
        <v>66</v>
      </c>
      <c r="F129" s="27">
        <f t="shared" si="452"/>
      </c>
      <c r="G129" s="52">
        <v>854.73</v>
      </c>
      <c r="H129" s="52">
        <v>356.46</v>
      </c>
      <c r="I129" s="29">
        <v>1</v>
      </c>
      <c r="J129" s="29">
        <v>1</v>
      </c>
      <c r="K129" s="30">
        <v>474</v>
      </c>
      <c r="L129" s="31">
        <f t="shared" si="379"/>
      </c>
      <c r="M129" s="32">
        <f t="shared" si="325"/>
      </c>
      <c r="N129" s="33">
        <f t="shared" si="235"/>
      </c>
      <c r="O129" s="33">
        <f t="shared" si="181"/>
      </c>
      <c r="P129" s="33">
        <f t="shared" si="78"/>
      </c>
      <c r="Q129" s="33">
        <f t="shared" si="42"/>
      </c>
      <c r="R129" s="33">
        <f t="shared" si="6"/>
      </c>
      <c r="S129" s="33">
        <f t="shared" si="500"/>
      </c>
      <c r="T129" s="33">
        <f t="shared" si="397"/>
      </c>
      <c r="U129" s="31">
        <f t="shared" si="343"/>
      </c>
      <c r="V129" s="31">
        <f t="shared" si="253"/>
      </c>
      <c r="W129" s="31">
        <f t="shared" si="271"/>
      </c>
      <c r="X129" s="31">
        <f t="shared" si="289"/>
      </c>
      <c r="Y129" s="31">
        <f t="shared" si="199"/>
      </c>
      <c r="Z129" s="31">
        <f t="shared" si="96"/>
      </c>
      <c r="AA129" s="32">
        <f t="shared" si="60"/>
      </c>
      <c r="AB129" s="32">
        <f t="shared" si="24"/>
      </c>
      <c r="AC129" s="32">
        <f t="shared" si="518"/>
      </c>
      <c r="AD129" s="31">
        <f t="shared" si="415"/>
      </c>
      <c r="AE129" s="32">
        <f t="shared" si="361"/>
      </c>
      <c r="AF129" s="31">
        <f t="shared" si="307"/>
      </c>
      <c r="AG129" s="31">
        <f t="shared" si="217"/>
      </c>
      <c r="AH129" s="34">
        <v>16733</v>
      </c>
      <c r="AI129" s="34">
        <v>340</v>
      </c>
      <c r="AJ129" s="34">
        <v>392</v>
      </c>
      <c r="AK129" s="34">
        <v>21</v>
      </c>
      <c r="AL129" s="34">
        <v>1</v>
      </c>
      <c r="AM129" s="34">
        <v>1</v>
      </c>
      <c r="AN129" s="34">
        <v>41</v>
      </c>
      <c r="AO129" s="34">
        <v>27</v>
      </c>
      <c r="AP129" s="34">
        <v>5</v>
      </c>
      <c r="AQ129" s="29">
        <v>0</v>
      </c>
      <c r="AR129" s="36">
        <f t="shared" si="133"/>
      </c>
    </row>
    <row r="130">
      <c r="A130" s="24"/>
      <c r="B130" s="38" t="s">
        <v>56</v>
      </c>
      <c r="C130" s="38"/>
      <c r="D130" s="38"/>
      <c r="E130" s="38"/>
      <c r="F130" s="39">
        <f>SUM(F127:F129)</f>
      </c>
      <c r="G130" s="39">
        <f>SUM(G127:G129)</f>
      </c>
      <c r="H130" s="39">
        <f>SUM(H127:H129)</f>
      </c>
      <c r="I130" s="40">
        <f>SUM(I127:I129)</f>
      </c>
      <c r="J130" s="40">
        <f>SUM(J127:J129)</f>
      </c>
      <c r="K130" s="39">
        <f>SUM(K127:K129)</f>
      </c>
      <c r="L130" s="41">
        <f t="shared" si="379"/>
      </c>
      <c r="M130" s="42">
        <f t="shared" si="325"/>
      </c>
      <c r="N130" s="43">
        <f t="shared" si="235"/>
      </c>
      <c r="O130" s="43">
        <f t="shared" si="181"/>
      </c>
      <c r="P130" s="43">
        <f t="shared" si="78"/>
      </c>
      <c r="Q130" s="43">
        <f t="shared" si="42"/>
      </c>
      <c r="R130" s="43">
        <f t="shared" si="6"/>
      </c>
      <c r="S130" s="43">
        <f t="shared" si="500"/>
      </c>
      <c r="T130" s="43">
        <f t="shared" si="397"/>
      </c>
      <c r="U130" s="41">
        <f t="shared" si="343"/>
      </c>
      <c r="V130" s="41">
        <f t="shared" si="253"/>
      </c>
      <c r="W130" s="41">
        <f t="shared" si="271"/>
      </c>
      <c r="X130" s="41">
        <f t="shared" si="289"/>
      </c>
      <c r="Y130" s="41">
        <f t="shared" si="199"/>
      </c>
      <c r="Z130" s="41">
        <f t="shared" si="96"/>
      </c>
      <c r="AA130" s="42">
        <f t="shared" si="60"/>
      </c>
      <c r="AB130" s="42">
        <f t="shared" si="24"/>
      </c>
      <c r="AC130" s="42">
        <f t="shared" si="518"/>
      </c>
      <c r="AD130" s="41">
        <f t="shared" si="415"/>
      </c>
      <c r="AE130" s="42">
        <f t="shared" si="361"/>
      </c>
      <c r="AF130" s="41">
        <f t="shared" si="307"/>
      </c>
      <c r="AG130" s="41">
        <f t="shared" si="217"/>
      </c>
      <c r="AH130" s="40">
        <f>SUM(AH127:AH129)</f>
      </c>
      <c r="AI130" s="40">
        <f>SUM(AI127:AI129)</f>
      </c>
      <c r="AJ130" s="40">
        <f>SUM(AJ127:AJ129)</f>
      </c>
      <c r="AK130" s="40">
        <f>SUM(AK127:AK129)</f>
      </c>
      <c r="AL130" s="40">
        <f>SUM(AL127:AL129)</f>
      </c>
      <c r="AM130" s="40">
        <f>SUM(AM127:AM129)</f>
      </c>
      <c r="AN130" s="40">
        <f>SUM(AN127:AN129)</f>
      </c>
      <c r="AO130" s="40">
        <f>SUM(AO127:AO129)</f>
      </c>
      <c r="AP130" s="40">
        <f>SUM(AP127:AP129)</f>
      </c>
      <c r="AQ130" s="40">
        <f>SUM(AQ127:AQ129)</f>
      </c>
      <c r="AR130" s="44">
        <f>SUM(AR127:AR129)</f>
      </c>
    </row>
    <row r="131">
      <c r="A131" s="24"/>
      <c r="B131" s="46" t="s">
        <v>67</v>
      </c>
      <c r="C131" s="46"/>
      <c r="D131" s="46"/>
      <c r="E131" s="46"/>
      <c r="F131" s="47">
        <f>F123+F119+F130+F126</f>
      </c>
      <c r="G131" s="47">
        <f>G123+G119+G130+G126</f>
      </c>
      <c r="H131" s="47">
        <f>H123+H119+H130+H126</f>
      </c>
      <c r="I131" s="47">
        <f>I123+I119+I130+I126</f>
      </c>
      <c r="J131" s="47">
        <f>J123+J119+J130+J126</f>
      </c>
      <c r="K131" s="47">
        <f>K123+K119+K130+K126</f>
      </c>
      <c r="L131" s="48">
        <f t="shared" si="379"/>
      </c>
      <c r="M131" s="49">
        <f t="shared" si="325"/>
      </c>
      <c r="N131" s="50">
        <f t="shared" si="235"/>
      </c>
      <c r="O131" s="50">
        <f t="shared" si="181"/>
      </c>
      <c r="P131" s="50">
        <f t="shared" si="78"/>
      </c>
      <c r="Q131" s="50">
        <f t="shared" si="42"/>
      </c>
      <c r="R131" s="50">
        <f t="shared" si="6"/>
      </c>
      <c r="S131" s="50">
        <f t="shared" si="500"/>
      </c>
      <c r="T131" s="50">
        <f t="shared" si="397"/>
      </c>
      <c r="U131" s="48">
        <f t="shared" si="343"/>
      </c>
      <c r="V131" s="48">
        <f t="shared" si="253"/>
      </c>
      <c r="W131" s="48">
        <f t="shared" si="271"/>
      </c>
      <c r="X131" s="48">
        <f t="shared" si="289"/>
      </c>
      <c r="Y131" s="48">
        <f t="shared" si="199"/>
      </c>
      <c r="Z131" s="48">
        <f t="shared" si="96"/>
      </c>
      <c r="AA131" s="49">
        <f t="shared" si="60"/>
      </c>
      <c r="AB131" s="49">
        <f t="shared" si="24"/>
      </c>
      <c r="AC131" s="49">
        <f t="shared" si="518"/>
      </c>
      <c r="AD131" s="48">
        <f t="shared" si="415"/>
      </c>
      <c r="AE131" s="49">
        <f t="shared" si="361"/>
      </c>
      <c r="AF131" s="48">
        <f t="shared" si="307"/>
      </c>
      <c r="AG131" s="48">
        <f t="shared" si="217"/>
      </c>
      <c r="AH131" s="44">
        <f>AH123+AH119+AH130+AH126</f>
      </c>
      <c r="AI131" s="44">
        <f>AI123+AI119+AI130+AI126</f>
      </c>
      <c r="AJ131" s="44">
        <f>AJ123+AJ119+AJ130+AJ126</f>
      </c>
      <c r="AK131" s="44">
        <f>AK123+AK119+AK130+AK126</f>
      </c>
      <c r="AL131" s="44">
        <f>AL123+AL119+AL130+AL126</f>
      </c>
      <c r="AM131" s="44">
        <f>AM123+AM119+AM130+AM126</f>
      </c>
      <c r="AN131" s="44">
        <f>AN123+AN119+AN130+AN126</f>
      </c>
      <c r="AO131" s="44">
        <f>AO123+AO119+AO130+AO126</f>
      </c>
      <c r="AP131" s="44">
        <f>AP123+AP119+AP130+AP126</f>
      </c>
      <c r="AQ131" s="44">
        <f>AQ123+AQ119+AQ130+AQ126</f>
      </c>
      <c r="AR131" s="44">
        <f>AR123+AR119+AR130+AR126</f>
      </c>
    </row>
    <row r="132">
      <c r="A132" s="1"/>
      <c r="B132" s="1"/>
      <c r="C132" s="1"/>
      <c r="D132" s="1"/>
      <c r="E132" s="1"/>
      <c r="F132" s="2" t="s">
        <v>1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3" t="s">
        <v>2</v>
      </c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4" t="s">
        <v>3</v>
      </c>
      <c r="AD132" s="4"/>
      <c r="AE132" s="4"/>
      <c r="AF132" s="4"/>
      <c r="AG132" s="4"/>
      <c r="AH132" s="5" t="s">
        <v>4</v>
      </c>
      <c r="AI132" s="5"/>
      <c r="AJ132" s="5"/>
      <c r="AK132" s="5"/>
      <c r="AL132" s="5"/>
      <c r="AM132" s="5"/>
      <c r="AN132" s="5"/>
      <c r="AO132" s="5"/>
      <c r="AP132" s="5"/>
      <c r="AQ132" s="5"/>
      <c r="AR132" s="5"/>
    </row>
    <row r="133">
      <c r="A133" s="6" t="s">
        <v>5</v>
      </c>
      <c r="B133" s="7" t="s">
        <v>6</v>
      </c>
      <c r="C133" s="7" t="s">
        <v>7</v>
      </c>
      <c r="D133" s="8" t="s">
        <v>8</v>
      </c>
      <c r="E133" s="9" t="s">
        <v>9</v>
      </c>
      <c r="F133" s="10" t="s">
        <v>10</v>
      </c>
      <c r="G133" s="11" t="s">
        <v>11</v>
      </c>
      <c r="H133" s="12" t="s">
        <v>12</v>
      </c>
      <c r="I133" s="13" t="s">
        <v>13</v>
      </c>
      <c r="J133" s="13" t="s">
        <v>14</v>
      </c>
      <c r="K133" s="12" t="s">
        <v>15</v>
      </c>
      <c r="L133" s="14" t="s">
        <v>16</v>
      </c>
      <c r="M133" s="15" t="s">
        <v>17</v>
      </c>
      <c r="N133" s="16" t="s">
        <v>18</v>
      </c>
      <c r="O133" s="16" t="s">
        <v>19</v>
      </c>
      <c r="P133" s="17" t="s">
        <v>20</v>
      </c>
      <c r="Q133" s="3" t="s">
        <v>21</v>
      </c>
      <c r="R133" s="18" t="s">
        <v>22</v>
      </c>
      <c r="S133" s="18" t="s">
        <v>23</v>
      </c>
      <c r="T133" s="18" t="s">
        <v>24</v>
      </c>
      <c r="U133" s="19" t="s">
        <v>25</v>
      </c>
      <c r="V133" s="19" t="s">
        <v>26</v>
      </c>
      <c r="W133" s="19" t="s">
        <v>27</v>
      </c>
      <c r="X133" s="19" t="s">
        <v>28</v>
      </c>
      <c r="Y133" s="19" t="s">
        <v>29</v>
      </c>
      <c r="Z133" s="19" t="s">
        <v>30</v>
      </c>
      <c r="AA133" s="20" t="s">
        <v>31</v>
      </c>
      <c r="AB133" s="20" t="s">
        <v>32</v>
      </c>
      <c r="AC133" s="4" t="s">
        <v>33</v>
      </c>
      <c r="AD133" s="21" t="s">
        <v>34</v>
      </c>
      <c r="AE133" s="4" t="s">
        <v>35</v>
      </c>
      <c r="AF133" s="21" t="s">
        <v>36</v>
      </c>
      <c r="AG133" s="21" t="s">
        <v>37</v>
      </c>
      <c r="AH133" s="22" t="s">
        <v>38</v>
      </c>
      <c r="AI133" s="22" t="s">
        <v>39</v>
      </c>
      <c r="AJ133" s="22" t="s">
        <v>40</v>
      </c>
      <c r="AK133" s="22" t="s">
        <v>41</v>
      </c>
      <c r="AL133" s="22" t="s">
        <v>42</v>
      </c>
      <c r="AM133" s="22" t="s">
        <v>43</v>
      </c>
      <c r="AN133" s="22" t="s">
        <v>44</v>
      </c>
      <c r="AO133" s="22" t="s">
        <v>45</v>
      </c>
      <c r="AP133" s="22" t="s">
        <v>46</v>
      </c>
      <c r="AQ133" s="22" t="s">
        <v>47</v>
      </c>
      <c r="AR133" s="23" t="s">
        <v>48</v>
      </c>
    </row>
    <row r="134">
      <c r="A134" s="24">
        <v>46303</v>
      </c>
      <c r="B134" s="26" t="s">
        <v>69</v>
      </c>
      <c r="C134" s="25" t="s">
        <v>50</v>
      </c>
      <c r="D134" s="26" t="s">
        <v>51</v>
      </c>
      <c r="E134" s="26" t="s">
        <v>52</v>
      </c>
      <c r="F134" s="27">
        <f t="shared" ref="F134:F137" si="453">H134+G134</f>
      </c>
      <c r="G134" s="28">
        <v>1065.97</v>
      </c>
      <c r="H134" s="28">
        <v>499.94</v>
      </c>
      <c r="I134" s="29">
        <v>3</v>
      </c>
      <c r="J134" s="29">
        <v>3</v>
      </c>
      <c r="K134" s="30">
        <v>2211.6000000000004</v>
      </c>
      <c r="L134" s="31">
        <f t="shared" ref="L134:L150" si="380">AQ134/J134</f>
      </c>
      <c r="M134" s="32">
        <f t="shared" ref="M134:M150" si="326">K134/J134</f>
      </c>
      <c r="N134" s="33">
        <f t="shared" ref="N134:N150" si="236">F134/J134</f>
      </c>
      <c r="O134" s="33">
        <f t="shared" ref="O134:O150" si="182">K134/F134</f>
      </c>
      <c r="P134" s="33">
        <f t="shared" ref="P134:P150" si="79">K134/((300*AR134)+F134)</f>
      </c>
      <c r="Q134" s="33">
        <f t="shared" ref="Q134:Q150" si="43">F134/AJ134</f>
      </c>
      <c r="R134" s="33">
        <f t="shared" ref="R134:R150" si="7">F134/AK134</f>
      </c>
      <c r="S134" s="33">
        <f t="shared" ref="S134:S150" si="501">F134/AL134</f>
      </c>
      <c r="T134" s="33">
        <f t="shared" ref="T134:T150" si="398">F134/AM134</f>
      </c>
      <c r="U134" s="31">
        <f t="shared" ref="U134:U150" si="344">AI134/AJ134</f>
      </c>
      <c r="V134" s="31">
        <f t="shared" ref="V134:V150" si="254">AK134/AJ134</f>
      </c>
      <c r="W134" s="31">
        <f t="shared" ref="W134:W150" si="272">AL134/AK134</f>
      </c>
      <c r="X134" s="31">
        <f t="shared" ref="X134:X150" si="290">AM134/AL134</f>
      </c>
      <c r="Y134" s="31">
        <f t="shared" ref="Y134:Y150" si="200">AI134/AH134</f>
      </c>
      <c r="Z134" s="31">
        <f t="shared" ref="Z134:Z150" si="97">AM134/AI134</f>
      </c>
      <c r="AA134" s="32">
        <f t="shared" ref="AA134:AA150" si="61">F134/AH134*1000</f>
      </c>
      <c r="AB134" s="32">
        <f t="shared" ref="AB134:AB150" si="25">F134/AI134</f>
      </c>
      <c r="AC134" s="32">
        <f t="shared" ref="AC134:AC150" si="519">F134/AN134</f>
      </c>
      <c r="AD134" s="31">
        <f t="shared" ref="AD134:AD150" si="416">AN134/AJ134</f>
      </c>
      <c r="AE134" s="32">
        <f t="shared" ref="AE134:AE150" si="362">F134/AO134</f>
      </c>
      <c r="AF134" s="31">
        <f t="shared" ref="AF134:AF150" si="308">AO134/AJ134</f>
      </c>
      <c r="AG134" s="31">
        <f t="shared" ref="AG134:AG150" si="218">AP134/AJ134</f>
      </c>
      <c r="AH134" s="34">
        <v>17999</v>
      </c>
      <c r="AI134" s="35">
        <v>358</v>
      </c>
      <c r="AJ134" s="35">
        <v>397</v>
      </c>
      <c r="AK134" s="34">
        <v>44</v>
      </c>
      <c r="AL134" s="34">
        <v>2</v>
      </c>
      <c r="AM134" s="34">
        <v>2</v>
      </c>
      <c r="AN134" s="34">
        <v>60</v>
      </c>
      <c r="AO134" s="34">
        <v>33</v>
      </c>
      <c r="AP134" s="34">
        <v>5</v>
      </c>
      <c r="AQ134" s="29">
        <v>1</v>
      </c>
      <c r="AR134" s="36">
        <f t="shared" ref="AR134:AR137" si="134">COUNT(AQ134)</f>
      </c>
    </row>
    <row r="135">
      <c r="A135" s="24"/>
      <c r="B135" s="26" t="s">
        <v>69</v>
      </c>
      <c r="C135" s="25" t="s">
        <v>50</v>
      </c>
      <c r="D135" s="26" t="s">
        <v>51</v>
      </c>
      <c r="E135" s="26" t="s">
        <v>53</v>
      </c>
      <c r="F135" s="27">
        <f t="shared" si="453"/>
      </c>
      <c r="G135" s="37">
        <v>1532.1</v>
      </c>
      <c r="H135" s="28">
        <v>677.45</v>
      </c>
      <c r="I135" s="29">
        <v>5</v>
      </c>
      <c r="J135" s="29">
        <v>4</v>
      </c>
      <c r="K135" s="30">
        <v>2778</v>
      </c>
      <c r="L135" s="31">
        <f t="shared" si="380"/>
      </c>
      <c r="M135" s="32">
        <f t="shared" si="326"/>
      </c>
      <c r="N135" s="33">
        <f t="shared" si="236"/>
      </c>
      <c r="O135" s="33">
        <f t="shared" si="182"/>
      </c>
      <c r="P135" s="33">
        <f t="shared" si="79"/>
      </c>
      <c r="Q135" s="33">
        <f t="shared" si="43"/>
      </c>
      <c r="R135" s="33">
        <f t="shared" si="7"/>
      </c>
      <c r="S135" s="33">
        <f t="shared" si="501"/>
      </c>
      <c r="T135" s="33">
        <f t="shared" si="398"/>
      </c>
      <c r="U135" s="31">
        <f t="shared" si="344"/>
      </c>
      <c r="V135" s="31">
        <f t="shared" si="254"/>
      </c>
      <c r="W135" s="31">
        <f t="shared" si="272"/>
      </c>
      <c r="X135" s="31">
        <f t="shared" si="290"/>
      </c>
      <c r="Y135" s="31">
        <f t="shared" si="200"/>
      </c>
      <c r="Z135" s="31">
        <f t="shared" si="97"/>
      </c>
      <c r="AA135" s="32">
        <f t="shared" si="61"/>
      </c>
      <c r="AB135" s="32">
        <f t="shared" si="25"/>
      </c>
      <c r="AC135" s="32">
        <f t="shared" si="519"/>
      </c>
      <c r="AD135" s="31">
        <f t="shared" si="416"/>
      </c>
      <c r="AE135" s="32">
        <f t="shared" si="362"/>
      </c>
      <c r="AF135" s="31">
        <f t="shared" si="308"/>
      </c>
      <c r="AG135" s="31">
        <f t="shared" si="218"/>
      </c>
      <c r="AH135" s="29">
        <v>22821</v>
      </c>
      <c r="AI135" s="34">
        <v>480</v>
      </c>
      <c r="AJ135" s="34">
        <v>542</v>
      </c>
      <c r="AK135" s="34">
        <v>71</v>
      </c>
      <c r="AL135" s="34">
        <v>6</v>
      </c>
      <c r="AM135" s="34">
        <v>5</v>
      </c>
      <c r="AN135" s="34">
        <v>81</v>
      </c>
      <c r="AO135" s="34">
        <v>74</v>
      </c>
      <c r="AP135" s="34">
        <v>9</v>
      </c>
      <c r="AQ135" s="29">
        <v>0</v>
      </c>
      <c r="AR135" s="36">
        <f t="shared" si="134"/>
      </c>
    </row>
    <row r="136">
      <c r="A136" s="24"/>
      <c r="B136" s="26" t="s">
        <v>69</v>
      </c>
      <c r="C136" s="25" t="s">
        <v>50</v>
      </c>
      <c r="D136" s="26" t="s">
        <v>51</v>
      </c>
      <c r="E136" s="26" t="s">
        <v>54</v>
      </c>
      <c r="F136" s="27">
        <f t="shared" si="453"/>
      </c>
      <c r="G136" s="28">
        <v>2698.32</v>
      </c>
      <c r="H136" s="28">
        <v>816.07</v>
      </c>
      <c r="I136" s="29">
        <v>13</v>
      </c>
      <c r="J136" s="29">
        <v>12</v>
      </c>
      <c r="K136" s="30">
        <v>9149.6</v>
      </c>
      <c r="L136" s="31">
        <f t="shared" si="380"/>
      </c>
      <c r="M136" s="32">
        <f t="shared" si="326"/>
      </c>
      <c r="N136" s="33">
        <f t="shared" si="236"/>
      </c>
      <c r="O136" s="33">
        <f t="shared" si="182"/>
      </c>
      <c r="P136" s="33">
        <f t="shared" si="79"/>
      </c>
      <c r="Q136" s="33">
        <f t="shared" si="43"/>
      </c>
      <c r="R136" s="33">
        <f t="shared" si="7"/>
      </c>
      <c r="S136" s="33">
        <f t="shared" si="501"/>
      </c>
      <c r="T136" s="33">
        <f t="shared" si="398"/>
      </c>
      <c r="U136" s="31">
        <f t="shared" si="344"/>
      </c>
      <c r="V136" s="31">
        <f t="shared" si="254"/>
      </c>
      <c r="W136" s="31">
        <f t="shared" si="272"/>
      </c>
      <c r="X136" s="31">
        <f t="shared" si="290"/>
      </c>
      <c r="Y136" s="31">
        <f t="shared" si="200"/>
      </c>
      <c r="Z136" s="31">
        <f t="shared" si="97"/>
      </c>
      <c r="AA136" s="32">
        <f t="shared" si="61"/>
      </c>
      <c r="AB136" s="32">
        <f t="shared" si="25"/>
      </c>
      <c r="AC136" s="32">
        <f t="shared" si="519"/>
      </c>
      <c r="AD136" s="31">
        <f t="shared" si="416"/>
      </c>
      <c r="AE136" s="32">
        <f t="shared" si="362"/>
      </c>
      <c r="AF136" s="31">
        <f t="shared" si="308"/>
      </c>
      <c r="AG136" s="31">
        <f t="shared" si="218"/>
      </c>
      <c r="AH136" s="29">
        <v>52770</v>
      </c>
      <c r="AI136" s="34">
        <v>833</v>
      </c>
      <c r="AJ136" s="34">
        <v>939</v>
      </c>
      <c r="AK136" s="34">
        <v>52</v>
      </c>
      <c r="AL136" s="29">
        <v>11</v>
      </c>
      <c r="AM136" s="34">
        <v>10</v>
      </c>
      <c r="AN136" s="34">
        <v>133</v>
      </c>
      <c r="AO136" s="34">
        <v>140</v>
      </c>
      <c r="AP136" s="34">
        <v>15</v>
      </c>
      <c r="AQ136" s="29">
        <v>1</v>
      </c>
      <c r="AR136" s="36">
        <f t="shared" si="134"/>
      </c>
    </row>
    <row r="137">
      <c r="A137" s="24"/>
      <c r="B137" s="26" t="s">
        <v>69</v>
      </c>
      <c r="C137" s="25" t="s">
        <v>50</v>
      </c>
      <c r="D137" s="26" t="s">
        <v>51</v>
      </c>
      <c r="E137" s="26" t="s">
        <v>55</v>
      </c>
      <c r="F137" s="27">
        <f t="shared" si="453"/>
      </c>
      <c r="G137" s="28">
        <v>1840.97</v>
      </c>
      <c r="H137" s="28">
        <v>833.79</v>
      </c>
      <c r="I137" s="29">
        <v>9</v>
      </c>
      <c r="J137" s="29">
        <v>8</v>
      </c>
      <c r="K137" s="30">
        <v>5661.600000000002</v>
      </c>
      <c r="L137" s="31">
        <f t="shared" si="380"/>
      </c>
      <c r="M137" s="32">
        <f t="shared" si="326"/>
      </c>
      <c r="N137" s="33">
        <f t="shared" si="236"/>
      </c>
      <c r="O137" s="33">
        <f t="shared" si="182"/>
      </c>
      <c r="P137" s="33">
        <f t="shared" si="79"/>
      </c>
      <c r="Q137" s="33">
        <f t="shared" si="43"/>
      </c>
      <c r="R137" s="33">
        <f t="shared" si="7"/>
      </c>
      <c r="S137" s="33">
        <f t="shared" si="501"/>
      </c>
      <c r="T137" s="33">
        <f t="shared" si="398"/>
      </c>
      <c r="U137" s="31">
        <f t="shared" si="344"/>
      </c>
      <c r="V137" s="31">
        <f t="shared" si="254"/>
      </c>
      <c r="W137" s="31">
        <f t="shared" si="272"/>
      </c>
      <c r="X137" s="31">
        <f t="shared" si="290"/>
      </c>
      <c r="Y137" s="31">
        <f t="shared" si="200"/>
      </c>
      <c r="Z137" s="31">
        <f t="shared" si="97"/>
      </c>
      <c r="AA137" s="32">
        <f t="shared" si="61"/>
      </c>
      <c r="AB137" s="32">
        <f t="shared" si="25"/>
      </c>
      <c r="AC137" s="32">
        <f t="shared" si="519"/>
      </c>
      <c r="AD137" s="31">
        <f t="shared" si="416"/>
      </c>
      <c r="AE137" s="32">
        <f t="shared" si="362"/>
      </c>
      <c r="AF137" s="31">
        <f t="shared" si="308"/>
      </c>
      <c r="AG137" s="31">
        <f t="shared" si="218"/>
      </c>
      <c r="AH137" s="29">
        <v>45844</v>
      </c>
      <c r="AI137" s="34">
        <v>768</v>
      </c>
      <c r="AJ137" s="34">
        <v>871</v>
      </c>
      <c r="AK137" s="34">
        <v>48</v>
      </c>
      <c r="AL137" s="29">
        <v>7</v>
      </c>
      <c r="AM137" s="34">
        <v>6</v>
      </c>
      <c r="AN137" s="34">
        <v>99</v>
      </c>
      <c r="AO137" s="34">
        <v>75</v>
      </c>
      <c r="AP137" s="34">
        <v>11</v>
      </c>
      <c r="AQ137" s="29">
        <v>2</v>
      </c>
      <c r="AR137" s="36">
        <f t="shared" si="134"/>
      </c>
    </row>
    <row r="138">
      <c r="A138" s="24"/>
      <c r="B138" s="38" t="s">
        <v>56</v>
      </c>
      <c r="C138" s="38"/>
      <c r="D138" s="38"/>
      <c r="E138" s="38"/>
      <c r="F138" s="39">
        <f>SUM(F134:F137)</f>
      </c>
      <c r="G138" s="39">
        <f>SUM(G134:G137)</f>
      </c>
      <c r="H138" s="39">
        <f>SUM(H134:H137)</f>
      </c>
      <c r="I138" s="40">
        <f>SUM(I134:I137)</f>
      </c>
      <c r="J138" s="40">
        <f>SUM(J134:J137)</f>
      </c>
      <c r="K138" s="39">
        <f>SUM(K134:K137)</f>
      </c>
      <c r="L138" s="41">
        <f t="shared" si="380"/>
      </c>
      <c r="M138" s="42">
        <f t="shared" si="326"/>
      </c>
      <c r="N138" s="43">
        <f t="shared" si="236"/>
      </c>
      <c r="O138" s="43">
        <f t="shared" si="182"/>
      </c>
      <c r="P138" s="43">
        <f t="shared" si="79"/>
      </c>
      <c r="Q138" s="43">
        <f t="shared" si="43"/>
      </c>
      <c r="R138" s="43">
        <f t="shared" si="7"/>
      </c>
      <c r="S138" s="43">
        <f t="shared" si="501"/>
      </c>
      <c r="T138" s="43">
        <f t="shared" si="398"/>
      </c>
      <c r="U138" s="41">
        <f t="shared" si="344"/>
      </c>
      <c r="V138" s="41">
        <f t="shared" si="254"/>
      </c>
      <c r="W138" s="41">
        <f t="shared" si="272"/>
      </c>
      <c r="X138" s="41">
        <f t="shared" si="290"/>
      </c>
      <c r="Y138" s="41">
        <f t="shared" si="200"/>
      </c>
      <c r="Z138" s="41">
        <f t="shared" si="97"/>
      </c>
      <c r="AA138" s="42">
        <f t="shared" si="61"/>
      </c>
      <c r="AB138" s="42">
        <f t="shared" si="25"/>
      </c>
      <c r="AC138" s="42">
        <f t="shared" si="519"/>
      </c>
      <c r="AD138" s="41">
        <f t="shared" si="416"/>
      </c>
      <c r="AE138" s="42">
        <f t="shared" si="362"/>
      </c>
      <c r="AF138" s="41">
        <f t="shared" si="308"/>
      </c>
      <c r="AG138" s="41">
        <f t="shared" si="218"/>
      </c>
      <c r="AH138" s="40">
        <f>SUM(AH134:AH137)</f>
      </c>
      <c r="AI138" s="40">
        <f>SUM(AI134:AI137)</f>
      </c>
      <c r="AJ138" s="40">
        <f>SUM(AJ134:AJ137)</f>
      </c>
      <c r="AK138" s="40">
        <f>SUM(AK134:AK137)</f>
      </c>
      <c r="AL138" s="40">
        <f>SUM(AL134:AL137)</f>
      </c>
      <c r="AM138" s="40">
        <f>SUM(AM134:AM137)</f>
      </c>
      <c r="AN138" s="40">
        <f>SUM(AN134:AN137)</f>
      </c>
      <c r="AO138" s="40">
        <f>SUM(AO134:AO137)</f>
      </c>
      <c r="AP138" s="40">
        <f>SUM(AP134:AP137)</f>
      </c>
      <c r="AQ138" s="40">
        <f>SUM(AQ134:AQ137)</f>
      </c>
      <c r="AR138" s="44">
        <f>SUM(AR134:AR137)</f>
      </c>
    </row>
    <row r="139">
      <c r="A139" s="24"/>
      <c r="B139" s="26" t="s">
        <v>69</v>
      </c>
      <c r="C139" s="25" t="s">
        <v>50</v>
      </c>
      <c r="D139" s="26" t="s">
        <v>57</v>
      </c>
      <c r="E139" s="26" t="s">
        <v>58</v>
      </c>
      <c r="F139" s="27">
        <f t="shared" ref="F139:F141" si="454">H139+G139</f>
      </c>
      <c r="G139" s="28">
        <v>2118.22</v>
      </c>
      <c r="H139" s="28">
        <v>546.61</v>
      </c>
      <c r="I139" s="29">
        <v>7</v>
      </c>
      <c r="J139" s="29">
        <v>7</v>
      </c>
      <c r="K139" s="30">
        <v>5067.4000000000015</v>
      </c>
      <c r="L139" s="31">
        <f t="shared" si="380"/>
      </c>
      <c r="M139" s="32">
        <f t="shared" si="326"/>
      </c>
      <c r="N139" s="33">
        <f t="shared" si="236"/>
      </c>
      <c r="O139" s="33">
        <f t="shared" si="182"/>
      </c>
      <c r="P139" s="33">
        <f t="shared" si="79"/>
      </c>
      <c r="Q139" s="33">
        <f t="shared" si="43"/>
      </c>
      <c r="R139" s="33">
        <f t="shared" si="7"/>
      </c>
      <c r="S139" s="33">
        <f t="shared" si="501"/>
      </c>
      <c r="T139" s="33">
        <f t="shared" si="398"/>
      </c>
      <c r="U139" s="31">
        <f t="shared" si="344"/>
      </c>
      <c r="V139" s="31">
        <f t="shared" si="254"/>
      </c>
      <c r="W139" s="31">
        <f t="shared" si="272"/>
      </c>
      <c r="X139" s="31">
        <f t="shared" si="290"/>
      </c>
      <c r="Y139" s="31">
        <f t="shared" si="200"/>
      </c>
      <c r="Z139" s="31">
        <f t="shared" si="97"/>
      </c>
      <c r="AA139" s="32">
        <f t="shared" si="61"/>
      </c>
      <c r="AB139" s="32">
        <f t="shared" si="25"/>
      </c>
      <c r="AC139" s="32">
        <f t="shared" si="519"/>
      </c>
      <c r="AD139" s="31">
        <f t="shared" si="416"/>
      </c>
      <c r="AE139" s="32">
        <f t="shared" si="362"/>
      </c>
      <c r="AF139" s="31">
        <f t="shared" si="308"/>
      </c>
      <c r="AG139" s="31">
        <f t="shared" si="218"/>
      </c>
      <c r="AH139" s="34">
        <v>40217</v>
      </c>
      <c r="AI139" s="34">
        <v>589</v>
      </c>
      <c r="AJ139" s="34">
        <v>665</v>
      </c>
      <c r="AK139" s="34">
        <v>53</v>
      </c>
      <c r="AL139" s="29">
        <v>7</v>
      </c>
      <c r="AM139" s="29">
        <v>7</v>
      </c>
      <c r="AN139" s="34">
        <v>88</v>
      </c>
      <c r="AO139" s="34">
        <v>54</v>
      </c>
      <c r="AP139" s="34">
        <v>11</v>
      </c>
      <c r="AQ139" s="29">
        <v>0</v>
      </c>
      <c r="AR139" s="36">
        <f t="shared" ref="AR139:AR141" si="135">COUNT(AQ139)</f>
      </c>
    </row>
    <row r="140">
      <c r="A140" s="24"/>
      <c r="B140" s="26" t="s">
        <v>69</v>
      </c>
      <c r="C140" s="25" t="s">
        <v>50</v>
      </c>
      <c r="D140" s="26" t="s">
        <v>57</v>
      </c>
      <c r="E140" s="26" t="s">
        <v>59</v>
      </c>
      <c r="F140" s="27">
        <f t="shared" si="454"/>
      </c>
      <c r="G140" s="28">
        <v>2269.88</v>
      </c>
      <c r="H140" s="28">
        <v>609.7</v>
      </c>
      <c r="I140" s="29">
        <v>6</v>
      </c>
      <c r="J140" s="29">
        <v>6</v>
      </c>
      <c r="K140" s="30">
        <v>2625.199999999997</v>
      </c>
      <c r="L140" s="31">
        <f t="shared" si="380"/>
      </c>
      <c r="M140" s="32">
        <f t="shared" si="326"/>
      </c>
      <c r="N140" s="33">
        <f t="shared" si="236"/>
      </c>
      <c r="O140" s="33">
        <f t="shared" si="182"/>
      </c>
      <c r="P140" s="33">
        <f t="shared" si="79"/>
      </c>
      <c r="Q140" s="33">
        <f t="shared" si="43"/>
      </c>
      <c r="R140" s="33">
        <f t="shared" si="7"/>
      </c>
      <c r="S140" s="33">
        <f t="shared" si="501"/>
      </c>
      <c r="T140" s="33">
        <f t="shared" si="398"/>
      </c>
      <c r="U140" s="31">
        <f t="shared" si="344"/>
      </c>
      <c r="V140" s="31">
        <f t="shared" si="254"/>
      </c>
      <c r="W140" s="31">
        <f t="shared" si="272"/>
      </c>
      <c r="X140" s="31">
        <f t="shared" si="290"/>
      </c>
      <c r="Y140" s="31">
        <f t="shared" si="200"/>
      </c>
      <c r="Z140" s="31">
        <f t="shared" si="97"/>
      </c>
      <c r="AA140" s="32">
        <f t="shared" si="61"/>
      </c>
      <c r="AB140" s="32">
        <f t="shared" si="25"/>
      </c>
      <c r="AC140" s="32">
        <f t="shared" si="519"/>
      </c>
      <c r="AD140" s="31">
        <f t="shared" si="416"/>
      </c>
      <c r="AE140" s="32">
        <f t="shared" si="362"/>
      </c>
      <c r="AF140" s="31">
        <f t="shared" si="308"/>
      </c>
      <c r="AG140" s="31">
        <f t="shared" si="218"/>
      </c>
      <c r="AH140" s="34">
        <v>49118</v>
      </c>
      <c r="AI140" s="34">
        <v>708</v>
      </c>
      <c r="AJ140" s="34">
        <v>768</v>
      </c>
      <c r="AK140" s="34">
        <v>39</v>
      </c>
      <c r="AL140" s="29">
        <v>5</v>
      </c>
      <c r="AM140" s="29">
        <v>5</v>
      </c>
      <c r="AN140" s="34">
        <v>91</v>
      </c>
      <c r="AO140" s="34">
        <v>29</v>
      </c>
      <c r="AP140" s="34">
        <v>5</v>
      </c>
      <c r="AQ140" s="29">
        <v>1</v>
      </c>
      <c r="AR140" s="36">
        <f t="shared" si="135"/>
      </c>
    </row>
    <row r="141">
      <c r="A141" s="24"/>
      <c r="B141" s="26" t="s">
        <v>69</v>
      </c>
      <c r="C141" s="25" t="s">
        <v>50</v>
      </c>
      <c r="D141" s="26" t="s">
        <v>57</v>
      </c>
      <c r="E141" s="26" t="s">
        <v>60</v>
      </c>
      <c r="F141" s="27">
        <f t="shared" si="454"/>
      </c>
      <c r="G141" s="28">
        <v>2380.85</v>
      </c>
      <c r="H141" s="28">
        <v>707.54</v>
      </c>
      <c r="I141" s="29">
        <v>11</v>
      </c>
      <c r="J141" s="29">
        <v>8</v>
      </c>
      <c r="K141" s="30">
        <v>4120.800000000003</v>
      </c>
      <c r="L141" s="31">
        <f t="shared" si="380"/>
      </c>
      <c r="M141" s="32">
        <f t="shared" si="326"/>
      </c>
      <c r="N141" s="33">
        <f t="shared" si="236"/>
      </c>
      <c r="O141" s="33">
        <f t="shared" si="182"/>
      </c>
      <c r="P141" s="33">
        <f t="shared" si="79"/>
      </c>
      <c r="Q141" s="33">
        <f t="shared" si="43"/>
      </c>
      <c r="R141" s="33">
        <f t="shared" si="7"/>
      </c>
      <c r="S141" s="33">
        <f t="shared" si="501"/>
      </c>
      <c r="T141" s="33">
        <f t="shared" si="398"/>
      </c>
      <c r="U141" s="31">
        <f t="shared" si="344"/>
      </c>
      <c r="V141" s="31">
        <f t="shared" si="254"/>
      </c>
      <c r="W141" s="31">
        <f t="shared" si="272"/>
      </c>
      <c r="X141" s="31">
        <f t="shared" si="290"/>
      </c>
      <c r="Y141" s="31">
        <f t="shared" si="200"/>
      </c>
      <c r="Z141" s="31">
        <f t="shared" si="97"/>
      </c>
      <c r="AA141" s="32">
        <f t="shared" si="61"/>
      </c>
      <c r="AB141" s="32">
        <f t="shared" si="25"/>
      </c>
      <c r="AC141" s="32">
        <f t="shared" si="519"/>
      </c>
      <c r="AD141" s="31">
        <f t="shared" si="416"/>
      </c>
      <c r="AE141" s="32">
        <f t="shared" si="362"/>
      </c>
      <c r="AF141" s="31">
        <f t="shared" si="308"/>
      </c>
      <c r="AG141" s="31">
        <f t="shared" si="218"/>
      </c>
      <c r="AH141" s="34">
        <v>58112</v>
      </c>
      <c r="AI141" s="34">
        <v>953</v>
      </c>
      <c r="AJ141" s="34">
        <v>1028</v>
      </c>
      <c r="AK141" s="34">
        <v>53</v>
      </c>
      <c r="AL141" s="34">
        <v>13</v>
      </c>
      <c r="AM141" s="34">
        <v>9</v>
      </c>
      <c r="AN141" s="34">
        <v>112</v>
      </c>
      <c r="AO141" s="34">
        <v>66</v>
      </c>
      <c r="AP141" s="34">
        <v>7</v>
      </c>
      <c r="AQ141" s="29">
        <v>0</v>
      </c>
      <c r="AR141" s="36">
        <f t="shared" si="135"/>
      </c>
    </row>
    <row r="142">
      <c r="A142" s="24"/>
      <c r="B142" s="38" t="s">
        <v>56</v>
      </c>
      <c r="C142" s="38"/>
      <c r="D142" s="38"/>
      <c r="E142" s="38"/>
      <c r="F142" s="39">
        <f>SUM(F139:F141)</f>
      </c>
      <c r="G142" s="39">
        <f>SUM(G139:G141)</f>
      </c>
      <c r="H142" s="39">
        <f>SUM(H139:H141)</f>
      </c>
      <c r="I142" s="40">
        <f>SUM(I139:I141)</f>
      </c>
      <c r="J142" s="40">
        <f>SUM(J139:J141)</f>
      </c>
      <c r="K142" s="39">
        <f>SUM(K139:K141)</f>
      </c>
      <c r="L142" s="41">
        <f t="shared" si="380"/>
      </c>
      <c r="M142" s="42">
        <f t="shared" si="326"/>
      </c>
      <c r="N142" s="43">
        <f t="shared" si="236"/>
      </c>
      <c r="O142" s="43">
        <f t="shared" si="182"/>
      </c>
      <c r="P142" s="43">
        <f t="shared" si="79"/>
      </c>
      <c r="Q142" s="43">
        <f t="shared" si="43"/>
      </c>
      <c r="R142" s="43">
        <f t="shared" si="7"/>
      </c>
      <c r="S142" s="43">
        <f t="shared" si="501"/>
      </c>
      <c r="T142" s="43">
        <f t="shared" si="398"/>
      </c>
      <c r="U142" s="41">
        <f t="shared" si="344"/>
      </c>
      <c r="V142" s="41">
        <f t="shared" si="254"/>
      </c>
      <c r="W142" s="41">
        <f t="shared" si="272"/>
      </c>
      <c r="X142" s="41">
        <f t="shared" si="290"/>
      </c>
      <c r="Y142" s="41">
        <f t="shared" si="200"/>
      </c>
      <c r="Z142" s="41">
        <f t="shared" si="97"/>
      </c>
      <c r="AA142" s="42">
        <f t="shared" si="61"/>
      </c>
      <c r="AB142" s="42">
        <f t="shared" si="25"/>
      </c>
      <c r="AC142" s="42">
        <f t="shared" si="519"/>
      </c>
      <c r="AD142" s="41">
        <f t="shared" si="416"/>
      </c>
      <c r="AE142" s="42">
        <f t="shared" si="362"/>
      </c>
      <c r="AF142" s="41">
        <f t="shared" si="308"/>
      </c>
      <c r="AG142" s="41">
        <f t="shared" si="218"/>
      </c>
      <c r="AH142" s="40">
        <f>SUM(AH139:AH141)</f>
      </c>
      <c r="AI142" s="40">
        <f>SUM(AI139:AI141)</f>
      </c>
      <c r="AJ142" s="40">
        <f>SUM(AJ139:AJ141)</f>
      </c>
      <c r="AK142" s="40">
        <f>SUM(AK139:AK141)</f>
      </c>
      <c r="AL142" s="40">
        <f>SUM(AL139:AL141)</f>
      </c>
      <c r="AM142" s="40">
        <f>SUM(AM139:AM141)</f>
      </c>
      <c r="AN142" s="40">
        <f>SUM(AN139:AN141)</f>
      </c>
      <c r="AO142" s="40">
        <f>SUM(AO139:AO141)</f>
      </c>
      <c r="AP142" s="40">
        <f>SUM(AP139:AP141)</f>
      </c>
      <c r="AQ142" s="40">
        <f>SUM(AQ139:AQ141)</f>
      </c>
      <c r="AR142" s="44">
        <f>SUM(AR139:AR141)</f>
      </c>
    </row>
    <row r="143">
      <c r="A143" s="24"/>
      <c r="B143" s="26" t="s">
        <v>69</v>
      </c>
      <c r="C143" s="25" t="s">
        <v>50</v>
      </c>
      <c r="D143" s="26" t="s">
        <v>68</v>
      </c>
      <c r="E143" s="26" t="s">
        <v>61</v>
      </c>
      <c r="F143" s="27">
        <f t="shared" ref="F143:F144" si="455">H143+G143</f>
      </c>
      <c r="G143" s="28">
        <v>2263.15</v>
      </c>
      <c r="H143" s="28">
        <v>597.04</v>
      </c>
      <c r="I143" s="29">
        <v>2</v>
      </c>
      <c r="J143" s="29">
        <v>0</v>
      </c>
      <c r="K143" s="30">
        <v>0</v>
      </c>
      <c r="L143" s="31">
        <f t="shared" si="380"/>
      </c>
      <c r="M143" s="32">
        <f t="shared" si="326"/>
      </c>
      <c r="N143" s="33">
        <f t="shared" si="236"/>
      </c>
      <c r="O143" s="33">
        <f t="shared" si="182"/>
      </c>
      <c r="P143" s="33">
        <f t="shared" si="79"/>
      </c>
      <c r="Q143" s="33">
        <f t="shared" si="43"/>
      </c>
      <c r="R143" s="33">
        <f t="shared" si="7"/>
      </c>
      <c r="S143" s="33">
        <f t="shared" si="501"/>
      </c>
      <c r="T143" s="33">
        <f t="shared" si="398"/>
      </c>
      <c r="U143" s="31">
        <f t="shared" si="344"/>
      </c>
      <c r="V143" s="31">
        <f t="shared" si="254"/>
      </c>
      <c r="W143" s="31">
        <f t="shared" si="272"/>
      </c>
      <c r="X143" s="31">
        <f t="shared" si="290"/>
      </c>
      <c r="Y143" s="31">
        <f t="shared" si="200"/>
      </c>
      <c r="Z143" s="31">
        <f t="shared" si="97"/>
      </c>
      <c r="AA143" s="32">
        <f t="shared" si="61"/>
      </c>
      <c r="AB143" s="32">
        <f t="shared" si="25"/>
      </c>
      <c r="AC143" s="32">
        <f t="shared" si="519"/>
      </c>
      <c r="AD143" s="31">
        <f t="shared" si="416"/>
      </c>
      <c r="AE143" s="32">
        <f t="shared" si="362"/>
      </c>
      <c r="AF143" s="31">
        <f t="shared" si="308"/>
      </c>
      <c r="AG143" s="31">
        <f t="shared" si="218"/>
      </c>
      <c r="AH143" s="34">
        <v>47929</v>
      </c>
      <c r="AI143" s="34">
        <v>724</v>
      </c>
      <c r="AJ143" s="34">
        <v>809</v>
      </c>
      <c r="AK143" s="34">
        <v>37</v>
      </c>
      <c r="AL143" s="34">
        <v>2</v>
      </c>
      <c r="AM143" s="34">
        <v>0</v>
      </c>
      <c r="AN143" s="34">
        <v>70</v>
      </c>
      <c r="AO143" s="34">
        <v>32</v>
      </c>
      <c r="AP143" s="34">
        <v>10</v>
      </c>
      <c r="AQ143" s="29">
        <v>0</v>
      </c>
      <c r="AR143" s="36">
        <f t="shared" ref="AR143:AR144" si="136">COUNT(AQ143)</f>
      </c>
    </row>
    <row r="144">
      <c r="A144" s="24"/>
      <c r="B144" s="26" t="s">
        <v>69</v>
      </c>
      <c r="C144" s="25" t="s">
        <v>50</v>
      </c>
      <c r="D144" s="26" t="s">
        <v>68</v>
      </c>
      <c r="E144" s="26" t="s">
        <v>63</v>
      </c>
      <c r="F144" s="27">
        <f t="shared" si="455"/>
      </c>
      <c r="G144" s="28">
        <v>1367.25</v>
      </c>
      <c r="H144" s="28">
        <v>523.72</v>
      </c>
      <c r="I144" s="29">
        <v>6</v>
      </c>
      <c r="J144" s="34">
        <v>6</v>
      </c>
      <c r="K144" s="30">
        <v>4011</v>
      </c>
      <c r="L144" s="31">
        <f t="shared" si="380"/>
      </c>
      <c r="M144" s="32">
        <f t="shared" si="326"/>
      </c>
      <c r="N144" s="33">
        <f t="shared" si="236"/>
      </c>
      <c r="O144" s="33">
        <f t="shared" si="182"/>
      </c>
      <c r="P144" s="33">
        <f t="shared" si="79"/>
      </c>
      <c r="Q144" s="33">
        <f t="shared" si="43"/>
      </c>
      <c r="R144" s="33">
        <f t="shared" si="7"/>
      </c>
      <c r="S144" s="33">
        <f t="shared" si="501"/>
      </c>
      <c r="T144" s="33">
        <f t="shared" si="398"/>
      </c>
      <c r="U144" s="31">
        <f t="shared" si="344"/>
      </c>
      <c r="V144" s="31">
        <f t="shared" si="254"/>
      </c>
      <c r="W144" s="31">
        <f t="shared" si="272"/>
      </c>
      <c r="X144" s="31">
        <f t="shared" si="290"/>
      </c>
      <c r="Y144" s="31">
        <f t="shared" si="200"/>
      </c>
      <c r="Z144" s="31">
        <f t="shared" si="97"/>
      </c>
      <c r="AA144" s="32">
        <f t="shared" si="61"/>
      </c>
      <c r="AB144" s="32">
        <f t="shared" si="25"/>
      </c>
      <c r="AC144" s="32">
        <f t="shared" si="519"/>
      </c>
      <c r="AD144" s="31">
        <f t="shared" si="416"/>
      </c>
      <c r="AE144" s="32">
        <f t="shared" si="362"/>
      </c>
      <c r="AF144" s="31">
        <f t="shared" si="308"/>
      </c>
      <c r="AG144" s="31">
        <f t="shared" si="218"/>
      </c>
      <c r="AH144" s="34">
        <v>27925</v>
      </c>
      <c r="AI144" s="34">
        <v>506</v>
      </c>
      <c r="AJ144" s="34">
        <v>586</v>
      </c>
      <c r="AK144" s="34">
        <v>43</v>
      </c>
      <c r="AL144" s="34">
        <v>3</v>
      </c>
      <c r="AM144" s="34">
        <v>3</v>
      </c>
      <c r="AN144" s="34">
        <v>82</v>
      </c>
      <c r="AO144" s="34">
        <v>53</v>
      </c>
      <c r="AP144" s="34">
        <v>7</v>
      </c>
      <c r="AQ144" s="29">
        <v>1</v>
      </c>
      <c r="AR144" s="36">
        <f t="shared" si="136"/>
      </c>
    </row>
    <row r="145">
      <c r="A145" s="24"/>
      <c r="B145" s="38" t="s">
        <v>56</v>
      </c>
      <c r="C145" s="38"/>
      <c r="D145" s="38"/>
      <c r="E145" s="38"/>
      <c r="F145" s="39">
        <f>SUM(F143:F144)</f>
      </c>
      <c r="G145" s="39">
        <f>SUM(G143:G144)</f>
      </c>
      <c r="H145" s="39">
        <f>SUM(H143:H144)</f>
      </c>
      <c r="I145" s="40">
        <f>SUM(I143:I144)</f>
      </c>
      <c r="J145" s="40">
        <f>SUM(J143:J144)</f>
      </c>
      <c r="K145" s="39">
        <f>SUM(K143:K144)</f>
      </c>
      <c r="L145" s="41">
        <f t="shared" si="380"/>
      </c>
      <c r="M145" s="42">
        <f t="shared" si="326"/>
      </c>
      <c r="N145" s="43">
        <f t="shared" si="236"/>
      </c>
      <c r="O145" s="43">
        <f t="shared" si="182"/>
      </c>
      <c r="P145" s="43">
        <f t="shared" si="79"/>
      </c>
      <c r="Q145" s="43">
        <f t="shared" si="43"/>
      </c>
      <c r="R145" s="43">
        <f t="shared" si="7"/>
      </c>
      <c r="S145" s="43">
        <f t="shared" si="501"/>
      </c>
      <c r="T145" s="43">
        <f t="shared" si="398"/>
      </c>
      <c r="U145" s="41">
        <f t="shared" si="344"/>
      </c>
      <c r="V145" s="41">
        <f t="shared" si="254"/>
      </c>
      <c r="W145" s="41">
        <f t="shared" si="272"/>
      </c>
      <c r="X145" s="41">
        <f t="shared" si="290"/>
      </c>
      <c r="Y145" s="41">
        <f t="shared" si="200"/>
      </c>
      <c r="Z145" s="41">
        <f t="shared" si="97"/>
      </c>
      <c r="AA145" s="42">
        <f t="shared" si="61"/>
      </c>
      <c r="AB145" s="42">
        <f t="shared" si="25"/>
      </c>
      <c r="AC145" s="42">
        <f t="shared" si="519"/>
      </c>
      <c r="AD145" s="41">
        <f t="shared" si="416"/>
      </c>
      <c r="AE145" s="42">
        <f t="shared" si="362"/>
      </c>
      <c r="AF145" s="41">
        <f t="shared" si="308"/>
      </c>
      <c r="AG145" s="41">
        <f t="shared" si="218"/>
      </c>
      <c r="AH145" s="40">
        <f>SUM(AH143:AH144)</f>
      </c>
      <c r="AI145" s="40">
        <f>SUM(AI143:AI144)</f>
      </c>
      <c r="AJ145" s="40">
        <f>SUM(AJ143:AJ144)</f>
      </c>
      <c r="AK145" s="40">
        <f>SUM(AK143:AK144)</f>
      </c>
      <c r="AL145" s="40">
        <f>SUM(AL143:AL144)</f>
      </c>
      <c r="AM145" s="40">
        <f>SUM(AM143:AM144)</f>
      </c>
      <c r="AN145" s="40">
        <f>SUM(AN143:AN144)</f>
      </c>
      <c r="AO145" s="40">
        <f>SUM(AO143:AO144)</f>
      </c>
      <c r="AP145" s="40">
        <f>SUM(AP143:AP144)</f>
      </c>
      <c r="AQ145" s="40">
        <f>SUM(AQ143:AQ144)</f>
      </c>
      <c r="AR145" s="44">
        <f>SUM(AR143:AR144)</f>
      </c>
    </row>
    <row r="146">
      <c r="A146" s="24"/>
      <c r="B146" s="26" t="s">
        <v>69</v>
      </c>
      <c r="C146" s="25" t="s">
        <v>50</v>
      </c>
      <c r="D146" s="26" t="s">
        <v>71</v>
      </c>
      <c r="E146" s="25" t="s">
        <v>64</v>
      </c>
      <c r="F146" s="27">
        <f t="shared" ref="F146:F148" si="456">H146+G146</f>
      </c>
      <c r="G146" s="28">
        <v>1431.62</v>
      </c>
      <c r="H146" s="28">
        <v>770.05</v>
      </c>
      <c r="I146" s="29">
        <v>2</v>
      </c>
      <c r="J146" s="29">
        <v>2</v>
      </c>
      <c r="K146" s="30">
        <v>872.4000000000015</v>
      </c>
      <c r="L146" s="31">
        <f t="shared" si="380"/>
      </c>
      <c r="M146" s="32">
        <f t="shared" si="326"/>
      </c>
      <c r="N146" s="33">
        <f t="shared" si="236"/>
      </c>
      <c r="O146" s="33">
        <f t="shared" si="182"/>
      </c>
      <c r="P146" s="33">
        <f t="shared" si="79"/>
      </c>
      <c r="Q146" s="33">
        <f t="shared" si="43"/>
      </c>
      <c r="R146" s="33">
        <f t="shared" si="7"/>
      </c>
      <c r="S146" s="33">
        <f t="shared" si="501"/>
      </c>
      <c r="T146" s="33">
        <f t="shared" si="398"/>
      </c>
      <c r="U146" s="31">
        <f t="shared" si="344"/>
      </c>
      <c r="V146" s="31">
        <f t="shared" si="254"/>
      </c>
      <c r="W146" s="31">
        <f t="shared" si="272"/>
      </c>
      <c r="X146" s="31">
        <f t="shared" si="290"/>
      </c>
      <c r="Y146" s="31">
        <f t="shared" si="200"/>
      </c>
      <c r="Z146" s="31">
        <f t="shared" si="97"/>
      </c>
      <c r="AA146" s="32">
        <f t="shared" si="61"/>
      </c>
      <c r="AB146" s="32">
        <f t="shared" si="25"/>
      </c>
      <c r="AC146" s="32">
        <f t="shared" si="519"/>
      </c>
      <c r="AD146" s="31">
        <f t="shared" si="416"/>
      </c>
      <c r="AE146" s="32">
        <f t="shared" si="362"/>
      </c>
      <c r="AF146" s="31">
        <f t="shared" si="308"/>
      </c>
      <c r="AG146" s="31">
        <f t="shared" si="218"/>
      </c>
      <c r="AH146" s="34">
        <v>29293</v>
      </c>
      <c r="AI146" s="34">
        <v>584</v>
      </c>
      <c r="AJ146" s="34">
        <v>676</v>
      </c>
      <c r="AK146" s="34">
        <v>69</v>
      </c>
      <c r="AL146" s="29">
        <v>3</v>
      </c>
      <c r="AM146" s="29">
        <v>3</v>
      </c>
      <c r="AN146" s="34">
        <v>91</v>
      </c>
      <c r="AO146" s="34">
        <v>58</v>
      </c>
      <c r="AP146" s="34">
        <v>7</v>
      </c>
      <c r="AQ146" s="29">
        <v>0</v>
      </c>
      <c r="AR146" s="36">
        <f t="shared" ref="AR146:AR148" si="137">COUNT(AQ146)</f>
      </c>
    </row>
    <row r="147">
      <c r="A147" s="24"/>
      <c r="B147" s="26" t="s">
        <v>69</v>
      </c>
      <c r="C147" s="25" t="s">
        <v>50</v>
      </c>
      <c r="D147" s="26" t="s">
        <v>71</v>
      </c>
      <c r="E147" s="25" t="s">
        <v>65</v>
      </c>
      <c r="F147" s="27">
        <f t="shared" si="456"/>
      </c>
      <c r="G147" s="28">
        <v>1248.02</v>
      </c>
      <c r="H147" s="28">
        <v>1001.25</v>
      </c>
      <c r="I147" s="29">
        <v>11</v>
      </c>
      <c r="J147" s="29">
        <v>10</v>
      </c>
      <c r="K147" s="30">
        <v>7844.199999999997</v>
      </c>
      <c r="L147" s="31">
        <f t="shared" si="380"/>
      </c>
      <c r="M147" s="32">
        <f t="shared" si="326"/>
      </c>
      <c r="N147" s="33">
        <f t="shared" si="236"/>
      </c>
      <c r="O147" s="33">
        <f t="shared" si="182"/>
      </c>
      <c r="P147" s="33">
        <f t="shared" si="79"/>
      </c>
      <c r="Q147" s="33">
        <f t="shared" si="43"/>
      </c>
      <c r="R147" s="33">
        <f t="shared" si="7"/>
      </c>
      <c r="S147" s="33">
        <f t="shared" si="501"/>
      </c>
      <c r="T147" s="33">
        <f t="shared" si="398"/>
      </c>
      <c r="U147" s="31">
        <f t="shared" si="344"/>
      </c>
      <c r="V147" s="31">
        <f t="shared" si="254"/>
      </c>
      <c r="W147" s="31">
        <f t="shared" si="272"/>
      </c>
      <c r="X147" s="31">
        <f t="shared" si="290"/>
      </c>
      <c r="Y147" s="31">
        <f t="shared" si="200"/>
      </c>
      <c r="Z147" s="31">
        <f t="shared" si="97"/>
      </c>
      <c r="AA147" s="32">
        <f t="shared" si="61"/>
      </c>
      <c r="AB147" s="32">
        <f t="shared" si="25"/>
      </c>
      <c r="AC147" s="32">
        <f t="shared" si="519"/>
      </c>
      <c r="AD147" s="31">
        <f t="shared" si="416"/>
      </c>
      <c r="AE147" s="32">
        <f t="shared" si="362"/>
      </c>
      <c r="AF147" s="31">
        <f t="shared" si="308"/>
      </c>
      <c r="AG147" s="31">
        <f t="shared" si="218"/>
      </c>
      <c r="AH147" s="34">
        <v>29358</v>
      </c>
      <c r="AI147" s="34">
        <v>712</v>
      </c>
      <c r="AJ147" s="34">
        <v>782</v>
      </c>
      <c r="AK147" s="34">
        <v>82</v>
      </c>
      <c r="AL147" s="34">
        <v>11</v>
      </c>
      <c r="AM147" s="34">
        <v>10</v>
      </c>
      <c r="AN147" s="34">
        <v>95</v>
      </c>
      <c r="AO147" s="34">
        <v>101</v>
      </c>
      <c r="AP147" s="34">
        <v>16</v>
      </c>
      <c r="AQ147" s="29">
        <v>0</v>
      </c>
      <c r="AR147" s="36">
        <f t="shared" si="137"/>
      </c>
    </row>
    <row r="148">
      <c r="A148" s="24"/>
      <c r="B148" s="26" t="s">
        <v>69</v>
      </c>
      <c r="C148" s="25" t="s">
        <v>50</v>
      </c>
      <c r="D148" s="26" t="s">
        <v>71</v>
      </c>
      <c r="E148" s="26" t="s">
        <v>66</v>
      </c>
      <c r="F148" s="27">
        <f t="shared" si="456"/>
      </c>
      <c r="G148" s="52">
        <v>1415.38</v>
      </c>
      <c r="H148" s="52">
        <v>945.47</v>
      </c>
      <c r="I148" s="29">
        <v>7</v>
      </c>
      <c r="J148" s="29">
        <v>6</v>
      </c>
      <c r="K148" s="30">
        <v>4145.200000000004</v>
      </c>
      <c r="L148" s="31">
        <f t="shared" si="380"/>
      </c>
      <c r="M148" s="32">
        <f t="shared" si="326"/>
      </c>
      <c r="N148" s="33">
        <f t="shared" si="236"/>
      </c>
      <c r="O148" s="33">
        <f t="shared" si="182"/>
      </c>
      <c r="P148" s="33">
        <f t="shared" si="79"/>
      </c>
      <c r="Q148" s="33">
        <f t="shared" si="43"/>
      </c>
      <c r="R148" s="33">
        <f t="shared" si="7"/>
      </c>
      <c r="S148" s="33">
        <f t="shared" si="501"/>
      </c>
      <c r="T148" s="33">
        <f t="shared" si="398"/>
      </c>
      <c r="U148" s="31">
        <f t="shared" si="344"/>
      </c>
      <c r="V148" s="31">
        <f t="shared" si="254"/>
      </c>
      <c r="W148" s="31">
        <f t="shared" si="272"/>
      </c>
      <c r="X148" s="31">
        <f t="shared" si="290"/>
      </c>
      <c r="Y148" s="31">
        <f t="shared" si="200"/>
      </c>
      <c r="Z148" s="31">
        <f t="shared" si="97"/>
      </c>
      <c r="AA148" s="32">
        <f t="shared" si="61"/>
      </c>
      <c r="AB148" s="32">
        <f t="shared" si="25"/>
      </c>
      <c r="AC148" s="32">
        <f t="shared" si="519"/>
      </c>
      <c r="AD148" s="31">
        <f t="shared" si="416"/>
      </c>
      <c r="AE148" s="32">
        <f t="shared" si="362"/>
      </c>
      <c r="AF148" s="31">
        <f t="shared" si="308"/>
      </c>
      <c r="AG148" s="31">
        <f t="shared" si="218"/>
      </c>
      <c r="AH148" s="34">
        <v>31295</v>
      </c>
      <c r="AI148" s="34">
        <v>793</v>
      </c>
      <c r="AJ148" s="34">
        <v>868</v>
      </c>
      <c r="AK148" s="34">
        <v>55</v>
      </c>
      <c r="AL148" s="34">
        <v>5</v>
      </c>
      <c r="AM148" s="34">
        <v>4</v>
      </c>
      <c r="AN148" s="34">
        <v>91</v>
      </c>
      <c r="AO148" s="34">
        <v>66</v>
      </c>
      <c r="AP148" s="34">
        <v>16</v>
      </c>
      <c r="AQ148" s="29">
        <v>1</v>
      </c>
      <c r="AR148" s="36">
        <f t="shared" si="137"/>
      </c>
    </row>
    <row r="149">
      <c r="A149" s="24"/>
      <c r="B149" s="38" t="s">
        <v>56</v>
      </c>
      <c r="C149" s="38"/>
      <c r="D149" s="38"/>
      <c r="E149" s="38"/>
      <c r="F149" s="39">
        <f>SUM(F146:F148)</f>
      </c>
      <c r="G149" s="39">
        <f>SUM(G146:G148)</f>
      </c>
      <c r="H149" s="39">
        <f>SUM(H146:H148)</f>
      </c>
      <c r="I149" s="40">
        <f>SUM(I146:I148)</f>
      </c>
      <c r="J149" s="40">
        <f>SUM(J146:J148)</f>
      </c>
      <c r="K149" s="39">
        <f>SUM(K146:K148)</f>
      </c>
      <c r="L149" s="41">
        <f t="shared" si="380"/>
      </c>
      <c r="M149" s="42">
        <f t="shared" si="326"/>
      </c>
      <c r="N149" s="43">
        <f t="shared" si="236"/>
      </c>
      <c r="O149" s="43">
        <f t="shared" si="182"/>
      </c>
      <c r="P149" s="43">
        <f t="shared" si="79"/>
      </c>
      <c r="Q149" s="43">
        <f t="shared" si="43"/>
      </c>
      <c r="R149" s="43">
        <f t="shared" si="7"/>
      </c>
      <c r="S149" s="43">
        <f t="shared" si="501"/>
      </c>
      <c r="T149" s="43">
        <f t="shared" si="398"/>
      </c>
      <c r="U149" s="41">
        <f t="shared" si="344"/>
      </c>
      <c r="V149" s="41">
        <f t="shared" si="254"/>
      </c>
      <c r="W149" s="41">
        <f t="shared" si="272"/>
      </c>
      <c r="X149" s="41">
        <f t="shared" si="290"/>
      </c>
      <c r="Y149" s="41">
        <f t="shared" si="200"/>
      </c>
      <c r="Z149" s="41">
        <f t="shared" si="97"/>
      </c>
      <c r="AA149" s="42">
        <f t="shared" si="61"/>
      </c>
      <c r="AB149" s="42">
        <f t="shared" si="25"/>
      </c>
      <c r="AC149" s="42">
        <f t="shared" si="519"/>
      </c>
      <c r="AD149" s="41">
        <f t="shared" si="416"/>
      </c>
      <c r="AE149" s="42">
        <f t="shared" si="362"/>
      </c>
      <c r="AF149" s="41">
        <f t="shared" si="308"/>
      </c>
      <c r="AG149" s="41">
        <f t="shared" si="218"/>
      </c>
      <c r="AH149" s="40">
        <f>SUM(AH146:AH148)</f>
      </c>
      <c r="AI149" s="40">
        <f>SUM(AI146:AI148)</f>
      </c>
      <c r="AJ149" s="40">
        <f>SUM(AJ146:AJ148)</f>
      </c>
      <c r="AK149" s="40">
        <f>SUM(AK146:AK148)</f>
      </c>
      <c r="AL149" s="40">
        <f>SUM(AL146:AL148)</f>
      </c>
      <c r="AM149" s="40">
        <f>SUM(AM146:AM148)</f>
      </c>
      <c r="AN149" s="40">
        <f>SUM(AN146:AN148)</f>
      </c>
      <c r="AO149" s="40">
        <f>SUM(AO146:AO148)</f>
      </c>
      <c r="AP149" s="40">
        <f>SUM(AP146:AP148)</f>
      </c>
      <c r="AQ149" s="40">
        <f>SUM(AQ146:AQ148)</f>
      </c>
      <c r="AR149" s="44">
        <f>SUM(AR146:AR148)</f>
      </c>
    </row>
    <row r="150">
      <c r="A150" s="53"/>
      <c r="B150" s="54" t="s">
        <v>67</v>
      </c>
      <c r="C150" s="54"/>
      <c r="D150" s="54"/>
      <c r="E150" s="54"/>
      <c r="F150" s="55">
        <f>F142+F138+F149+F145</f>
      </c>
      <c r="G150" s="55">
        <f>G142+G138+G149+G145</f>
      </c>
      <c r="H150" s="55">
        <f>H142+H138+H149+H145</f>
      </c>
      <c r="I150" s="55">
        <f>I142+I138+I149+I145</f>
      </c>
      <c r="J150" s="55">
        <f>J142+J138+J149+J145</f>
      </c>
      <c r="K150" s="55">
        <f>K142+K138+K149+K145</f>
      </c>
      <c r="L150" s="56">
        <f t="shared" si="380"/>
      </c>
      <c r="M150" s="57">
        <f t="shared" si="326"/>
      </c>
      <c r="N150" s="58">
        <f t="shared" si="236"/>
      </c>
      <c r="O150" s="58">
        <f t="shared" si="182"/>
      </c>
      <c r="P150" s="58">
        <f t="shared" si="79"/>
      </c>
      <c r="Q150" s="58">
        <f t="shared" si="43"/>
      </c>
      <c r="R150" s="58">
        <f t="shared" si="7"/>
      </c>
      <c r="S150" s="58">
        <f t="shared" si="501"/>
      </c>
      <c r="T150" s="58">
        <f t="shared" si="398"/>
      </c>
      <c r="U150" s="56">
        <f t="shared" si="344"/>
      </c>
      <c r="V150" s="56">
        <f t="shared" si="254"/>
      </c>
      <c r="W150" s="56">
        <f t="shared" si="272"/>
      </c>
      <c r="X150" s="56">
        <f t="shared" si="290"/>
      </c>
      <c r="Y150" s="56">
        <f t="shared" si="200"/>
      </c>
      <c r="Z150" s="56">
        <f t="shared" si="97"/>
      </c>
      <c r="AA150" s="57">
        <f t="shared" si="61"/>
      </c>
      <c r="AB150" s="57">
        <f t="shared" si="25"/>
      </c>
      <c r="AC150" s="57">
        <f t="shared" si="519"/>
      </c>
      <c r="AD150" s="56">
        <f t="shared" si="416"/>
      </c>
      <c r="AE150" s="57">
        <f t="shared" si="362"/>
      </c>
      <c r="AF150" s="56">
        <f t="shared" si="308"/>
      </c>
      <c r="AG150" s="56">
        <f t="shared" si="218"/>
      </c>
      <c r="AH150" s="44">
        <f>AH142+AH138+AH149+AH145</f>
      </c>
      <c r="AI150" s="44">
        <f>AI142+AI138+AI149+AI145</f>
      </c>
      <c r="AJ150" s="44">
        <f>AJ142+AJ138+AJ149+AJ145</f>
      </c>
      <c r="AK150" s="44">
        <f>AK142+AK138+AK149+AK145</f>
      </c>
      <c r="AL150" s="44">
        <f>AL142+AL138+AL149+AL145</f>
      </c>
      <c r="AM150" s="44">
        <f>AM142+AM138+AM149+AM145</f>
      </c>
      <c r="AN150" s="44">
        <f>AN142+AN138+AN149+AN145</f>
      </c>
      <c r="AO150" s="44">
        <f>AO142+AO138+AO149+AO145</f>
      </c>
      <c r="AP150" s="44">
        <f>AP142+AP138+AP149+AP145</f>
      </c>
      <c r="AQ150" s="44">
        <f>AQ142+AQ138+AQ149+AQ145</f>
      </c>
      <c r="AR150" s="44">
        <f>AR142+AR138+AR149+AR145</f>
      </c>
    </row>
    <row r="151">
      <c r="A151" s="59"/>
      <c r="B151" s="59"/>
      <c r="C151" s="59"/>
      <c r="D151" s="59"/>
      <c r="E151" s="59"/>
      <c r="F151" s="60" t="s">
        <v>1</v>
      </c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1" t="s">
        <v>2</v>
      </c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2" t="s">
        <v>3</v>
      </c>
      <c r="AD151" s="62"/>
      <c r="AE151" s="62"/>
      <c r="AF151" s="62"/>
      <c r="AG151" s="62"/>
      <c r="AH151" s="5" t="s">
        <v>4</v>
      </c>
      <c r="AI151" s="5"/>
      <c r="AJ151" s="5"/>
      <c r="AK151" s="5"/>
      <c r="AL151" s="5"/>
      <c r="AM151" s="5"/>
      <c r="AN151" s="5"/>
      <c r="AO151" s="5"/>
      <c r="AP151" s="5"/>
      <c r="AQ151" s="5"/>
      <c r="AR151" s="5"/>
    </row>
    <row r="152">
      <c r="A152" s="63" t="s">
        <v>5</v>
      </c>
      <c r="B152" s="59" t="s">
        <v>6</v>
      </c>
      <c r="C152" s="59" t="s">
        <v>7</v>
      </c>
      <c r="D152" s="59" t="s">
        <v>8</v>
      </c>
      <c r="E152" s="59" t="s">
        <v>9</v>
      </c>
      <c r="F152" s="64" t="s">
        <v>10</v>
      </c>
      <c r="G152" s="65" t="s">
        <v>11</v>
      </c>
      <c r="H152" s="66" t="s">
        <v>12</v>
      </c>
      <c r="I152" s="67" t="s">
        <v>13</v>
      </c>
      <c r="J152" s="67" t="s">
        <v>14</v>
      </c>
      <c r="K152" s="66" t="s">
        <v>15</v>
      </c>
      <c r="L152" s="68" t="s">
        <v>16</v>
      </c>
      <c r="M152" s="69" t="s">
        <v>17</v>
      </c>
      <c r="N152" s="70" t="s">
        <v>18</v>
      </c>
      <c r="O152" s="70" t="s">
        <v>19</v>
      </c>
      <c r="P152" s="70" t="s">
        <v>20</v>
      </c>
      <c r="Q152" s="61" t="s">
        <v>21</v>
      </c>
      <c r="R152" s="61" t="s">
        <v>22</v>
      </c>
      <c r="S152" s="61" t="s">
        <v>23</v>
      </c>
      <c r="T152" s="61" t="s">
        <v>24</v>
      </c>
      <c r="U152" s="71" t="s">
        <v>25</v>
      </c>
      <c r="V152" s="71" t="s">
        <v>26</v>
      </c>
      <c r="W152" s="71" t="s">
        <v>27</v>
      </c>
      <c r="X152" s="71" t="s">
        <v>28</v>
      </c>
      <c r="Y152" s="71" t="s">
        <v>29</v>
      </c>
      <c r="Z152" s="71" t="s">
        <v>30</v>
      </c>
      <c r="AA152" s="72" t="s">
        <v>31</v>
      </c>
      <c r="AB152" s="72" t="s">
        <v>32</v>
      </c>
      <c r="AC152" s="62" t="s">
        <v>33</v>
      </c>
      <c r="AD152" s="73" t="s">
        <v>34</v>
      </c>
      <c r="AE152" s="62" t="s">
        <v>35</v>
      </c>
      <c r="AF152" s="73" t="s">
        <v>36</v>
      </c>
      <c r="AG152" s="73" t="s">
        <v>37</v>
      </c>
      <c r="AH152" s="22" t="s">
        <v>38</v>
      </c>
      <c r="AI152" s="22" t="s">
        <v>39</v>
      </c>
      <c r="AJ152" s="22" t="s">
        <v>40</v>
      </c>
      <c r="AK152" s="22" t="s">
        <v>41</v>
      </c>
      <c r="AL152" s="22" t="s">
        <v>42</v>
      </c>
      <c r="AM152" s="22" t="s">
        <v>43</v>
      </c>
      <c r="AN152" s="22" t="s">
        <v>44</v>
      </c>
      <c r="AO152" s="22" t="s">
        <v>45</v>
      </c>
      <c r="AP152" s="22" t="s">
        <v>46</v>
      </c>
      <c r="AQ152" s="22" t="s">
        <v>47</v>
      </c>
      <c r="AR152" s="23" t="s">
        <v>48</v>
      </c>
    </row>
    <row r="153">
      <c r="A153" s="74">
        <v>46304</v>
      </c>
      <c r="B153" s="75" t="s">
        <v>69</v>
      </c>
      <c r="C153" s="76" t="s">
        <v>50</v>
      </c>
      <c r="D153" s="75" t="s">
        <v>57</v>
      </c>
      <c r="E153" s="75" t="s">
        <v>52</v>
      </c>
      <c r="F153" s="77">
        <f t="shared" ref="F153:F156" si="457">H153+G153</f>
      </c>
      <c r="G153" s="78">
        <v>1537.45</v>
      </c>
      <c r="H153" s="78">
        <v>558.08</v>
      </c>
      <c r="I153" s="75">
        <v>7</v>
      </c>
      <c r="J153" s="75">
        <v>6</v>
      </c>
      <c r="K153" s="78">
        <v>4114.799999999999</v>
      </c>
      <c r="L153" s="79">
        <f t="shared" ref="L153:L169" si="381">AQ153/J153</f>
      </c>
      <c r="M153" s="80">
        <f t="shared" ref="M153:M169" si="327">K153/J153</f>
      </c>
      <c r="N153" s="81">
        <f t="shared" ref="N153:N169" si="237">F153/J153</f>
      </c>
      <c r="O153" s="81">
        <f t="shared" ref="O153:O169" si="183">K153/F153</f>
      </c>
      <c r="P153" s="81">
        <f t="shared" ref="P153:P169" si="80">K153/((300*AR153)+F153)</f>
      </c>
      <c r="Q153" s="81">
        <f t="shared" ref="Q153:Q169" si="44">F153/AJ153</f>
      </c>
      <c r="R153" s="81">
        <f t="shared" ref="R153:R169" si="8">F153/AK153</f>
      </c>
      <c r="S153" s="81">
        <f t="shared" ref="S153:S169" si="502">F153/AL153</f>
      </c>
      <c r="T153" s="81">
        <f t="shared" ref="T153:T169" si="399">F153/AM153</f>
      </c>
      <c r="U153" s="79">
        <f t="shared" ref="U153:U169" si="345">AI153/AJ153</f>
      </c>
      <c r="V153" s="79">
        <f t="shared" ref="V153:V169" si="255">AK153/AJ153</f>
      </c>
      <c r="W153" s="79">
        <f t="shared" ref="W153:W169" si="273">AL153/AK153</f>
      </c>
      <c r="X153" s="79">
        <f t="shared" ref="X153:X169" si="291">AM153/AL153</f>
      </c>
      <c r="Y153" s="79">
        <f t="shared" ref="Y153:Y169" si="201">AI153/AH153</f>
      </c>
      <c r="Z153" s="79">
        <f t="shared" ref="Z153:Z169" si="98">AM153/AI153</f>
      </c>
      <c r="AA153" s="80">
        <f t="shared" ref="AA153:AA169" si="62">F153/AH153*1000</f>
      </c>
      <c r="AB153" s="80">
        <f t="shared" ref="AB153:AB169" si="26">F153/AI153</f>
      </c>
      <c r="AC153" s="80">
        <f t="shared" ref="AC153:AC169" si="520">F153/AN153</f>
      </c>
      <c r="AD153" s="79">
        <f t="shared" ref="AD153:AD169" si="417">AN153/AJ153</f>
      </c>
      <c r="AE153" s="80">
        <f t="shared" ref="AE153:AE169" si="363">F153/AO153</f>
      </c>
      <c r="AF153" s="79">
        <f t="shared" ref="AF153:AF169" si="309">AO153/AJ153</f>
      </c>
      <c r="AG153" s="79">
        <f t="shared" ref="AG153:AG169" si="219">AP153/AJ153</f>
      </c>
      <c r="AH153" s="82">
        <v>30584</v>
      </c>
      <c r="AI153" s="35">
        <v>468</v>
      </c>
      <c r="AJ153" s="35">
        <v>496</v>
      </c>
      <c r="AK153" s="34">
        <v>32</v>
      </c>
      <c r="AL153" s="34">
        <v>7</v>
      </c>
      <c r="AM153" s="34">
        <v>6</v>
      </c>
      <c r="AN153" s="34">
        <v>73</v>
      </c>
      <c r="AO153" s="34">
        <v>67</v>
      </c>
      <c r="AP153" s="34">
        <v>18</v>
      </c>
      <c r="AQ153" s="29">
        <v>0</v>
      </c>
      <c r="AR153" s="36">
        <f t="shared" ref="AR153:AR156" si="138">COUNT(AQ153)</f>
      </c>
    </row>
    <row r="154">
      <c r="A154" s="74"/>
      <c r="B154" s="75" t="s">
        <v>69</v>
      </c>
      <c r="C154" s="76" t="s">
        <v>50</v>
      </c>
      <c r="D154" s="75" t="s">
        <v>57</v>
      </c>
      <c r="E154" s="75" t="s">
        <v>53</v>
      </c>
      <c r="F154" s="77">
        <f t="shared" si="457"/>
      </c>
      <c r="G154" s="83">
        <v>1971.88</v>
      </c>
      <c r="H154" s="78">
        <v>851.7</v>
      </c>
      <c r="I154" s="75">
        <v>6</v>
      </c>
      <c r="J154" s="75">
        <v>5</v>
      </c>
      <c r="K154" s="78">
        <v>3176.4000000000015</v>
      </c>
      <c r="L154" s="79">
        <f t="shared" si="381"/>
      </c>
      <c r="M154" s="80">
        <f t="shared" si="327"/>
      </c>
      <c r="N154" s="81">
        <f t="shared" si="237"/>
      </c>
      <c r="O154" s="81">
        <f t="shared" si="183"/>
      </c>
      <c r="P154" s="81">
        <f t="shared" si="80"/>
      </c>
      <c r="Q154" s="81">
        <f t="shared" si="44"/>
      </c>
      <c r="R154" s="81">
        <f t="shared" si="8"/>
      </c>
      <c r="S154" s="81">
        <f t="shared" si="502"/>
      </c>
      <c r="T154" s="81">
        <f t="shared" si="399"/>
      </c>
      <c r="U154" s="79">
        <f t="shared" si="345"/>
      </c>
      <c r="V154" s="79">
        <f t="shared" si="255"/>
      </c>
      <c r="W154" s="79">
        <f t="shared" si="273"/>
      </c>
      <c r="X154" s="79">
        <f t="shared" si="291"/>
      </c>
      <c r="Y154" s="79">
        <f t="shared" si="201"/>
      </c>
      <c r="Z154" s="79">
        <f t="shared" si="98"/>
      </c>
      <c r="AA154" s="80">
        <f t="shared" si="62"/>
      </c>
      <c r="AB154" s="80">
        <f t="shared" si="26"/>
      </c>
      <c r="AC154" s="80">
        <f t="shared" si="520"/>
      </c>
      <c r="AD154" s="79">
        <f t="shared" si="417"/>
      </c>
      <c r="AE154" s="80">
        <f t="shared" si="363"/>
      </c>
      <c r="AF154" s="79">
        <f t="shared" si="309"/>
      </c>
      <c r="AG154" s="79">
        <f t="shared" si="219"/>
      </c>
      <c r="AH154" s="84">
        <v>35413</v>
      </c>
      <c r="AI154" s="34">
        <v>671</v>
      </c>
      <c r="AJ154" s="34">
        <v>702</v>
      </c>
      <c r="AK154" s="34">
        <v>56</v>
      </c>
      <c r="AL154" s="34">
        <v>5</v>
      </c>
      <c r="AM154" s="34">
        <v>4</v>
      </c>
      <c r="AN154" s="34">
        <v>106</v>
      </c>
      <c r="AO154" s="34">
        <v>63</v>
      </c>
      <c r="AP154" s="34">
        <v>14</v>
      </c>
      <c r="AQ154" s="29">
        <v>0</v>
      </c>
      <c r="AR154" s="36">
        <f t="shared" si="138"/>
      </c>
    </row>
    <row r="155">
      <c r="A155" s="74"/>
      <c r="B155" s="75" t="s">
        <v>69</v>
      </c>
      <c r="C155" s="76" t="s">
        <v>50</v>
      </c>
      <c r="D155" s="75" t="s">
        <v>57</v>
      </c>
      <c r="E155" s="75" t="s">
        <v>54</v>
      </c>
      <c r="F155" s="77">
        <f t="shared" si="457"/>
      </c>
      <c r="G155" s="78">
        <v>2101.32</v>
      </c>
      <c r="H155" s="78">
        <v>808.04</v>
      </c>
      <c r="I155" s="75">
        <v>9</v>
      </c>
      <c r="J155" s="75">
        <v>8</v>
      </c>
      <c r="K155" s="78">
        <v>6191.4</v>
      </c>
      <c r="L155" s="79">
        <f t="shared" si="381"/>
      </c>
      <c r="M155" s="80">
        <f t="shared" si="327"/>
      </c>
      <c r="N155" s="81">
        <f t="shared" si="237"/>
      </c>
      <c r="O155" s="81">
        <f t="shared" si="183"/>
      </c>
      <c r="P155" s="81">
        <f t="shared" si="80"/>
      </c>
      <c r="Q155" s="81">
        <f t="shared" si="44"/>
      </c>
      <c r="R155" s="81">
        <f t="shared" si="8"/>
      </c>
      <c r="S155" s="81">
        <f t="shared" si="502"/>
      </c>
      <c r="T155" s="81">
        <f t="shared" si="399"/>
      </c>
      <c r="U155" s="79">
        <f t="shared" si="345"/>
      </c>
      <c r="V155" s="79">
        <f t="shared" si="255"/>
      </c>
      <c r="W155" s="79">
        <f t="shared" si="273"/>
      </c>
      <c r="X155" s="79">
        <f t="shared" si="291"/>
      </c>
      <c r="Y155" s="79">
        <f t="shared" si="201"/>
      </c>
      <c r="Z155" s="79">
        <f t="shared" si="98"/>
      </c>
      <c r="AA155" s="80">
        <f t="shared" si="62"/>
      </c>
      <c r="AB155" s="80">
        <f t="shared" si="26"/>
      </c>
      <c r="AC155" s="80">
        <f t="shared" si="520"/>
      </c>
      <c r="AD155" s="79">
        <f t="shared" si="417"/>
      </c>
      <c r="AE155" s="80">
        <f t="shared" si="363"/>
      </c>
      <c r="AF155" s="79">
        <f t="shared" si="309"/>
      </c>
      <c r="AG155" s="79">
        <f t="shared" si="219"/>
      </c>
      <c r="AH155" s="84">
        <v>35111</v>
      </c>
      <c r="AI155" s="34">
        <v>676</v>
      </c>
      <c r="AJ155" s="34">
        <v>783</v>
      </c>
      <c r="AK155" s="34">
        <v>64</v>
      </c>
      <c r="AL155" s="29">
        <v>6</v>
      </c>
      <c r="AM155" s="34">
        <v>5</v>
      </c>
      <c r="AN155" s="34">
        <v>110</v>
      </c>
      <c r="AO155" s="34">
        <v>71</v>
      </c>
      <c r="AP155" s="34">
        <v>11</v>
      </c>
      <c r="AQ155" s="29">
        <v>0</v>
      </c>
      <c r="AR155" s="36">
        <f t="shared" si="138"/>
      </c>
    </row>
    <row r="156">
      <c r="A156" s="74"/>
      <c r="B156" s="75" t="s">
        <v>69</v>
      </c>
      <c r="C156" s="76" t="s">
        <v>50</v>
      </c>
      <c r="D156" s="75" t="s">
        <v>57</v>
      </c>
      <c r="E156" s="75" t="s">
        <v>55</v>
      </c>
      <c r="F156" s="77">
        <f t="shared" si="457"/>
      </c>
      <c r="G156" s="78">
        <v>1894.4</v>
      </c>
      <c r="H156" s="78">
        <v>742.33</v>
      </c>
      <c r="I156" s="75">
        <v>5</v>
      </c>
      <c r="J156" s="75">
        <v>3</v>
      </c>
      <c r="K156" s="78">
        <v>1703</v>
      </c>
      <c r="L156" s="79">
        <f t="shared" si="381"/>
      </c>
      <c r="M156" s="80">
        <f t="shared" si="327"/>
      </c>
      <c r="N156" s="81">
        <f t="shared" si="237"/>
      </c>
      <c r="O156" s="81">
        <f t="shared" si="183"/>
      </c>
      <c r="P156" s="81">
        <f t="shared" si="80"/>
      </c>
      <c r="Q156" s="81">
        <f t="shared" si="44"/>
      </c>
      <c r="R156" s="81">
        <f t="shared" si="8"/>
      </c>
      <c r="S156" s="81">
        <f t="shared" si="502"/>
      </c>
      <c r="T156" s="81">
        <f t="shared" si="399"/>
      </c>
      <c r="U156" s="79">
        <f t="shared" si="345"/>
      </c>
      <c r="V156" s="79">
        <f t="shared" si="255"/>
      </c>
      <c r="W156" s="79">
        <f t="shared" si="273"/>
      </c>
      <c r="X156" s="79">
        <f t="shared" si="291"/>
      </c>
      <c r="Y156" s="79">
        <f t="shared" si="201"/>
      </c>
      <c r="Z156" s="79">
        <f t="shared" si="98"/>
      </c>
      <c r="AA156" s="80">
        <f t="shared" si="62"/>
      </c>
      <c r="AB156" s="80">
        <f t="shared" si="26"/>
      </c>
      <c r="AC156" s="80">
        <f t="shared" si="520"/>
      </c>
      <c r="AD156" s="79">
        <f t="shared" si="417"/>
      </c>
      <c r="AE156" s="80">
        <f t="shared" si="363"/>
      </c>
      <c r="AF156" s="79">
        <f t="shared" si="309"/>
      </c>
      <c r="AG156" s="79">
        <f t="shared" si="219"/>
      </c>
      <c r="AH156" s="84">
        <v>37489</v>
      </c>
      <c r="AI156" s="34">
        <v>675</v>
      </c>
      <c r="AJ156" s="34">
        <v>866</v>
      </c>
      <c r="AK156" s="34">
        <v>56</v>
      </c>
      <c r="AL156" s="29">
        <v>6</v>
      </c>
      <c r="AM156" s="34">
        <v>4</v>
      </c>
      <c r="AN156" s="34">
        <v>96</v>
      </c>
      <c r="AO156" s="34">
        <v>72</v>
      </c>
      <c r="AP156" s="34">
        <v>7</v>
      </c>
      <c r="AQ156" s="29">
        <v>0</v>
      </c>
      <c r="AR156" s="36">
        <f t="shared" si="138"/>
      </c>
    </row>
    <row r="157">
      <c r="A157" s="74"/>
      <c r="B157" s="85" t="s">
        <v>56</v>
      </c>
      <c r="C157" s="85"/>
      <c r="D157" s="85"/>
      <c r="E157" s="85"/>
      <c r="F157" s="86">
        <f>SUM(F153:F156)</f>
      </c>
      <c r="G157" s="86">
        <f>SUM(G153:G156)</f>
      </c>
      <c r="H157" s="86">
        <f>SUM(H153:H156)</f>
      </c>
      <c r="I157" s="85">
        <f>SUM(I153:I156)</f>
      </c>
      <c r="J157" s="85">
        <f>SUM(J153:J156)</f>
      </c>
      <c r="K157" s="86">
        <f>SUM(K153:K156)</f>
      </c>
      <c r="L157" s="87">
        <f t="shared" si="381"/>
      </c>
      <c r="M157" s="88">
        <f t="shared" si="327"/>
      </c>
      <c r="N157" s="86">
        <f t="shared" si="237"/>
      </c>
      <c r="O157" s="86">
        <f t="shared" si="183"/>
      </c>
      <c r="P157" s="86">
        <f t="shared" si="80"/>
      </c>
      <c r="Q157" s="86">
        <f t="shared" si="44"/>
      </c>
      <c r="R157" s="86">
        <f t="shared" si="8"/>
      </c>
      <c r="S157" s="86">
        <f t="shared" si="502"/>
      </c>
      <c r="T157" s="86">
        <f t="shared" si="399"/>
      </c>
      <c r="U157" s="87">
        <f t="shared" si="345"/>
      </c>
      <c r="V157" s="87">
        <f t="shared" si="255"/>
      </c>
      <c r="W157" s="87">
        <f t="shared" si="273"/>
      </c>
      <c r="X157" s="87">
        <f t="shared" si="291"/>
      </c>
      <c r="Y157" s="87">
        <f t="shared" si="201"/>
      </c>
      <c r="Z157" s="87">
        <f t="shared" si="98"/>
      </c>
      <c r="AA157" s="88">
        <f t="shared" si="62"/>
      </c>
      <c r="AB157" s="88">
        <f t="shared" si="26"/>
      </c>
      <c r="AC157" s="88">
        <f t="shared" si="520"/>
      </c>
      <c r="AD157" s="87">
        <f t="shared" si="417"/>
      </c>
      <c r="AE157" s="88">
        <f t="shared" si="363"/>
      </c>
      <c r="AF157" s="87">
        <f t="shared" si="309"/>
      </c>
      <c r="AG157" s="87">
        <f t="shared" si="219"/>
      </c>
      <c r="AH157" s="40">
        <f>SUM(AH153:AH156)</f>
      </c>
      <c r="AI157" s="40">
        <f>SUM(AI153:AI156)</f>
      </c>
      <c r="AJ157" s="40">
        <f>SUM(AJ153:AJ156)</f>
      </c>
      <c r="AK157" s="40">
        <f>SUM(AK153:AK156)</f>
      </c>
      <c r="AL157" s="40">
        <f>SUM(AL153:AL156)</f>
      </c>
      <c r="AM157" s="40">
        <f>SUM(AM153:AM156)</f>
      </c>
      <c r="AN157" s="40">
        <f>SUM(AN153:AN156)</f>
      </c>
      <c r="AO157" s="40">
        <f>SUM(AO153:AO156)</f>
      </c>
      <c r="AP157" s="40">
        <f>SUM(AP153:AP156)</f>
      </c>
      <c r="AQ157" s="40">
        <f>SUM(AQ153:AQ156)</f>
      </c>
      <c r="AR157" s="44">
        <f>SUM(AR153:AR156)</f>
      </c>
    </row>
    <row r="158">
      <c r="A158" s="74"/>
      <c r="B158" s="75" t="s">
        <v>69</v>
      </c>
      <c r="C158" s="76" t="s">
        <v>50</v>
      </c>
      <c r="D158" s="75" t="s">
        <v>71</v>
      </c>
      <c r="E158" s="75" t="s">
        <v>58</v>
      </c>
      <c r="F158" s="77">
        <f t="shared" ref="F158:F160" si="458">H158+G158</f>
      </c>
      <c r="G158" s="78">
        <v>1931.32</v>
      </c>
      <c r="H158" s="78">
        <v>615.46</v>
      </c>
      <c r="I158" s="75">
        <v>3</v>
      </c>
      <c r="J158" s="75">
        <v>2</v>
      </c>
      <c r="K158" s="78">
        <v>1365.6000000000004</v>
      </c>
      <c r="L158" s="79">
        <f t="shared" si="381"/>
      </c>
      <c r="M158" s="80">
        <f t="shared" si="327"/>
      </c>
      <c r="N158" s="81">
        <f t="shared" si="237"/>
      </c>
      <c r="O158" s="81">
        <f t="shared" si="183"/>
      </c>
      <c r="P158" s="81">
        <f t="shared" si="80"/>
      </c>
      <c r="Q158" s="81">
        <f t="shared" si="44"/>
      </c>
      <c r="R158" s="81">
        <f t="shared" si="8"/>
      </c>
      <c r="S158" s="81">
        <f t="shared" si="502"/>
      </c>
      <c r="T158" s="81">
        <f t="shared" si="399"/>
      </c>
      <c r="U158" s="79">
        <f t="shared" si="345"/>
      </c>
      <c r="V158" s="79">
        <f t="shared" si="255"/>
      </c>
      <c r="W158" s="79">
        <f t="shared" si="273"/>
      </c>
      <c r="X158" s="79">
        <f t="shared" si="291"/>
      </c>
      <c r="Y158" s="79">
        <f t="shared" si="201"/>
      </c>
      <c r="Z158" s="79">
        <f t="shared" si="98"/>
      </c>
      <c r="AA158" s="80">
        <f t="shared" si="62"/>
      </c>
      <c r="AB158" s="80">
        <f t="shared" si="26"/>
      </c>
      <c r="AC158" s="80">
        <f t="shared" si="520"/>
      </c>
      <c r="AD158" s="79">
        <f t="shared" si="417"/>
      </c>
      <c r="AE158" s="80">
        <f t="shared" si="363"/>
      </c>
      <c r="AF158" s="79">
        <f t="shared" si="309"/>
      </c>
      <c r="AG158" s="79">
        <f t="shared" si="219"/>
      </c>
      <c r="AH158" s="82">
        <v>33111</v>
      </c>
      <c r="AI158" s="34">
        <v>566</v>
      </c>
      <c r="AJ158" s="34">
        <v>755</v>
      </c>
      <c r="AK158" s="34">
        <v>53</v>
      </c>
      <c r="AL158" s="29">
        <v>2</v>
      </c>
      <c r="AM158" s="29">
        <v>1</v>
      </c>
      <c r="AN158" s="34">
        <v>94</v>
      </c>
      <c r="AO158" s="34">
        <v>77</v>
      </c>
      <c r="AP158" s="34">
        <v>6</v>
      </c>
      <c r="AQ158" s="29">
        <v>0</v>
      </c>
      <c r="AR158" s="36">
        <f t="shared" ref="AR158:AR160" si="139">COUNT(AQ158)</f>
      </c>
    </row>
    <row r="159">
      <c r="A159" s="74"/>
      <c r="B159" s="75" t="s">
        <v>69</v>
      </c>
      <c r="C159" s="76" t="s">
        <v>50</v>
      </c>
      <c r="D159" s="75" t="s">
        <v>71</v>
      </c>
      <c r="E159" s="75" t="s">
        <v>59</v>
      </c>
      <c r="F159" s="77">
        <f t="shared" si="458"/>
      </c>
      <c r="G159" s="78">
        <v>889.89</v>
      </c>
      <c r="H159" s="78">
        <v>596.01</v>
      </c>
      <c r="I159" s="75">
        <v>4</v>
      </c>
      <c r="J159" s="75">
        <v>2</v>
      </c>
      <c r="K159" s="78">
        <v>1336.7999999999993</v>
      </c>
      <c r="L159" s="79">
        <f t="shared" si="381"/>
      </c>
      <c r="M159" s="80">
        <f t="shared" si="327"/>
      </c>
      <c r="N159" s="81">
        <f t="shared" si="237"/>
      </c>
      <c r="O159" s="81">
        <f t="shared" si="183"/>
      </c>
      <c r="P159" s="81">
        <f t="shared" si="80"/>
      </c>
      <c r="Q159" s="81">
        <f t="shared" si="44"/>
      </c>
      <c r="R159" s="81">
        <f t="shared" si="8"/>
      </c>
      <c r="S159" s="81">
        <f t="shared" si="502"/>
      </c>
      <c r="T159" s="81">
        <f t="shared" si="399"/>
      </c>
      <c r="U159" s="79">
        <f t="shared" si="345"/>
      </c>
      <c r="V159" s="79">
        <f t="shared" si="255"/>
      </c>
      <c r="W159" s="79">
        <f t="shared" si="273"/>
      </c>
      <c r="X159" s="79">
        <f t="shared" si="291"/>
      </c>
      <c r="Y159" s="79">
        <f t="shared" si="201"/>
      </c>
      <c r="Z159" s="79">
        <f t="shared" si="98"/>
      </c>
      <c r="AA159" s="80">
        <f t="shared" si="62"/>
      </c>
      <c r="AB159" s="80">
        <f t="shared" si="26"/>
      </c>
      <c r="AC159" s="80">
        <f t="shared" si="520"/>
      </c>
      <c r="AD159" s="79">
        <f t="shared" si="417"/>
      </c>
      <c r="AE159" s="80">
        <f t="shared" si="363"/>
      </c>
      <c r="AF159" s="79">
        <f t="shared" si="309"/>
      </c>
      <c r="AG159" s="79">
        <f t="shared" si="219"/>
      </c>
      <c r="AH159" s="82">
        <v>18927</v>
      </c>
      <c r="AI159" s="34">
        <v>397</v>
      </c>
      <c r="AJ159" s="34">
        <v>510</v>
      </c>
      <c r="AK159" s="34">
        <v>27</v>
      </c>
      <c r="AL159" s="29">
        <v>3</v>
      </c>
      <c r="AM159" s="29">
        <v>2</v>
      </c>
      <c r="AN159" s="34">
        <v>59</v>
      </c>
      <c r="AO159" s="34">
        <v>48</v>
      </c>
      <c r="AP159" s="34">
        <v>6</v>
      </c>
      <c r="AQ159" s="29">
        <v>0</v>
      </c>
      <c r="AR159" s="36">
        <f t="shared" si="139"/>
      </c>
    </row>
    <row r="160">
      <c r="A160" s="74"/>
      <c r="B160" s="75" t="s">
        <v>69</v>
      </c>
      <c r="C160" s="76" t="s">
        <v>50</v>
      </c>
      <c r="D160" s="75" t="s">
        <v>71</v>
      </c>
      <c r="E160" s="75" t="s">
        <v>60</v>
      </c>
      <c r="F160" s="77">
        <f t="shared" si="458"/>
      </c>
      <c r="G160" s="78">
        <v>725.74</v>
      </c>
      <c r="H160" s="78">
        <v>512.66</v>
      </c>
      <c r="I160" s="75">
        <v>2</v>
      </c>
      <c r="J160" s="75">
        <v>1</v>
      </c>
      <c r="K160" s="78">
        <v>967.2000000000007</v>
      </c>
      <c r="L160" s="79">
        <f t="shared" si="381"/>
      </c>
      <c r="M160" s="80">
        <f t="shared" si="327"/>
      </c>
      <c r="N160" s="81">
        <f t="shared" si="237"/>
      </c>
      <c r="O160" s="81">
        <f t="shared" si="183"/>
      </c>
      <c r="P160" s="81">
        <f t="shared" si="80"/>
      </c>
      <c r="Q160" s="81">
        <f t="shared" si="44"/>
      </c>
      <c r="R160" s="81">
        <f t="shared" si="8"/>
      </c>
      <c r="S160" s="81">
        <f t="shared" si="502"/>
      </c>
      <c r="T160" s="81">
        <f t="shared" si="399"/>
      </c>
      <c r="U160" s="79">
        <f t="shared" si="345"/>
      </c>
      <c r="V160" s="79">
        <f t="shared" si="255"/>
      </c>
      <c r="W160" s="79">
        <f t="shared" si="273"/>
      </c>
      <c r="X160" s="79">
        <f t="shared" si="291"/>
      </c>
      <c r="Y160" s="79">
        <f t="shared" si="201"/>
      </c>
      <c r="Z160" s="79">
        <f t="shared" si="98"/>
      </c>
      <c r="AA160" s="80">
        <f t="shared" si="62"/>
      </c>
      <c r="AB160" s="80">
        <f t="shared" si="26"/>
      </c>
      <c r="AC160" s="80">
        <f t="shared" si="520"/>
      </c>
      <c r="AD160" s="79">
        <f t="shared" si="417"/>
      </c>
      <c r="AE160" s="80">
        <f t="shared" si="363"/>
      </c>
      <c r="AF160" s="79">
        <f t="shared" si="309"/>
      </c>
      <c r="AG160" s="79">
        <f t="shared" si="219"/>
      </c>
      <c r="AH160" s="82">
        <v>18368</v>
      </c>
      <c r="AI160" s="34">
        <v>401</v>
      </c>
      <c r="AJ160" s="34">
        <v>539</v>
      </c>
      <c r="AK160" s="34">
        <v>22</v>
      </c>
      <c r="AL160" s="34">
        <v>2</v>
      </c>
      <c r="AM160" s="34">
        <v>1</v>
      </c>
      <c r="AN160" s="34">
        <v>47</v>
      </c>
      <c r="AO160" s="34">
        <v>23</v>
      </c>
      <c r="AP160" s="34">
        <v>3</v>
      </c>
      <c r="AQ160" s="29">
        <v>0</v>
      </c>
      <c r="AR160" s="36">
        <f t="shared" si="139"/>
      </c>
    </row>
    <row r="161">
      <c r="A161" s="74"/>
      <c r="B161" s="85" t="s">
        <v>56</v>
      </c>
      <c r="C161" s="85"/>
      <c r="D161" s="85"/>
      <c r="E161" s="85"/>
      <c r="F161" s="86">
        <f>SUM(F158:F160)</f>
      </c>
      <c r="G161" s="86">
        <f>SUM(G158:G160)</f>
      </c>
      <c r="H161" s="86">
        <f>SUM(H158:H160)</f>
      </c>
      <c r="I161" s="85">
        <f>SUM(I158:I160)</f>
      </c>
      <c r="J161" s="85">
        <f>SUM(J158:J160)</f>
      </c>
      <c r="K161" s="86">
        <f>SUM(K158:K160)</f>
      </c>
      <c r="L161" s="87">
        <f t="shared" si="381"/>
      </c>
      <c r="M161" s="88">
        <f t="shared" si="327"/>
      </c>
      <c r="N161" s="86">
        <f t="shared" si="237"/>
      </c>
      <c r="O161" s="86">
        <f t="shared" si="183"/>
      </c>
      <c r="P161" s="86">
        <f t="shared" si="80"/>
      </c>
      <c r="Q161" s="86">
        <f t="shared" si="44"/>
      </c>
      <c r="R161" s="86">
        <f t="shared" si="8"/>
      </c>
      <c r="S161" s="86">
        <f t="shared" si="502"/>
      </c>
      <c r="T161" s="86">
        <f t="shared" si="399"/>
      </c>
      <c r="U161" s="87">
        <f t="shared" si="345"/>
      </c>
      <c r="V161" s="87">
        <f t="shared" si="255"/>
      </c>
      <c r="W161" s="87">
        <f t="shared" si="273"/>
      </c>
      <c r="X161" s="87">
        <f t="shared" si="291"/>
      </c>
      <c r="Y161" s="87">
        <f t="shared" si="201"/>
      </c>
      <c r="Z161" s="87">
        <f t="shared" si="98"/>
      </c>
      <c r="AA161" s="88">
        <f t="shared" si="62"/>
      </c>
      <c r="AB161" s="88">
        <f t="shared" si="26"/>
      </c>
      <c r="AC161" s="88">
        <f t="shared" si="520"/>
      </c>
      <c r="AD161" s="87">
        <f t="shared" si="417"/>
      </c>
      <c r="AE161" s="88">
        <f t="shared" si="363"/>
      </c>
      <c r="AF161" s="87">
        <f t="shared" si="309"/>
      </c>
      <c r="AG161" s="87">
        <f t="shared" si="219"/>
      </c>
      <c r="AH161" s="40">
        <f>SUM(AH158:AH160)</f>
      </c>
      <c r="AI161" s="40">
        <f>SUM(AI158:AI160)</f>
      </c>
      <c r="AJ161" s="40">
        <f>SUM(AJ158:AJ160)</f>
      </c>
      <c r="AK161" s="40">
        <f>SUM(AK158:AK160)</f>
      </c>
      <c r="AL161" s="40">
        <f>SUM(AL158:AL160)</f>
      </c>
      <c r="AM161" s="40">
        <f>SUM(AM158:AM160)</f>
      </c>
      <c r="AN161" s="40">
        <f>SUM(AN158:AN160)</f>
      </c>
      <c r="AO161" s="40">
        <f>SUM(AO158:AO160)</f>
      </c>
      <c r="AP161" s="40">
        <f>SUM(AP158:AP160)</f>
      </c>
      <c r="AQ161" s="40">
        <f>SUM(AQ158:AQ160)</f>
      </c>
      <c r="AR161" s="44">
        <f>SUM(AR158:AR160)</f>
      </c>
    </row>
    <row r="162">
      <c r="A162" s="74"/>
      <c r="B162" s="75" t="s">
        <v>69</v>
      </c>
      <c r="C162" s="76" t="s">
        <v>50</v>
      </c>
      <c r="D162" s="89" t="s">
        <v>72</v>
      </c>
      <c r="E162" s="75" t="s">
        <v>61</v>
      </c>
      <c r="F162" s="77">
        <f t="shared" ref="F162:F163" si="459">H162+G162</f>
      </c>
      <c r="G162" s="78">
        <v>813.83</v>
      </c>
      <c r="H162" s="78">
        <v>425.86</v>
      </c>
      <c r="I162" s="75">
        <v>4</v>
      </c>
      <c r="J162" s="75">
        <v>4</v>
      </c>
      <c r="K162" s="78">
        <v>2507.600000000002</v>
      </c>
      <c r="L162" s="79">
        <f t="shared" si="381"/>
      </c>
      <c r="M162" s="80">
        <f t="shared" si="327"/>
      </c>
      <c r="N162" s="81">
        <f t="shared" si="237"/>
      </c>
      <c r="O162" s="81">
        <f t="shared" si="183"/>
      </c>
      <c r="P162" s="81">
        <f t="shared" si="80"/>
      </c>
      <c r="Q162" s="81">
        <f t="shared" si="44"/>
      </c>
      <c r="R162" s="81">
        <f t="shared" si="8"/>
      </c>
      <c r="S162" s="81">
        <f t="shared" si="502"/>
      </c>
      <c r="T162" s="81">
        <f t="shared" si="399"/>
      </c>
      <c r="U162" s="79">
        <f t="shared" si="345"/>
      </c>
      <c r="V162" s="79">
        <f t="shared" si="255"/>
      </c>
      <c r="W162" s="79">
        <f t="shared" si="273"/>
      </c>
      <c r="X162" s="79">
        <f t="shared" si="291"/>
      </c>
      <c r="Y162" s="79">
        <f t="shared" si="201"/>
      </c>
      <c r="Z162" s="79">
        <f t="shared" si="98"/>
      </c>
      <c r="AA162" s="80">
        <f t="shared" si="62"/>
      </c>
      <c r="AB162" s="80">
        <f t="shared" si="26"/>
      </c>
      <c r="AC162" s="80">
        <f t="shared" si="520"/>
      </c>
      <c r="AD162" s="79">
        <f t="shared" si="417"/>
      </c>
      <c r="AE162" s="80">
        <f t="shared" si="363"/>
      </c>
      <c r="AF162" s="79">
        <f t="shared" si="309"/>
      </c>
      <c r="AG162" s="79">
        <f t="shared" si="219"/>
      </c>
      <c r="AH162" s="82">
        <v>15934</v>
      </c>
      <c r="AI162" s="34">
        <v>299</v>
      </c>
      <c r="AJ162" s="34">
        <v>359</v>
      </c>
      <c r="AK162" s="34">
        <v>20</v>
      </c>
      <c r="AL162" s="34">
        <v>1</v>
      </c>
      <c r="AM162" s="34">
        <v>1</v>
      </c>
      <c r="AN162" s="34">
        <v>39</v>
      </c>
      <c r="AO162" s="34">
        <v>16</v>
      </c>
      <c r="AP162" s="34">
        <v>5</v>
      </c>
      <c r="AQ162" s="29">
        <v>1</v>
      </c>
      <c r="AR162" s="36">
        <f t="shared" ref="AR162:AR163" si="140">COUNT(AQ162)</f>
      </c>
    </row>
    <row r="163">
      <c r="A163" s="74"/>
      <c r="B163" s="75" t="s">
        <v>69</v>
      </c>
      <c r="C163" s="76" t="s">
        <v>50</v>
      </c>
      <c r="D163" s="89" t="s">
        <v>72</v>
      </c>
      <c r="E163" s="75" t="s">
        <v>63</v>
      </c>
      <c r="F163" s="77">
        <f t="shared" si="459"/>
      </c>
      <c r="G163" s="78">
        <v>994.23</v>
      </c>
      <c r="H163" s="78">
        <v>381.34</v>
      </c>
      <c r="I163" s="75">
        <v>2</v>
      </c>
      <c r="J163" s="76">
        <v>1</v>
      </c>
      <c r="K163" s="78">
        <v>967.1999999999971</v>
      </c>
      <c r="L163" s="79">
        <f t="shared" si="381"/>
      </c>
      <c r="M163" s="80">
        <f t="shared" si="327"/>
      </c>
      <c r="N163" s="81">
        <f t="shared" si="237"/>
      </c>
      <c r="O163" s="81">
        <f t="shared" si="183"/>
      </c>
      <c r="P163" s="81">
        <f t="shared" si="80"/>
      </c>
      <c r="Q163" s="81">
        <f t="shared" si="44"/>
      </c>
      <c r="R163" s="81">
        <f t="shared" si="8"/>
      </c>
      <c r="S163" s="81">
        <f t="shared" si="502"/>
      </c>
      <c r="T163" s="81">
        <f t="shared" si="399"/>
      </c>
      <c r="U163" s="79">
        <f t="shared" si="345"/>
      </c>
      <c r="V163" s="79">
        <f t="shared" si="255"/>
      </c>
      <c r="W163" s="79">
        <f t="shared" si="273"/>
      </c>
      <c r="X163" s="79">
        <f t="shared" si="291"/>
      </c>
      <c r="Y163" s="79">
        <f t="shared" si="201"/>
      </c>
      <c r="Z163" s="79">
        <f t="shared" si="98"/>
      </c>
      <c r="AA163" s="80">
        <f t="shared" si="62"/>
      </c>
      <c r="AB163" s="80">
        <f t="shared" si="26"/>
      </c>
      <c r="AC163" s="80">
        <f t="shared" si="520"/>
      </c>
      <c r="AD163" s="79">
        <f t="shared" si="417"/>
      </c>
      <c r="AE163" s="80">
        <f t="shared" si="363"/>
      </c>
      <c r="AF163" s="79">
        <f t="shared" si="309"/>
      </c>
      <c r="AG163" s="79">
        <f t="shared" si="219"/>
      </c>
      <c r="AH163" s="82">
        <v>14280</v>
      </c>
      <c r="AI163" s="34">
        <v>277</v>
      </c>
      <c r="AJ163" s="34">
        <v>346</v>
      </c>
      <c r="AK163" s="34">
        <v>49</v>
      </c>
      <c r="AL163" s="34">
        <v>2</v>
      </c>
      <c r="AM163" s="34">
        <v>0</v>
      </c>
      <c r="AN163" s="34">
        <v>55</v>
      </c>
      <c r="AO163" s="34">
        <v>46</v>
      </c>
      <c r="AP163" s="34">
        <v>4</v>
      </c>
      <c r="AQ163" s="29">
        <v>0</v>
      </c>
      <c r="AR163" s="36">
        <f t="shared" si="140"/>
      </c>
    </row>
    <row r="164">
      <c r="A164" s="74"/>
      <c r="B164" s="85" t="s">
        <v>56</v>
      </c>
      <c r="C164" s="85"/>
      <c r="D164" s="85"/>
      <c r="E164" s="85"/>
      <c r="F164" s="86">
        <f>SUM(F162:F163)</f>
      </c>
      <c r="G164" s="86">
        <f>SUM(G162:G163)</f>
      </c>
      <c r="H164" s="86">
        <f>SUM(H162:H163)</f>
      </c>
      <c r="I164" s="85">
        <f>SUM(I162:I163)</f>
      </c>
      <c r="J164" s="85">
        <f>SUM(J162:J163)</f>
      </c>
      <c r="K164" s="86">
        <f>SUM(K162:K163)</f>
      </c>
      <c r="L164" s="87">
        <f t="shared" si="381"/>
      </c>
      <c r="M164" s="88">
        <f t="shared" si="327"/>
      </c>
      <c r="N164" s="86">
        <f t="shared" si="237"/>
      </c>
      <c r="O164" s="86">
        <f t="shared" si="183"/>
      </c>
      <c r="P164" s="86">
        <f t="shared" si="80"/>
      </c>
      <c r="Q164" s="86">
        <f t="shared" si="44"/>
      </c>
      <c r="R164" s="86">
        <f t="shared" si="8"/>
      </c>
      <c r="S164" s="86">
        <f t="shared" si="502"/>
      </c>
      <c r="T164" s="86">
        <f t="shared" si="399"/>
      </c>
      <c r="U164" s="87">
        <f t="shared" si="345"/>
      </c>
      <c r="V164" s="87">
        <f t="shared" si="255"/>
      </c>
      <c r="W164" s="87">
        <f t="shared" si="273"/>
      </c>
      <c r="X164" s="87">
        <f t="shared" si="291"/>
      </c>
      <c r="Y164" s="87">
        <f t="shared" si="201"/>
      </c>
      <c r="Z164" s="87">
        <f t="shared" si="98"/>
      </c>
      <c r="AA164" s="88">
        <f t="shared" si="62"/>
      </c>
      <c r="AB164" s="88">
        <f t="shared" si="26"/>
      </c>
      <c r="AC164" s="88">
        <f t="shared" si="520"/>
      </c>
      <c r="AD164" s="87">
        <f t="shared" si="417"/>
      </c>
      <c r="AE164" s="88">
        <f t="shared" si="363"/>
      </c>
      <c r="AF164" s="87">
        <f t="shared" si="309"/>
      </c>
      <c r="AG164" s="87">
        <f t="shared" si="219"/>
      </c>
      <c r="AH164" s="40">
        <f>SUM(AH162:AH163)</f>
      </c>
      <c r="AI164" s="40">
        <f>SUM(AI162:AI163)</f>
      </c>
      <c r="AJ164" s="40">
        <f>SUM(AJ162:AJ163)</f>
      </c>
      <c r="AK164" s="40">
        <f>SUM(AK162:AK163)</f>
      </c>
      <c r="AL164" s="40">
        <f>SUM(AL162:AL163)</f>
      </c>
      <c r="AM164" s="40">
        <f>SUM(AM162:AM163)</f>
      </c>
      <c r="AN164" s="40">
        <f>SUM(AN162:AN163)</f>
      </c>
      <c r="AO164" s="40">
        <f>SUM(AO162:AO163)</f>
      </c>
      <c r="AP164" s="40">
        <f>SUM(AP162:AP163)</f>
      </c>
      <c r="AQ164" s="40">
        <f>SUM(AQ162:AQ163)</f>
      </c>
      <c r="AR164" s="44">
        <f>SUM(AR162:AR163)</f>
      </c>
    </row>
    <row r="165">
      <c r="A165" s="74"/>
      <c r="B165" s="75" t="s">
        <v>69</v>
      </c>
      <c r="C165" s="76" t="s">
        <v>50</v>
      </c>
      <c r="D165" s="75" t="s">
        <v>62</v>
      </c>
      <c r="E165" s="76" t="s">
        <v>64</v>
      </c>
      <c r="F165" s="77">
        <f t="shared" ref="F165:F167" si="460">H165+G165</f>
      </c>
      <c r="G165" s="78">
        <v>1334.05</v>
      </c>
      <c r="H165" s="78">
        <v>367.99</v>
      </c>
      <c r="I165" s="75">
        <v>5</v>
      </c>
      <c r="J165" s="75">
        <v>3</v>
      </c>
      <c r="K165" s="78">
        <v>2692.800000000003</v>
      </c>
      <c r="L165" s="79">
        <f t="shared" si="381"/>
      </c>
      <c r="M165" s="80">
        <f t="shared" si="327"/>
      </c>
      <c r="N165" s="81">
        <f t="shared" si="237"/>
      </c>
      <c r="O165" s="81">
        <f t="shared" si="183"/>
      </c>
      <c r="P165" s="81">
        <f t="shared" si="80"/>
      </c>
      <c r="Q165" s="81">
        <f t="shared" si="44"/>
      </c>
      <c r="R165" s="81">
        <f t="shared" si="8"/>
      </c>
      <c r="S165" s="81">
        <f t="shared" si="502"/>
      </c>
      <c r="T165" s="81">
        <f t="shared" si="399"/>
      </c>
      <c r="U165" s="79">
        <f t="shared" si="345"/>
      </c>
      <c r="V165" s="79">
        <f t="shared" si="255"/>
      </c>
      <c r="W165" s="79">
        <f t="shared" si="273"/>
      </c>
      <c r="X165" s="79">
        <f t="shared" si="291"/>
      </c>
      <c r="Y165" s="79">
        <f t="shared" si="201"/>
      </c>
      <c r="Z165" s="79">
        <f t="shared" si="98"/>
      </c>
      <c r="AA165" s="80">
        <f t="shared" si="62"/>
      </c>
      <c r="AB165" s="80">
        <f t="shared" si="26"/>
      </c>
      <c r="AC165" s="80">
        <f t="shared" si="520"/>
      </c>
      <c r="AD165" s="79">
        <f t="shared" si="417"/>
      </c>
      <c r="AE165" s="80">
        <f t="shared" si="363"/>
      </c>
      <c r="AF165" s="79">
        <f t="shared" si="309"/>
      </c>
      <c r="AG165" s="79">
        <f t="shared" si="219"/>
      </c>
      <c r="AH165" s="82">
        <v>15929</v>
      </c>
      <c r="AI165" s="34">
        <v>267</v>
      </c>
      <c r="AJ165" s="34">
        <v>330</v>
      </c>
      <c r="AK165" s="34">
        <v>67</v>
      </c>
      <c r="AL165" s="29">
        <v>5</v>
      </c>
      <c r="AM165" s="29">
        <v>3</v>
      </c>
      <c r="AN165" s="34">
        <v>63</v>
      </c>
      <c r="AO165" s="34">
        <v>85</v>
      </c>
      <c r="AP165" s="34">
        <v>3</v>
      </c>
      <c r="AQ165" s="29">
        <v>0</v>
      </c>
      <c r="AR165" s="36">
        <f t="shared" ref="AR165:AR167" si="141">COUNT(AQ165)</f>
      </c>
    </row>
    <row r="166">
      <c r="A166" s="74"/>
      <c r="B166" s="75" t="s">
        <v>69</v>
      </c>
      <c r="C166" s="76" t="s">
        <v>50</v>
      </c>
      <c r="D166" s="75" t="s">
        <v>62</v>
      </c>
      <c r="E166" s="76" t="s">
        <v>65</v>
      </c>
      <c r="F166" s="77">
        <f t="shared" si="460"/>
      </c>
      <c r="G166" s="78">
        <v>1301.23</v>
      </c>
      <c r="H166" s="78">
        <v>201.83</v>
      </c>
      <c r="I166" s="75">
        <v>2</v>
      </c>
      <c r="J166" s="75">
        <v>2</v>
      </c>
      <c r="K166" s="78">
        <v>1725.5999999999985</v>
      </c>
      <c r="L166" s="79">
        <f t="shared" si="381"/>
      </c>
      <c r="M166" s="80">
        <f t="shared" si="327"/>
      </c>
      <c r="N166" s="81">
        <f t="shared" si="237"/>
      </c>
      <c r="O166" s="81">
        <f t="shared" si="183"/>
      </c>
      <c r="P166" s="81">
        <f t="shared" si="80"/>
      </c>
      <c r="Q166" s="81">
        <f t="shared" si="44"/>
      </c>
      <c r="R166" s="81">
        <f t="shared" si="8"/>
      </c>
      <c r="S166" s="81">
        <f t="shared" si="502"/>
      </c>
      <c r="T166" s="81">
        <f t="shared" si="399"/>
      </c>
      <c r="U166" s="79">
        <f t="shared" si="345"/>
      </c>
      <c r="V166" s="79">
        <f t="shared" si="255"/>
      </c>
      <c r="W166" s="79">
        <f t="shared" si="273"/>
      </c>
      <c r="X166" s="79">
        <f t="shared" si="291"/>
      </c>
      <c r="Y166" s="79">
        <f t="shared" si="201"/>
      </c>
      <c r="Z166" s="79">
        <f t="shared" si="98"/>
      </c>
      <c r="AA166" s="80">
        <f t="shared" si="62"/>
      </c>
      <c r="AB166" s="80">
        <f t="shared" si="26"/>
      </c>
      <c r="AC166" s="80">
        <f t="shared" si="520"/>
      </c>
      <c r="AD166" s="79">
        <f t="shared" si="417"/>
      </c>
      <c r="AE166" s="80">
        <f t="shared" si="363"/>
      </c>
      <c r="AF166" s="79">
        <f t="shared" si="309"/>
      </c>
      <c r="AG166" s="79">
        <f t="shared" si="219"/>
      </c>
      <c r="AH166" s="82">
        <v>15809</v>
      </c>
      <c r="AI166" s="34">
        <v>296</v>
      </c>
      <c r="AJ166" s="34">
        <v>363</v>
      </c>
      <c r="AK166" s="34">
        <v>71</v>
      </c>
      <c r="AL166" s="34">
        <v>1</v>
      </c>
      <c r="AM166" s="34">
        <v>1</v>
      </c>
      <c r="AN166" s="34">
        <v>74</v>
      </c>
      <c r="AO166" s="34">
        <v>74</v>
      </c>
      <c r="AP166" s="34">
        <v>6</v>
      </c>
      <c r="AQ166" s="29">
        <v>0</v>
      </c>
      <c r="AR166" s="36">
        <f t="shared" si="141"/>
      </c>
    </row>
    <row r="167">
      <c r="A167" s="74"/>
      <c r="B167" s="75" t="s">
        <v>69</v>
      </c>
      <c r="C167" s="76" t="s">
        <v>50</v>
      </c>
      <c r="D167" s="75" t="s">
        <v>62</v>
      </c>
      <c r="E167" s="75" t="s">
        <v>66</v>
      </c>
      <c r="F167" s="77">
        <f t="shared" si="460"/>
      </c>
      <c r="G167" s="90">
        <v>668.67</v>
      </c>
      <c r="H167" s="90">
        <v>9.31</v>
      </c>
      <c r="I167" s="75">
        <v>5</v>
      </c>
      <c r="J167" s="75">
        <v>5</v>
      </c>
      <c r="K167" s="78">
        <v>3565.199999999997</v>
      </c>
      <c r="L167" s="79">
        <f t="shared" si="381"/>
      </c>
      <c r="M167" s="80">
        <f t="shared" si="327"/>
      </c>
      <c r="N167" s="81">
        <f t="shared" si="237"/>
      </c>
      <c r="O167" s="81">
        <f t="shared" si="183"/>
      </c>
      <c r="P167" s="81">
        <f t="shared" si="80"/>
      </c>
      <c r="Q167" s="81">
        <f t="shared" si="44"/>
      </c>
      <c r="R167" s="81">
        <f t="shared" si="8"/>
      </c>
      <c r="S167" s="81">
        <f t="shared" si="502"/>
      </c>
      <c r="T167" s="81">
        <f t="shared" si="399"/>
      </c>
      <c r="U167" s="79">
        <f t="shared" si="345"/>
      </c>
      <c r="V167" s="79">
        <f t="shared" si="255"/>
      </c>
      <c r="W167" s="79">
        <f t="shared" si="273"/>
      </c>
      <c r="X167" s="79">
        <f t="shared" si="291"/>
      </c>
      <c r="Y167" s="79">
        <f t="shared" si="201"/>
      </c>
      <c r="Z167" s="79">
        <f t="shared" si="98"/>
      </c>
      <c r="AA167" s="80">
        <f t="shared" si="62"/>
      </c>
      <c r="AB167" s="80">
        <f t="shared" si="26"/>
      </c>
      <c r="AC167" s="80">
        <f t="shared" si="520"/>
      </c>
      <c r="AD167" s="79">
        <f t="shared" si="417"/>
      </c>
      <c r="AE167" s="80">
        <f t="shared" si="363"/>
      </c>
      <c r="AF167" s="79">
        <f t="shared" si="309"/>
      </c>
      <c r="AG167" s="79">
        <f t="shared" si="219"/>
      </c>
      <c r="AH167" s="82">
        <v>8093</v>
      </c>
      <c r="AI167" s="34">
        <v>136</v>
      </c>
      <c r="AJ167" s="34">
        <v>165</v>
      </c>
      <c r="AK167" s="34">
        <v>29</v>
      </c>
      <c r="AL167" s="29">
        <v>4</v>
      </c>
      <c r="AM167" s="29">
        <v>4</v>
      </c>
      <c r="AN167" s="34">
        <v>40</v>
      </c>
      <c r="AO167" s="34">
        <v>89</v>
      </c>
      <c r="AP167" s="34">
        <v>2</v>
      </c>
      <c r="AQ167" s="29">
        <v>0</v>
      </c>
      <c r="AR167" s="36">
        <f t="shared" si="141"/>
      </c>
    </row>
    <row r="168">
      <c r="A168" s="74"/>
      <c r="B168" s="85" t="s">
        <v>56</v>
      </c>
      <c r="C168" s="85"/>
      <c r="D168" s="85"/>
      <c r="E168" s="85"/>
      <c r="F168" s="86">
        <f>SUM(F165:F167)</f>
      </c>
      <c r="G168" s="86">
        <f>SUM(G165:G167)</f>
      </c>
      <c r="H168" s="86">
        <f>SUM(H165:H167)</f>
      </c>
      <c r="I168" s="85">
        <f>SUM(I165:I167)</f>
      </c>
      <c r="J168" s="85">
        <f>SUM(J165:J167)</f>
      </c>
      <c r="K168" s="86">
        <f>SUM(K165:K167)</f>
      </c>
      <c r="L168" s="87">
        <f t="shared" si="381"/>
      </c>
      <c r="M168" s="88">
        <f t="shared" si="327"/>
      </c>
      <c r="N168" s="86">
        <f t="shared" si="237"/>
      </c>
      <c r="O168" s="86">
        <f t="shared" si="183"/>
      </c>
      <c r="P168" s="86">
        <f t="shared" si="80"/>
      </c>
      <c r="Q168" s="86">
        <f t="shared" si="44"/>
      </c>
      <c r="R168" s="86">
        <f t="shared" si="8"/>
      </c>
      <c r="S168" s="86">
        <f t="shared" si="502"/>
      </c>
      <c r="T168" s="86">
        <f t="shared" si="399"/>
      </c>
      <c r="U168" s="87">
        <f t="shared" si="345"/>
      </c>
      <c r="V168" s="87">
        <f t="shared" si="255"/>
      </c>
      <c r="W168" s="87">
        <f t="shared" si="273"/>
      </c>
      <c r="X168" s="87">
        <f t="shared" si="291"/>
      </c>
      <c r="Y168" s="87">
        <f t="shared" si="201"/>
      </c>
      <c r="Z168" s="87">
        <f t="shared" si="98"/>
      </c>
      <c r="AA168" s="88">
        <f t="shared" si="62"/>
      </c>
      <c r="AB168" s="88">
        <f t="shared" si="26"/>
      </c>
      <c r="AC168" s="88">
        <f t="shared" si="520"/>
      </c>
      <c r="AD168" s="87">
        <f t="shared" si="417"/>
      </c>
      <c r="AE168" s="88">
        <f t="shared" si="363"/>
      </c>
      <c r="AF168" s="87">
        <f t="shared" si="309"/>
      </c>
      <c r="AG168" s="87">
        <f t="shared" si="219"/>
      </c>
      <c r="AH168" s="40">
        <f>SUM(AH165:AH167)</f>
      </c>
      <c r="AI168" s="40">
        <f>SUM(AI165:AI167)</f>
      </c>
      <c r="AJ168" s="40">
        <f>SUM(AJ165:AJ167)</f>
      </c>
      <c r="AK168" s="40">
        <f>SUM(AK165:AK167)</f>
      </c>
      <c r="AL168" s="40">
        <f>SUM(AL165:AL167)</f>
      </c>
      <c r="AM168" s="40">
        <f>SUM(AM165:AM167)</f>
      </c>
      <c r="AN168" s="40">
        <f>SUM(AN165:AN167)</f>
      </c>
      <c r="AO168" s="40">
        <f>SUM(AO165:AO167)</f>
      </c>
      <c r="AP168" s="40">
        <f>SUM(AP165:AP167)</f>
      </c>
      <c r="AQ168" s="40">
        <f>SUM(AQ165:AQ167)</f>
      </c>
      <c r="AR168" s="44">
        <f>SUM(AR165:AR167)</f>
      </c>
    </row>
    <row r="169">
      <c r="A169" s="74"/>
      <c r="B169" s="91" t="s">
        <v>67</v>
      </c>
      <c r="C169" s="91"/>
      <c r="D169" s="91"/>
      <c r="E169" s="91"/>
      <c r="F169" s="92">
        <f>F161+F157+F168+F164</f>
      </c>
      <c r="G169" s="92">
        <f>G161+G157+G168+G164</f>
      </c>
      <c r="H169" s="92">
        <f>H161+H157+H168+H164</f>
      </c>
      <c r="I169" s="92">
        <f>I161+I157+I168+I164</f>
      </c>
      <c r="J169" s="92">
        <f>J161+J157+J168+J164</f>
      </c>
      <c r="K169" s="92">
        <f>K161+K157+K168+K164</f>
      </c>
      <c r="L169" s="93">
        <f t="shared" si="381"/>
      </c>
      <c r="M169" s="94">
        <f t="shared" si="327"/>
      </c>
      <c r="N169" s="92">
        <f t="shared" si="237"/>
      </c>
      <c r="O169" s="92">
        <f t="shared" si="183"/>
      </c>
      <c r="P169" s="92">
        <f t="shared" si="80"/>
      </c>
      <c r="Q169" s="92">
        <f t="shared" si="44"/>
      </c>
      <c r="R169" s="92">
        <f t="shared" si="8"/>
      </c>
      <c r="S169" s="92">
        <f t="shared" si="502"/>
      </c>
      <c r="T169" s="92">
        <f t="shared" si="399"/>
      </c>
      <c r="U169" s="93">
        <f t="shared" si="345"/>
      </c>
      <c r="V169" s="93">
        <f t="shared" si="255"/>
      </c>
      <c r="W169" s="93">
        <f t="shared" si="273"/>
      </c>
      <c r="X169" s="93">
        <f t="shared" si="291"/>
      </c>
      <c r="Y169" s="93">
        <f t="shared" si="201"/>
      </c>
      <c r="Z169" s="93">
        <f t="shared" si="98"/>
      </c>
      <c r="AA169" s="94">
        <f t="shared" si="62"/>
      </c>
      <c r="AB169" s="94">
        <f t="shared" si="26"/>
      </c>
      <c r="AC169" s="94">
        <f t="shared" si="520"/>
      </c>
      <c r="AD169" s="93">
        <f t="shared" si="417"/>
      </c>
      <c r="AE169" s="94">
        <f t="shared" si="363"/>
      </c>
      <c r="AF169" s="93">
        <f t="shared" si="309"/>
      </c>
      <c r="AG169" s="93">
        <f t="shared" si="219"/>
      </c>
      <c r="AH169" s="44">
        <f>AH161+AH157+AH168+AH164</f>
      </c>
      <c r="AI169" s="44">
        <f>AI161+AI157+AI168+AI164</f>
      </c>
      <c r="AJ169" s="44">
        <f>AJ161+AJ157+AJ168+AJ164</f>
      </c>
      <c r="AK169" s="44">
        <f>AK161+AK157+AK168+AK164</f>
      </c>
      <c r="AL169" s="44">
        <f>AL161+AL157+AL168+AL164</f>
      </c>
      <c r="AM169" s="44">
        <f>AM161+AM157+AM168+AM164</f>
      </c>
      <c r="AN169" s="44">
        <f>AN161+AN157+AN168+AN164</f>
      </c>
      <c r="AO169" s="44">
        <f>AO161+AO157+AO168+AO164</f>
      </c>
      <c r="AP169" s="44">
        <f>AP161+AP157+AP168+AP164</f>
      </c>
      <c r="AQ169" s="44">
        <f>AQ161+AQ157+AQ168+AQ164</f>
      </c>
      <c r="AR169" s="44">
        <f>AR161+AR157+AR168+AR164</f>
      </c>
    </row>
    <row r="170">
      <c r="A170" s="59"/>
      <c r="B170" s="59"/>
      <c r="C170" s="59"/>
      <c r="D170" s="59"/>
      <c r="E170" s="59"/>
      <c r="F170" s="60" t="s">
        <v>1</v>
      </c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1" t="s">
        <v>2</v>
      </c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2" t="s">
        <v>3</v>
      </c>
      <c r="AD170" s="62"/>
      <c r="AE170" s="62"/>
      <c r="AF170" s="62"/>
      <c r="AG170" s="62"/>
      <c r="AH170" s="5" t="s">
        <v>4</v>
      </c>
      <c r="AI170" s="5"/>
      <c r="AJ170" s="5"/>
      <c r="AK170" s="5"/>
      <c r="AL170" s="5"/>
      <c r="AM170" s="5"/>
      <c r="AN170" s="5"/>
      <c r="AO170" s="5"/>
      <c r="AP170" s="5"/>
      <c r="AQ170" s="5"/>
      <c r="AR170" s="5"/>
    </row>
    <row r="171">
      <c r="A171" s="63" t="s">
        <v>5</v>
      </c>
      <c r="B171" s="59" t="s">
        <v>6</v>
      </c>
      <c r="C171" s="59" t="s">
        <v>7</v>
      </c>
      <c r="D171" s="59" t="s">
        <v>8</v>
      </c>
      <c r="E171" s="59" t="s">
        <v>9</v>
      </c>
      <c r="F171" s="64" t="s">
        <v>10</v>
      </c>
      <c r="G171" s="65" t="s">
        <v>11</v>
      </c>
      <c r="H171" s="66" t="s">
        <v>12</v>
      </c>
      <c r="I171" s="67" t="s">
        <v>13</v>
      </c>
      <c r="J171" s="67" t="s">
        <v>14</v>
      </c>
      <c r="K171" s="66" t="s">
        <v>15</v>
      </c>
      <c r="L171" s="68" t="s">
        <v>16</v>
      </c>
      <c r="M171" s="69" t="s">
        <v>17</v>
      </c>
      <c r="N171" s="70" t="s">
        <v>18</v>
      </c>
      <c r="O171" s="70" t="s">
        <v>19</v>
      </c>
      <c r="P171" s="70" t="s">
        <v>20</v>
      </c>
      <c r="Q171" s="61" t="s">
        <v>21</v>
      </c>
      <c r="R171" s="61" t="s">
        <v>22</v>
      </c>
      <c r="S171" s="61" t="s">
        <v>23</v>
      </c>
      <c r="T171" s="61" t="s">
        <v>24</v>
      </c>
      <c r="U171" s="71" t="s">
        <v>25</v>
      </c>
      <c r="V171" s="71" t="s">
        <v>26</v>
      </c>
      <c r="W171" s="71" t="s">
        <v>27</v>
      </c>
      <c r="X171" s="71" t="s">
        <v>28</v>
      </c>
      <c r="Y171" s="71" t="s">
        <v>29</v>
      </c>
      <c r="Z171" s="71" t="s">
        <v>30</v>
      </c>
      <c r="AA171" s="72" t="s">
        <v>31</v>
      </c>
      <c r="AB171" s="72" t="s">
        <v>32</v>
      </c>
      <c r="AC171" s="62" t="s">
        <v>33</v>
      </c>
      <c r="AD171" s="73" t="s">
        <v>34</v>
      </c>
      <c r="AE171" s="62" t="s">
        <v>35</v>
      </c>
      <c r="AF171" s="73" t="s">
        <v>36</v>
      </c>
      <c r="AG171" s="73" t="s">
        <v>37</v>
      </c>
      <c r="AH171" s="22" t="s">
        <v>38</v>
      </c>
      <c r="AI171" s="22" t="s">
        <v>39</v>
      </c>
      <c r="AJ171" s="22" t="s">
        <v>40</v>
      </c>
      <c r="AK171" s="22" t="s">
        <v>41</v>
      </c>
      <c r="AL171" s="22" t="s">
        <v>42</v>
      </c>
      <c r="AM171" s="22" t="s">
        <v>43</v>
      </c>
      <c r="AN171" s="22" t="s">
        <v>44</v>
      </c>
      <c r="AO171" s="22" t="s">
        <v>45</v>
      </c>
      <c r="AP171" s="22" t="s">
        <v>46</v>
      </c>
      <c r="AQ171" s="22" t="s">
        <v>47</v>
      </c>
      <c r="AR171" s="23" t="s">
        <v>48</v>
      </c>
    </row>
    <row r="172">
      <c r="A172" s="74">
        <v>46305</v>
      </c>
      <c r="B172" s="75" t="s">
        <v>69</v>
      </c>
      <c r="C172" s="76" t="s">
        <v>50</v>
      </c>
      <c r="D172" s="26" t="s">
        <v>51</v>
      </c>
      <c r="E172" s="75" t="s">
        <v>52</v>
      </c>
      <c r="F172" s="77">
        <f t="shared" ref="F172:F175" si="461">H172+G172</f>
      </c>
      <c r="G172" s="78">
        <v>2571.92</v>
      </c>
      <c r="H172" s="78">
        <v>393.77</v>
      </c>
      <c r="I172" s="75">
        <v>11</v>
      </c>
      <c r="J172" s="75">
        <v>11</v>
      </c>
      <c r="K172" s="78">
        <v>6946.4</v>
      </c>
      <c r="L172" s="79">
        <f t="shared" ref="L172:L188" si="382">AQ172/J172</f>
      </c>
      <c r="M172" s="80">
        <f t="shared" ref="M172:M188" si="328">K172/J172</f>
      </c>
      <c r="N172" s="81">
        <f t="shared" ref="N172:N188" si="238">F172/J172</f>
      </c>
      <c r="O172" s="81">
        <f t="shared" ref="O172:O188" si="184">K172/F172</f>
      </c>
      <c r="P172" s="81">
        <f t="shared" ref="P172:P188" si="81">K172/((300*AR172)+F172)</f>
      </c>
      <c r="Q172" s="81">
        <f t="shared" ref="Q172:Q188" si="45">F172/AJ172</f>
      </c>
      <c r="R172" s="81">
        <f t="shared" ref="R172:R188" si="9">F172/AK172</f>
      </c>
      <c r="S172" s="81">
        <f t="shared" ref="S172:S188" si="503">F172/AL172</f>
      </c>
      <c r="T172" s="81">
        <f t="shared" ref="T172:T188" si="400">F172/AM172</f>
      </c>
      <c r="U172" s="79">
        <f t="shared" ref="U172:U188" si="346">AI172/AJ172</f>
      </c>
      <c r="V172" s="79">
        <f t="shared" ref="V172:V188" si="256">AK172/AJ172</f>
      </c>
      <c r="W172" s="79">
        <f t="shared" ref="W172:W188" si="274">AL172/AK172</f>
      </c>
      <c r="X172" s="79">
        <f t="shared" ref="X172:X188" si="292">AM172/AL172</f>
      </c>
      <c r="Y172" s="79">
        <f t="shared" ref="Y172:Y188" si="202">AI172/AH172</f>
      </c>
      <c r="Z172" s="79">
        <f t="shared" ref="Z172:Z188" si="99">AM172/AI172</f>
      </c>
      <c r="AA172" s="80">
        <f t="shared" ref="AA172:AA188" si="63">F172/AH172*1000</f>
      </c>
      <c r="AB172" s="80">
        <f t="shared" ref="AB172:AB188" si="27">F172/AI172</f>
      </c>
      <c r="AC172" s="80">
        <f t="shared" ref="AC172:AC188" si="521">F172/AN172</f>
      </c>
      <c r="AD172" s="79">
        <f t="shared" ref="AD172:AD188" si="418">AN172/AJ172</f>
      </c>
      <c r="AE172" s="80">
        <f t="shared" ref="AE172:AE188" si="364">F172/AO172</f>
      </c>
      <c r="AF172" s="79">
        <f t="shared" ref="AF172:AF188" si="310">AO172/AJ172</f>
      </c>
      <c r="AG172" s="79">
        <f t="shared" ref="AG172:AG188" si="220">AP172/AJ172</f>
      </c>
      <c r="AH172" s="82">
        <v>32685</v>
      </c>
      <c r="AI172" s="35">
        <v>529</v>
      </c>
      <c r="AJ172" s="35">
        <v>562</v>
      </c>
      <c r="AK172" s="34">
        <v>61</v>
      </c>
      <c r="AL172" s="34">
        <v>7</v>
      </c>
      <c r="AM172" s="34">
        <v>7</v>
      </c>
      <c r="AN172" s="34">
        <v>97</v>
      </c>
      <c r="AO172" s="34">
        <v>123</v>
      </c>
      <c r="AP172" s="29">
        <v>10</v>
      </c>
      <c r="AQ172" s="29">
        <v>3</v>
      </c>
      <c r="AR172" s="36">
        <f t="shared" ref="AR172:AR175" si="142">COUNT(AQ172)</f>
      </c>
    </row>
    <row r="173">
      <c r="A173" s="74"/>
      <c r="B173" s="75" t="s">
        <v>69</v>
      </c>
      <c r="C173" s="76" t="s">
        <v>50</v>
      </c>
      <c r="D173" s="26" t="s">
        <v>51</v>
      </c>
      <c r="E173" s="75" t="s">
        <v>53</v>
      </c>
      <c r="F173" s="77">
        <f t="shared" si="461"/>
      </c>
      <c r="G173" s="83">
        <v>2349.46</v>
      </c>
      <c r="H173" s="78">
        <v>494.6</v>
      </c>
      <c r="I173" s="75">
        <v>13</v>
      </c>
      <c r="J173" s="75">
        <v>11</v>
      </c>
      <c r="K173" s="78">
        <v>6574.6</v>
      </c>
      <c r="L173" s="79">
        <f t="shared" si="382"/>
      </c>
      <c r="M173" s="80">
        <f t="shared" si="328"/>
      </c>
      <c r="N173" s="81">
        <f t="shared" si="238"/>
      </c>
      <c r="O173" s="81">
        <f t="shared" si="184"/>
      </c>
      <c r="P173" s="81">
        <f t="shared" si="81"/>
      </c>
      <c r="Q173" s="81">
        <f t="shared" si="45"/>
      </c>
      <c r="R173" s="81">
        <f t="shared" si="9"/>
      </c>
      <c r="S173" s="81">
        <f t="shared" si="503"/>
      </c>
      <c r="T173" s="81">
        <f t="shared" si="400"/>
      </c>
      <c r="U173" s="79">
        <f t="shared" si="346"/>
      </c>
      <c r="V173" s="79">
        <f t="shared" si="256"/>
      </c>
      <c r="W173" s="79">
        <f t="shared" si="274"/>
      </c>
      <c r="X173" s="79">
        <f t="shared" si="292"/>
      </c>
      <c r="Y173" s="79">
        <f t="shared" si="202"/>
      </c>
      <c r="Z173" s="79">
        <f t="shared" si="99"/>
      </c>
      <c r="AA173" s="80">
        <f t="shared" si="63"/>
      </c>
      <c r="AB173" s="80">
        <f t="shared" si="27"/>
      </c>
      <c r="AC173" s="80">
        <f t="shared" si="521"/>
      </c>
      <c r="AD173" s="79">
        <f t="shared" si="418"/>
      </c>
      <c r="AE173" s="80">
        <f t="shared" si="364"/>
      </c>
      <c r="AF173" s="79">
        <f t="shared" si="310"/>
      </c>
      <c r="AG173" s="79">
        <f t="shared" si="220"/>
      </c>
      <c r="AH173" s="84">
        <v>36982</v>
      </c>
      <c r="AI173" s="34">
        <v>567</v>
      </c>
      <c r="AJ173" s="34">
        <v>628</v>
      </c>
      <c r="AK173" s="34">
        <v>50</v>
      </c>
      <c r="AL173" s="34">
        <v>8</v>
      </c>
      <c r="AM173" s="34">
        <v>6</v>
      </c>
      <c r="AN173" s="34">
        <v>100</v>
      </c>
      <c r="AO173" s="34">
        <v>105</v>
      </c>
      <c r="AP173" s="34">
        <v>13</v>
      </c>
      <c r="AQ173" s="29">
        <v>2</v>
      </c>
      <c r="AR173" s="36">
        <f t="shared" si="142"/>
      </c>
    </row>
    <row r="174">
      <c r="A174" s="74"/>
      <c r="B174" s="75" t="s">
        <v>69</v>
      </c>
      <c r="C174" s="76" t="s">
        <v>50</v>
      </c>
      <c r="D174" s="26" t="s">
        <v>51</v>
      </c>
      <c r="E174" s="75" t="s">
        <v>54</v>
      </c>
      <c r="F174" s="77">
        <f t="shared" si="461"/>
      </c>
      <c r="G174" s="78">
        <v>2375.31</v>
      </c>
      <c r="H174" s="78">
        <v>510.46</v>
      </c>
      <c r="I174" s="75">
        <v>6</v>
      </c>
      <c r="J174" s="75">
        <v>4</v>
      </c>
      <c r="K174" s="78">
        <v>3166.7999999999993</v>
      </c>
      <c r="L174" s="79">
        <f t="shared" si="382"/>
      </c>
      <c r="M174" s="80">
        <f t="shared" si="328"/>
      </c>
      <c r="N174" s="81">
        <f t="shared" si="238"/>
      </c>
      <c r="O174" s="81">
        <f t="shared" si="184"/>
      </c>
      <c r="P174" s="81">
        <f t="shared" si="81"/>
      </c>
      <c r="Q174" s="81">
        <f t="shared" si="45"/>
      </c>
      <c r="R174" s="81">
        <f t="shared" si="9"/>
      </c>
      <c r="S174" s="81">
        <f t="shared" si="503"/>
      </c>
      <c r="T174" s="81">
        <f t="shared" si="400"/>
      </c>
      <c r="U174" s="79">
        <f t="shared" si="346"/>
      </c>
      <c r="V174" s="79">
        <f t="shared" si="256"/>
      </c>
      <c r="W174" s="79">
        <f t="shared" si="274"/>
      </c>
      <c r="X174" s="79">
        <f t="shared" si="292"/>
      </c>
      <c r="Y174" s="79">
        <f t="shared" si="202"/>
      </c>
      <c r="Z174" s="79">
        <f t="shared" si="99"/>
      </c>
      <c r="AA174" s="80">
        <f t="shared" si="63"/>
      </c>
      <c r="AB174" s="80">
        <f t="shared" si="27"/>
      </c>
      <c r="AC174" s="80">
        <f t="shared" si="521"/>
      </c>
      <c r="AD174" s="79">
        <f t="shared" si="418"/>
      </c>
      <c r="AE174" s="80">
        <f t="shared" si="364"/>
      </c>
      <c r="AF174" s="79">
        <f t="shared" si="310"/>
      </c>
      <c r="AG174" s="79">
        <f t="shared" si="220"/>
      </c>
      <c r="AH174" s="84">
        <v>42975</v>
      </c>
      <c r="AI174" s="34">
        <v>660</v>
      </c>
      <c r="AJ174" s="34">
        <v>828</v>
      </c>
      <c r="AK174" s="34">
        <v>40</v>
      </c>
      <c r="AL174" s="29">
        <v>4</v>
      </c>
      <c r="AM174" s="34">
        <v>3</v>
      </c>
      <c r="AN174" s="34">
        <v>88</v>
      </c>
      <c r="AO174" s="34">
        <v>62</v>
      </c>
      <c r="AP174" s="34">
        <v>7</v>
      </c>
      <c r="AQ174" s="29">
        <v>0</v>
      </c>
      <c r="AR174" s="36">
        <f t="shared" si="142"/>
      </c>
    </row>
    <row r="175">
      <c r="A175" s="74"/>
      <c r="B175" s="75" t="s">
        <v>69</v>
      </c>
      <c r="C175" s="76" t="s">
        <v>50</v>
      </c>
      <c r="D175" s="26" t="s">
        <v>51</v>
      </c>
      <c r="E175" s="75" t="s">
        <v>55</v>
      </c>
      <c r="F175" s="77">
        <f t="shared" si="461"/>
      </c>
      <c r="G175" s="78">
        <v>1300.82</v>
      </c>
      <c r="H175" s="78">
        <v>475.86</v>
      </c>
      <c r="I175" s="75">
        <v>7</v>
      </c>
      <c r="J175" s="75">
        <v>6</v>
      </c>
      <c r="K175" s="78">
        <v>3965.800000000003</v>
      </c>
      <c r="L175" s="79">
        <f t="shared" si="382"/>
      </c>
      <c r="M175" s="80">
        <f t="shared" si="328"/>
      </c>
      <c r="N175" s="81">
        <f t="shared" si="238"/>
      </c>
      <c r="O175" s="81">
        <f t="shared" si="184"/>
      </c>
      <c r="P175" s="81">
        <f t="shared" si="81"/>
      </c>
      <c r="Q175" s="81">
        <f t="shared" si="45"/>
      </c>
      <c r="R175" s="81">
        <f t="shared" si="9"/>
      </c>
      <c r="S175" s="81">
        <f t="shared" si="503"/>
      </c>
      <c r="T175" s="81">
        <f t="shared" si="400"/>
      </c>
      <c r="U175" s="79">
        <f t="shared" si="346"/>
      </c>
      <c r="V175" s="79">
        <f t="shared" si="256"/>
      </c>
      <c r="W175" s="79">
        <f t="shared" si="274"/>
      </c>
      <c r="X175" s="79">
        <f t="shared" si="292"/>
      </c>
      <c r="Y175" s="79">
        <f t="shared" si="202"/>
      </c>
      <c r="Z175" s="79">
        <f t="shared" si="99"/>
      </c>
      <c r="AA175" s="80">
        <f t="shared" si="63"/>
      </c>
      <c r="AB175" s="80">
        <f t="shared" si="27"/>
      </c>
      <c r="AC175" s="80">
        <f t="shared" si="521"/>
      </c>
      <c r="AD175" s="79">
        <f t="shared" si="418"/>
      </c>
      <c r="AE175" s="80">
        <f t="shared" si="364"/>
      </c>
      <c r="AF175" s="79">
        <f t="shared" si="310"/>
      </c>
      <c r="AG175" s="79">
        <f t="shared" si="220"/>
      </c>
      <c r="AH175" s="84">
        <v>18964</v>
      </c>
      <c r="AI175" s="34">
        <v>378</v>
      </c>
      <c r="AJ175" s="34">
        <v>496</v>
      </c>
      <c r="AK175" s="34">
        <v>51</v>
      </c>
      <c r="AL175" s="29">
        <v>5</v>
      </c>
      <c r="AM175" s="34">
        <v>4</v>
      </c>
      <c r="AN175" s="34">
        <v>75</v>
      </c>
      <c r="AO175" s="34">
        <v>92</v>
      </c>
      <c r="AP175" s="29">
        <v>6</v>
      </c>
      <c r="AQ175" s="29">
        <v>1</v>
      </c>
      <c r="AR175" s="36">
        <f t="shared" si="142"/>
      </c>
    </row>
    <row r="176">
      <c r="A176" s="74"/>
      <c r="B176" s="85" t="s">
        <v>56</v>
      </c>
      <c r="C176" s="85"/>
      <c r="D176" s="85"/>
      <c r="E176" s="85"/>
      <c r="F176" s="86">
        <f>SUM(F172:F175)</f>
      </c>
      <c r="G176" s="86">
        <f>SUM(G172:G175)</f>
      </c>
      <c r="H176" s="86">
        <f>SUM(H172:H175)</f>
      </c>
      <c r="I176" s="85">
        <f>SUM(I172:I175)</f>
      </c>
      <c r="J176" s="85">
        <f>SUM(J172:J175)</f>
      </c>
      <c r="K176" s="86">
        <f>SUM(K172:K175)</f>
      </c>
      <c r="L176" s="87">
        <f t="shared" si="382"/>
      </c>
      <c r="M176" s="88">
        <f t="shared" si="328"/>
      </c>
      <c r="N176" s="86">
        <f t="shared" si="238"/>
      </c>
      <c r="O176" s="86">
        <f t="shared" si="184"/>
      </c>
      <c r="P176" s="86">
        <f t="shared" si="81"/>
      </c>
      <c r="Q176" s="86">
        <f t="shared" si="45"/>
      </c>
      <c r="R176" s="86">
        <f t="shared" si="9"/>
      </c>
      <c r="S176" s="86">
        <f t="shared" si="503"/>
      </c>
      <c r="T176" s="86">
        <f t="shared" si="400"/>
      </c>
      <c r="U176" s="87">
        <f t="shared" si="346"/>
      </c>
      <c r="V176" s="87">
        <f t="shared" si="256"/>
      </c>
      <c r="W176" s="87">
        <f t="shared" si="274"/>
      </c>
      <c r="X176" s="87">
        <f t="shared" si="292"/>
      </c>
      <c r="Y176" s="87">
        <f t="shared" si="202"/>
      </c>
      <c r="Z176" s="87">
        <f t="shared" si="99"/>
      </c>
      <c r="AA176" s="88">
        <f t="shared" si="63"/>
      </c>
      <c r="AB176" s="88">
        <f t="shared" si="27"/>
      </c>
      <c r="AC176" s="88">
        <f t="shared" si="521"/>
      </c>
      <c r="AD176" s="87">
        <f t="shared" si="418"/>
      </c>
      <c r="AE176" s="88">
        <f t="shared" si="364"/>
      </c>
      <c r="AF176" s="87">
        <f t="shared" si="310"/>
      </c>
      <c r="AG176" s="87">
        <f t="shared" si="220"/>
      </c>
      <c r="AH176" s="40">
        <f>SUM(AH172:AH175)</f>
      </c>
      <c r="AI176" s="40">
        <f>SUM(AI172:AI175)</f>
      </c>
      <c r="AJ176" s="40">
        <f>SUM(AJ172:AJ175)</f>
      </c>
      <c r="AK176" s="40">
        <f>SUM(AK172:AK175)</f>
      </c>
      <c r="AL176" s="40">
        <f>SUM(AL172:AL175)</f>
      </c>
      <c r="AM176" s="40">
        <f>SUM(AM172:AM175)</f>
      </c>
      <c r="AN176" s="40">
        <f>SUM(AN172:AN175)</f>
      </c>
      <c r="AO176" s="40">
        <f>SUM(AO172:AO175)</f>
      </c>
      <c r="AP176" s="40">
        <f>SUM(AP172:AP175)</f>
      </c>
      <c r="AQ176" s="40">
        <f>SUM(AQ172:AQ175)</f>
      </c>
      <c r="AR176" s="44">
        <f>SUM(AR172:AR175)</f>
      </c>
    </row>
    <row r="177">
      <c r="A177" s="74"/>
      <c r="B177" s="75" t="s">
        <v>69</v>
      </c>
      <c r="C177" s="76" t="s">
        <v>50</v>
      </c>
      <c r="D177" s="75" t="s">
        <v>57</v>
      </c>
      <c r="E177" s="75" t="s">
        <v>58</v>
      </c>
      <c r="F177" s="77">
        <f t="shared" ref="F177:F179" si="462">H177+G177</f>
      </c>
      <c r="G177" s="78">
        <v>920.67</v>
      </c>
      <c r="H177" s="78">
        <v>427.57</v>
      </c>
      <c r="I177" s="75">
        <v>0</v>
      </c>
      <c r="J177" s="75">
        <v>0</v>
      </c>
      <c r="K177" s="78">
        <v>0</v>
      </c>
      <c r="L177" s="79">
        <f t="shared" si="382"/>
      </c>
      <c r="M177" s="80">
        <f t="shared" si="328"/>
      </c>
      <c r="N177" s="81">
        <f t="shared" si="238"/>
      </c>
      <c r="O177" s="81">
        <f t="shared" si="184"/>
      </c>
      <c r="P177" s="81">
        <f t="shared" si="81"/>
      </c>
      <c r="Q177" s="81">
        <f t="shared" si="45"/>
      </c>
      <c r="R177" s="81">
        <f t="shared" si="9"/>
      </c>
      <c r="S177" s="81">
        <f t="shared" si="503"/>
      </c>
      <c r="T177" s="81">
        <f t="shared" si="400"/>
      </c>
      <c r="U177" s="79">
        <f t="shared" si="346"/>
      </c>
      <c r="V177" s="79">
        <f t="shared" si="256"/>
      </c>
      <c r="W177" s="79">
        <f t="shared" si="274"/>
      </c>
      <c r="X177" s="79">
        <f t="shared" si="292"/>
      </c>
      <c r="Y177" s="79">
        <f t="shared" si="202"/>
      </c>
      <c r="Z177" s="79">
        <f t="shared" si="99"/>
      </c>
      <c r="AA177" s="80">
        <f t="shared" si="63"/>
      </c>
      <c r="AB177" s="80">
        <f t="shared" si="27"/>
      </c>
      <c r="AC177" s="80">
        <f t="shared" si="521"/>
      </c>
      <c r="AD177" s="79">
        <f t="shared" si="418"/>
      </c>
      <c r="AE177" s="80">
        <f t="shared" si="364"/>
      </c>
      <c r="AF177" s="79">
        <f t="shared" si="310"/>
      </c>
      <c r="AG177" s="79">
        <f t="shared" si="220"/>
      </c>
      <c r="AH177" s="82">
        <v>16237</v>
      </c>
      <c r="AI177" s="34">
        <v>332</v>
      </c>
      <c r="AJ177" s="34">
        <v>483</v>
      </c>
      <c r="AK177" s="34">
        <v>34</v>
      </c>
      <c r="AL177" s="29">
        <v>1</v>
      </c>
      <c r="AM177" s="29">
        <v>1</v>
      </c>
      <c r="AN177" s="34">
        <v>46</v>
      </c>
      <c r="AO177" s="34">
        <v>33</v>
      </c>
      <c r="AP177" s="34">
        <v>5</v>
      </c>
      <c r="AQ177" s="29">
        <v>0</v>
      </c>
      <c r="AR177" s="36">
        <f t="shared" ref="AR177:AR179" si="143">COUNT(AQ177)</f>
      </c>
    </row>
    <row r="178">
      <c r="A178" s="74"/>
      <c r="B178" s="75" t="s">
        <v>69</v>
      </c>
      <c r="C178" s="76" t="s">
        <v>50</v>
      </c>
      <c r="D178" s="75" t="s">
        <v>57</v>
      </c>
      <c r="E178" s="75" t="s">
        <v>59</v>
      </c>
      <c r="F178" s="77">
        <f t="shared" si="462"/>
      </c>
      <c r="G178" s="78">
        <v>618.66</v>
      </c>
      <c r="H178" s="78">
        <v>416.66</v>
      </c>
      <c r="I178" s="75">
        <v>3</v>
      </c>
      <c r="J178" s="75">
        <v>3</v>
      </c>
      <c r="K178" s="78">
        <v>2260.5999999999985</v>
      </c>
      <c r="L178" s="79">
        <f t="shared" si="382"/>
      </c>
      <c r="M178" s="80">
        <f t="shared" si="328"/>
      </c>
      <c r="N178" s="81">
        <f t="shared" si="238"/>
      </c>
      <c r="O178" s="81">
        <f t="shared" si="184"/>
      </c>
      <c r="P178" s="81">
        <f t="shared" si="81"/>
      </c>
      <c r="Q178" s="81">
        <f t="shared" si="45"/>
      </c>
      <c r="R178" s="81">
        <f t="shared" si="9"/>
      </c>
      <c r="S178" s="81">
        <f t="shared" si="503"/>
      </c>
      <c r="T178" s="81">
        <f t="shared" si="400"/>
      </c>
      <c r="U178" s="79">
        <f t="shared" si="346"/>
      </c>
      <c r="V178" s="79">
        <f t="shared" si="256"/>
      </c>
      <c r="W178" s="79">
        <f t="shared" si="274"/>
      </c>
      <c r="X178" s="79">
        <f t="shared" si="292"/>
      </c>
      <c r="Y178" s="79">
        <f t="shared" si="202"/>
      </c>
      <c r="Z178" s="79">
        <f t="shared" si="99"/>
      </c>
      <c r="AA178" s="80">
        <f t="shared" si="63"/>
      </c>
      <c r="AB178" s="80">
        <f t="shared" si="27"/>
      </c>
      <c r="AC178" s="80">
        <f t="shared" si="521"/>
      </c>
      <c r="AD178" s="79">
        <f t="shared" si="418"/>
      </c>
      <c r="AE178" s="80">
        <f t="shared" si="364"/>
      </c>
      <c r="AF178" s="79">
        <f t="shared" si="310"/>
      </c>
      <c r="AG178" s="79">
        <f t="shared" si="220"/>
      </c>
      <c r="AH178" s="82">
        <v>13023</v>
      </c>
      <c r="AI178" s="34">
        <v>328</v>
      </c>
      <c r="AJ178" s="34">
        <v>417</v>
      </c>
      <c r="AK178" s="34">
        <v>37</v>
      </c>
      <c r="AL178" s="29">
        <v>3</v>
      </c>
      <c r="AM178" s="29">
        <v>3</v>
      </c>
      <c r="AN178" s="34">
        <v>49</v>
      </c>
      <c r="AO178" s="34">
        <v>66</v>
      </c>
      <c r="AP178" s="34">
        <v>9</v>
      </c>
      <c r="AQ178" s="29">
        <v>0</v>
      </c>
      <c r="AR178" s="36">
        <f t="shared" si="143"/>
      </c>
    </row>
    <row r="179">
      <c r="A179" s="74"/>
      <c r="B179" s="75" t="s">
        <v>69</v>
      </c>
      <c r="C179" s="76" t="s">
        <v>50</v>
      </c>
      <c r="D179" s="75" t="s">
        <v>57</v>
      </c>
      <c r="E179" s="75" t="s">
        <v>60</v>
      </c>
      <c r="F179" s="77">
        <f t="shared" si="462"/>
      </c>
      <c r="G179" s="78">
        <v>444.37</v>
      </c>
      <c r="H179" s="78">
        <v>519.93</v>
      </c>
      <c r="I179" s="75">
        <v>2</v>
      </c>
      <c r="J179" s="75">
        <v>2</v>
      </c>
      <c r="K179" s="78">
        <v>1336.800000000003</v>
      </c>
      <c r="L179" s="79">
        <f t="shared" si="382"/>
      </c>
      <c r="M179" s="80">
        <f t="shared" si="328"/>
      </c>
      <c r="N179" s="81">
        <f t="shared" si="238"/>
      </c>
      <c r="O179" s="81">
        <f t="shared" si="184"/>
      </c>
      <c r="P179" s="81">
        <f t="shared" si="81"/>
      </c>
      <c r="Q179" s="81">
        <f t="shared" si="45"/>
      </c>
      <c r="R179" s="81">
        <f t="shared" si="9"/>
      </c>
      <c r="S179" s="81">
        <f t="shared" si="503"/>
      </c>
      <c r="T179" s="81">
        <f t="shared" si="400"/>
      </c>
      <c r="U179" s="79">
        <f t="shared" si="346"/>
      </c>
      <c r="V179" s="79">
        <f t="shared" si="256"/>
      </c>
      <c r="W179" s="79">
        <f t="shared" si="274"/>
      </c>
      <c r="X179" s="79">
        <f t="shared" si="292"/>
      </c>
      <c r="Y179" s="79">
        <f t="shared" si="202"/>
      </c>
      <c r="Z179" s="79">
        <f t="shared" si="99"/>
      </c>
      <c r="AA179" s="80">
        <f t="shared" si="63"/>
      </c>
      <c r="AB179" s="80">
        <f t="shared" si="27"/>
      </c>
      <c r="AC179" s="80">
        <f t="shared" si="521"/>
      </c>
      <c r="AD179" s="79">
        <f t="shared" si="418"/>
      </c>
      <c r="AE179" s="80">
        <f t="shared" si="364"/>
      </c>
      <c r="AF179" s="79">
        <f t="shared" si="310"/>
      </c>
      <c r="AG179" s="79">
        <f t="shared" si="220"/>
      </c>
      <c r="AH179" s="82">
        <v>13910</v>
      </c>
      <c r="AI179" s="34">
        <v>406</v>
      </c>
      <c r="AJ179" s="34">
        <v>558</v>
      </c>
      <c r="AK179" s="34">
        <v>26</v>
      </c>
      <c r="AL179" s="34">
        <v>2</v>
      </c>
      <c r="AM179" s="34">
        <v>2</v>
      </c>
      <c r="AN179" s="34">
        <v>43</v>
      </c>
      <c r="AO179" s="34">
        <v>30</v>
      </c>
      <c r="AP179" s="34">
        <v>6</v>
      </c>
      <c r="AQ179" s="29">
        <v>0</v>
      </c>
      <c r="AR179" s="36">
        <f t="shared" si="143"/>
      </c>
    </row>
    <row r="180">
      <c r="A180" s="74"/>
      <c r="B180" s="85" t="s">
        <v>56</v>
      </c>
      <c r="C180" s="85"/>
      <c r="D180" s="85"/>
      <c r="E180" s="85"/>
      <c r="F180" s="86">
        <f>SUM(F177:F179)</f>
      </c>
      <c r="G180" s="86">
        <f>SUM(G177:G179)</f>
      </c>
      <c r="H180" s="86">
        <f>SUM(H177:H179)</f>
      </c>
      <c r="I180" s="85">
        <f>SUM(I177:I179)</f>
      </c>
      <c r="J180" s="85">
        <f>SUM(J177:J179)</f>
      </c>
      <c r="K180" s="86">
        <f>SUM(K177:K179)</f>
      </c>
      <c r="L180" s="87">
        <f t="shared" si="382"/>
      </c>
      <c r="M180" s="88">
        <f t="shared" si="328"/>
      </c>
      <c r="N180" s="86">
        <f t="shared" si="238"/>
      </c>
      <c r="O180" s="86">
        <f t="shared" si="184"/>
      </c>
      <c r="P180" s="86">
        <f t="shared" si="81"/>
      </c>
      <c r="Q180" s="86">
        <f t="shared" si="45"/>
      </c>
      <c r="R180" s="86">
        <f t="shared" si="9"/>
      </c>
      <c r="S180" s="86">
        <f t="shared" si="503"/>
      </c>
      <c r="T180" s="86">
        <f t="shared" si="400"/>
      </c>
      <c r="U180" s="87">
        <f t="shared" si="346"/>
      </c>
      <c r="V180" s="87">
        <f t="shared" si="256"/>
      </c>
      <c r="W180" s="87">
        <f t="shared" si="274"/>
      </c>
      <c r="X180" s="87">
        <f t="shared" si="292"/>
      </c>
      <c r="Y180" s="87">
        <f t="shared" si="202"/>
      </c>
      <c r="Z180" s="87">
        <f t="shared" si="99"/>
      </c>
      <c r="AA180" s="88">
        <f t="shared" si="63"/>
      </c>
      <c r="AB180" s="88">
        <f t="shared" si="27"/>
      </c>
      <c r="AC180" s="88">
        <f t="shared" si="521"/>
      </c>
      <c r="AD180" s="87">
        <f t="shared" si="418"/>
      </c>
      <c r="AE180" s="88">
        <f t="shared" si="364"/>
      </c>
      <c r="AF180" s="87">
        <f t="shared" si="310"/>
      </c>
      <c r="AG180" s="87">
        <f t="shared" si="220"/>
      </c>
      <c r="AH180" s="40">
        <f>SUM(AH177:AH179)</f>
      </c>
      <c r="AI180" s="40">
        <f>SUM(AI177:AI179)</f>
      </c>
      <c r="AJ180" s="40">
        <f>SUM(AJ177:AJ179)</f>
      </c>
      <c r="AK180" s="40">
        <f>SUM(AK177:AK179)</f>
      </c>
      <c r="AL180" s="40">
        <f>SUM(AL177:AL179)</f>
      </c>
      <c r="AM180" s="40">
        <f>SUM(AM177:AM179)</f>
      </c>
      <c r="AN180" s="40">
        <f>SUM(AN177:AN179)</f>
      </c>
      <c r="AO180" s="40">
        <f>SUM(AO177:AO179)</f>
      </c>
      <c r="AP180" s="40">
        <f>SUM(AP177:AP179)</f>
      </c>
      <c r="AQ180" s="40">
        <f>SUM(AQ177:AQ179)</f>
      </c>
      <c r="AR180" s="44">
        <f>SUM(AR177:AR179)</f>
      </c>
    </row>
    <row r="181">
      <c r="A181" s="74"/>
      <c r="B181" s="75" t="s">
        <v>69</v>
      </c>
      <c r="C181" s="76" t="s">
        <v>50</v>
      </c>
      <c r="D181" s="75" t="s">
        <v>62</v>
      </c>
      <c r="E181" s="75" t="s">
        <v>61</v>
      </c>
      <c r="F181" s="77">
        <f t="shared" ref="F181:F182" si="463">H181+G181</f>
      </c>
      <c r="G181" s="78">
        <v>373.48</v>
      </c>
      <c r="H181" s="78">
        <v>621.85</v>
      </c>
      <c r="I181" s="75">
        <v>4</v>
      </c>
      <c r="J181" s="75">
        <v>3</v>
      </c>
      <c r="K181" s="78">
        <v>2234.399999999998</v>
      </c>
      <c r="L181" s="79">
        <f t="shared" si="382"/>
      </c>
      <c r="M181" s="80">
        <f t="shared" si="328"/>
      </c>
      <c r="N181" s="81">
        <f t="shared" si="238"/>
      </c>
      <c r="O181" s="81">
        <f t="shared" si="184"/>
      </c>
      <c r="P181" s="81">
        <f t="shared" si="81"/>
      </c>
      <c r="Q181" s="81">
        <f t="shared" si="45"/>
      </c>
      <c r="R181" s="81">
        <f t="shared" si="9"/>
      </c>
      <c r="S181" s="81">
        <f t="shared" si="503"/>
      </c>
      <c r="T181" s="81">
        <f t="shared" si="400"/>
      </c>
      <c r="U181" s="79">
        <f t="shared" si="346"/>
      </c>
      <c r="V181" s="79">
        <f t="shared" si="256"/>
      </c>
      <c r="W181" s="79">
        <f t="shared" si="274"/>
      </c>
      <c r="X181" s="79">
        <f t="shared" si="292"/>
      </c>
      <c r="Y181" s="79">
        <f t="shared" si="202"/>
      </c>
      <c r="Z181" s="79">
        <f t="shared" si="99"/>
      </c>
      <c r="AA181" s="80">
        <f t="shared" si="63"/>
      </c>
      <c r="AB181" s="80">
        <f t="shared" si="27"/>
      </c>
      <c r="AC181" s="80">
        <f t="shared" si="521"/>
      </c>
      <c r="AD181" s="79">
        <f t="shared" si="418"/>
      </c>
      <c r="AE181" s="80">
        <f t="shared" si="364"/>
      </c>
      <c r="AF181" s="79">
        <f t="shared" si="310"/>
      </c>
      <c r="AG181" s="79">
        <f t="shared" si="220"/>
      </c>
      <c r="AH181" s="82">
        <v>15596</v>
      </c>
      <c r="AI181" s="34">
        <v>500</v>
      </c>
      <c r="AJ181" s="34">
        <v>723</v>
      </c>
      <c r="AK181" s="34">
        <v>41</v>
      </c>
      <c r="AL181" s="34">
        <v>3</v>
      </c>
      <c r="AM181" s="34">
        <v>2</v>
      </c>
      <c r="AN181" s="34">
        <v>51</v>
      </c>
      <c r="AO181" s="34">
        <v>69</v>
      </c>
      <c r="AP181" s="34">
        <v>7</v>
      </c>
      <c r="AQ181" s="29">
        <v>1</v>
      </c>
      <c r="AR181" s="36">
        <f t="shared" ref="AR181:AR182" si="144">COUNT(AQ181)</f>
      </c>
    </row>
    <row r="182">
      <c r="A182" s="74"/>
      <c r="B182" s="75" t="s">
        <v>69</v>
      </c>
      <c r="C182" s="76" t="s">
        <v>50</v>
      </c>
      <c r="D182" s="75" t="s">
        <v>62</v>
      </c>
      <c r="E182" s="75" t="s">
        <v>63</v>
      </c>
      <c r="F182" s="77">
        <f t="shared" si="463"/>
      </c>
      <c r="G182" s="78">
        <v>561.39</v>
      </c>
      <c r="H182" s="78">
        <v>827.97</v>
      </c>
      <c r="I182" s="75">
        <v>5</v>
      </c>
      <c r="J182" s="76">
        <v>5</v>
      </c>
      <c r="K182" s="78">
        <v>3238.800000000003</v>
      </c>
      <c r="L182" s="79">
        <f t="shared" si="382"/>
      </c>
      <c r="M182" s="80">
        <f t="shared" si="328"/>
      </c>
      <c r="N182" s="81">
        <f t="shared" si="238"/>
      </c>
      <c r="O182" s="81">
        <f t="shared" si="184"/>
      </c>
      <c r="P182" s="81">
        <f t="shared" si="81"/>
      </c>
      <c r="Q182" s="81">
        <f t="shared" si="45"/>
      </c>
      <c r="R182" s="81">
        <f t="shared" si="9"/>
      </c>
      <c r="S182" s="81">
        <f t="shared" si="503"/>
      </c>
      <c r="T182" s="81">
        <f t="shared" si="400"/>
      </c>
      <c r="U182" s="79">
        <f t="shared" si="346"/>
      </c>
      <c r="V182" s="79">
        <f t="shared" si="256"/>
      </c>
      <c r="W182" s="79">
        <f t="shared" si="274"/>
      </c>
      <c r="X182" s="79">
        <f t="shared" si="292"/>
      </c>
      <c r="Y182" s="79">
        <f t="shared" si="202"/>
      </c>
      <c r="Z182" s="79">
        <f t="shared" si="99"/>
      </c>
      <c r="AA182" s="80">
        <f t="shared" si="63"/>
      </c>
      <c r="AB182" s="80">
        <f t="shared" si="27"/>
      </c>
      <c r="AC182" s="80">
        <f t="shared" si="521"/>
      </c>
      <c r="AD182" s="79">
        <f t="shared" si="418"/>
      </c>
      <c r="AE182" s="80">
        <f t="shared" si="364"/>
      </c>
      <c r="AF182" s="79">
        <f t="shared" si="310"/>
      </c>
      <c r="AG182" s="79">
        <f t="shared" si="220"/>
      </c>
      <c r="AH182" s="82">
        <v>16630</v>
      </c>
      <c r="AI182" s="34">
        <v>541</v>
      </c>
      <c r="AJ182" s="34">
        <v>730</v>
      </c>
      <c r="AK182" s="34">
        <v>48</v>
      </c>
      <c r="AL182" s="34">
        <v>1</v>
      </c>
      <c r="AM182" s="34">
        <v>1</v>
      </c>
      <c r="AN182" s="34">
        <v>47</v>
      </c>
      <c r="AO182" s="34">
        <v>38</v>
      </c>
      <c r="AP182" s="34">
        <v>4</v>
      </c>
      <c r="AQ182" s="29">
        <v>1</v>
      </c>
      <c r="AR182" s="36">
        <f t="shared" si="144"/>
      </c>
    </row>
    <row r="183">
      <c r="A183" s="74"/>
      <c r="B183" s="85" t="s">
        <v>56</v>
      </c>
      <c r="C183" s="85"/>
      <c r="D183" s="85"/>
      <c r="E183" s="85"/>
      <c r="F183" s="86">
        <f>SUM(F181:F182)</f>
      </c>
      <c r="G183" s="86">
        <f>SUM(G181:G182)</f>
      </c>
      <c r="H183" s="86">
        <f>SUM(H181:H182)</f>
      </c>
      <c r="I183" s="85">
        <f>SUM(I181:I182)</f>
      </c>
      <c r="J183" s="85">
        <f>SUM(J181:J182)</f>
      </c>
      <c r="K183" s="86">
        <f>SUM(K181:K182)</f>
      </c>
      <c r="L183" s="87">
        <f t="shared" si="382"/>
      </c>
      <c r="M183" s="88">
        <f t="shared" si="328"/>
      </c>
      <c r="N183" s="86">
        <f t="shared" si="238"/>
      </c>
      <c r="O183" s="86">
        <f t="shared" si="184"/>
      </c>
      <c r="P183" s="86">
        <f t="shared" si="81"/>
      </c>
      <c r="Q183" s="86">
        <f t="shared" si="45"/>
      </c>
      <c r="R183" s="86">
        <f t="shared" si="9"/>
      </c>
      <c r="S183" s="86">
        <f t="shared" si="503"/>
      </c>
      <c r="T183" s="86">
        <f t="shared" si="400"/>
      </c>
      <c r="U183" s="87">
        <f t="shared" si="346"/>
      </c>
      <c r="V183" s="87">
        <f t="shared" si="256"/>
      </c>
      <c r="W183" s="87">
        <f t="shared" si="274"/>
      </c>
      <c r="X183" s="87">
        <f t="shared" si="292"/>
      </c>
      <c r="Y183" s="87">
        <f t="shared" si="202"/>
      </c>
      <c r="Z183" s="87">
        <f t="shared" si="99"/>
      </c>
      <c r="AA183" s="88">
        <f t="shared" si="63"/>
      </c>
      <c r="AB183" s="88">
        <f t="shared" si="27"/>
      </c>
      <c r="AC183" s="88">
        <f t="shared" si="521"/>
      </c>
      <c r="AD183" s="87">
        <f t="shared" si="418"/>
      </c>
      <c r="AE183" s="88">
        <f t="shared" si="364"/>
      </c>
      <c r="AF183" s="87">
        <f t="shared" si="310"/>
      </c>
      <c r="AG183" s="87">
        <f t="shared" si="220"/>
      </c>
      <c r="AH183" s="40">
        <f>SUM(AH181:AH182)</f>
      </c>
      <c r="AI183" s="40">
        <f>SUM(AI181:AI182)</f>
      </c>
      <c r="AJ183" s="40">
        <f>SUM(AJ181:AJ182)</f>
      </c>
      <c r="AK183" s="40">
        <f>SUM(AK181:AK182)</f>
      </c>
      <c r="AL183" s="40">
        <f>SUM(AL181:AL182)</f>
      </c>
      <c r="AM183" s="40">
        <f>SUM(AM181:AM182)</f>
      </c>
      <c r="AN183" s="40">
        <f>SUM(AN181:AN182)</f>
      </c>
      <c r="AO183" s="40">
        <f>SUM(AO181:AO182)</f>
      </c>
      <c r="AP183" s="40">
        <f>SUM(AP181:AP182)</f>
      </c>
      <c r="AQ183" s="40">
        <f>SUM(AQ181:AQ182)</f>
      </c>
      <c r="AR183" s="44">
        <f>SUM(AR181:AR182)</f>
      </c>
    </row>
    <row r="184">
      <c r="A184" s="74"/>
      <c r="B184" s="75" t="s">
        <v>69</v>
      </c>
      <c r="C184" s="76" t="s">
        <v>50</v>
      </c>
      <c r="D184" s="75" t="s">
        <v>71</v>
      </c>
      <c r="E184" s="76" t="s">
        <v>64</v>
      </c>
      <c r="F184" s="77">
        <f t="shared" ref="F184:F186" si="464">H184+G184</f>
      </c>
      <c r="G184" s="78">
        <v>777.52</v>
      </c>
      <c r="H184" s="78">
        <v>1429.18</v>
      </c>
      <c r="I184" s="75">
        <v>7</v>
      </c>
      <c r="J184" s="75">
        <v>6</v>
      </c>
      <c r="K184" s="78">
        <v>5205.5999999999985</v>
      </c>
      <c r="L184" s="79">
        <f t="shared" si="382"/>
      </c>
      <c r="M184" s="80">
        <f t="shared" si="328"/>
      </c>
      <c r="N184" s="81">
        <f t="shared" si="238"/>
      </c>
      <c r="O184" s="81">
        <f t="shared" si="184"/>
      </c>
      <c r="P184" s="81">
        <f t="shared" si="81"/>
      </c>
      <c r="Q184" s="81">
        <f t="shared" si="45"/>
      </c>
      <c r="R184" s="81">
        <f t="shared" si="9"/>
      </c>
      <c r="S184" s="81">
        <f t="shared" si="503"/>
      </c>
      <c r="T184" s="81">
        <f t="shared" si="400"/>
      </c>
      <c r="U184" s="79">
        <f t="shared" si="346"/>
      </c>
      <c r="V184" s="79">
        <f t="shared" si="256"/>
      </c>
      <c r="W184" s="79">
        <f t="shared" si="274"/>
      </c>
      <c r="X184" s="79">
        <f t="shared" si="292"/>
      </c>
      <c r="Y184" s="79">
        <f t="shared" si="202"/>
      </c>
      <c r="Z184" s="79">
        <f t="shared" si="99"/>
      </c>
      <c r="AA184" s="80">
        <f t="shared" si="63"/>
      </c>
      <c r="AB184" s="80">
        <f t="shared" si="27"/>
      </c>
      <c r="AC184" s="80">
        <f t="shared" si="521"/>
      </c>
      <c r="AD184" s="79">
        <f t="shared" si="418"/>
      </c>
      <c r="AE184" s="80">
        <f t="shared" si="364"/>
      </c>
      <c r="AF184" s="79">
        <f t="shared" si="310"/>
      </c>
      <c r="AG184" s="79">
        <f t="shared" si="220"/>
      </c>
      <c r="AH184" s="82">
        <v>27341</v>
      </c>
      <c r="AI184" s="34">
        <v>1038</v>
      </c>
      <c r="AJ184" s="34">
        <v>1200</v>
      </c>
      <c r="AK184" s="34">
        <v>73</v>
      </c>
      <c r="AL184" s="29">
        <v>8</v>
      </c>
      <c r="AM184" s="29">
        <v>7</v>
      </c>
      <c r="AN184" s="34">
        <v>87</v>
      </c>
      <c r="AO184" s="34">
        <v>103</v>
      </c>
      <c r="AP184" s="34">
        <v>12</v>
      </c>
      <c r="AQ184" s="29">
        <v>0</v>
      </c>
      <c r="AR184" s="36">
        <f t="shared" ref="AR184:AR186" si="145">COUNT(AQ184)</f>
      </c>
    </row>
    <row r="185">
      <c r="A185" s="74"/>
      <c r="B185" s="75" t="s">
        <v>69</v>
      </c>
      <c r="C185" s="76" t="s">
        <v>50</v>
      </c>
      <c r="D185" s="75" t="s">
        <v>71</v>
      </c>
      <c r="E185" s="76" t="s">
        <v>65</v>
      </c>
      <c r="F185" s="77">
        <f t="shared" si="464"/>
      </c>
      <c r="G185" s="78">
        <v>2594.97</v>
      </c>
      <c r="H185" s="78">
        <v>1777.13</v>
      </c>
      <c r="I185" s="75">
        <v>9</v>
      </c>
      <c r="J185" s="75">
        <v>7</v>
      </c>
      <c r="K185" s="78">
        <v>5499.4000000000015</v>
      </c>
      <c r="L185" s="79">
        <f t="shared" si="382"/>
      </c>
      <c r="M185" s="80">
        <f t="shared" si="328"/>
      </c>
      <c r="N185" s="81">
        <f t="shared" si="238"/>
      </c>
      <c r="O185" s="81">
        <f t="shared" si="184"/>
      </c>
      <c r="P185" s="81">
        <f t="shared" si="81"/>
      </c>
      <c r="Q185" s="81">
        <f t="shared" si="45"/>
      </c>
      <c r="R185" s="81">
        <f t="shared" si="9"/>
      </c>
      <c r="S185" s="81">
        <f t="shared" si="503"/>
      </c>
      <c r="T185" s="81">
        <f t="shared" si="400"/>
      </c>
      <c r="U185" s="79">
        <f t="shared" si="346"/>
      </c>
      <c r="V185" s="79">
        <f t="shared" si="256"/>
      </c>
      <c r="W185" s="79">
        <f t="shared" si="274"/>
      </c>
      <c r="X185" s="79">
        <f t="shared" si="292"/>
      </c>
      <c r="Y185" s="79">
        <f t="shared" si="202"/>
      </c>
      <c r="Z185" s="79">
        <f t="shared" si="99"/>
      </c>
      <c r="AA185" s="80">
        <f t="shared" si="63"/>
      </c>
      <c r="AB185" s="80">
        <f t="shared" si="27"/>
      </c>
      <c r="AC185" s="80">
        <f t="shared" si="521"/>
      </c>
      <c r="AD185" s="79">
        <f t="shared" si="418"/>
      </c>
      <c r="AE185" s="80">
        <f t="shared" si="364"/>
      </c>
      <c r="AF185" s="79">
        <f t="shared" si="310"/>
      </c>
      <c r="AG185" s="79">
        <f t="shared" si="220"/>
      </c>
      <c r="AH185" s="82">
        <v>53673</v>
      </c>
      <c r="AI185" s="34">
        <v>1602</v>
      </c>
      <c r="AJ185" s="34">
        <v>1888</v>
      </c>
      <c r="AK185" s="34">
        <v>81</v>
      </c>
      <c r="AL185" s="34">
        <v>8</v>
      </c>
      <c r="AM185" s="34">
        <v>7</v>
      </c>
      <c r="AN185" s="34">
        <v>168</v>
      </c>
      <c r="AO185" s="34">
        <v>168</v>
      </c>
      <c r="AP185" s="34">
        <v>13</v>
      </c>
      <c r="AQ185" s="29">
        <v>0</v>
      </c>
      <c r="AR185" s="36">
        <f t="shared" si="145"/>
      </c>
    </row>
    <row r="186">
      <c r="A186" s="74"/>
      <c r="B186" s="75" t="s">
        <v>69</v>
      </c>
      <c r="C186" s="76" t="s">
        <v>50</v>
      </c>
      <c r="D186" s="75" t="s">
        <v>71</v>
      </c>
      <c r="E186" s="75" t="s">
        <v>66</v>
      </c>
      <c r="F186" s="77">
        <f t="shared" si="464"/>
      </c>
      <c r="G186" s="90">
        <v>2436.5</v>
      </c>
      <c r="H186" s="90">
        <v>869.21</v>
      </c>
      <c r="I186" s="75">
        <v>13</v>
      </c>
      <c r="J186" s="75">
        <v>12</v>
      </c>
      <c r="K186" s="78">
        <v>8892.80000000001</v>
      </c>
      <c r="L186" s="79">
        <f t="shared" si="382"/>
      </c>
      <c r="M186" s="80">
        <f t="shared" si="328"/>
      </c>
      <c r="N186" s="81">
        <f t="shared" si="238"/>
      </c>
      <c r="O186" s="81">
        <f t="shared" si="184"/>
      </c>
      <c r="P186" s="81">
        <f t="shared" si="81"/>
      </c>
      <c r="Q186" s="81">
        <f t="shared" si="45"/>
      </c>
      <c r="R186" s="81">
        <f t="shared" si="9"/>
      </c>
      <c r="S186" s="81">
        <f t="shared" si="503"/>
      </c>
      <c r="T186" s="81">
        <f t="shared" si="400"/>
      </c>
      <c r="U186" s="79">
        <f t="shared" si="346"/>
      </c>
      <c r="V186" s="79">
        <f t="shared" si="256"/>
      </c>
      <c r="W186" s="79">
        <f t="shared" si="274"/>
      </c>
      <c r="X186" s="79">
        <f t="shared" si="292"/>
      </c>
      <c r="Y186" s="79">
        <f t="shared" si="202"/>
      </c>
      <c r="Z186" s="79">
        <f t="shared" si="99"/>
      </c>
      <c r="AA186" s="80">
        <f t="shared" si="63"/>
      </c>
      <c r="AB186" s="80">
        <f t="shared" si="27"/>
      </c>
      <c r="AC186" s="80">
        <f t="shared" si="521"/>
      </c>
      <c r="AD186" s="79">
        <f t="shared" si="418"/>
      </c>
      <c r="AE186" s="80">
        <f t="shared" si="364"/>
      </c>
      <c r="AF186" s="79">
        <f t="shared" si="310"/>
      </c>
      <c r="AG186" s="79">
        <f t="shared" si="220"/>
      </c>
      <c r="AH186" s="82">
        <v>59340</v>
      </c>
      <c r="AI186" s="34">
        <v>1086</v>
      </c>
      <c r="AJ186" s="34">
        <v>1264</v>
      </c>
      <c r="AK186" s="34">
        <v>34</v>
      </c>
      <c r="AL186" s="29">
        <v>10</v>
      </c>
      <c r="AM186" s="29">
        <v>9</v>
      </c>
      <c r="AN186" s="34">
        <v>136</v>
      </c>
      <c r="AO186" s="34">
        <v>63</v>
      </c>
      <c r="AP186" s="34">
        <v>13</v>
      </c>
      <c r="AQ186" s="29">
        <v>3</v>
      </c>
      <c r="AR186" s="36">
        <f t="shared" si="145"/>
      </c>
    </row>
    <row r="187">
      <c r="A187" s="74"/>
      <c r="B187" s="85" t="s">
        <v>56</v>
      </c>
      <c r="C187" s="85"/>
      <c r="D187" s="85"/>
      <c r="E187" s="85"/>
      <c r="F187" s="86">
        <f>SUM(F184:F186)</f>
      </c>
      <c r="G187" s="86">
        <f>SUM(G184:G186)</f>
      </c>
      <c r="H187" s="86">
        <f>SUM(H184:H186)</f>
      </c>
      <c r="I187" s="85">
        <f>SUM(I184:I186)</f>
      </c>
      <c r="J187" s="85">
        <f>SUM(J184:J186)</f>
      </c>
      <c r="K187" s="86">
        <f>SUM(K184:K186)</f>
      </c>
      <c r="L187" s="87">
        <f t="shared" si="382"/>
      </c>
      <c r="M187" s="88">
        <f t="shared" si="328"/>
      </c>
      <c r="N187" s="86">
        <f t="shared" si="238"/>
      </c>
      <c r="O187" s="86">
        <f t="shared" si="184"/>
      </c>
      <c r="P187" s="86">
        <f t="shared" si="81"/>
      </c>
      <c r="Q187" s="86">
        <f t="shared" si="45"/>
      </c>
      <c r="R187" s="86">
        <f t="shared" si="9"/>
      </c>
      <c r="S187" s="86">
        <f t="shared" si="503"/>
      </c>
      <c r="T187" s="86">
        <f t="shared" si="400"/>
      </c>
      <c r="U187" s="87">
        <f t="shared" si="346"/>
      </c>
      <c r="V187" s="87">
        <f t="shared" si="256"/>
      </c>
      <c r="W187" s="87">
        <f t="shared" si="274"/>
      </c>
      <c r="X187" s="87">
        <f t="shared" si="292"/>
      </c>
      <c r="Y187" s="87">
        <f t="shared" si="202"/>
      </c>
      <c r="Z187" s="87">
        <f t="shared" si="99"/>
      </c>
      <c r="AA187" s="88">
        <f t="shared" si="63"/>
      </c>
      <c r="AB187" s="88">
        <f t="shared" si="27"/>
      </c>
      <c r="AC187" s="88">
        <f t="shared" si="521"/>
      </c>
      <c r="AD187" s="87">
        <f t="shared" si="418"/>
      </c>
      <c r="AE187" s="88">
        <f t="shared" si="364"/>
      </c>
      <c r="AF187" s="87">
        <f t="shared" si="310"/>
      </c>
      <c r="AG187" s="87">
        <f t="shared" si="220"/>
      </c>
      <c r="AH187" s="40">
        <f>SUM(AH184:AH186)</f>
      </c>
      <c r="AI187" s="40">
        <f>SUM(AI184:AI186)</f>
      </c>
      <c r="AJ187" s="40">
        <f>SUM(AJ184:AJ186)</f>
      </c>
      <c r="AK187" s="40">
        <f>SUM(AK184:AK186)</f>
      </c>
      <c r="AL187" s="40">
        <f>SUM(AL184:AL186)</f>
      </c>
      <c r="AM187" s="40">
        <f>SUM(AM184:AM186)</f>
      </c>
      <c r="AN187" s="40">
        <f>SUM(AN184:AN186)</f>
      </c>
      <c r="AO187" s="40">
        <f>SUM(AO184:AO186)</f>
      </c>
      <c r="AP187" s="40">
        <f>SUM(AP184:AP186)</f>
      </c>
      <c r="AQ187" s="40">
        <f>SUM(AQ184:AQ186)</f>
      </c>
      <c r="AR187" s="44">
        <f>SUM(AR184:AR186)</f>
      </c>
    </row>
    <row r="188">
      <c r="A188" s="95"/>
      <c r="B188" s="96" t="s">
        <v>67</v>
      </c>
      <c r="C188" s="96"/>
      <c r="D188" s="96"/>
      <c r="E188" s="96"/>
      <c r="F188" s="97">
        <f>F180+F176+F187+F183</f>
      </c>
      <c r="G188" s="97">
        <f>G180+G176+G187+G183</f>
      </c>
      <c r="H188" s="97">
        <f>H180+H176+H187+H183</f>
      </c>
      <c r="I188" s="97">
        <f>I180+I176+I187+I183</f>
      </c>
      <c r="J188" s="97">
        <f>J180+J176+J187+J183</f>
      </c>
      <c r="K188" s="97">
        <f>K180+K176+K187+K183</f>
      </c>
      <c r="L188" s="98">
        <f t="shared" si="382"/>
      </c>
      <c r="M188" s="99">
        <f t="shared" si="328"/>
      </c>
      <c r="N188" s="97">
        <f t="shared" si="238"/>
      </c>
      <c r="O188" s="97">
        <f t="shared" si="184"/>
      </c>
      <c r="P188" s="97">
        <f t="shared" si="81"/>
      </c>
      <c r="Q188" s="97">
        <f t="shared" si="45"/>
      </c>
      <c r="R188" s="97">
        <f t="shared" si="9"/>
      </c>
      <c r="S188" s="97">
        <f t="shared" si="503"/>
      </c>
      <c r="T188" s="97">
        <f t="shared" si="400"/>
      </c>
      <c r="U188" s="98">
        <f t="shared" si="346"/>
      </c>
      <c r="V188" s="98">
        <f t="shared" si="256"/>
      </c>
      <c r="W188" s="98">
        <f t="shared" si="274"/>
      </c>
      <c r="X188" s="98">
        <f t="shared" si="292"/>
      </c>
      <c r="Y188" s="98">
        <f t="shared" si="202"/>
      </c>
      <c r="Z188" s="98">
        <f t="shared" si="99"/>
      </c>
      <c r="AA188" s="99">
        <f t="shared" si="63"/>
      </c>
      <c r="AB188" s="99">
        <f t="shared" si="27"/>
      </c>
      <c r="AC188" s="99">
        <f t="shared" si="521"/>
      </c>
      <c r="AD188" s="98">
        <f t="shared" si="418"/>
      </c>
      <c r="AE188" s="99">
        <f t="shared" si="364"/>
      </c>
      <c r="AF188" s="98">
        <f t="shared" si="310"/>
      </c>
      <c r="AG188" s="98">
        <f t="shared" si="220"/>
      </c>
      <c r="AH188" s="44">
        <f>AH180+AH176+AH187+AH183</f>
      </c>
      <c r="AI188" s="44">
        <f>AI180+AI176+AI187+AI183</f>
      </c>
      <c r="AJ188" s="44">
        <f>AJ180+AJ176+AJ187+AJ183</f>
      </c>
      <c r="AK188" s="44">
        <f>AK180+AK176+AK187+AK183</f>
      </c>
      <c r="AL188" s="44">
        <f>AL180+AL176+AL187+AL183</f>
      </c>
      <c r="AM188" s="44">
        <f>AM180+AM176+AM187+AM183</f>
      </c>
      <c r="AN188" s="44">
        <f>AN180+AN176+AN187+AN183</f>
      </c>
      <c r="AO188" s="44">
        <f>AO180+AO176+AO187+AO183</f>
      </c>
      <c r="AP188" s="44">
        <f>AP180+AP176+AP187+AP183</f>
      </c>
      <c r="AQ188" s="44">
        <f>AQ180+AQ176+AQ187+AQ183</f>
      </c>
      <c r="AR188" s="44">
        <f>AR180+AR176+AR187+AR183</f>
      </c>
    </row>
    <row r="189">
      <c r="A189" s="59"/>
      <c r="B189" s="59"/>
      <c r="C189" s="59"/>
      <c r="D189" s="59"/>
      <c r="E189" s="59"/>
      <c r="F189" s="60" t="s">
        <v>1</v>
      </c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1" t="s">
        <v>2</v>
      </c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2" t="s">
        <v>3</v>
      </c>
      <c r="AD189" s="62"/>
      <c r="AE189" s="62"/>
      <c r="AF189" s="62"/>
      <c r="AG189" s="62"/>
      <c r="AH189" s="5" t="s">
        <v>4</v>
      </c>
      <c r="AI189" s="5"/>
      <c r="AJ189" s="5"/>
      <c r="AK189" s="5"/>
      <c r="AL189" s="5"/>
      <c r="AM189" s="5"/>
      <c r="AN189" s="5"/>
      <c r="AO189" s="5"/>
      <c r="AP189" s="5"/>
      <c r="AQ189" s="5"/>
      <c r="AR189" s="5"/>
    </row>
    <row r="190">
      <c r="A190" s="63" t="s">
        <v>5</v>
      </c>
      <c r="B190" s="59" t="s">
        <v>6</v>
      </c>
      <c r="C190" s="59" t="s">
        <v>7</v>
      </c>
      <c r="D190" s="59" t="s">
        <v>8</v>
      </c>
      <c r="E190" s="59" t="s">
        <v>9</v>
      </c>
      <c r="F190" s="64" t="s">
        <v>10</v>
      </c>
      <c r="G190" s="65" t="s">
        <v>11</v>
      </c>
      <c r="H190" s="66" t="s">
        <v>12</v>
      </c>
      <c r="I190" s="67" t="s">
        <v>13</v>
      </c>
      <c r="J190" s="67" t="s">
        <v>14</v>
      </c>
      <c r="K190" s="66" t="s">
        <v>15</v>
      </c>
      <c r="L190" s="68" t="s">
        <v>16</v>
      </c>
      <c r="M190" s="69" t="s">
        <v>17</v>
      </c>
      <c r="N190" s="70" t="s">
        <v>18</v>
      </c>
      <c r="O190" s="70" t="s">
        <v>19</v>
      </c>
      <c r="P190" s="70" t="s">
        <v>20</v>
      </c>
      <c r="Q190" s="61" t="s">
        <v>21</v>
      </c>
      <c r="R190" s="61" t="s">
        <v>22</v>
      </c>
      <c r="S190" s="61" t="s">
        <v>23</v>
      </c>
      <c r="T190" s="61" t="s">
        <v>24</v>
      </c>
      <c r="U190" s="71" t="s">
        <v>25</v>
      </c>
      <c r="V190" s="71" t="s">
        <v>26</v>
      </c>
      <c r="W190" s="71" t="s">
        <v>27</v>
      </c>
      <c r="X190" s="71" t="s">
        <v>28</v>
      </c>
      <c r="Y190" s="71" t="s">
        <v>29</v>
      </c>
      <c r="Z190" s="71" t="s">
        <v>30</v>
      </c>
      <c r="AA190" s="72" t="s">
        <v>31</v>
      </c>
      <c r="AB190" s="72" t="s">
        <v>32</v>
      </c>
      <c r="AC190" s="62" t="s">
        <v>33</v>
      </c>
      <c r="AD190" s="73" t="s">
        <v>34</v>
      </c>
      <c r="AE190" s="62" t="s">
        <v>35</v>
      </c>
      <c r="AF190" s="73" t="s">
        <v>36</v>
      </c>
      <c r="AG190" s="73" t="s">
        <v>37</v>
      </c>
      <c r="AH190" s="22" t="s">
        <v>38</v>
      </c>
      <c r="AI190" s="22" t="s">
        <v>39</v>
      </c>
      <c r="AJ190" s="22" t="s">
        <v>40</v>
      </c>
      <c r="AK190" s="22" t="s">
        <v>41</v>
      </c>
      <c r="AL190" s="22" t="s">
        <v>42</v>
      </c>
      <c r="AM190" s="22" t="s">
        <v>43</v>
      </c>
      <c r="AN190" s="22" t="s">
        <v>44</v>
      </c>
      <c r="AO190" s="22" t="s">
        <v>45</v>
      </c>
      <c r="AP190" s="22" t="s">
        <v>46</v>
      </c>
      <c r="AQ190" s="22" t="s">
        <v>47</v>
      </c>
      <c r="AR190" s="23" t="s">
        <v>48</v>
      </c>
    </row>
    <row r="191">
      <c r="A191" s="74">
        <v>46306</v>
      </c>
      <c r="B191" s="75" t="s">
        <v>69</v>
      </c>
      <c r="C191" s="76" t="s">
        <v>50</v>
      </c>
      <c r="D191" s="75" t="s">
        <v>51</v>
      </c>
      <c r="E191" s="75" t="s">
        <v>52</v>
      </c>
      <c r="F191" s="77">
        <f t="shared" ref="F191:F194" si="465">H191+G191</f>
      </c>
      <c r="G191" s="78">
        <v>1842.85</v>
      </c>
      <c r="H191" s="78">
        <v>644.6</v>
      </c>
      <c r="I191" s="75">
        <v>9</v>
      </c>
      <c r="J191" s="75">
        <v>9</v>
      </c>
      <c r="K191" s="78">
        <v>5817.4</v>
      </c>
      <c r="L191" s="79">
        <f t="shared" ref="L191:L207" si="383">AQ191/J191</f>
      </c>
      <c r="M191" s="80">
        <f t="shared" ref="M191:M207" si="329">K191/J191</f>
      </c>
      <c r="N191" s="81">
        <f t="shared" ref="N191:N207" si="239">F191/J191</f>
      </c>
      <c r="O191" s="81">
        <f t="shared" ref="O191:O207" si="185">K191/F191</f>
      </c>
      <c r="P191" s="81">
        <f t="shared" ref="P191:P207" si="82">K191/((300*AR191)+F191)</f>
      </c>
      <c r="Q191" s="81">
        <f t="shared" ref="Q191:Q207" si="46">F191/AJ191</f>
      </c>
      <c r="R191" s="81">
        <f t="shared" ref="R191:R207" si="10">F191/AK191</f>
      </c>
      <c r="S191" s="81">
        <f t="shared" ref="S191:S207" si="504">F191/AL191</f>
      </c>
      <c r="T191" s="81">
        <f t="shared" ref="T191:T207" si="401">F191/AM191</f>
      </c>
      <c r="U191" s="79">
        <f t="shared" ref="U191:U207" si="347">AI191/AJ191</f>
      </c>
      <c r="V191" s="79">
        <f t="shared" ref="V191:V207" si="257">AK191/AJ191</f>
      </c>
      <c r="W191" s="79">
        <f t="shared" ref="W191:W207" si="275">AL191/AK191</f>
      </c>
      <c r="X191" s="79">
        <f t="shared" ref="X191:X207" si="293">AM191/AL191</f>
      </c>
      <c r="Y191" s="79">
        <f t="shared" ref="Y191:Y207" si="203">AI191/AH191</f>
      </c>
      <c r="Z191" s="79">
        <f t="shared" ref="Z191:Z207" si="100">AM191/AI191</f>
      </c>
      <c r="AA191" s="80">
        <f t="shared" ref="AA191:AA207" si="64">F191/AH191*1000</f>
      </c>
      <c r="AB191" s="80">
        <f t="shared" ref="AB191:AB207" si="28">F191/AI191</f>
      </c>
      <c r="AC191" s="80">
        <f t="shared" ref="AC191:AC207" si="522">F191/AN191</f>
      </c>
      <c r="AD191" s="79">
        <f t="shared" ref="AD191:AD207" si="419">AN191/AJ191</f>
      </c>
      <c r="AE191" s="80">
        <f t="shared" ref="AE191:AE207" si="365">F191/AO191</f>
      </c>
      <c r="AF191" s="79">
        <f t="shared" ref="AF191:AF207" si="311">AO191/AJ191</f>
      </c>
      <c r="AG191" s="79">
        <f t="shared" ref="AG191:AG207" si="221">AP191/AJ191</f>
      </c>
      <c r="AH191" s="82">
        <v>30552</v>
      </c>
      <c r="AI191" s="35">
        <v>522</v>
      </c>
      <c r="AJ191" s="35">
        <v>625</v>
      </c>
      <c r="AK191" s="34">
        <v>50</v>
      </c>
      <c r="AL191" s="34">
        <v>6</v>
      </c>
      <c r="AM191" s="34">
        <v>5</v>
      </c>
      <c r="AN191" s="34">
        <v>67</v>
      </c>
      <c r="AO191" s="34">
        <v>46</v>
      </c>
      <c r="AP191" s="29">
        <v>10</v>
      </c>
      <c r="AQ191" s="29">
        <v>1</v>
      </c>
      <c r="AR191" s="36">
        <f t="shared" ref="AR191:AR194" si="146">COUNT(AQ191)</f>
      </c>
    </row>
    <row r="192">
      <c r="A192" s="74"/>
      <c r="B192" s="75" t="s">
        <v>69</v>
      </c>
      <c r="C192" s="76" t="s">
        <v>50</v>
      </c>
      <c r="D192" s="75" t="s">
        <v>51</v>
      </c>
      <c r="E192" s="75" t="s">
        <v>53</v>
      </c>
      <c r="F192" s="77">
        <f t="shared" si="465"/>
      </c>
      <c r="G192" s="83">
        <v>1520.86</v>
      </c>
      <c r="H192" s="78">
        <v>444.5</v>
      </c>
      <c r="I192" s="75">
        <v>2</v>
      </c>
      <c r="J192" s="75">
        <v>2</v>
      </c>
      <c r="K192" s="78">
        <v>1200.000000000001</v>
      </c>
      <c r="L192" s="79">
        <f t="shared" si="383"/>
      </c>
      <c r="M192" s="80">
        <f t="shared" si="329"/>
      </c>
      <c r="N192" s="81">
        <f t="shared" si="239"/>
      </c>
      <c r="O192" s="81">
        <f t="shared" si="185"/>
      </c>
      <c r="P192" s="81">
        <f t="shared" si="82"/>
      </c>
      <c r="Q192" s="81">
        <f t="shared" si="46"/>
      </c>
      <c r="R192" s="81">
        <f t="shared" si="10"/>
      </c>
      <c r="S192" s="81">
        <f t="shared" si="504"/>
      </c>
      <c r="T192" s="81">
        <f t="shared" si="401"/>
      </c>
      <c r="U192" s="79">
        <f t="shared" si="347"/>
      </c>
      <c r="V192" s="79">
        <f t="shared" si="257"/>
      </c>
      <c r="W192" s="79">
        <f t="shared" si="275"/>
      </c>
      <c r="X192" s="79">
        <f t="shared" si="293"/>
      </c>
      <c r="Y192" s="79">
        <f t="shared" si="203"/>
      </c>
      <c r="Z192" s="79">
        <f t="shared" si="100"/>
      </c>
      <c r="AA192" s="80">
        <f t="shared" si="64"/>
      </c>
      <c r="AB192" s="80">
        <f t="shared" si="28"/>
      </c>
      <c r="AC192" s="80">
        <f t="shared" si="522"/>
      </c>
      <c r="AD192" s="79">
        <f t="shared" si="419"/>
      </c>
      <c r="AE192" s="80">
        <f t="shared" si="365"/>
      </c>
      <c r="AF192" s="79">
        <f t="shared" si="311"/>
      </c>
      <c r="AG192" s="79">
        <f t="shared" si="221"/>
      </c>
      <c r="AH192" s="84">
        <v>24413</v>
      </c>
      <c r="AI192" s="34">
        <v>443</v>
      </c>
      <c r="AJ192" s="34">
        <v>548</v>
      </c>
      <c r="AK192" s="34">
        <v>60</v>
      </c>
      <c r="AL192" s="34">
        <v>2</v>
      </c>
      <c r="AM192" s="34">
        <v>1</v>
      </c>
      <c r="AN192" s="34">
        <v>78</v>
      </c>
      <c r="AO192" s="34">
        <v>70</v>
      </c>
      <c r="AP192" s="34">
        <v>9</v>
      </c>
      <c r="AQ192" s="29">
        <v>1</v>
      </c>
      <c r="AR192" s="36">
        <f t="shared" si="146"/>
      </c>
    </row>
    <row r="193">
      <c r="A193" s="74"/>
      <c r="B193" s="75" t="s">
        <v>69</v>
      </c>
      <c r="C193" s="76" t="s">
        <v>50</v>
      </c>
      <c r="D193" s="75" t="s">
        <v>51</v>
      </c>
      <c r="E193" s="75" t="s">
        <v>54</v>
      </c>
      <c r="F193" s="77">
        <f t="shared" si="465"/>
      </c>
      <c r="G193" s="78">
        <v>1498.78</v>
      </c>
      <c r="H193" s="78">
        <v>423.73</v>
      </c>
      <c r="I193" s="75">
        <v>7</v>
      </c>
      <c r="J193" s="75">
        <v>7</v>
      </c>
      <c r="K193" s="78">
        <v>4550.400000000001</v>
      </c>
      <c r="L193" s="79">
        <f t="shared" si="383"/>
      </c>
      <c r="M193" s="80">
        <f t="shared" si="329"/>
      </c>
      <c r="N193" s="81">
        <f t="shared" si="239"/>
      </c>
      <c r="O193" s="81">
        <f t="shared" si="185"/>
      </c>
      <c r="P193" s="81">
        <f t="shared" si="82"/>
      </c>
      <c r="Q193" s="81">
        <f t="shared" si="46"/>
      </c>
      <c r="R193" s="81">
        <f t="shared" si="10"/>
      </c>
      <c r="S193" s="81">
        <f t="shared" si="504"/>
      </c>
      <c r="T193" s="81">
        <f t="shared" si="401"/>
      </c>
      <c r="U193" s="79">
        <f t="shared" si="347"/>
      </c>
      <c r="V193" s="79">
        <f t="shared" si="257"/>
      </c>
      <c r="W193" s="79">
        <f t="shared" si="275"/>
      </c>
      <c r="X193" s="79">
        <f t="shared" si="293"/>
      </c>
      <c r="Y193" s="79">
        <f t="shared" si="203"/>
      </c>
      <c r="Z193" s="79">
        <f t="shared" si="100"/>
      </c>
      <c r="AA193" s="80">
        <f t="shared" si="64"/>
      </c>
      <c r="AB193" s="80">
        <f t="shared" si="28"/>
      </c>
      <c r="AC193" s="80">
        <f t="shared" si="522"/>
      </c>
      <c r="AD193" s="79">
        <f t="shared" si="419"/>
      </c>
      <c r="AE193" s="80">
        <f t="shared" si="365"/>
      </c>
      <c r="AF193" s="79">
        <f t="shared" si="311"/>
      </c>
      <c r="AG193" s="79">
        <f t="shared" si="221"/>
      </c>
      <c r="AH193" s="84">
        <v>23525</v>
      </c>
      <c r="AI193" s="34">
        <v>414</v>
      </c>
      <c r="AJ193" s="34">
        <v>549</v>
      </c>
      <c r="AK193" s="34">
        <v>50</v>
      </c>
      <c r="AL193" s="29">
        <v>5</v>
      </c>
      <c r="AM193" s="34">
        <v>5</v>
      </c>
      <c r="AN193" s="34">
        <v>70</v>
      </c>
      <c r="AO193" s="34">
        <v>44</v>
      </c>
      <c r="AP193" s="34">
        <v>8</v>
      </c>
      <c r="AQ193" s="29">
        <v>2</v>
      </c>
      <c r="AR193" s="36">
        <f t="shared" si="146"/>
      </c>
    </row>
    <row r="194">
      <c r="A194" s="74"/>
      <c r="B194" s="75" t="s">
        <v>69</v>
      </c>
      <c r="C194" s="76" t="s">
        <v>50</v>
      </c>
      <c r="D194" s="75" t="s">
        <v>51</v>
      </c>
      <c r="E194" s="75" t="s">
        <v>55</v>
      </c>
      <c r="F194" s="77">
        <f t="shared" si="465"/>
      </c>
      <c r="G194" s="78">
        <v>1068.78</v>
      </c>
      <c r="H194" s="78">
        <v>387.91</v>
      </c>
      <c r="I194" s="75">
        <v>4</v>
      </c>
      <c r="J194" s="75">
        <v>4</v>
      </c>
      <c r="K194" s="78">
        <v>3198</v>
      </c>
      <c r="L194" s="79">
        <f t="shared" si="383"/>
      </c>
      <c r="M194" s="80">
        <f t="shared" si="329"/>
      </c>
      <c r="N194" s="81">
        <f t="shared" si="239"/>
      </c>
      <c r="O194" s="81">
        <f t="shared" si="185"/>
      </c>
      <c r="P194" s="81">
        <f t="shared" si="82"/>
      </c>
      <c r="Q194" s="81">
        <f t="shared" si="46"/>
      </c>
      <c r="R194" s="81">
        <f t="shared" si="10"/>
      </c>
      <c r="S194" s="81">
        <f t="shared" si="504"/>
      </c>
      <c r="T194" s="81">
        <f t="shared" si="401"/>
      </c>
      <c r="U194" s="79">
        <f t="shared" si="347"/>
      </c>
      <c r="V194" s="79">
        <f t="shared" si="257"/>
      </c>
      <c r="W194" s="79">
        <f t="shared" si="275"/>
      </c>
      <c r="X194" s="79">
        <f t="shared" si="293"/>
      </c>
      <c r="Y194" s="79">
        <f t="shared" si="203"/>
      </c>
      <c r="Z194" s="79">
        <f t="shared" si="100"/>
      </c>
      <c r="AA194" s="80">
        <f t="shared" si="64"/>
      </c>
      <c r="AB194" s="80">
        <f t="shared" si="28"/>
      </c>
      <c r="AC194" s="80">
        <f t="shared" si="522"/>
      </c>
      <c r="AD194" s="79">
        <f t="shared" si="419"/>
      </c>
      <c r="AE194" s="80">
        <f t="shared" si="365"/>
      </c>
      <c r="AF194" s="79">
        <f t="shared" si="311"/>
      </c>
      <c r="AG194" s="79">
        <f t="shared" si="221"/>
      </c>
      <c r="AH194" s="84">
        <v>16446</v>
      </c>
      <c r="AI194" s="34">
        <v>300</v>
      </c>
      <c r="AJ194" s="34">
        <v>388</v>
      </c>
      <c r="AK194" s="34">
        <v>49</v>
      </c>
      <c r="AL194" s="29">
        <v>2</v>
      </c>
      <c r="AM194" s="34">
        <v>2</v>
      </c>
      <c r="AN194" s="34">
        <v>47</v>
      </c>
      <c r="AO194" s="34">
        <v>34</v>
      </c>
      <c r="AP194" s="29">
        <v>4</v>
      </c>
      <c r="AQ194" s="29">
        <v>1</v>
      </c>
      <c r="AR194" s="36">
        <f t="shared" si="146"/>
      </c>
    </row>
    <row r="195">
      <c r="A195" s="74"/>
      <c r="B195" s="85" t="s">
        <v>56</v>
      </c>
      <c r="C195" s="85"/>
      <c r="D195" s="85"/>
      <c r="E195" s="85"/>
      <c r="F195" s="86">
        <f>SUM(F191:F194)</f>
      </c>
      <c r="G195" s="86">
        <f>SUM(G191:G194)</f>
      </c>
      <c r="H195" s="86">
        <f>SUM(H191:H194)</f>
      </c>
      <c r="I195" s="85">
        <f>SUM(I191:I194)</f>
      </c>
      <c r="J195" s="85">
        <f>SUM(J191:J194)</f>
      </c>
      <c r="K195" s="86">
        <f>SUM(K191:K194)</f>
      </c>
      <c r="L195" s="87">
        <f t="shared" si="383"/>
      </c>
      <c r="M195" s="88">
        <f t="shared" si="329"/>
      </c>
      <c r="N195" s="86">
        <f t="shared" si="239"/>
      </c>
      <c r="O195" s="86">
        <f t="shared" si="185"/>
      </c>
      <c r="P195" s="86">
        <f t="shared" si="82"/>
      </c>
      <c r="Q195" s="86">
        <f t="shared" si="46"/>
      </c>
      <c r="R195" s="86">
        <f t="shared" si="10"/>
      </c>
      <c r="S195" s="86">
        <f t="shared" si="504"/>
      </c>
      <c r="T195" s="86">
        <f t="shared" si="401"/>
      </c>
      <c r="U195" s="87">
        <f t="shared" si="347"/>
      </c>
      <c r="V195" s="87">
        <f t="shared" si="257"/>
      </c>
      <c r="W195" s="87">
        <f t="shared" si="275"/>
      </c>
      <c r="X195" s="87">
        <f t="shared" si="293"/>
      </c>
      <c r="Y195" s="87">
        <f t="shared" si="203"/>
      </c>
      <c r="Z195" s="87">
        <f t="shared" si="100"/>
      </c>
      <c r="AA195" s="88">
        <f t="shared" si="64"/>
      </c>
      <c r="AB195" s="88">
        <f t="shared" si="28"/>
      </c>
      <c r="AC195" s="88">
        <f t="shared" si="522"/>
      </c>
      <c r="AD195" s="87">
        <f t="shared" si="419"/>
      </c>
      <c r="AE195" s="88">
        <f t="shared" si="365"/>
      </c>
      <c r="AF195" s="87">
        <f t="shared" si="311"/>
      </c>
      <c r="AG195" s="87">
        <f t="shared" si="221"/>
      </c>
      <c r="AH195" s="40">
        <f>SUM(AH191:AH194)</f>
      </c>
      <c r="AI195" s="40">
        <f>SUM(AI191:AI194)</f>
      </c>
      <c r="AJ195" s="40">
        <f>SUM(AJ191:AJ194)</f>
      </c>
      <c r="AK195" s="40">
        <f>SUM(AK191:AK194)</f>
      </c>
      <c r="AL195" s="40">
        <f>SUM(AL191:AL194)</f>
      </c>
      <c r="AM195" s="40">
        <f>SUM(AM191:AM194)</f>
      </c>
      <c r="AN195" s="40">
        <f>SUM(AN191:AN194)</f>
      </c>
      <c r="AO195" s="40">
        <f>SUM(AO191:AO194)</f>
      </c>
      <c r="AP195" s="40">
        <f>SUM(AP191:AP194)</f>
      </c>
      <c r="AQ195" s="40">
        <f>SUM(AQ191:AQ194)</f>
      </c>
      <c r="AR195" s="44">
        <f>SUM(AR191:AR194)</f>
      </c>
    </row>
    <row r="196">
      <c r="A196" s="74"/>
      <c r="B196" s="75" t="s">
        <v>69</v>
      </c>
      <c r="C196" s="76" t="s">
        <v>50</v>
      </c>
      <c r="D196" s="75" t="s">
        <v>57</v>
      </c>
      <c r="E196" s="75" t="s">
        <v>58</v>
      </c>
      <c r="F196" s="77">
        <f t="shared" ref="F196:F198" si="466">H196+G196</f>
      </c>
      <c r="G196" s="78">
        <v>654.39</v>
      </c>
      <c r="H196" s="78">
        <v>520.71</v>
      </c>
      <c r="I196" s="75">
        <v>1</v>
      </c>
      <c r="J196" s="75">
        <v>1</v>
      </c>
      <c r="K196" s="78">
        <v>862.7999999999993</v>
      </c>
      <c r="L196" s="79">
        <f t="shared" si="383"/>
      </c>
      <c r="M196" s="80">
        <f t="shared" si="329"/>
      </c>
      <c r="N196" s="81">
        <f t="shared" si="239"/>
      </c>
      <c r="O196" s="81">
        <f t="shared" si="185"/>
      </c>
      <c r="P196" s="81">
        <f t="shared" si="82"/>
      </c>
      <c r="Q196" s="81">
        <f t="shared" si="46"/>
      </c>
      <c r="R196" s="81">
        <f t="shared" si="10"/>
      </c>
      <c r="S196" s="81">
        <f t="shared" si="504"/>
      </c>
      <c r="T196" s="81">
        <f t="shared" si="401"/>
      </c>
      <c r="U196" s="79">
        <f t="shared" si="347"/>
      </c>
      <c r="V196" s="79">
        <f t="shared" si="257"/>
      </c>
      <c r="W196" s="79">
        <f t="shared" si="275"/>
      </c>
      <c r="X196" s="79">
        <f t="shared" si="293"/>
      </c>
      <c r="Y196" s="79">
        <f t="shared" si="203"/>
      </c>
      <c r="Z196" s="79">
        <f t="shared" si="100"/>
      </c>
      <c r="AA196" s="80">
        <f t="shared" si="64"/>
      </c>
      <c r="AB196" s="80">
        <f t="shared" si="28"/>
      </c>
      <c r="AC196" s="80">
        <f t="shared" si="522"/>
      </c>
      <c r="AD196" s="79">
        <f t="shared" si="419"/>
      </c>
      <c r="AE196" s="80">
        <f t="shared" si="365"/>
      </c>
      <c r="AF196" s="79">
        <f t="shared" si="311"/>
      </c>
      <c r="AG196" s="79">
        <f t="shared" si="221"/>
      </c>
      <c r="AH196" s="82">
        <v>12196</v>
      </c>
      <c r="AI196" s="34">
        <v>308</v>
      </c>
      <c r="AJ196" s="34">
        <v>414</v>
      </c>
      <c r="AK196" s="34">
        <v>33</v>
      </c>
      <c r="AL196" s="29">
        <v>2</v>
      </c>
      <c r="AM196" s="29">
        <v>2</v>
      </c>
      <c r="AN196" s="34">
        <v>55</v>
      </c>
      <c r="AO196" s="34">
        <v>59</v>
      </c>
      <c r="AP196" s="34">
        <v>0</v>
      </c>
      <c r="AQ196" s="29">
        <v>0</v>
      </c>
      <c r="AR196" s="36">
        <f t="shared" ref="AR196:AR198" si="147">COUNT(AQ196)</f>
      </c>
    </row>
    <row r="197">
      <c r="A197" s="74"/>
      <c r="B197" s="75" t="s">
        <v>69</v>
      </c>
      <c r="C197" s="76" t="s">
        <v>50</v>
      </c>
      <c r="D197" s="75" t="s">
        <v>57</v>
      </c>
      <c r="E197" s="75" t="s">
        <v>59</v>
      </c>
      <c r="F197" s="77">
        <f t="shared" si="466"/>
      </c>
      <c r="G197" s="78">
        <v>395.46</v>
      </c>
      <c r="H197" s="78">
        <v>292.32</v>
      </c>
      <c r="I197" s="75">
        <v>0</v>
      </c>
      <c r="J197" s="75">
        <v>0</v>
      </c>
      <c r="K197" s="78">
        <v>0</v>
      </c>
      <c r="L197" s="79">
        <f t="shared" si="383"/>
      </c>
      <c r="M197" s="80">
        <f t="shared" si="329"/>
      </c>
      <c r="N197" s="81">
        <f t="shared" si="239"/>
      </c>
      <c r="O197" s="81">
        <f t="shared" si="185"/>
      </c>
      <c r="P197" s="81">
        <f t="shared" si="82"/>
      </c>
      <c r="Q197" s="81">
        <f t="shared" si="46"/>
      </c>
      <c r="R197" s="81">
        <f t="shared" si="10"/>
      </c>
      <c r="S197" s="81">
        <f t="shared" si="504"/>
      </c>
      <c r="T197" s="81">
        <f t="shared" si="401"/>
      </c>
      <c r="U197" s="79">
        <f t="shared" si="347"/>
      </c>
      <c r="V197" s="79">
        <f t="shared" si="257"/>
      </c>
      <c r="W197" s="79">
        <f t="shared" si="275"/>
      </c>
      <c r="X197" s="79">
        <f t="shared" si="293"/>
      </c>
      <c r="Y197" s="79">
        <f t="shared" si="203"/>
      </c>
      <c r="Z197" s="79">
        <f t="shared" si="100"/>
      </c>
      <c r="AA197" s="80">
        <f t="shared" si="64"/>
      </c>
      <c r="AB197" s="80">
        <f t="shared" si="28"/>
      </c>
      <c r="AC197" s="80">
        <f t="shared" si="522"/>
      </c>
      <c r="AD197" s="79">
        <f t="shared" si="419"/>
      </c>
      <c r="AE197" s="80">
        <f t="shared" si="365"/>
      </c>
      <c r="AF197" s="79">
        <f t="shared" si="311"/>
      </c>
      <c r="AG197" s="79">
        <f t="shared" si="221"/>
      </c>
      <c r="AH197" s="82">
        <v>7146</v>
      </c>
      <c r="AI197" s="34">
        <v>157</v>
      </c>
      <c r="AJ197" s="34">
        <v>229</v>
      </c>
      <c r="AK197" s="34">
        <v>20</v>
      </c>
      <c r="AL197" s="29">
        <v>0</v>
      </c>
      <c r="AM197" s="29">
        <v>0</v>
      </c>
      <c r="AN197" s="34">
        <v>30</v>
      </c>
      <c r="AO197" s="34">
        <v>27</v>
      </c>
      <c r="AP197" s="34">
        <v>2</v>
      </c>
      <c r="AQ197" s="29">
        <v>0</v>
      </c>
      <c r="AR197" s="36">
        <f t="shared" si="147"/>
      </c>
    </row>
    <row r="198">
      <c r="A198" s="74"/>
      <c r="B198" s="75" t="s">
        <v>69</v>
      </c>
      <c r="C198" s="76" t="s">
        <v>50</v>
      </c>
      <c r="D198" s="75" t="s">
        <v>57</v>
      </c>
      <c r="E198" s="75" t="s">
        <v>60</v>
      </c>
      <c r="F198" s="77">
        <f t="shared" si="466"/>
      </c>
      <c r="G198" s="78">
        <v>354.39</v>
      </c>
      <c r="H198" s="78">
        <v>342.58</v>
      </c>
      <c r="I198" s="75">
        <v>4</v>
      </c>
      <c r="J198" s="75">
        <v>3</v>
      </c>
      <c r="K198" s="78">
        <v>2620.6000000000004</v>
      </c>
      <c r="L198" s="79">
        <f t="shared" si="383"/>
      </c>
      <c r="M198" s="80">
        <f t="shared" si="329"/>
      </c>
      <c r="N198" s="81">
        <f t="shared" si="239"/>
      </c>
      <c r="O198" s="81">
        <f t="shared" si="185"/>
      </c>
      <c r="P198" s="81">
        <f t="shared" si="82"/>
      </c>
      <c r="Q198" s="81">
        <f t="shared" si="46"/>
      </c>
      <c r="R198" s="81">
        <f t="shared" si="10"/>
      </c>
      <c r="S198" s="81">
        <f t="shared" si="504"/>
      </c>
      <c r="T198" s="81">
        <f t="shared" si="401"/>
      </c>
      <c r="U198" s="79">
        <f t="shared" si="347"/>
      </c>
      <c r="V198" s="79">
        <f t="shared" si="257"/>
      </c>
      <c r="W198" s="79">
        <f t="shared" si="275"/>
      </c>
      <c r="X198" s="79">
        <f t="shared" si="293"/>
      </c>
      <c r="Y198" s="79">
        <f t="shared" si="203"/>
      </c>
      <c r="Z198" s="79">
        <f t="shared" si="100"/>
      </c>
      <c r="AA198" s="80">
        <f t="shared" si="64"/>
      </c>
      <c r="AB198" s="80">
        <f t="shared" si="28"/>
      </c>
      <c r="AC198" s="80">
        <f t="shared" si="522"/>
      </c>
      <c r="AD198" s="79">
        <f t="shared" si="419"/>
      </c>
      <c r="AE198" s="80">
        <f t="shared" si="365"/>
      </c>
      <c r="AF198" s="79">
        <f t="shared" si="311"/>
      </c>
      <c r="AG198" s="79">
        <f t="shared" si="221"/>
      </c>
      <c r="AH198" s="82">
        <v>7540</v>
      </c>
      <c r="AI198" s="34">
        <v>175</v>
      </c>
      <c r="AJ198" s="34">
        <v>227</v>
      </c>
      <c r="AK198" s="34">
        <v>21</v>
      </c>
      <c r="AL198" s="34">
        <v>3</v>
      </c>
      <c r="AM198" s="34">
        <v>2</v>
      </c>
      <c r="AN198" s="34">
        <v>26</v>
      </c>
      <c r="AO198" s="34">
        <v>49</v>
      </c>
      <c r="AP198" s="34">
        <v>3</v>
      </c>
      <c r="AQ198" s="29">
        <v>0</v>
      </c>
      <c r="AR198" s="36">
        <f t="shared" si="147"/>
      </c>
    </row>
    <row r="199">
      <c r="A199" s="74"/>
      <c r="B199" s="85" t="s">
        <v>56</v>
      </c>
      <c r="C199" s="85"/>
      <c r="D199" s="85"/>
      <c r="E199" s="85"/>
      <c r="F199" s="86">
        <f>SUM(F196:F198)</f>
      </c>
      <c r="G199" s="86">
        <f>SUM(G196:G198)</f>
      </c>
      <c r="H199" s="86">
        <f>SUM(H196:H198)</f>
      </c>
      <c r="I199" s="85">
        <f>SUM(I196:I198)</f>
      </c>
      <c r="J199" s="85">
        <f>SUM(J196:J198)</f>
      </c>
      <c r="K199" s="86">
        <f>SUM(K196:K198)</f>
      </c>
      <c r="L199" s="87">
        <f t="shared" si="383"/>
      </c>
      <c r="M199" s="88">
        <f t="shared" si="329"/>
      </c>
      <c r="N199" s="86">
        <f t="shared" si="239"/>
      </c>
      <c r="O199" s="86">
        <f t="shared" si="185"/>
      </c>
      <c r="P199" s="86">
        <f t="shared" si="82"/>
      </c>
      <c r="Q199" s="86">
        <f t="shared" si="46"/>
      </c>
      <c r="R199" s="86">
        <f t="shared" si="10"/>
      </c>
      <c r="S199" s="86">
        <f t="shared" si="504"/>
      </c>
      <c r="T199" s="86">
        <f t="shared" si="401"/>
      </c>
      <c r="U199" s="87">
        <f t="shared" si="347"/>
      </c>
      <c r="V199" s="87">
        <f t="shared" si="257"/>
      </c>
      <c r="W199" s="87">
        <f t="shared" si="275"/>
      </c>
      <c r="X199" s="87">
        <f t="shared" si="293"/>
      </c>
      <c r="Y199" s="87">
        <f t="shared" si="203"/>
      </c>
      <c r="Z199" s="87">
        <f t="shared" si="100"/>
      </c>
      <c r="AA199" s="88">
        <f t="shared" si="64"/>
      </c>
      <c r="AB199" s="88">
        <f t="shared" si="28"/>
      </c>
      <c r="AC199" s="88">
        <f t="shared" si="522"/>
      </c>
      <c r="AD199" s="87">
        <f t="shared" si="419"/>
      </c>
      <c r="AE199" s="88">
        <f t="shared" si="365"/>
      </c>
      <c r="AF199" s="87">
        <f t="shared" si="311"/>
      </c>
      <c r="AG199" s="87">
        <f t="shared" si="221"/>
      </c>
      <c r="AH199" s="40">
        <f>SUM(AH196:AH198)</f>
      </c>
      <c r="AI199" s="40">
        <f>SUM(AI196:AI198)</f>
      </c>
      <c r="AJ199" s="40">
        <f>SUM(AJ196:AJ198)</f>
      </c>
      <c r="AK199" s="40">
        <f>SUM(AK196:AK198)</f>
      </c>
      <c r="AL199" s="40">
        <f>SUM(AL196:AL198)</f>
      </c>
      <c r="AM199" s="40">
        <f>SUM(AM196:AM198)</f>
      </c>
      <c r="AN199" s="40">
        <f>SUM(AN196:AN198)</f>
      </c>
      <c r="AO199" s="40">
        <f>SUM(AO196:AO198)</f>
      </c>
      <c r="AP199" s="40">
        <f>SUM(AP196:AP198)</f>
      </c>
      <c r="AQ199" s="40">
        <f>SUM(AQ196:AQ198)</f>
      </c>
      <c r="AR199" s="44">
        <f>SUM(AR196:AR198)</f>
      </c>
    </row>
    <row r="200">
      <c r="A200" s="74"/>
      <c r="B200" s="75" t="s">
        <v>69</v>
      </c>
      <c r="C200" s="76" t="s">
        <v>50</v>
      </c>
      <c r="D200" s="75" t="s">
        <v>70</v>
      </c>
      <c r="E200" s="75" t="s">
        <v>61</v>
      </c>
      <c r="F200" s="77">
        <f t="shared" ref="F200:F201" si="467">H200+G200</f>
      </c>
      <c r="G200" s="78">
        <v>507.83</v>
      </c>
      <c r="H200" s="78">
        <v>369.63</v>
      </c>
      <c r="I200" s="75">
        <v>4</v>
      </c>
      <c r="J200" s="75">
        <v>3</v>
      </c>
      <c r="K200" s="78">
        <v>2797.2000000000007</v>
      </c>
      <c r="L200" s="79">
        <f t="shared" si="383"/>
      </c>
      <c r="M200" s="80">
        <f t="shared" si="329"/>
      </c>
      <c r="N200" s="81">
        <f t="shared" si="239"/>
      </c>
      <c r="O200" s="81">
        <f t="shared" si="185"/>
      </c>
      <c r="P200" s="81">
        <f t="shared" si="82"/>
      </c>
      <c r="Q200" s="81">
        <f t="shared" si="46"/>
      </c>
      <c r="R200" s="81">
        <f t="shared" si="10"/>
      </c>
      <c r="S200" s="81">
        <f t="shared" si="504"/>
      </c>
      <c r="T200" s="81">
        <f t="shared" si="401"/>
      </c>
      <c r="U200" s="79">
        <f t="shared" si="347"/>
      </c>
      <c r="V200" s="79">
        <f t="shared" si="257"/>
      </c>
      <c r="W200" s="79">
        <f t="shared" si="275"/>
      </c>
      <c r="X200" s="79">
        <f t="shared" si="293"/>
      </c>
      <c r="Y200" s="79">
        <f t="shared" si="203"/>
      </c>
      <c r="Z200" s="79">
        <f t="shared" si="100"/>
      </c>
      <c r="AA200" s="80">
        <f t="shared" si="64"/>
      </c>
      <c r="AB200" s="80">
        <f t="shared" si="28"/>
      </c>
      <c r="AC200" s="80">
        <f t="shared" si="522"/>
      </c>
      <c r="AD200" s="79">
        <f t="shared" si="419"/>
      </c>
      <c r="AE200" s="80">
        <f t="shared" si="365"/>
      </c>
      <c r="AF200" s="79">
        <f t="shared" si="311"/>
      </c>
      <c r="AG200" s="79">
        <f t="shared" si="221"/>
      </c>
      <c r="AH200" s="82">
        <v>7298</v>
      </c>
      <c r="AI200" s="34">
        <v>186</v>
      </c>
      <c r="AJ200" s="34">
        <v>222</v>
      </c>
      <c r="AK200" s="34">
        <v>29</v>
      </c>
      <c r="AL200" s="34">
        <v>5</v>
      </c>
      <c r="AM200" s="34">
        <v>4</v>
      </c>
      <c r="AN200" s="34">
        <v>35</v>
      </c>
      <c r="AO200" s="34">
        <v>30</v>
      </c>
      <c r="AP200" s="34">
        <v>2</v>
      </c>
      <c r="AQ200" s="29">
        <v>0</v>
      </c>
      <c r="AR200" s="36">
        <f t="shared" ref="AR200:AR201" si="148">COUNT(AQ200)</f>
      </c>
    </row>
    <row r="201">
      <c r="A201" s="74"/>
      <c r="B201" s="75" t="s">
        <v>69</v>
      </c>
      <c r="C201" s="76" t="s">
        <v>50</v>
      </c>
      <c r="D201" s="75" t="s">
        <v>70</v>
      </c>
      <c r="E201" s="75" t="s">
        <v>63</v>
      </c>
      <c r="F201" s="77">
        <f t="shared" si="467"/>
      </c>
      <c r="G201" s="78">
        <v>1288.77</v>
      </c>
      <c r="H201" s="78">
        <v>543.29</v>
      </c>
      <c r="I201" s="75">
        <v>7</v>
      </c>
      <c r="J201" s="76">
        <v>7</v>
      </c>
      <c r="K201" s="78">
        <v>5216.399999999998</v>
      </c>
      <c r="L201" s="79">
        <f t="shared" si="383"/>
      </c>
      <c r="M201" s="80">
        <f t="shared" si="329"/>
      </c>
      <c r="N201" s="81">
        <f t="shared" si="239"/>
      </c>
      <c r="O201" s="81">
        <f t="shared" si="185"/>
      </c>
      <c r="P201" s="81">
        <f t="shared" si="82"/>
      </c>
      <c r="Q201" s="81">
        <f t="shared" si="46"/>
      </c>
      <c r="R201" s="81">
        <f t="shared" si="10"/>
      </c>
      <c r="S201" s="81">
        <f t="shared" si="504"/>
      </c>
      <c r="T201" s="81">
        <f t="shared" si="401"/>
      </c>
      <c r="U201" s="79">
        <f t="shared" si="347"/>
      </c>
      <c r="V201" s="79">
        <f t="shared" si="257"/>
      </c>
      <c r="W201" s="79">
        <f t="shared" si="275"/>
      </c>
      <c r="X201" s="79">
        <f t="shared" si="293"/>
      </c>
      <c r="Y201" s="79">
        <f t="shared" si="203"/>
      </c>
      <c r="Z201" s="79">
        <f t="shared" si="100"/>
      </c>
      <c r="AA201" s="80">
        <f t="shared" si="64"/>
      </c>
      <c r="AB201" s="80">
        <f t="shared" si="28"/>
      </c>
      <c r="AC201" s="80">
        <f t="shared" si="522"/>
      </c>
      <c r="AD201" s="79">
        <f t="shared" si="419"/>
      </c>
      <c r="AE201" s="80">
        <f t="shared" si="365"/>
      </c>
      <c r="AF201" s="79">
        <f t="shared" si="311"/>
      </c>
      <c r="AG201" s="79">
        <f t="shared" si="221"/>
      </c>
      <c r="AH201" s="82">
        <v>19389</v>
      </c>
      <c r="AI201" s="34">
        <v>397</v>
      </c>
      <c r="AJ201" s="34">
        <v>440</v>
      </c>
      <c r="AK201" s="34">
        <v>43</v>
      </c>
      <c r="AL201" s="34">
        <v>2</v>
      </c>
      <c r="AM201" s="34">
        <v>2</v>
      </c>
      <c r="AN201" s="34">
        <v>66</v>
      </c>
      <c r="AO201" s="34">
        <v>46</v>
      </c>
      <c r="AP201" s="34">
        <v>3</v>
      </c>
      <c r="AQ201" s="29">
        <v>3</v>
      </c>
      <c r="AR201" s="36">
        <f t="shared" si="148"/>
      </c>
    </row>
    <row r="202">
      <c r="A202" s="74"/>
      <c r="B202" s="85" t="s">
        <v>56</v>
      </c>
      <c r="C202" s="85"/>
      <c r="D202" s="85"/>
      <c r="E202" s="85"/>
      <c r="F202" s="86">
        <f>SUM(F200:F201)</f>
      </c>
      <c r="G202" s="86">
        <f>SUM(G200:G201)</f>
      </c>
      <c r="H202" s="86">
        <f>SUM(H200:H201)</f>
      </c>
      <c r="I202" s="85">
        <f>SUM(I200:I201)</f>
      </c>
      <c r="J202" s="85">
        <f>SUM(J200:J201)</f>
      </c>
      <c r="K202" s="86">
        <f>SUM(K200:K201)</f>
      </c>
      <c r="L202" s="87">
        <f t="shared" si="383"/>
      </c>
      <c r="M202" s="88">
        <f t="shared" si="329"/>
      </c>
      <c r="N202" s="86">
        <f t="shared" si="239"/>
      </c>
      <c r="O202" s="86">
        <f t="shared" si="185"/>
      </c>
      <c r="P202" s="86">
        <f t="shared" si="82"/>
      </c>
      <c r="Q202" s="86">
        <f t="shared" si="46"/>
      </c>
      <c r="R202" s="86">
        <f t="shared" si="10"/>
      </c>
      <c r="S202" s="86">
        <f t="shared" si="504"/>
      </c>
      <c r="T202" s="86">
        <f t="shared" si="401"/>
      </c>
      <c r="U202" s="87">
        <f t="shared" si="347"/>
      </c>
      <c r="V202" s="87">
        <f t="shared" si="257"/>
      </c>
      <c r="W202" s="87">
        <f t="shared" si="275"/>
      </c>
      <c r="X202" s="87">
        <f t="shared" si="293"/>
      </c>
      <c r="Y202" s="87">
        <f t="shared" si="203"/>
      </c>
      <c r="Z202" s="87">
        <f t="shared" si="100"/>
      </c>
      <c r="AA202" s="88">
        <f t="shared" si="64"/>
      </c>
      <c r="AB202" s="88">
        <f t="shared" si="28"/>
      </c>
      <c r="AC202" s="88">
        <f t="shared" si="522"/>
      </c>
      <c r="AD202" s="87">
        <f t="shared" si="419"/>
      </c>
      <c r="AE202" s="88">
        <f t="shared" si="365"/>
      </c>
      <c r="AF202" s="87">
        <f t="shared" si="311"/>
      </c>
      <c r="AG202" s="87">
        <f t="shared" si="221"/>
      </c>
      <c r="AH202" s="40">
        <f>SUM(AH200:AH201)</f>
      </c>
      <c r="AI202" s="40">
        <f>SUM(AI200:AI201)</f>
      </c>
      <c r="AJ202" s="40">
        <f>SUM(AJ200:AJ201)</f>
      </c>
      <c r="AK202" s="40">
        <f>SUM(AK200:AK201)</f>
      </c>
      <c r="AL202" s="40">
        <f>SUM(AL200:AL201)</f>
      </c>
      <c r="AM202" s="40">
        <f>SUM(AM200:AM201)</f>
      </c>
      <c r="AN202" s="40">
        <f>SUM(AN200:AN201)</f>
      </c>
      <c r="AO202" s="40">
        <f>SUM(AO200:AO201)</f>
      </c>
      <c r="AP202" s="40">
        <f>SUM(AP200:AP201)</f>
      </c>
      <c r="AQ202" s="40">
        <f>SUM(AQ200:AQ201)</f>
      </c>
      <c r="AR202" s="44">
        <f>SUM(AR200:AR201)</f>
      </c>
    </row>
    <row r="203">
      <c r="A203" s="74"/>
      <c r="B203" s="75" t="s">
        <v>69</v>
      </c>
      <c r="C203" s="76" t="s">
        <v>50</v>
      </c>
      <c r="D203" s="75" t="s">
        <v>62</v>
      </c>
      <c r="E203" s="76" t="s">
        <v>64</v>
      </c>
      <c r="F203" s="77">
        <f t="shared" ref="F203:F205" si="468">H203+G203</f>
      </c>
      <c r="G203" s="78">
        <v>2256.23</v>
      </c>
      <c r="H203" s="78">
        <v>766.89</v>
      </c>
      <c r="I203" s="75">
        <v>3</v>
      </c>
      <c r="J203" s="75">
        <v>3</v>
      </c>
      <c r="K203" s="78">
        <v>2269.0000000000036</v>
      </c>
      <c r="L203" s="79">
        <f t="shared" si="383"/>
      </c>
      <c r="M203" s="80">
        <f t="shared" si="329"/>
      </c>
      <c r="N203" s="81">
        <f t="shared" si="239"/>
      </c>
      <c r="O203" s="81">
        <f t="shared" si="185"/>
      </c>
      <c r="P203" s="81">
        <f t="shared" si="82"/>
      </c>
      <c r="Q203" s="81">
        <f t="shared" si="46"/>
      </c>
      <c r="R203" s="81">
        <f t="shared" si="10"/>
      </c>
      <c r="S203" s="81">
        <f t="shared" si="504"/>
      </c>
      <c r="T203" s="81">
        <f t="shared" si="401"/>
      </c>
      <c r="U203" s="79">
        <f t="shared" si="347"/>
      </c>
      <c r="V203" s="79">
        <f t="shared" si="257"/>
      </c>
      <c r="W203" s="79">
        <f t="shared" si="275"/>
      </c>
      <c r="X203" s="79">
        <f t="shared" si="293"/>
      </c>
      <c r="Y203" s="79">
        <f t="shared" si="203"/>
      </c>
      <c r="Z203" s="79">
        <f t="shared" si="100"/>
      </c>
      <c r="AA203" s="80">
        <f t="shared" si="64"/>
      </c>
      <c r="AB203" s="80">
        <f t="shared" si="28"/>
      </c>
      <c r="AC203" s="80">
        <f t="shared" si="522"/>
      </c>
      <c r="AD203" s="79">
        <f t="shared" si="419"/>
      </c>
      <c r="AE203" s="80">
        <f t="shared" si="365"/>
      </c>
      <c r="AF203" s="79">
        <f t="shared" si="311"/>
      </c>
      <c r="AG203" s="79">
        <f t="shared" si="221"/>
      </c>
      <c r="AH203" s="82">
        <v>37540</v>
      </c>
      <c r="AI203" s="34">
        <v>661</v>
      </c>
      <c r="AJ203" s="34">
        <v>829</v>
      </c>
      <c r="AK203" s="34">
        <v>80</v>
      </c>
      <c r="AL203" s="29">
        <v>5</v>
      </c>
      <c r="AM203" s="29">
        <v>5</v>
      </c>
      <c r="AN203" s="34">
        <v>132</v>
      </c>
      <c r="AO203" s="34">
        <v>128</v>
      </c>
      <c r="AP203" s="34">
        <v>10</v>
      </c>
      <c r="AQ203" s="29">
        <v>0</v>
      </c>
      <c r="AR203" s="36">
        <f t="shared" ref="AR203:AR205" si="149">COUNT(AQ203)</f>
      </c>
    </row>
    <row r="204">
      <c r="A204" s="74"/>
      <c r="B204" s="75" t="s">
        <v>69</v>
      </c>
      <c r="C204" s="76" t="s">
        <v>50</v>
      </c>
      <c r="D204" s="75" t="s">
        <v>62</v>
      </c>
      <c r="E204" s="76" t="s">
        <v>65</v>
      </c>
      <c r="F204" s="77">
        <f t="shared" si="468"/>
      </c>
      <c r="G204" s="78">
        <v>2228.4</v>
      </c>
      <c r="H204" s="78">
        <v>692.88</v>
      </c>
      <c r="I204" s="75">
        <v>8</v>
      </c>
      <c r="J204" s="75">
        <v>7</v>
      </c>
      <c r="K204" s="78">
        <v>4594.4000000000015</v>
      </c>
      <c r="L204" s="79">
        <f t="shared" si="383"/>
      </c>
      <c r="M204" s="80">
        <f t="shared" si="329"/>
      </c>
      <c r="N204" s="81">
        <f t="shared" si="239"/>
      </c>
      <c r="O204" s="81">
        <f t="shared" si="185"/>
      </c>
      <c r="P204" s="81">
        <f t="shared" si="82"/>
      </c>
      <c r="Q204" s="81">
        <f t="shared" si="46"/>
      </c>
      <c r="R204" s="81">
        <f t="shared" si="10"/>
      </c>
      <c r="S204" s="81">
        <f t="shared" si="504"/>
      </c>
      <c r="T204" s="81">
        <f t="shared" si="401"/>
      </c>
      <c r="U204" s="79">
        <f t="shared" si="347"/>
      </c>
      <c r="V204" s="79">
        <f t="shared" si="257"/>
      </c>
      <c r="W204" s="79">
        <f t="shared" si="275"/>
      </c>
      <c r="X204" s="79">
        <f t="shared" si="293"/>
      </c>
      <c r="Y204" s="79">
        <f t="shared" si="203"/>
      </c>
      <c r="Z204" s="79">
        <f t="shared" si="100"/>
      </c>
      <c r="AA204" s="80">
        <f t="shared" si="64"/>
      </c>
      <c r="AB204" s="80">
        <f t="shared" si="28"/>
      </c>
      <c r="AC204" s="80">
        <f t="shared" si="522"/>
      </c>
      <c r="AD204" s="79">
        <f t="shared" si="419"/>
      </c>
      <c r="AE204" s="80">
        <f t="shared" si="365"/>
      </c>
      <c r="AF204" s="79">
        <f t="shared" si="311"/>
      </c>
      <c r="AG204" s="79">
        <f t="shared" si="221"/>
      </c>
      <c r="AH204" s="82">
        <v>36174</v>
      </c>
      <c r="AI204" s="34">
        <v>695</v>
      </c>
      <c r="AJ204" s="34">
        <v>927</v>
      </c>
      <c r="AK204" s="34">
        <v>62</v>
      </c>
      <c r="AL204" s="34">
        <v>7</v>
      </c>
      <c r="AM204" s="34">
        <v>6</v>
      </c>
      <c r="AN204" s="34">
        <v>126</v>
      </c>
      <c r="AO204" s="34">
        <v>70</v>
      </c>
      <c r="AP204" s="34">
        <v>9</v>
      </c>
      <c r="AQ204" s="29">
        <v>0</v>
      </c>
      <c r="AR204" s="36">
        <f t="shared" si="149"/>
      </c>
    </row>
    <row r="205">
      <c r="A205" s="74"/>
      <c r="B205" s="75" t="s">
        <v>69</v>
      </c>
      <c r="C205" s="76" t="s">
        <v>50</v>
      </c>
      <c r="D205" s="75" t="s">
        <v>62</v>
      </c>
      <c r="E205" s="75" t="s">
        <v>66</v>
      </c>
      <c r="F205" s="77">
        <f t="shared" si="468"/>
      </c>
      <c r="G205" s="90">
        <v>792.74</v>
      </c>
      <c r="H205" s="90">
        <v>487.95</v>
      </c>
      <c r="I205" s="75">
        <v>5</v>
      </c>
      <c r="J205" s="75">
        <v>4</v>
      </c>
      <c r="K205" s="78">
        <v>2534.199999999997</v>
      </c>
      <c r="L205" s="79">
        <f t="shared" si="383"/>
      </c>
      <c r="M205" s="80">
        <f t="shared" si="329"/>
      </c>
      <c r="N205" s="81">
        <f t="shared" si="239"/>
      </c>
      <c r="O205" s="81">
        <f t="shared" si="185"/>
      </c>
      <c r="P205" s="81">
        <f t="shared" si="82"/>
      </c>
      <c r="Q205" s="81">
        <f t="shared" si="46"/>
      </c>
      <c r="R205" s="81">
        <f t="shared" si="10"/>
      </c>
      <c r="S205" s="81">
        <f t="shared" si="504"/>
      </c>
      <c r="T205" s="81">
        <f t="shared" si="401"/>
      </c>
      <c r="U205" s="79">
        <f t="shared" si="347"/>
      </c>
      <c r="V205" s="79">
        <f t="shared" si="257"/>
      </c>
      <c r="W205" s="79">
        <f t="shared" si="275"/>
      </c>
      <c r="X205" s="79">
        <f t="shared" si="293"/>
      </c>
      <c r="Y205" s="79">
        <f t="shared" si="203"/>
      </c>
      <c r="Z205" s="79">
        <f t="shared" si="100"/>
      </c>
      <c r="AA205" s="80">
        <f t="shared" si="64"/>
      </c>
      <c r="AB205" s="80">
        <f t="shared" si="28"/>
      </c>
      <c r="AC205" s="80">
        <f t="shared" si="522"/>
      </c>
      <c r="AD205" s="79">
        <f t="shared" si="419"/>
      </c>
      <c r="AE205" s="80">
        <f t="shared" si="365"/>
      </c>
      <c r="AF205" s="79">
        <f t="shared" si="311"/>
      </c>
      <c r="AG205" s="79">
        <f t="shared" si="221"/>
      </c>
      <c r="AH205" s="82">
        <v>17903</v>
      </c>
      <c r="AI205" s="34">
        <v>364</v>
      </c>
      <c r="AJ205" s="34">
        <v>453</v>
      </c>
      <c r="AK205" s="34">
        <v>48</v>
      </c>
      <c r="AL205" s="29">
        <v>5</v>
      </c>
      <c r="AM205" s="29">
        <v>4</v>
      </c>
      <c r="AN205" s="34">
        <v>59</v>
      </c>
      <c r="AO205" s="34">
        <v>64</v>
      </c>
      <c r="AP205" s="34">
        <v>3</v>
      </c>
      <c r="AQ205" s="29">
        <v>0</v>
      </c>
      <c r="AR205" s="36">
        <f t="shared" si="149"/>
      </c>
    </row>
    <row r="206">
      <c r="A206" s="74"/>
      <c r="B206" s="85" t="s">
        <v>56</v>
      </c>
      <c r="C206" s="85"/>
      <c r="D206" s="85"/>
      <c r="E206" s="85"/>
      <c r="F206" s="86">
        <f>SUM(F203:F205)</f>
      </c>
      <c r="G206" s="86">
        <f>SUM(G203:G205)</f>
      </c>
      <c r="H206" s="86">
        <f>SUM(H203:H205)</f>
      </c>
      <c r="I206" s="85">
        <f>SUM(I203:I205)</f>
      </c>
      <c r="J206" s="85">
        <f>SUM(J203:J205)</f>
      </c>
      <c r="K206" s="86">
        <f>SUM(K203:K205)</f>
      </c>
      <c r="L206" s="87">
        <f t="shared" si="383"/>
      </c>
      <c r="M206" s="88">
        <f t="shared" si="329"/>
      </c>
      <c r="N206" s="86">
        <f t="shared" si="239"/>
      </c>
      <c r="O206" s="86">
        <f t="shared" si="185"/>
      </c>
      <c r="P206" s="86">
        <f t="shared" si="82"/>
      </c>
      <c r="Q206" s="86">
        <f t="shared" si="46"/>
      </c>
      <c r="R206" s="86">
        <f t="shared" si="10"/>
      </c>
      <c r="S206" s="86">
        <f t="shared" si="504"/>
      </c>
      <c r="T206" s="86">
        <f t="shared" si="401"/>
      </c>
      <c r="U206" s="87">
        <f t="shared" si="347"/>
      </c>
      <c r="V206" s="87">
        <f t="shared" si="257"/>
      </c>
      <c r="W206" s="87">
        <f t="shared" si="275"/>
      </c>
      <c r="X206" s="87">
        <f t="shared" si="293"/>
      </c>
      <c r="Y206" s="87">
        <f t="shared" si="203"/>
      </c>
      <c r="Z206" s="87">
        <f t="shared" si="100"/>
      </c>
      <c r="AA206" s="88">
        <f t="shared" si="64"/>
      </c>
      <c r="AB206" s="88">
        <f t="shared" si="28"/>
      </c>
      <c r="AC206" s="88">
        <f t="shared" si="522"/>
      </c>
      <c r="AD206" s="87">
        <f t="shared" si="419"/>
      </c>
      <c r="AE206" s="88">
        <f t="shared" si="365"/>
      </c>
      <c r="AF206" s="87">
        <f t="shared" si="311"/>
      </c>
      <c r="AG206" s="87">
        <f t="shared" si="221"/>
      </c>
      <c r="AH206" s="40">
        <f>SUM(AH203:AH205)</f>
      </c>
      <c r="AI206" s="40">
        <f>SUM(AI203:AI205)</f>
      </c>
      <c r="AJ206" s="40">
        <f>SUM(AJ203:AJ205)</f>
      </c>
      <c r="AK206" s="40">
        <f>SUM(AK203:AK205)</f>
      </c>
      <c r="AL206" s="40">
        <f>SUM(AL203:AL205)</f>
      </c>
      <c r="AM206" s="40">
        <f>SUM(AM203:AM205)</f>
      </c>
      <c r="AN206" s="40">
        <f>SUM(AN203:AN205)</f>
      </c>
      <c r="AO206" s="40">
        <f>SUM(AO203:AO205)</f>
      </c>
      <c r="AP206" s="40">
        <f>SUM(AP203:AP205)</f>
      </c>
      <c r="AQ206" s="40">
        <f>SUM(AQ203:AQ205)</f>
      </c>
      <c r="AR206" s="44">
        <f>SUM(AR203:AR205)</f>
      </c>
    </row>
    <row r="207">
      <c r="A207" s="74"/>
      <c r="B207" s="91" t="s">
        <v>67</v>
      </c>
      <c r="C207" s="91"/>
      <c r="D207" s="91"/>
      <c r="E207" s="91"/>
      <c r="F207" s="92">
        <f>F199+F195+F206+F202</f>
      </c>
      <c r="G207" s="92">
        <f>G199+G195+G206+G202</f>
      </c>
      <c r="H207" s="92">
        <f>H199+H195+H206+H202</f>
      </c>
      <c r="I207" s="92">
        <f>I199+I195+I206+I202</f>
      </c>
      <c r="J207" s="92">
        <f>J199+J195+J206+J202</f>
      </c>
      <c r="K207" s="92">
        <f>K199+K195+K206+K202</f>
      </c>
      <c r="L207" s="93">
        <f t="shared" si="383"/>
      </c>
      <c r="M207" s="94">
        <f t="shared" si="329"/>
      </c>
      <c r="N207" s="92">
        <f t="shared" si="239"/>
      </c>
      <c r="O207" s="92">
        <f t="shared" si="185"/>
      </c>
      <c r="P207" s="92">
        <f t="shared" si="82"/>
      </c>
      <c r="Q207" s="92">
        <f t="shared" si="46"/>
      </c>
      <c r="R207" s="92">
        <f t="shared" si="10"/>
      </c>
      <c r="S207" s="92">
        <f t="shared" si="504"/>
      </c>
      <c r="T207" s="92">
        <f t="shared" si="401"/>
      </c>
      <c r="U207" s="93">
        <f t="shared" si="347"/>
      </c>
      <c r="V207" s="93">
        <f t="shared" si="257"/>
      </c>
      <c r="W207" s="93">
        <f t="shared" si="275"/>
      </c>
      <c r="X207" s="93">
        <f t="shared" si="293"/>
      </c>
      <c r="Y207" s="93">
        <f t="shared" si="203"/>
      </c>
      <c r="Z207" s="93">
        <f t="shared" si="100"/>
      </c>
      <c r="AA207" s="94">
        <f t="shared" si="64"/>
      </c>
      <c r="AB207" s="94">
        <f t="shared" si="28"/>
      </c>
      <c r="AC207" s="94">
        <f t="shared" si="522"/>
      </c>
      <c r="AD207" s="93">
        <f t="shared" si="419"/>
      </c>
      <c r="AE207" s="94">
        <f t="shared" si="365"/>
      </c>
      <c r="AF207" s="93">
        <f t="shared" si="311"/>
      </c>
      <c r="AG207" s="93">
        <f t="shared" si="221"/>
      </c>
      <c r="AH207" s="44">
        <f>AH199+AH195+AH206+AH202</f>
      </c>
      <c r="AI207" s="44">
        <f>AI199+AI195+AI206+AI202</f>
      </c>
      <c r="AJ207" s="44">
        <f>AJ199+AJ195+AJ206+AJ202</f>
      </c>
      <c r="AK207" s="44">
        <f>AK199+AK195+AK206+AK202</f>
      </c>
      <c r="AL207" s="44">
        <f>AL199+AL195+AL206+AL202</f>
      </c>
      <c r="AM207" s="44">
        <f>AM199+AM195+AM206+AM202</f>
      </c>
      <c r="AN207" s="44">
        <f>AN199+AN195+AN206+AN202</f>
      </c>
      <c r="AO207" s="44">
        <f>AO199+AO195+AO206+AO202</f>
      </c>
      <c r="AP207" s="44">
        <f>AP199+AP195+AP206+AP202</f>
      </c>
      <c r="AQ207" s="44">
        <f>AQ199+AQ195+AQ206+AQ202</f>
      </c>
      <c r="AR207" s="44">
        <f>AR199+AR195+AR206+AR202</f>
      </c>
    </row>
    <row r="208">
      <c r="A208" s="7"/>
      <c r="B208" s="7"/>
      <c r="C208" s="7"/>
      <c r="D208" s="7"/>
      <c r="E208" s="7"/>
      <c r="F208" s="100" t="s">
        <v>1</v>
      </c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1" t="s">
        <v>2</v>
      </c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2" t="s">
        <v>3</v>
      </c>
      <c r="AD208" s="102"/>
      <c r="AE208" s="102"/>
      <c r="AF208" s="102"/>
      <c r="AG208" s="102"/>
      <c r="AH208" s="5" t="s">
        <v>4</v>
      </c>
      <c r="AI208" s="5"/>
      <c r="AJ208" s="5"/>
      <c r="AK208" s="5"/>
      <c r="AL208" s="5"/>
      <c r="AM208" s="5"/>
      <c r="AN208" s="5"/>
      <c r="AO208" s="5"/>
      <c r="AP208" s="5"/>
      <c r="AQ208" s="5"/>
      <c r="AR208" s="5"/>
    </row>
    <row r="209">
      <c r="A209" s="63" t="s">
        <v>5</v>
      </c>
      <c r="B209" s="59" t="s">
        <v>6</v>
      </c>
      <c r="C209" s="59" t="s">
        <v>7</v>
      </c>
      <c r="D209" s="59" t="s">
        <v>8</v>
      </c>
      <c r="E209" s="59" t="s">
        <v>9</v>
      </c>
      <c r="F209" s="64" t="s">
        <v>10</v>
      </c>
      <c r="G209" s="65" t="s">
        <v>11</v>
      </c>
      <c r="H209" s="66" t="s">
        <v>12</v>
      </c>
      <c r="I209" s="67" t="s">
        <v>13</v>
      </c>
      <c r="J209" s="67" t="s">
        <v>14</v>
      </c>
      <c r="K209" s="66" t="s">
        <v>15</v>
      </c>
      <c r="L209" s="68" t="s">
        <v>16</v>
      </c>
      <c r="M209" s="69" t="s">
        <v>17</v>
      </c>
      <c r="N209" s="70" t="s">
        <v>18</v>
      </c>
      <c r="O209" s="70" t="s">
        <v>19</v>
      </c>
      <c r="P209" s="70" t="s">
        <v>20</v>
      </c>
      <c r="Q209" s="61" t="s">
        <v>21</v>
      </c>
      <c r="R209" s="61" t="s">
        <v>22</v>
      </c>
      <c r="S209" s="61" t="s">
        <v>23</v>
      </c>
      <c r="T209" s="61" t="s">
        <v>24</v>
      </c>
      <c r="U209" s="71" t="s">
        <v>25</v>
      </c>
      <c r="V209" s="71" t="s">
        <v>26</v>
      </c>
      <c r="W209" s="71" t="s">
        <v>27</v>
      </c>
      <c r="X209" s="71" t="s">
        <v>28</v>
      </c>
      <c r="Y209" s="71" t="s">
        <v>29</v>
      </c>
      <c r="Z209" s="71" t="s">
        <v>30</v>
      </c>
      <c r="AA209" s="72" t="s">
        <v>31</v>
      </c>
      <c r="AB209" s="72" t="s">
        <v>32</v>
      </c>
      <c r="AC209" s="62" t="s">
        <v>33</v>
      </c>
      <c r="AD209" s="73" t="s">
        <v>34</v>
      </c>
      <c r="AE209" s="62" t="s">
        <v>35</v>
      </c>
      <c r="AF209" s="73" t="s">
        <v>36</v>
      </c>
      <c r="AG209" s="73" t="s">
        <v>37</v>
      </c>
      <c r="AH209" s="22" t="s">
        <v>38</v>
      </c>
      <c r="AI209" s="22" t="s">
        <v>39</v>
      </c>
      <c r="AJ209" s="22" t="s">
        <v>40</v>
      </c>
      <c r="AK209" s="22" t="s">
        <v>41</v>
      </c>
      <c r="AL209" s="22" t="s">
        <v>42</v>
      </c>
      <c r="AM209" s="22" t="s">
        <v>43</v>
      </c>
      <c r="AN209" s="22" t="s">
        <v>44</v>
      </c>
      <c r="AO209" s="22" t="s">
        <v>45</v>
      </c>
      <c r="AP209" s="22" t="s">
        <v>46</v>
      </c>
      <c r="AQ209" s="22" t="s">
        <v>47</v>
      </c>
      <c r="AR209" s="23" t="s">
        <v>48</v>
      </c>
    </row>
    <row r="210">
      <c r="A210" s="74">
        <v>46307</v>
      </c>
      <c r="B210" s="75" t="s">
        <v>69</v>
      </c>
      <c r="C210" s="76" t="s">
        <v>50</v>
      </c>
      <c r="D210" s="75" t="s">
        <v>51</v>
      </c>
      <c r="E210" s="75" t="s">
        <v>52</v>
      </c>
      <c r="F210" s="77">
        <f t="shared" ref="F210:F213" si="469">H210+G210</f>
      </c>
      <c r="G210" s="78">
        <v>1742.9</v>
      </c>
      <c r="H210" s="78">
        <v>585.66</v>
      </c>
      <c r="I210" s="75">
        <v>2</v>
      </c>
      <c r="J210" s="75">
        <v>0</v>
      </c>
      <c r="K210" s="78">
        <v>0</v>
      </c>
      <c r="L210" s="79">
        <f t="shared" ref="L210:L225" si="384">AQ210/J210</f>
      </c>
      <c r="M210" s="80">
        <f t="shared" ref="M210:M225" si="330">K210/J210</f>
      </c>
      <c r="N210" s="81">
        <f t="shared" ref="N210:N225" si="240">F210/J210</f>
      </c>
      <c r="O210" s="81">
        <f t="shared" ref="O210:O225" si="186">K210/F210</f>
      </c>
      <c r="P210" s="81">
        <f t="shared" ref="P210:P225" si="83">K210/((300*AR210)+F210)</f>
      </c>
      <c r="Q210" s="81">
        <f t="shared" ref="Q210:Q225" si="47">F210/AJ210</f>
      </c>
      <c r="R210" s="81">
        <f t="shared" ref="R210:R225" si="11">F210/AK210</f>
      </c>
      <c r="S210" s="81">
        <f t="shared" ref="S210:S225" si="505">F210/AL210</f>
      </c>
      <c r="T210" s="81">
        <f t="shared" ref="T210:T225" si="402">F210/AM210</f>
      </c>
      <c r="U210" s="79">
        <f t="shared" ref="U210:U225" si="348">AI210/AJ210</f>
      </c>
      <c r="V210" s="79">
        <f t="shared" ref="V210:V225" si="258">AK210/AJ210</f>
      </c>
      <c r="W210" s="79">
        <f t="shared" ref="W210:W225" si="276">AL210/AK210</f>
      </c>
      <c r="X210" s="79">
        <f t="shared" ref="X210:X225" si="294">AM210/AL210</f>
      </c>
      <c r="Y210" s="79">
        <f t="shared" ref="Y210:Y225" si="204">AI210/AH210</f>
      </c>
      <c r="Z210" s="79">
        <f t="shared" ref="Z210:Z225" si="101">AM210/AI210</f>
      </c>
      <c r="AA210" s="80">
        <f t="shared" ref="AA210:AA225" si="65">F210/AH210*1000</f>
      </c>
      <c r="AB210" s="80">
        <f t="shared" ref="AB210:AB225" si="29">F210/AI210</f>
      </c>
      <c r="AC210" s="80">
        <f t="shared" ref="AC210:AC225" si="523">F210/AN210</f>
      </c>
      <c r="AD210" s="79">
        <f t="shared" ref="AD210:AD225" si="420">AN210/AJ210</f>
      </c>
      <c r="AE210" s="80">
        <f t="shared" ref="AE210:AE225" si="366">F210/AO210</f>
      </c>
      <c r="AF210" s="79">
        <f t="shared" ref="AF210:AF225" si="312">AO210/AJ210</f>
      </c>
      <c r="AG210" s="79">
        <f t="shared" ref="AG210:AG225" si="222">AP210/AJ210</f>
      </c>
      <c r="AH210" s="82">
        <v>27316</v>
      </c>
      <c r="AI210" s="35">
        <v>452</v>
      </c>
      <c r="AJ210" s="35">
        <v>507</v>
      </c>
      <c r="AK210" s="34">
        <v>38</v>
      </c>
      <c r="AL210" s="34">
        <v>2</v>
      </c>
      <c r="AM210" s="34">
        <v>0</v>
      </c>
      <c r="AN210" s="34">
        <v>70</v>
      </c>
      <c r="AO210" s="34">
        <v>63</v>
      </c>
      <c r="AP210" s="34">
        <v>2</v>
      </c>
      <c r="AQ210" s="29">
        <v>0</v>
      </c>
      <c r="AR210" s="36">
        <f t="shared" ref="AR210:AR213" si="150">COUNT(AQ210)</f>
      </c>
    </row>
    <row r="211">
      <c r="A211" s="74"/>
      <c r="B211" s="75" t="s">
        <v>69</v>
      </c>
      <c r="C211" s="76" t="s">
        <v>50</v>
      </c>
      <c r="D211" s="75" t="s">
        <v>51</v>
      </c>
      <c r="E211" s="75" t="s">
        <v>53</v>
      </c>
      <c r="F211" s="77">
        <f t="shared" si="469"/>
      </c>
      <c r="G211" s="83">
        <v>1154.33</v>
      </c>
      <c r="H211" s="78">
        <v>518.62</v>
      </c>
      <c r="I211" s="75">
        <v>10</v>
      </c>
      <c r="J211" s="75">
        <v>10</v>
      </c>
      <c r="K211" s="78">
        <v>6322.999999999999</v>
      </c>
      <c r="L211" s="79">
        <f t="shared" si="384"/>
      </c>
      <c r="M211" s="80">
        <f t="shared" si="330"/>
      </c>
      <c r="N211" s="81">
        <f t="shared" si="240"/>
      </c>
      <c r="O211" s="81">
        <f t="shared" si="186"/>
      </c>
      <c r="P211" s="81">
        <f t="shared" si="83"/>
      </c>
      <c r="Q211" s="81">
        <f t="shared" si="47"/>
      </c>
      <c r="R211" s="81">
        <f t="shared" si="11"/>
      </c>
      <c r="S211" s="81">
        <f t="shared" si="505"/>
      </c>
      <c r="T211" s="81">
        <f t="shared" si="402"/>
      </c>
      <c r="U211" s="79">
        <f t="shared" si="348"/>
      </c>
      <c r="V211" s="79">
        <f t="shared" si="258"/>
      </c>
      <c r="W211" s="79">
        <f t="shared" si="276"/>
      </c>
      <c r="X211" s="79">
        <f t="shared" si="294"/>
      </c>
      <c r="Y211" s="79">
        <f t="shared" si="204"/>
      </c>
      <c r="Z211" s="79">
        <f t="shared" si="101"/>
      </c>
      <c r="AA211" s="80">
        <f t="shared" si="65"/>
      </c>
      <c r="AB211" s="80">
        <f t="shared" si="29"/>
      </c>
      <c r="AC211" s="80">
        <f t="shared" si="523"/>
      </c>
      <c r="AD211" s="79">
        <f t="shared" si="420"/>
      </c>
      <c r="AE211" s="80">
        <f t="shared" si="366"/>
      </c>
      <c r="AF211" s="79">
        <f t="shared" si="312"/>
      </c>
      <c r="AG211" s="79">
        <f t="shared" si="222"/>
      </c>
      <c r="AH211" s="84">
        <v>16604</v>
      </c>
      <c r="AI211" s="34">
        <v>396</v>
      </c>
      <c r="AJ211" s="34">
        <v>461</v>
      </c>
      <c r="AK211" s="34">
        <v>53</v>
      </c>
      <c r="AL211" s="34">
        <v>7</v>
      </c>
      <c r="AM211" s="34">
        <v>5</v>
      </c>
      <c r="AN211" s="34">
        <v>76</v>
      </c>
      <c r="AO211" s="34">
        <v>103</v>
      </c>
      <c r="AP211" s="34">
        <v>6</v>
      </c>
      <c r="AQ211" s="29">
        <v>3</v>
      </c>
      <c r="AR211" s="36">
        <f t="shared" si="150"/>
      </c>
    </row>
    <row r="212">
      <c r="A212" s="74"/>
      <c r="B212" s="75" t="s">
        <v>69</v>
      </c>
      <c r="C212" s="76" t="s">
        <v>50</v>
      </c>
      <c r="D212" s="75" t="s">
        <v>51</v>
      </c>
      <c r="E212" s="75" t="s">
        <v>54</v>
      </c>
      <c r="F212" s="77">
        <f t="shared" si="469"/>
      </c>
      <c r="G212" s="78">
        <v>868.57</v>
      </c>
      <c r="H212" s="78">
        <v>555.9</v>
      </c>
      <c r="I212" s="75">
        <v>4</v>
      </c>
      <c r="J212" s="75">
        <v>4</v>
      </c>
      <c r="K212" s="78">
        <v>3503.8</v>
      </c>
      <c r="L212" s="79">
        <f t="shared" si="384"/>
      </c>
      <c r="M212" s="80">
        <f t="shared" si="330"/>
      </c>
      <c r="N212" s="81">
        <f t="shared" si="240"/>
      </c>
      <c r="O212" s="81">
        <f t="shared" si="186"/>
      </c>
      <c r="P212" s="81">
        <f t="shared" si="83"/>
      </c>
      <c r="Q212" s="81">
        <f t="shared" si="47"/>
      </c>
      <c r="R212" s="81">
        <f t="shared" si="11"/>
      </c>
      <c r="S212" s="81">
        <f t="shared" si="505"/>
      </c>
      <c r="T212" s="81">
        <f t="shared" si="402"/>
      </c>
      <c r="U212" s="79">
        <f t="shared" si="348"/>
      </c>
      <c r="V212" s="79">
        <f t="shared" si="258"/>
      </c>
      <c r="W212" s="79">
        <f t="shared" si="276"/>
      </c>
      <c r="X212" s="79">
        <f t="shared" si="294"/>
      </c>
      <c r="Y212" s="79">
        <f t="shared" si="204"/>
      </c>
      <c r="Z212" s="79">
        <f t="shared" si="101"/>
      </c>
      <c r="AA212" s="80">
        <f t="shared" si="65"/>
      </c>
      <c r="AB212" s="80">
        <f t="shared" si="29"/>
      </c>
      <c r="AC212" s="80">
        <f t="shared" si="523"/>
      </c>
      <c r="AD212" s="79">
        <f t="shared" si="420"/>
      </c>
      <c r="AE212" s="80">
        <f t="shared" si="366"/>
      </c>
      <c r="AF212" s="79">
        <f t="shared" si="312"/>
      </c>
      <c r="AG212" s="79">
        <f t="shared" si="222"/>
      </c>
      <c r="AH212" s="84">
        <v>12674</v>
      </c>
      <c r="AI212" s="34">
        <v>316</v>
      </c>
      <c r="AJ212" s="34">
        <v>403</v>
      </c>
      <c r="AK212" s="34">
        <v>56</v>
      </c>
      <c r="AL212" s="29">
        <v>3</v>
      </c>
      <c r="AM212" s="34">
        <v>3</v>
      </c>
      <c r="AN212" s="34">
        <v>50</v>
      </c>
      <c r="AO212" s="34">
        <v>123</v>
      </c>
      <c r="AP212" s="34">
        <v>4</v>
      </c>
      <c r="AQ212" s="29">
        <v>1</v>
      </c>
      <c r="AR212" s="36">
        <f t="shared" si="150"/>
      </c>
    </row>
    <row r="213">
      <c r="A213" s="74"/>
      <c r="B213" s="75" t="s">
        <v>69</v>
      </c>
      <c r="C213" s="76" t="s">
        <v>50</v>
      </c>
      <c r="D213" s="75" t="s">
        <v>51</v>
      </c>
      <c r="E213" s="75" t="s">
        <v>55</v>
      </c>
      <c r="F213" s="77">
        <f t="shared" si="469"/>
      </c>
      <c r="G213" s="78">
        <v>876.62</v>
      </c>
      <c r="H213" s="78">
        <v>673.85</v>
      </c>
      <c r="I213" s="75">
        <v>6</v>
      </c>
      <c r="J213" s="75">
        <v>5</v>
      </c>
      <c r="K213" s="78">
        <v>4000.6000000000004</v>
      </c>
      <c r="L213" s="79">
        <f t="shared" si="384"/>
      </c>
      <c r="M213" s="80">
        <f t="shared" si="330"/>
      </c>
      <c r="N213" s="81">
        <f t="shared" si="240"/>
      </c>
      <c r="O213" s="81">
        <f t="shared" si="186"/>
      </c>
      <c r="P213" s="81">
        <f t="shared" si="83"/>
      </c>
      <c r="Q213" s="81">
        <f t="shared" si="47"/>
      </c>
      <c r="R213" s="81">
        <f t="shared" si="11"/>
      </c>
      <c r="S213" s="81">
        <f t="shared" si="505"/>
      </c>
      <c r="T213" s="81">
        <f t="shared" si="402"/>
      </c>
      <c r="U213" s="79">
        <f t="shared" si="348"/>
      </c>
      <c r="V213" s="79">
        <f t="shared" si="258"/>
      </c>
      <c r="W213" s="79">
        <f t="shared" si="276"/>
      </c>
      <c r="X213" s="79">
        <f t="shared" si="294"/>
      </c>
      <c r="Y213" s="79">
        <f t="shared" si="204"/>
      </c>
      <c r="Z213" s="79">
        <f t="shared" si="101"/>
      </c>
      <c r="AA213" s="80">
        <f t="shared" si="65"/>
      </c>
      <c r="AB213" s="80">
        <f t="shared" si="29"/>
      </c>
      <c r="AC213" s="80">
        <f t="shared" si="523"/>
      </c>
      <c r="AD213" s="79">
        <f t="shared" si="420"/>
      </c>
      <c r="AE213" s="80">
        <f t="shared" si="366"/>
      </c>
      <c r="AF213" s="79">
        <f t="shared" si="312"/>
      </c>
      <c r="AG213" s="79">
        <f t="shared" si="222"/>
      </c>
      <c r="AH213" s="82">
        <v>14370</v>
      </c>
      <c r="AI213" s="34">
        <v>376</v>
      </c>
      <c r="AJ213" s="34">
        <v>491</v>
      </c>
      <c r="AK213" s="34">
        <v>44</v>
      </c>
      <c r="AL213" s="29">
        <v>3</v>
      </c>
      <c r="AM213" s="29">
        <v>3</v>
      </c>
      <c r="AN213" s="34">
        <v>66</v>
      </c>
      <c r="AO213" s="34">
        <v>71</v>
      </c>
      <c r="AP213" s="34">
        <v>8</v>
      </c>
      <c r="AQ213" s="29">
        <v>1</v>
      </c>
      <c r="AR213" s="36">
        <f t="shared" si="150"/>
      </c>
    </row>
    <row r="214">
      <c r="A214" s="74"/>
      <c r="B214" s="85" t="s">
        <v>56</v>
      </c>
      <c r="C214" s="85"/>
      <c r="D214" s="85"/>
      <c r="E214" s="85"/>
      <c r="F214" s="86">
        <f>SUM(F210:F213)</f>
      </c>
      <c r="G214" s="86">
        <f>SUM(G210:G213)</f>
      </c>
      <c r="H214" s="86">
        <f>SUM(H210:H213)</f>
      </c>
      <c r="I214" s="85">
        <f>SUM(I210:I213)</f>
      </c>
      <c r="J214" s="85">
        <f>SUM(J210:J213)</f>
      </c>
      <c r="K214" s="86">
        <f>SUM(K210:K213)</f>
      </c>
      <c r="L214" s="87">
        <f t="shared" si="384"/>
      </c>
      <c r="M214" s="88">
        <f t="shared" si="330"/>
      </c>
      <c r="N214" s="86">
        <f t="shared" si="240"/>
      </c>
      <c r="O214" s="86">
        <f t="shared" si="186"/>
      </c>
      <c r="P214" s="86">
        <f t="shared" si="83"/>
      </c>
      <c r="Q214" s="86">
        <f t="shared" si="47"/>
      </c>
      <c r="R214" s="86">
        <f t="shared" si="11"/>
      </c>
      <c r="S214" s="86">
        <f t="shared" si="505"/>
      </c>
      <c r="T214" s="86">
        <f t="shared" si="402"/>
      </c>
      <c r="U214" s="87">
        <f t="shared" si="348"/>
      </c>
      <c r="V214" s="87">
        <f t="shared" si="258"/>
      </c>
      <c r="W214" s="87">
        <f t="shared" si="276"/>
      </c>
      <c r="X214" s="87">
        <f t="shared" si="294"/>
      </c>
      <c r="Y214" s="87">
        <f t="shared" si="204"/>
      </c>
      <c r="Z214" s="87">
        <f t="shared" si="101"/>
      </c>
      <c r="AA214" s="88">
        <f t="shared" si="65"/>
      </c>
      <c r="AB214" s="88">
        <f t="shared" si="29"/>
      </c>
      <c r="AC214" s="88">
        <f t="shared" si="523"/>
      </c>
      <c r="AD214" s="87">
        <f t="shared" si="420"/>
      </c>
      <c r="AE214" s="88">
        <f t="shared" si="366"/>
      </c>
      <c r="AF214" s="87">
        <f t="shared" si="312"/>
      </c>
      <c r="AG214" s="87">
        <f t="shared" si="222"/>
      </c>
      <c r="AH214" s="40">
        <f>SUM(AH210:AH213)</f>
      </c>
      <c r="AI214" s="40">
        <f>SUM(AI210:AI213)</f>
      </c>
      <c r="AJ214" s="40">
        <f>SUM(AJ210:AJ213)</f>
      </c>
      <c r="AK214" s="40">
        <f>SUM(AK210:AK213)</f>
      </c>
      <c r="AL214" s="40">
        <f>SUM(AL210:AL213)</f>
      </c>
      <c r="AM214" s="40">
        <f>SUM(AM210:AM213)</f>
      </c>
      <c r="AN214" s="40">
        <f>SUM(AN210:AN213)</f>
      </c>
      <c r="AO214" s="40">
        <f>SUM(AO210:AO213)</f>
      </c>
      <c r="AP214" s="40">
        <f>SUM(AP210:AP213)</f>
      </c>
      <c r="AQ214" s="40">
        <f>SUM(AQ210:AQ213)</f>
      </c>
      <c r="AR214" s="44">
        <f>SUM(AR210:AR213)</f>
      </c>
    </row>
    <row r="215">
      <c r="A215" s="74"/>
      <c r="B215" s="75" t="s">
        <v>69</v>
      </c>
      <c r="C215" s="76" t="s">
        <v>50</v>
      </c>
      <c r="D215" s="75" t="s">
        <v>62</v>
      </c>
      <c r="E215" s="75" t="s">
        <v>58</v>
      </c>
      <c r="F215" s="77">
        <f t="shared" ref="F215:F218" si="470">H215+G215</f>
      </c>
      <c r="G215" s="78">
        <v>607.79</v>
      </c>
      <c r="H215" s="78">
        <v>546.43</v>
      </c>
      <c r="I215" s="75">
        <v>2</v>
      </c>
      <c r="J215" s="75">
        <v>2</v>
      </c>
      <c r="K215" s="78">
        <v>1836</v>
      </c>
      <c r="L215" s="79">
        <f t="shared" si="384"/>
      </c>
      <c r="M215" s="80">
        <f t="shared" si="330"/>
      </c>
      <c r="N215" s="81">
        <f t="shared" si="240"/>
      </c>
      <c r="O215" s="81">
        <f t="shared" si="186"/>
      </c>
      <c r="P215" s="81">
        <f t="shared" si="83"/>
      </c>
      <c r="Q215" s="81">
        <f t="shared" si="47"/>
      </c>
      <c r="R215" s="81">
        <f t="shared" si="11"/>
      </c>
      <c r="S215" s="81">
        <f t="shared" si="505"/>
      </c>
      <c r="T215" s="81">
        <f t="shared" si="402"/>
      </c>
      <c r="U215" s="79">
        <f t="shared" si="348"/>
      </c>
      <c r="V215" s="79">
        <f t="shared" si="258"/>
      </c>
      <c r="W215" s="79">
        <f t="shared" si="276"/>
      </c>
      <c r="X215" s="79">
        <f t="shared" si="294"/>
      </c>
      <c r="Y215" s="79">
        <f t="shared" si="204"/>
      </c>
      <c r="Z215" s="79">
        <f t="shared" si="101"/>
      </c>
      <c r="AA215" s="80">
        <f t="shared" si="65"/>
      </c>
      <c r="AB215" s="80">
        <f t="shared" si="29"/>
      </c>
      <c r="AC215" s="80">
        <f t="shared" si="523"/>
      </c>
      <c r="AD215" s="79">
        <f t="shared" si="420"/>
      </c>
      <c r="AE215" s="80">
        <f t="shared" si="366"/>
      </c>
      <c r="AF215" s="79">
        <f t="shared" si="312"/>
      </c>
      <c r="AG215" s="79">
        <f t="shared" si="222"/>
      </c>
      <c r="AH215" s="82">
        <v>12211</v>
      </c>
      <c r="AI215" s="34">
        <v>318</v>
      </c>
      <c r="AJ215" s="34">
        <v>393</v>
      </c>
      <c r="AK215" s="34">
        <v>19</v>
      </c>
      <c r="AL215" s="29">
        <v>1</v>
      </c>
      <c r="AM215" s="29">
        <v>1</v>
      </c>
      <c r="AN215" s="34">
        <v>38</v>
      </c>
      <c r="AO215" s="34">
        <v>38</v>
      </c>
      <c r="AP215" s="34">
        <v>6</v>
      </c>
      <c r="AQ215" s="29">
        <v>1</v>
      </c>
      <c r="AR215" s="36">
        <f t="shared" ref="AR215:AR218" si="151">COUNT(AQ215)</f>
      </c>
    </row>
    <row r="216">
      <c r="A216" s="74"/>
      <c r="B216" s="75"/>
      <c r="C216" s="76"/>
      <c r="D216" s="75"/>
      <c r="E216" s="75"/>
      <c r="F216" s="77">
        <f t="shared" si="470"/>
      </c>
      <c r="G216" s="78"/>
      <c r="H216" s="78"/>
      <c r="I216" s="75"/>
      <c r="J216" s="75"/>
      <c r="K216" s="78"/>
      <c r="L216" s="79">
        <f t="shared" si="384"/>
      </c>
      <c r="M216" s="80">
        <f t="shared" si="330"/>
      </c>
      <c r="N216" s="81">
        <f t="shared" si="240"/>
      </c>
      <c r="O216" s="81">
        <f t="shared" si="186"/>
      </c>
      <c r="P216" s="81">
        <f t="shared" si="83"/>
      </c>
      <c r="Q216" s="81">
        <f t="shared" si="47"/>
      </c>
      <c r="R216" s="81">
        <f t="shared" si="11"/>
      </c>
      <c r="S216" s="81">
        <f t="shared" si="505"/>
      </c>
      <c r="T216" s="81">
        <f t="shared" si="402"/>
      </c>
      <c r="U216" s="79">
        <f t="shared" si="348"/>
      </c>
      <c r="V216" s="79">
        <f t="shared" si="258"/>
      </c>
      <c r="W216" s="79">
        <f t="shared" si="276"/>
      </c>
      <c r="X216" s="79">
        <f t="shared" si="294"/>
      </c>
      <c r="Y216" s="79">
        <f t="shared" si="204"/>
      </c>
      <c r="Z216" s="79">
        <f t="shared" si="101"/>
      </c>
      <c r="AA216" s="80">
        <f t="shared" si="65"/>
      </c>
      <c r="AB216" s="80">
        <f t="shared" si="29"/>
      </c>
      <c r="AC216" s="80">
        <f t="shared" si="523"/>
      </c>
      <c r="AD216" s="79">
        <f t="shared" si="420"/>
      </c>
      <c r="AE216" s="80">
        <f t="shared" si="366"/>
      </c>
      <c r="AF216" s="79">
        <f t="shared" si="312"/>
      </c>
      <c r="AG216" s="79">
        <f t="shared" si="222"/>
      </c>
      <c r="AH216" s="82"/>
      <c r="AI216" s="34"/>
      <c r="AJ216" s="34"/>
      <c r="AK216" s="34"/>
      <c r="AL216" s="34"/>
      <c r="AM216" s="34"/>
      <c r="AN216" s="34"/>
      <c r="AO216" s="34"/>
      <c r="AP216" s="34"/>
      <c r="AQ216" s="29"/>
      <c r="AR216" s="36">
        <f t="shared" si="151"/>
      </c>
    </row>
    <row r="217">
      <c r="A217" s="74"/>
      <c r="B217" s="75"/>
      <c r="C217" s="76"/>
      <c r="D217" s="75"/>
      <c r="E217" s="75"/>
      <c r="F217" s="77">
        <f t="shared" si="470"/>
      </c>
      <c r="G217" s="78"/>
      <c r="H217" s="78"/>
      <c r="I217" s="75"/>
      <c r="J217" s="75"/>
      <c r="K217" s="78"/>
      <c r="L217" s="79">
        <f t="shared" si="384"/>
      </c>
      <c r="M217" s="80">
        <f t="shared" si="330"/>
      </c>
      <c r="N217" s="81">
        <f t="shared" si="240"/>
      </c>
      <c r="O217" s="81">
        <f t="shared" si="186"/>
      </c>
      <c r="P217" s="81">
        <f t="shared" si="83"/>
      </c>
      <c r="Q217" s="81">
        <f t="shared" si="47"/>
      </c>
      <c r="R217" s="81">
        <f t="shared" si="11"/>
      </c>
      <c r="S217" s="81">
        <f t="shared" si="505"/>
      </c>
      <c r="T217" s="81">
        <f t="shared" si="402"/>
      </c>
      <c r="U217" s="79">
        <f t="shared" si="348"/>
      </c>
      <c r="V217" s="79">
        <f t="shared" si="258"/>
      </c>
      <c r="W217" s="79">
        <f t="shared" si="276"/>
      </c>
      <c r="X217" s="79">
        <f t="shared" si="294"/>
      </c>
      <c r="Y217" s="79">
        <f t="shared" si="204"/>
      </c>
      <c r="Z217" s="79">
        <f t="shared" si="101"/>
      </c>
      <c r="AA217" s="80">
        <f t="shared" si="65"/>
      </c>
      <c r="AB217" s="80">
        <f t="shared" si="29"/>
      </c>
      <c r="AC217" s="80">
        <f t="shared" si="523"/>
      </c>
      <c r="AD217" s="79">
        <f t="shared" si="420"/>
      </c>
      <c r="AE217" s="80">
        <f t="shared" si="366"/>
      </c>
      <c r="AF217" s="79">
        <f t="shared" si="312"/>
      </c>
      <c r="AG217" s="79">
        <f t="shared" si="222"/>
      </c>
      <c r="AH217" s="82"/>
      <c r="AI217" s="34"/>
      <c r="AJ217" s="34"/>
      <c r="AK217" s="34"/>
      <c r="AL217" s="34"/>
      <c r="AM217" s="34"/>
      <c r="AN217" s="34"/>
      <c r="AO217" s="34"/>
      <c r="AP217" s="34"/>
      <c r="AQ217" s="29"/>
      <c r="AR217" s="36">
        <f t="shared" si="151"/>
      </c>
    </row>
    <row r="218">
      <c r="A218" s="74"/>
      <c r="B218" s="75"/>
      <c r="C218" s="76"/>
      <c r="D218" s="75"/>
      <c r="E218" s="75"/>
      <c r="F218" s="77">
        <f t="shared" si="470"/>
      </c>
      <c r="G218" s="78"/>
      <c r="H218" s="78"/>
      <c r="I218" s="75"/>
      <c r="J218" s="75"/>
      <c r="K218" s="78"/>
      <c r="L218" s="79">
        <f t="shared" si="384"/>
      </c>
      <c r="M218" s="80">
        <f t="shared" si="330"/>
      </c>
      <c r="N218" s="81">
        <f t="shared" si="240"/>
      </c>
      <c r="O218" s="81">
        <f t="shared" si="186"/>
      </c>
      <c r="P218" s="81">
        <f t="shared" si="83"/>
      </c>
      <c r="Q218" s="81">
        <f t="shared" si="47"/>
      </c>
      <c r="R218" s="81">
        <f t="shared" si="11"/>
      </c>
      <c r="S218" s="81">
        <f t="shared" si="505"/>
      </c>
      <c r="T218" s="81">
        <f t="shared" si="402"/>
      </c>
      <c r="U218" s="79">
        <f t="shared" si="348"/>
      </c>
      <c r="V218" s="79">
        <f t="shared" si="258"/>
      </c>
      <c r="W218" s="79">
        <f t="shared" si="276"/>
      </c>
      <c r="X218" s="79">
        <f t="shared" si="294"/>
      </c>
      <c r="Y218" s="79">
        <f t="shared" si="204"/>
      </c>
      <c r="Z218" s="79">
        <f t="shared" si="101"/>
      </c>
      <c r="AA218" s="80">
        <f t="shared" si="65"/>
      </c>
      <c r="AB218" s="80">
        <f t="shared" si="29"/>
      </c>
      <c r="AC218" s="80">
        <f t="shared" si="523"/>
      </c>
      <c r="AD218" s="79">
        <f t="shared" si="420"/>
      </c>
      <c r="AE218" s="80">
        <f t="shared" si="366"/>
      </c>
      <c r="AF218" s="79">
        <f t="shared" si="312"/>
      </c>
      <c r="AG218" s="79">
        <f t="shared" si="222"/>
      </c>
      <c r="AH218" s="82"/>
      <c r="AI218" s="34"/>
      <c r="AJ218" s="34"/>
      <c r="AK218" s="34"/>
      <c r="AL218" s="34"/>
      <c r="AM218" s="34"/>
      <c r="AN218" s="34"/>
      <c r="AO218" s="34"/>
      <c r="AP218" s="34"/>
      <c r="AQ218" s="29"/>
      <c r="AR218" s="36">
        <f t="shared" si="151"/>
      </c>
    </row>
    <row r="219">
      <c r="A219" s="74"/>
      <c r="B219" s="85" t="s">
        <v>56</v>
      </c>
      <c r="C219" s="85"/>
      <c r="D219" s="85"/>
      <c r="E219" s="85"/>
      <c r="F219" s="86">
        <f>SUM(F215:F218)</f>
      </c>
      <c r="G219" s="86">
        <f>SUM(G215:G218)</f>
      </c>
      <c r="H219" s="86">
        <f>SUM(H215:H218)</f>
      </c>
      <c r="I219" s="85">
        <f>SUM(I215:I218)</f>
      </c>
      <c r="J219" s="85">
        <f>SUM(J215:J218)</f>
      </c>
      <c r="K219" s="86">
        <f>SUM(K215:K218)</f>
      </c>
      <c r="L219" s="87">
        <f t="shared" si="384"/>
      </c>
      <c r="M219" s="88">
        <f t="shared" si="330"/>
      </c>
      <c r="N219" s="86">
        <f t="shared" si="240"/>
      </c>
      <c r="O219" s="86">
        <f t="shared" si="186"/>
      </c>
      <c r="P219" s="86">
        <f t="shared" si="83"/>
      </c>
      <c r="Q219" s="86">
        <f t="shared" si="47"/>
      </c>
      <c r="R219" s="86">
        <f t="shared" si="11"/>
      </c>
      <c r="S219" s="86">
        <f t="shared" si="505"/>
      </c>
      <c r="T219" s="86">
        <f t="shared" si="402"/>
      </c>
      <c r="U219" s="87">
        <f t="shared" si="348"/>
      </c>
      <c r="V219" s="87">
        <f t="shared" si="258"/>
      </c>
      <c r="W219" s="87">
        <f t="shared" si="276"/>
      </c>
      <c r="X219" s="87">
        <f t="shared" si="294"/>
      </c>
      <c r="Y219" s="87">
        <f t="shared" si="204"/>
      </c>
      <c r="Z219" s="87">
        <f t="shared" si="101"/>
      </c>
      <c r="AA219" s="88">
        <f t="shared" si="65"/>
      </c>
      <c r="AB219" s="88">
        <f t="shared" si="29"/>
      </c>
      <c r="AC219" s="88">
        <f t="shared" si="523"/>
      </c>
      <c r="AD219" s="87">
        <f t="shared" si="420"/>
      </c>
      <c r="AE219" s="88">
        <f t="shared" si="366"/>
      </c>
      <c r="AF219" s="87">
        <f t="shared" si="312"/>
      </c>
      <c r="AG219" s="87">
        <f t="shared" si="222"/>
      </c>
      <c r="AH219" s="40">
        <f>SUM(AH215:AH218)</f>
      </c>
      <c r="AI219" s="40">
        <f>SUM(AI215:AI218)</f>
      </c>
      <c r="AJ219" s="40">
        <f>SUM(AJ215:AJ218)</f>
      </c>
      <c r="AK219" s="40">
        <f>SUM(AK215:AK218)</f>
      </c>
      <c r="AL219" s="40">
        <f>SUM(AL215:AL218)</f>
      </c>
      <c r="AM219" s="40">
        <f>SUM(AM215:AM218)</f>
      </c>
      <c r="AN219" s="40">
        <f>SUM(AN215:AN218)</f>
      </c>
      <c r="AO219" s="40">
        <f>SUM(AO215:AO218)</f>
      </c>
      <c r="AP219" s="40">
        <f>SUM(AP215:AP218)</f>
      </c>
      <c r="AQ219" s="40">
        <f>SUM(AQ215:AQ218)</f>
      </c>
      <c r="AR219" s="44">
        <f>SUM(AR215:AR218)</f>
      </c>
    </row>
    <row r="220">
      <c r="A220" s="74"/>
      <c r="B220" s="75"/>
      <c r="C220" s="76"/>
      <c r="D220" s="75"/>
      <c r="E220" s="75"/>
      <c r="F220" s="77">
        <f t="shared" ref="F220:F223" si="471">H220+G220</f>
      </c>
      <c r="G220" s="78"/>
      <c r="H220" s="78"/>
      <c r="I220" s="75"/>
      <c r="J220" s="76"/>
      <c r="K220" s="78"/>
      <c r="L220" s="79">
        <f t="shared" si="384"/>
      </c>
      <c r="M220" s="80">
        <f t="shared" si="330"/>
      </c>
      <c r="N220" s="81">
        <f t="shared" si="240"/>
      </c>
      <c r="O220" s="81">
        <f t="shared" si="186"/>
      </c>
      <c r="P220" s="81">
        <f t="shared" si="83"/>
      </c>
      <c r="Q220" s="81">
        <f t="shared" si="47"/>
      </c>
      <c r="R220" s="81">
        <f t="shared" si="11"/>
      </c>
      <c r="S220" s="81">
        <f t="shared" si="505"/>
      </c>
      <c r="T220" s="81">
        <f t="shared" si="402"/>
      </c>
      <c r="U220" s="79">
        <f t="shared" si="348"/>
      </c>
      <c r="V220" s="79">
        <f t="shared" si="258"/>
      </c>
      <c r="W220" s="79">
        <f t="shared" si="276"/>
      </c>
      <c r="X220" s="79">
        <f t="shared" si="294"/>
      </c>
      <c r="Y220" s="79">
        <f t="shared" si="204"/>
      </c>
      <c r="Z220" s="79">
        <f t="shared" si="101"/>
      </c>
      <c r="AA220" s="80">
        <f t="shared" si="65"/>
      </c>
      <c r="AB220" s="80">
        <f t="shared" si="29"/>
      </c>
      <c r="AC220" s="80">
        <f t="shared" si="523"/>
      </c>
      <c r="AD220" s="79">
        <f t="shared" si="420"/>
      </c>
      <c r="AE220" s="80">
        <f t="shared" si="366"/>
      </c>
      <c r="AF220" s="79">
        <f t="shared" si="312"/>
      </c>
      <c r="AG220" s="79">
        <f t="shared" si="222"/>
      </c>
      <c r="AH220" s="82"/>
      <c r="AI220" s="34"/>
      <c r="AJ220" s="34"/>
      <c r="AK220" s="34"/>
      <c r="AL220" s="34"/>
      <c r="AM220" s="34"/>
      <c r="AN220" s="34"/>
      <c r="AO220" s="34"/>
      <c r="AP220" s="34"/>
      <c r="AQ220" s="29"/>
      <c r="AR220" s="36">
        <f t="shared" ref="AR220:AR223" si="152">COUNT(AQ220)</f>
      </c>
    </row>
    <row customHeight="true" ht="16.071428571428573" r="221">
      <c r="A221" s="74"/>
      <c r="B221" s="75"/>
      <c r="C221" s="76"/>
      <c r="D221" s="75"/>
      <c r="E221" s="76"/>
      <c r="F221" s="77">
        <f t="shared" si="471"/>
      </c>
      <c r="G221" s="78"/>
      <c r="H221" s="78"/>
      <c r="I221" s="75"/>
      <c r="J221" s="76"/>
      <c r="K221" s="78"/>
      <c r="L221" s="79">
        <f t="shared" si="384"/>
      </c>
      <c r="M221" s="80">
        <f t="shared" si="330"/>
      </c>
      <c r="N221" s="81">
        <f t="shared" si="240"/>
      </c>
      <c r="O221" s="81">
        <f t="shared" si="186"/>
      </c>
      <c r="P221" s="81">
        <f t="shared" si="83"/>
      </c>
      <c r="Q221" s="81">
        <f t="shared" si="47"/>
      </c>
      <c r="R221" s="81">
        <f t="shared" si="11"/>
      </c>
      <c r="S221" s="81">
        <f t="shared" si="505"/>
      </c>
      <c r="T221" s="81">
        <f t="shared" si="402"/>
      </c>
      <c r="U221" s="79">
        <f t="shared" si="348"/>
      </c>
      <c r="V221" s="79">
        <f t="shared" si="258"/>
      </c>
      <c r="W221" s="79">
        <f t="shared" si="276"/>
      </c>
      <c r="X221" s="79">
        <f t="shared" si="294"/>
      </c>
      <c r="Y221" s="79">
        <f t="shared" si="204"/>
      </c>
      <c r="Z221" s="79">
        <f t="shared" si="101"/>
      </c>
      <c r="AA221" s="80">
        <f t="shared" si="65"/>
      </c>
      <c r="AB221" s="80">
        <f t="shared" si="29"/>
      </c>
      <c r="AC221" s="80">
        <f t="shared" si="523"/>
      </c>
      <c r="AD221" s="79">
        <f t="shared" si="420"/>
      </c>
      <c r="AE221" s="80">
        <f t="shared" si="366"/>
      </c>
      <c r="AF221" s="79">
        <f t="shared" si="312"/>
      </c>
      <c r="AG221" s="79">
        <f t="shared" si="222"/>
      </c>
      <c r="AH221" s="82"/>
      <c r="AI221" s="34"/>
      <c r="AJ221" s="34"/>
      <c r="AK221" s="34"/>
      <c r="AL221" s="34"/>
      <c r="AM221" s="34"/>
      <c r="AN221" s="34"/>
      <c r="AO221" s="34"/>
      <c r="AP221" s="34"/>
      <c r="AQ221" s="29"/>
      <c r="AR221" s="36">
        <f t="shared" si="152"/>
      </c>
    </row>
    <row r="222">
      <c r="A222" s="74"/>
      <c r="B222" s="75"/>
      <c r="C222" s="76"/>
      <c r="D222" s="75"/>
      <c r="E222" s="76"/>
      <c r="F222" s="77">
        <f t="shared" si="471"/>
      </c>
      <c r="G222" s="78"/>
      <c r="H222" s="78"/>
      <c r="I222" s="75"/>
      <c r="J222" s="76"/>
      <c r="K222" s="78"/>
      <c r="L222" s="79">
        <f t="shared" si="384"/>
      </c>
      <c r="M222" s="80">
        <f t="shared" si="330"/>
      </c>
      <c r="N222" s="81">
        <f t="shared" si="240"/>
      </c>
      <c r="O222" s="81">
        <f t="shared" si="186"/>
      </c>
      <c r="P222" s="81">
        <f t="shared" si="83"/>
      </c>
      <c r="Q222" s="81">
        <f t="shared" si="47"/>
      </c>
      <c r="R222" s="81">
        <f t="shared" si="11"/>
      </c>
      <c r="S222" s="81">
        <f t="shared" si="505"/>
      </c>
      <c r="T222" s="81">
        <f t="shared" si="402"/>
      </c>
      <c r="U222" s="79">
        <f t="shared" si="348"/>
      </c>
      <c r="V222" s="79">
        <f t="shared" si="258"/>
      </c>
      <c r="W222" s="79">
        <f t="shared" si="276"/>
      </c>
      <c r="X222" s="79">
        <f t="shared" si="294"/>
      </c>
      <c r="Y222" s="79">
        <f t="shared" si="204"/>
      </c>
      <c r="Z222" s="79">
        <f t="shared" si="101"/>
      </c>
      <c r="AA222" s="80">
        <f t="shared" si="65"/>
      </c>
      <c r="AB222" s="80">
        <f t="shared" si="29"/>
      </c>
      <c r="AC222" s="80">
        <f t="shared" si="523"/>
      </c>
      <c r="AD222" s="79">
        <f t="shared" si="420"/>
      </c>
      <c r="AE222" s="80">
        <f t="shared" si="366"/>
      </c>
      <c r="AF222" s="79">
        <f t="shared" si="312"/>
      </c>
      <c r="AG222" s="79">
        <f t="shared" si="222"/>
      </c>
      <c r="AH222" s="82"/>
      <c r="AI222" s="34"/>
      <c r="AJ222" s="34"/>
      <c r="AK222" s="34"/>
      <c r="AL222" s="34"/>
      <c r="AM222" s="34"/>
      <c r="AN222" s="34"/>
      <c r="AO222" s="34"/>
      <c r="AP222" s="34"/>
      <c r="AQ222" s="29"/>
      <c r="AR222" s="36">
        <f t="shared" si="152"/>
      </c>
    </row>
    <row r="223">
      <c r="A223" s="74"/>
      <c r="B223" s="75"/>
      <c r="C223" s="76"/>
      <c r="D223" s="75"/>
      <c r="E223" s="75"/>
      <c r="F223" s="77">
        <f t="shared" si="471"/>
      </c>
      <c r="G223" s="78"/>
      <c r="H223" s="78"/>
      <c r="I223" s="75"/>
      <c r="J223" s="75"/>
      <c r="K223" s="78"/>
      <c r="L223" s="79">
        <f t="shared" si="384"/>
      </c>
      <c r="M223" s="80">
        <f t="shared" si="330"/>
      </c>
      <c r="N223" s="81">
        <f t="shared" si="240"/>
      </c>
      <c r="O223" s="81">
        <f t="shared" si="186"/>
      </c>
      <c r="P223" s="81">
        <f t="shared" si="83"/>
      </c>
      <c r="Q223" s="81">
        <f t="shared" si="47"/>
      </c>
      <c r="R223" s="81">
        <f t="shared" si="11"/>
      </c>
      <c r="S223" s="81">
        <f t="shared" si="505"/>
      </c>
      <c r="T223" s="81">
        <f t="shared" si="402"/>
      </c>
      <c r="U223" s="79">
        <f t="shared" si="348"/>
      </c>
      <c r="V223" s="79">
        <f t="shared" si="258"/>
      </c>
      <c r="W223" s="79">
        <f t="shared" si="276"/>
      </c>
      <c r="X223" s="79">
        <f t="shared" si="294"/>
      </c>
      <c r="Y223" s="79">
        <f t="shared" si="204"/>
      </c>
      <c r="Z223" s="79">
        <f t="shared" si="101"/>
      </c>
      <c r="AA223" s="80">
        <f t="shared" si="65"/>
      </c>
      <c r="AB223" s="80">
        <f t="shared" si="29"/>
      </c>
      <c r="AC223" s="80">
        <f t="shared" si="523"/>
      </c>
      <c r="AD223" s="79">
        <f t="shared" si="420"/>
      </c>
      <c r="AE223" s="80">
        <f t="shared" si="366"/>
      </c>
      <c r="AF223" s="79">
        <f t="shared" si="312"/>
      </c>
      <c r="AG223" s="79">
        <f t="shared" si="222"/>
      </c>
      <c r="AH223" s="82"/>
      <c r="AI223" s="34"/>
      <c r="AJ223" s="34"/>
      <c r="AK223" s="34"/>
      <c r="AL223" s="34"/>
      <c r="AM223" s="34"/>
      <c r="AN223" s="34"/>
      <c r="AO223" s="34"/>
      <c r="AP223" s="34"/>
      <c r="AQ223" s="29"/>
      <c r="AR223" s="36">
        <f t="shared" si="152"/>
      </c>
    </row>
    <row r="224">
      <c r="A224" s="74"/>
      <c r="B224" s="85" t="s">
        <v>56</v>
      </c>
      <c r="C224" s="85"/>
      <c r="D224" s="85"/>
      <c r="E224" s="85"/>
      <c r="F224" s="86">
        <f>SUM(F220:F223)</f>
      </c>
      <c r="G224" s="86">
        <f>SUM(G220:G223)</f>
      </c>
      <c r="H224" s="86">
        <f>SUM(H220:H223)</f>
      </c>
      <c r="I224" s="85">
        <f>SUM(I220:I223)</f>
      </c>
      <c r="J224" s="85">
        <f>SUM(J220:J223)</f>
      </c>
      <c r="K224" s="86">
        <f>SUM(K220:K223)</f>
      </c>
      <c r="L224" s="87">
        <f t="shared" si="384"/>
      </c>
      <c r="M224" s="88">
        <f t="shared" si="330"/>
      </c>
      <c r="N224" s="86">
        <f t="shared" si="240"/>
      </c>
      <c r="O224" s="86">
        <f t="shared" si="186"/>
      </c>
      <c r="P224" s="86">
        <f t="shared" si="83"/>
      </c>
      <c r="Q224" s="86">
        <f t="shared" si="47"/>
      </c>
      <c r="R224" s="86">
        <f t="shared" si="11"/>
      </c>
      <c r="S224" s="86">
        <f t="shared" si="505"/>
      </c>
      <c r="T224" s="86">
        <f t="shared" si="402"/>
      </c>
      <c r="U224" s="87">
        <f t="shared" si="348"/>
      </c>
      <c r="V224" s="87">
        <f t="shared" si="258"/>
      </c>
      <c r="W224" s="87">
        <f t="shared" si="276"/>
      </c>
      <c r="X224" s="87">
        <f t="shared" si="294"/>
      </c>
      <c r="Y224" s="87">
        <f t="shared" si="204"/>
      </c>
      <c r="Z224" s="87">
        <f t="shared" si="101"/>
      </c>
      <c r="AA224" s="88">
        <f t="shared" si="65"/>
      </c>
      <c r="AB224" s="88">
        <f t="shared" si="29"/>
      </c>
      <c r="AC224" s="88">
        <f t="shared" si="523"/>
      </c>
      <c r="AD224" s="87">
        <f t="shared" si="420"/>
      </c>
      <c r="AE224" s="88">
        <f t="shared" si="366"/>
      </c>
      <c r="AF224" s="87">
        <f t="shared" si="312"/>
      </c>
      <c r="AG224" s="87">
        <f t="shared" si="222"/>
      </c>
      <c r="AH224" s="40">
        <f>SUM(AH220:AH223)</f>
      </c>
      <c r="AI224" s="40">
        <f>SUM(AI220:AI223)</f>
      </c>
      <c r="AJ224" s="40">
        <f>SUM(AJ220:AJ223)</f>
      </c>
      <c r="AK224" s="40">
        <f>SUM(AK220:AK223)</f>
      </c>
      <c r="AL224" s="40">
        <f>SUM(AL220:AL223)</f>
      </c>
      <c r="AM224" s="40">
        <f>SUM(AM220:AM223)</f>
      </c>
      <c r="AN224" s="40">
        <f>SUM(AN220:AN223)</f>
      </c>
      <c r="AO224" s="40">
        <f>SUM(AO220:AO223)</f>
      </c>
      <c r="AP224" s="40">
        <f>SUM(AP220:AP223)</f>
      </c>
      <c r="AQ224" s="40">
        <f>SUM(AQ220:AQ223)</f>
      </c>
      <c r="AR224" s="44">
        <f>SUM(AR220:AR223)</f>
      </c>
    </row>
    <row customHeight="true" ht="14.669820919821285" r="225">
      <c r="A225" s="74"/>
      <c r="B225" s="91" t="s">
        <v>67</v>
      </c>
      <c r="C225" s="91"/>
      <c r="D225" s="91"/>
      <c r="E225" s="91"/>
      <c r="F225" s="92">
        <f>H225+G225</f>
      </c>
      <c r="G225" s="92">
        <f>G219+G214+G224</f>
      </c>
      <c r="H225" s="92">
        <f>H219+H214+H224</f>
      </c>
      <c r="I225" s="92">
        <f>I219+I214+I224</f>
      </c>
      <c r="J225" s="92">
        <f>J219+J214+J224</f>
      </c>
      <c r="K225" s="92">
        <f>K219+K214+K224</f>
      </c>
      <c r="L225" s="93">
        <f t="shared" si="384"/>
      </c>
      <c r="M225" s="94">
        <f t="shared" si="330"/>
      </c>
      <c r="N225" s="92">
        <f t="shared" si="240"/>
      </c>
      <c r="O225" s="92">
        <f t="shared" si="186"/>
      </c>
      <c r="P225" s="92">
        <f t="shared" si="83"/>
      </c>
      <c r="Q225" s="92">
        <f t="shared" si="47"/>
      </c>
      <c r="R225" s="92">
        <f t="shared" si="11"/>
      </c>
      <c r="S225" s="92">
        <f t="shared" si="505"/>
      </c>
      <c r="T225" s="92">
        <f t="shared" si="402"/>
      </c>
      <c r="U225" s="93">
        <f t="shared" si="348"/>
      </c>
      <c r="V225" s="93">
        <f t="shared" si="258"/>
      </c>
      <c r="W225" s="93">
        <f t="shared" si="276"/>
      </c>
      <c r="X225" s="93">
        <f t="shared" si="294"/>
      </c>
      <c r="Y225" s="93">
        <f t="shared" si="204"/>
      </c>
      <c r="Z225" s="93">
        <f t="shared" si="101"/>
      </c>
      <c r="AA225" s="94">
        <f t="shared" si="65"/>
      </c>
      <c r="AB225" s="94">
        <f t="shared" si="29"/>
      </c>
      <c r="AC225" s="94">
        <f t="shared" si="523"/>
      </c>
      <c r="AD225" s="93">
        <f t="shared" si="420"/>
      </c>
      <c r="AE225" s="94">
        <f t="shared" si="366"/>
      </c>
      <c r="AF225" s="93">
        <f t="shared" si="312"/>
      </c>
      <c r="AG225" s="93">
        <f t="shared" si="222"/>
      </c>
      <c r="AH225" s="44">
        <f>AH219+AH214+AH224</f>
      </c>
      <c r="AI225" s="44">
        <f>AI219+AI214+AI224</f>
      </c>
      <c r="AJ225" s="44">
        <f>AJ219+AJ214+AJ224</f>
      </c>
      <c r="AK225" s="44">
        <f>AK219+AK214+AK224</f>
      </c>
      <c r="AL225" s="44">
        <f>AL219+AL214+AL224</f>
      </c>
      <c r="AM225" s="44">
        <f>AM219+AM214+AM224</f>
      </c>
      <c r="AN225" s="44">
        <f>AN219+AN214+AN224</f>
      </c>
      <c r="AO225" s="44">
        <f>AO219+AO214+AO224</f>
      </c>
      <c r="AP225" s="44">
        <f>AP219+AP214+AP224</f>
      </c>
      <c r="AQ225" s="44">
        <f>AQ219+AQ214+AQ224</f>
      </c>
      <c r="AR225" s="44">
        <f>AR219+AR214+AR224</f>
      </c>
    </row>
    <row r="226">
      <c r="A226" s="59"/>
      <c r="B226" s="59"/>
      <c r="C226" s="59"/>
      <c r="D226" s="59"/>
      <c r="E226" s="59"/>
      <c r="F226" s="60" t="s">
        <v>1</v>
      </c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1" t="s">
        <v>2</v>
      </c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2" t="s">
        <v>3</v>
      </c>
      <c r="AD226" s="62"/>
      <c r="AE226" s="62"/>
      <c r="AF226" s="62"/>
      <c r="AG226" s="62"/>
      <c r="AH226" s="5" t="s">
        <v>4</v>
      </c>
      <c r="AI226" s="5"/>
      <c r="AJ226" s="5"/>
      <c r="AK226" s="5"/>
      <c r="AL226" s="5"/>
      <c r="AM226" s="5"/>
      <c r="AN226" s="5"/>
      <c r="AO226" s="5"/>
      <c r="AP226" s="5"/>
      <c r="AQ226" s="5"/>
      <c r="AR226" s="5"/>
    </row>
    <row r="227">
      <c r="A227" s="63" t="s">
        <v>5</v>
      </c>
      <c r="B227" s="59" t="s">
        <v>6</v>
      </c>
      <c r="C227" s="59" t="s">
        <v>7</v>
      </c>
      <c r="D227" s="59" t="s">
        <v>8</v>
      </c>
      <c r="E227" s="59" t="s">
        <v>9</v>
      </c>
      <c r="F227" s="64" t="s">
        <v>10</v>
      </c>
      <c r="G227" s="65" t="s">
        <v>11</v>
      </c>
      <c r="H227" s="66" t="s">
        <v>12</v>
      </c>
      <c r="I227" s="67" t="s">
        <v>13</v>
      </c>
      <c r="J227" s="67" t="s">
        <v>14</v>
      </c>
      <c r="K227" s="66" t="s">
        <v>15</v>
      </c>
      <c r="L227" s="68" t="s">
        <v>16</v>
      </c>
      <c r="M227" s="69" t="s">
        <v>17</v>
      </c>
      <c r="N227" s="70" t="s">
        <v>18</v>
      </c>
      <c r="O227" s="70" t="s">
        <v>19</v>
      </c>
      <c r="P227" s="70" t="s">
        <v>20</v>
      </c>
      <c r="Q227" s="61" t="s">
        <v>21</v>
      </c>
      <c r="R227" s="61" t="s">
        <v>22</v>
      </c>
      <c r="S227" s="61" t="s">
        <v>23</v>
      </c>
      <c r="T227" s="61" t="s">
        <v>24</v>
      </c>
      <c r="U227" s="71" t="s">
        <v>25</v>
      </c>
      <c r="V227" s="71" t="s">
        <v>26</v>
      </c>
      <c r="W227" s="71" t="s">
        <v>27</v>
      </c>
      <c r="X227" s="71" t="s">
        <v>28</v>
      </c>
      <c r="Y227" s="71" t="s">
        <v>29</v>
      </c>
      <c r="Z227" s="71" t="s">
        <v>30</v>
      </c>
      <c r="AA227" s="72" t="s">
        <v>31</v>
      </c>
      <c r="AB227" s="72" t="s">
        <v>32</v>
      </c>
      <c r="AC227" s="62" t="s">
        <v>33</v>
      </c>
      <c r="AD227" s="73" t="s">
        <v>34</v>
      </c>
      <c r="AE227" s="62" t="s">
        <v>35</v>
      </c>
      <c r="AF227" s="73" t="s">
        <v>36</v>
      </c>
      <c r="AG227" s="73" t="s">
        <v>37</v>
      </c>
      <c r="AH227" s="22" t="s">
        <v>38</v>
      </c>
      <c r="AI227" s="22" t="s">
        <v>39</v>
      </c>
      <c r="AJ227" s="22" t="s">
        <v>40</v>
      </c>
      <c r="AK227" s="22" t="s">
        <v>41</v>
      </c>
      <c r="AL227" s="22" t="s">
        <v>42</v>
      </c>
      <c r="AM227" s="22" t="s">
        <v>43</v>
      </c>
      <c r="AN227" s="22" t="s">
        <v>44</v>
      </c>
      <c r="AO227" s="22" t="s">
        <v>45</v>
      </c>
      <c r="AP227" s="22" t="s">
        <v>46</v>
      </c>
      <c r="AQ227" s="22" t="s">
        <v>47</v>
      </c>
      <c r="AR227" s="23" t="s">
        <v>48</v>
      </c>
    </row>
    <row r="228">
      <c r="A228" s="74">
        <v>46309</v>
      </c>
      <c r="B228" s="75" t="s">
        <v>69</v>
      </c>
      <c r="C228" s="76" t="s">
        <v>50</v>
      </c>
      <c r="D228" s="75" t="s">
        <v>70</v>
      </c>
      <c r="E228" s="75" t="s">
        <v>53</v>
      </c>
      <c r="F228" s="77">
        <f t="shared" ref="F228:F230" si="472">H228+G228</f>
      </c>
      <c r="G228" s="83">
        <v>1.19</v>
      </c>
      <c r="H228" s="78">
        <v>91.82</v>
      </c>
      <c r="I228" s="75">
        <v>0</v>
      </c>
      <c r="J228" s="75">
        <v>0</v>
      </c>
      <c r="K228" s="78">
        <v>0</v>
      </c>
      <c r="L228" s="79">
        <f t="shared" ref="L228:L244" si="385">AQ228/J228</f>
      </c>
      <c r="M228" s="80">
        <f t="shared" ref="M228:M244" si="331">K228/J228</f>
      </c>
      <c r="N228" s="81">
        <f t="shared" ref="N228:N244" si="241">F228/J228</f>
      </c>
      <c r="O228" s="81">
        <f t="shared" ref="O228:O244" si="187">K228/F228</f>
      </c>
      <c r="P228" s="81">
        <f t="shared" ref="P228:P244" si="84">K228/((300*AR228)+F228)</f>
      </c>
      <c r="Q228" s="81">
        <f t="shared" ref="Q228:Q244" si="48">F228/AJ228</f>
      </c>
      <c r="R228" s="81">
        <f t="shared" ref="R228:R244" si="12">F228/AK228</f>
      </c>
      <c r="S228" s="81">
        <f t="shared" ref="S228:S244" si="506">F228/AL228</f>
      </c>
      <c r="T228" s="81">
        <f t="shared" ref="T228:T244" si="403">F228/AM228</f>
      </c>
      <c r="U228" s="79">
        <f t="shared" ref="U228:U244" si="349">AI228/AJ228</f>
      </c>
      <c r="V228" s="79">
        <f t="shared" ref="V228:V244" si="259">AK228/AJ228</f>
      </c>
      <c r="W228" s="79">
        <f t="shared" ref="W228:W244" si="277">AL228/AK228</f>
      </c>
      <c r="X228" s="79">
        <f t="shared" ref="X228:X244" si="295">AM228/AL228</f>
      </c>
      <c r="Y228" s="79">
        <f t="shared" ref="Y228:Y244" si="205">AI228/AH228</f>
      </c>
      <c r="Z228" s="79">
        <f t="shared" ref="Z228:Z244" si="102">AM228/AI228</f>
      </c>
      <c r="AA228" s="80">
        <f t="shared" ref="AA228:AA244" si="66">F228/AH228*1000</f>
      </c>
      <c r="AB228" s="80">
        <f t="shared" ref="AB228:AB244" si="30">F228/AI228</f>
      </c>
      <c r="AC228" s="80">
        <f t="shared" ref="AC228:AC244" si="524">F228/AN228</f>
      </c>
      <c r="AD228" s="79">
        <f t="shared" ref="AD228:AD244" si="421">AN228/AJ228</f>
      </c>
      <c r="AE228" s="80">
        <f t="shared" ref="AE228:AE244" si="367">F228/AO228</f>
      </c>
      <c r="AF228" s="79">
        <f t="shared" ref="AF228:AF244" si="313">AO228/AJ228</f>
      </c>
      <c r="AG228" s="79">
        <f t="shared" ref="AG228:AG244" si="223">AP228/AJ228</f>
      </c>
      <c r="AH228" s="84">
        <v>395</v>
      </c>
      <c r="AI228" s="34">
        <v>76</v>
      </c>
      <c r="AJ228" s="34">
        <v>133</v>
      </c>
      <c r="AK228" s="34">
        <v>4</v>
      </c>
      <c r="AL228" s="34">
        <v>0</v>
      </c>
      <c r="AM228" s="34">
        <v>0</v>
      </c>
      <c r="AN228" s="34">
        <v>33</v>
      </c>
      <c r="AO228" s="34">
        <v>6</v>
      </c>
      <c r="AP228" s="34">
        <v>2</v>
      </c>
      <c r="AQ228" s="29">
        <v>0</v>
      </c>
      <c r="AR228" s="36">
        <f t="shared" ref="AR228:AR230" si="153">COUNT(AQ228)</f>
      </c>
    </row>
    <row r="229">
      <c r="A229" s="74"/>
      <c r="B229" s="75" t="s">
        <v>69</v>
      </c>
      <c r="C229" s="76" t="s">
        <v>50</v>
      </c>
      <c r="D229" s="75" t="s">
        <v>70</v>
      </c>
      <c r="E229" s="75" t="s">
        <v>54</v>
      </c>
      <c r="F229" s="77">
        <f t="shared" si="472"/>
      </c>
      <c r="G229" s="78">
        <v>4.15</v>
      </c>
      <c r="H229" s="78">
        <v>112.79</v>
      </c>
      <c r="I229" s="75">
        <v>0</v>
      </c>
      <c r="J229" s="75">
        <v>0</v>
      </c>
      <c r="K229" s="78">
        <v>0</v>
      </c>
      <c r="L229" s="79">
        <f t="shared" si="385"/>
      </c>
      <c r="M229" s="80">
        <f t="shared" si="331"/>
      </c>
      <c r="N229" s="81">
        <f t="shared" si="241"/>
      </c>
      <c r="O229" s="81">
        <f t="shared" si="187"/>
      </c>
      <c r="P229" s="81">
        <f t="shared" si="84"/>
      </c>
      <c r="Q229" s="81">
        <f t="shared" si="48"/>
      </c>
      <c r="R229" s="81">
        <f t="shared" si="12"/>
      </c>
      <c r="S229" s="81">
        <f t="shared" si="506"/>
      </c>
      <c r="T229" s="81">
        <f t="shared" si="403"/>
      </c>
      <c r="U229" s="79">
        <f t="shared" si="349"/>
      </c>
      <c r="V229" s="79">
        <f t="shared" si="259"/>
      </c>
      <c r="W229" s="79">
        <f t="shared" si="277"/>
      </c>
      <c r="X229" s="79">
        <f t="shared" si="295"/>
      </c>
      <c r="Y229" s="79">
        <f t="shared" si="205"/>
      </c>
      <c r="Z229" s="79">
        <f t="shared" si="102"/>
      </c>
      <c r="AA229" s="80">
        <f t="shared" si="66"/>
      </c>
      <c r="AB229" s="80">
        <f t="shared" si="30"/>
      </c>
      <c r="AC229" s="80">
        <f t="shared" si="524"/>
      </c>
      <c r="AD229" s="79">
        <f t="shared" si="421"/>
      </c>
      <c r="AE229" s="80">
        <f t="shared" si="367"/>
      </c>
      <c r="AF229" s="79">
        <f t="shared" si="313"/>
      </c>
      <c r="AG229" s="79">
        <f t="shared" si="223"/>
      </c>
      <c r="AH229" s="84">
        <v>368</v>
      </c>
      <c r="AI229" s="34">
        <v>119</v>
      </c>
      <c r="AJ229" s="34">
        <v>191</v>
      </c>
      <c r="AK229" s="34">
        <v>1</v>
      </c>
      <c r="AL229" s="29">
        <v>0</v>
      </c>
      <c r="AM229" s="34">
        <v>0</v>
      </c>
      <c r="AN229" s="34">
        <v>47</v>
      </c>
      <c r="AO229" s="34">
        <v>9</v>
      </c>
      <c r="AP229" s="34">
        <v>1</v>
      </c>
      <c r="AQ229" s="29">
        <v>0</v>
      </c>
      <c r="AR229" s="36">
        <f t="shared" si="153"/>
      </c>
    </row>
    <row r="230">
      <c r="A230" s="74"/>
      <c r="B230" s="75" t="s">
        <v>69</v>
      </c>
      <c r="C230" s="76" t="s">
        <v>50</v>
      </c>
      <c r="D230" s="75" t="s">
        <v>70</v>
      </c>
      <c r="E230" s="75" t="s">
        <v>55</v>
      </c>
      <c r="F230" s="77">
        <f t="shared" si="472"/>
      </c>
      <c r="G230" s="78">
        <v>0.7</v>
      </c>
      <c r="H230" s="78">
        <v>169.85</v>
      </c>
      <c r="I230" s="75">
        <v>1</v>
      </c>
      <c r="J230" s="75">
        <v>0</v>
      </c>
      <c r="K230" s="78">
        <v>0</v>
      </c>
      <c r="L230" s="79">
        <f t="shared" si="385"/>
      </c>
      <c r="M230" s="80">
        <f t="shared" si="331"/>
      </c>
      <c r="N230" s="81">
        <f t="shared" si="241"/>
      </c>
      <c r="O230" s="81">
        <f t="shared" si="187"/>
      </c>
      <c r="P230" s="81">
        <f t="shared" si="84"/>
      </c>
      <c r="Q230" s="81">
        <f t="shared" si="48"/>
      </c>
      <c r="R230" s="81">
        <f t="shared" si="12"/>
      </c>
      <c r="S230" s="81">
        <f t="shared" si="506"/>
      </c>
      <c r="T230" s="81">
        <f t="shared" si="403"/>
      </c>
      <c r="U230" s="79">
        <f t="shared" si="349"/>
      </c>
      <c r="V230" s="79">
        <f t="shared" si="259"/>
      </c>
      <c r="W230" s="79">
        <f t="shared" si="277"/>
      </c>
      <c r="X230" s="79">
        <f t="shared" si="295"/>
      </c>
      <c r="Y230" s="79">
        <f t="shared" si="205"/>
      </c>
      <c r="Z230" s="79">
        <f t="shared" si="102"/>
      </c>
      <c r="AA230" s="80">
        <f t="shared" si="66"/>
      </c>
      <c r="AB230" s="80">
        <f t="shared" si="30"/>
      </c>
      <c r="AC230" s="80">
        <f t="shared" si="524"/>
      </c>
      <c r="AD230" s="79">
        <f t="shared" si="421"/>
      </c>
      <c r="AE230" s="80">
        <f t="shared" si="367"/>
      </c>
      <c r="AF230" s="79">
        <f t="shared" si="313"/>
      </c>
      <c r="AG230" s="79">
        <f t="shared" si="223"/>
      </c>
      <c r="AH230" s="84">
        <v>368</v>
      </c>
      <c r="AI230" s="34">
        <v>119</v>
      </c>
      <c r="AJ230" s="34">
        <v>191</v>
      </c>
      <c r="AK230" s="34">
        <v>1</v>
      </c>
      <c r="AL230" s="29">
        <v>0</v>
      </c>
      <c r="AM230" s="34">
        <v>0</v>
      </c>
      <c r="AN230" s="34">
        <v>47</v>
      </c>
      <c r="AO230" s="34">
        <v>9</v>
      </c>
      <c r="AP230" s="29">
        <v>1</v>
      </c>
      <c r="AQ230" s="29">
        <v>0</v>
      </c>
      <c r="AR230" s="36">
        <f t="shared" si="153"/>
      </c>
    </row>
    <row r="231">
      <c r="A231" s="74"/>
      <c r="B231" s="85" t="s">
        <v>56</v>
      </c>
      <c r="C231" s="85"/>
      <c r="D231" s="85"/>
      <c r="E231" s="85"/>
      <c r="F231" s="86">
        <f>SUM(F228:F230)</f>
      </c>
      <c r="G231" s="86">
        <f>SUM(G228:G230)</f>
      </c>
      <c r="H231" s="86">
        <f>SUM(H228:H230)</f>
      </c>
      <c r="I231" s="85">
        <f>SUM(I228:I230)</f>
      </c>
      <c r="J231" s="85">
        <f>SUM(J228:J230)</f>
      </c>
      <c r="K231" s="86">
        <f>SUM(K228:K230)</f>
      </c>
      <c r="L231" s="87">
        <f t="shared" si="385"/>
      </c>
      <c r="M231" s="88">
        <f t="shared" si="331"/>
      </c>
      <c r="N231" s="86">
        <f t="shared" si="241"/>
      </c>
      <c r="O231" s="86">
        <f t="shared" si="187"/>
      </c>
      <c r="P231" s="86">
        <f t="shared" si="84"/>
      </c>
      <c r="Q231" s="86">
        <f t="shared" si="48"/>
      </c>
      <c r="R231" s="86">
        <f t="shared" si="12"/>
      </c>
      <c r="S231" s="86">
        <f t="shared" si="506"/>
      </c>
      <c r="T231" s="86">
        <f t="shared" si="403"/>
      </c>
      <c r="U231" s="87">
        <f t="shared" si="349"/>
      </c>
      <c r="V231" s="87">
        <f t="shared" si="259"/>
      </c>
      <c r="W231" s="87">
        <f t="shared" si="277"/>
      </c>
      <c r="X231" s="87">
        <f t="shared" si="295"/>
      </c>
      <c r="Y231" s="87">
        <f t="shared" si="205"/>
      </c>
      <c r="Z231" s="87">
        <f t="shared" si="102"/>
      </c>
      <c r="AA231" s="88">
        <f t="shared" si="66"/>
      </c>
      <c r="AB231" s="88">
        <f t="shared" si="30"/>
      </c>
      <c r="AC231" s="88">
        <f t="shared" si="524"/>
      </c>
      <c r="AD231" s="87">
        <f t="shared" si="421"/>
      </c>
      <c r="AE231" s="88">
        <f t="shared" si="367"/>
      </c>
      <c r="AF231" s="87">
        <f t="shared" si="313"/>
      </c>
      <c r="AG231" s="87">
        <f t="shared" si="223"/>
      </c>
      <c r="AH231" s="40">
        <f>SUM(AH228:AH230)</f>
      </c>
      <c r="AI231" s="40">
        <f>SUM(AI228:AI230)</f>
      </c>
      <c r="AJ231" s="40">
        <f>SUM(AJ228:AJ230)</f>
      </c>
      <c r="AK231" s="40">
        <f>SUM(AK228:AK230)</f>
      </c>
      <c r="AL231" s="40">
        <f>SUM(AL228:AL230)</f>
      </c>
      <c r="AM231" s="40">
        <f>SUM(AM228:AM230)</f>
      </c>
      <c r="AN231" s="40">
        <f>SUM(AN228:AN230)</f>
      </c>
      <c r="AO231" s="40">
        <f>SUM(AO228:AO230)</f>
      </c>
      <c r="AP231" s="40">
        <f>SUM(AP228:AP230)</f>
      </c>
      <c r="AQ231" s="40">
        <f>SUM(AQ228:AQ230)</f>
      </c>
      <c r="AR231" s="44">
        <f>SUM(AR228:AR230)</f>
      </c>
    </row>
    <row r="232">
      <c r="A232" s="74"/>
      <c r="B232" s="75" t="s">
        <v>69</v>
      </c>
      <c r="C232" s="76" t="s">
        <v>50</v>
      </c>
      <c r="D232" s="25" t="s">
        <v>73</v>
      </c>
      <c r="E232" s="75" t="s">
        <v>58</v>
      </c>
      <c r="F232" s="77">
        <f t="shared" ref="F232:F234" si="473">H232+G232</f>
      </c>
      <c r="G232" s="78">
        <v>1.08</v>
      </c>
      <c r="H232" s="78">
        <v>106.94</v>
      </c>
      <c r="I232" s="75">
        <v>0</v>
      </c>
      <c r="J232" s="75">
        <v>0</v>
      </c>
      <c r="K232" s="78">
        <v>0</v>
      </c>
      <c r="L232" s="79">
        <f t="shared" si="385"/>
      </c>
      <c r="M232" s="80">
        <f t="shared" si="331"/>
      </c>
      <c r="N232" s="81">
        <f t="shared" si="241"/>
      </c>
      <c r="O232" s="81">
        <f t="shared" si="187"/>
      </c>
      <c r="P232" s="81">
        <f t="shared" si="84"/>
      </c>
      <c r="Q232" s="81">
        <f t="shared" si="48"/>
      </c>
      <c r="R232" s="81">
        <f t="shared" si="12"/>
      </c>
      <c r="S232" s="81">
        <f t="shared" si="506"/>
      </c>
      <c r="T232" s="81">
        <f t="shared" si="403"/>
      </c>
      <c r="U232" s="79">
        <f t="shared" si="349"/>
      </c>
      <c r="V232" s="79">
        <f t="shared" si="259"/>
      </c>
      <c r="W232" s="79">
        <f t="shared" si="277"/>
      </c>
      <c r="X232" s="79">
        <f t="shared" si="295"/>
      </c>
      <c r="Y232" s="79">
        <f t="shared" si="205"/>
      </c>
      <c r="Z232" s="79">
        <f t="shared" si="102"/>
      </c>
      <c r="AA232" s="80">
        <f t="shared" si="66"/>
      </c>
      <c r="AB232" s="80">
        <f t="shared" si="30"/>
      </c>
      <c r="AC232" s="80">
        <f t="shared" si="524"/>
      </c>
      <c r="AD232" s="79">
        <f t="shared" si="421"/>
      </c>
      <c r="AE232" s="80">
        <f t="shared" si="367"/>
      </c>
      <c r="AF232" s="79">
        <f t="shared" si="313"/>
      </c>
      <c r="AG232" s="79">
        <f t="shared" si="223"/>
      </c>
      <c r="AH232" s="82">
        <v>315</v>
      </c>
      <c r="AI232" s="34">
        <v>90</v>
      </c>
      <c r="AJ232" s="34">
        <v>140</v>
      </c>
      <c r="AK232" s="34">
        <v>0</v>
      </c>
      <c r="AL232" s="29">
        <v>0</v>
      </c>
      <c r="AM232" s="29">
        <v>0</v>
      </c>
      <c r="AN232" s="34">
        <v>34</v>
      </c>
      <c r="AO232" s="34">
        <v>5</v>
      </c>
      <c r="AP232" s="34">
        <v>2</v>
      </c>
      <c r="AQ232" s="29">
        <v>0</v>
      </c>
      <c r="AR232" s="36">
        <f t="shared" ref="AR232:AR234" si="154">COUNT(AQ232)</f>
      </c>
    </row>
    <row r="233">
      <c r="A233" s="74"/>
      <c r="B233" s="75" t="s">
        <v>69</v>
      </c>
      <c r="C233" s="76" t="s">
        <v>50</v>
      </c>
      <c r="D233" s="25" t="s">
        <v>73</v>
      </c>
      <c r="E233" s="75" t="s">
        <v>59</v>
      </c>
      <c r="F233" s="77">
        <f t="shared" si="473"/>
      </c>
      <c r="G233" s="78">
        <v>7.43</v>
      </c>
      <c r="H233" s="78">
        <v>31.93</v>
      </c>
      <c r="I233" s="75">
        <v>0</v>
      </c>
      <c r="J233" s="75">
        <v>0</v>
      </c>
      <c r="K233" s="78">
        <v>0</v>
      </c>
      <c r="L233" s="79">
        <f t="shared" si="385"/>
      </c>
      <c r="M233" s="80">
        <f t="shared" si="331"/>
      </c>
      <c r="N233" s="81">
        <f t="shared" si="241"/>
      </c>
      <c r="O233" s="81">
        <f t="shared" si="187"/>
      </c>
      <c r="P233" s="81">
        <f t="shared" si="84"/>
      </c>
      <c r="Q233" s="81">
        <f t="shared" si="48"/>
      </c>
      <c r="R233" s="81">
        <f t="shared" si="12"/>
      </c>
      <c r="S233" s="81">
        <f t="shared" si="506"/>
      </c>
      <c r="T233" s="81">
        <f t="shared" si="403"/>
      </c>
      <c r="U233" s="79">
        <f t="shared" si="349"/>
      </c>
      <c r="V233" s="79">
        <f t="shared" si="259"/>
      </c>
      <c r="W233" s="79">
        <f t="shared" si="277"/>
      </c>
      <c r="X233" s="79">
        <f t="shared" si="295"/>
      </c>
      <c r="Y233" s="79">
        <f t="shared" si="205"/>
      </c>
      <c r="Z233" s="79">
        <f t="shared" si="102"/>
      </c>
      <c r="AA233" s="80">
        <f t="shared" si="66"/>
      </c>
      <c r="AB233" s="80">
        <f t="shared" si="30"/>
      </c>
      <c r="AC233" s="80">
        <f t="shared" si="524"/>
      </c>
      <c r="AD233" s="79">
        <f t="shared" si="421"/>
      </c>
      <c r="AE233" s="80">
        <f t="shared" si="367"/>
      </c>
      <c r="AF233" s="79">
        <f t="shared" si="313"/>
      </c>
      <c r="AG233" s="79">
        <f t="shared" si="223"/>
      </c>
      <c r="AH233" s="82">
        <v>235</v>
      </c>
      <c r="AI233" s="34">
        <v>46</v>
      </c>
      <c r="AJ233" s="34">
        <v>86</v>
      </c>
      <c r="AK233" s="34">
        <v>0</v>
      </c>
      <c r="AL233" s="29">
        <v>0</v>
      </c>
      <c r="AM233" s="29">
        <v>0</v>
      </c>
      <c r="AN233" s="34">
        <v>22</v>
      </c>
      <c r="AO233" s="34">
        <v>1</v>
      </c>
      <c r="AP233" s="34">
        <v>0</v>
      </c>
      <c r="AQ233" s="29">
        <v>0</v>
      </c>
      <c r="AR233" s="36">
        <f t="shared" si="154"/>
      </c>
    </row>
    <row r="234">
      <c r="A234" s="74"/>
      <c r="B234" s="75" t="s">
        <v>69</v>
      </c>
      <c r="C234" s="76" t="s">
        <v>50</v>
      </c>
      <c r="D234" s="25" t="s">
        <v>73</v>
      </c>
      <c r="E234" s="75" t="s">
        <v>60</v>
      </c>
      <c r="F234" s="77">
        <f t="shared" si="473"/>
      </c>
      <c r="G234" s="78">
        <v>33.02</v>
      </c>
      <c r="H234" s="78">
        <v>51.68</v>
      </c>
      <c r="I234" s="75">
        <v>0</v>
      </c>
      <c r="J234" s="75">
        <v>0</v>
      </c>
      <c r="K234" s="78">
        <v>0</v>
      </c>
      <c r="L234" s="79">
        <f t="shared" si="385"/>
      </c>
      <c r="M234" s="80">
        <f t="shared" si="331"/>
      </c>
      <c r="N234" s="81">
        <f t="shared" si="241"/>
      </c>
      <c r="O234" s="81">
        <f t="shared" si="187"/>
      </c>
      <c r="P234" s="81">
        <f t="shared" si="84"/>
      </c>
      <c r="Q234" s="81">
        <f t="shared" si="48"/>
      </c>
      <c r="R234" s="81">
        <f t="shared" si="12"/>
      </c>
      <c r="S234" s="81">
        <f t="shared" si="506"/>
      </c>
      <c r="T234" s="81">
        <f t="shared" si="403"/>
      </c>
      <c r="U234" s="79">
        <f t="shared" si="349"/>
      </c>
      <c r="V234" s="79">
        <f t="shared" si="259"/>
      </c>
      <c r="W234" s="79">
        <f t="shared" si="277"/>
      </c>
      <c r="X234" s="79">
        <f t="shared" si="295"/>
      </c>
      <c r="Y234" s="79">
        <f t="shared" si="205"/>
      </c>
      <c r="Z234" s="79">
        <f t="shared" si="102"/>
      </c>
      <c r="AA234" s="80">
        <f t="shared" si="66"/>
      </c>
      <c r="AB234" s="80">
        <f t="shared" si="30"/>
      </c>
      <c r="AC234" s="80">
        <f t="shared" si="524"/>
      </c>
      <c r="AD234" s="79">
        <f t="shared" si="421"/>
      </c>
      <c r="AE234" s="80">
        <f t="shared" si="367"/>
      </c>
      <c r="AF234" s="79">
        <f t="shared" si="313"/>
      </c>
      <c r="AG234" s="79">
        <f t="shared" si="223"/>
      </c>
      <c r="AH234" s="82">
        <v>455</v>
      </c>
      <c r="AI234" s="34">
        <v>66</v>
      </c>
      <c r="AJ234" s="34">
        <v>131</v>
      </c>
      <c r="AK234" s="34">
        <v>2</v>
      </c>
      <c r="AL234" s="34">
        <v>0</v>
      </c>
      <c r="AM234" s="34">
        <v>0</v>
      </c>
      <c r="AN234" s="34">
        <v>31</v>
      </c>
      <c r="AO234" s="34">
        <v>1</v>
      </c>
      <c r="AP234" s="34">
        <v>1</v>
      </c>
      <c r="AQ234" s="29">
        <v>0</v>
      </c>
      <c r="AR234" s="36">
        <f t="shared" si="154"/>
      </c>
    </row>
    <row r="235">
      <c r="A235" s="74"/>
      <c r="B235" s="85" t="s">
        <v>56</v>
      </c>
      <c r="C235" s="85"/>
      <c r="D235" s="85"/>
      <c r="E235" s="85"/>
      <c r="F235" s="86">
        <f>SUM(F232:F234)</f>
      </c>
      <c r="G235" s="86">
        <f>SUM(G232:G234)</f>
      </c>
      <c r="H235" s="86">
        <f>SUM(H232:H234)</f>
      </c>
      <c r="I235" s="85">
        <f>SUM(I232:I234)</f>
      </c>
      <c r="J235" s="85">
        <f>SUM(J232:J234)</f>
      </c>
      <c r="K235" s="86">
        <f>SUM(K232:K234)</f>
      </c>
      <c r="L235" s="87">
        <f t="shared" si="385"/>
      </c>
      <c r="M235" s="88">
        <f t="shared" si="331"/>
      </c>
      <c r="N235" s="86">
        <f t="shared" si="241"/>
      </c>
      <c r="O235" s="86">
        <f t="shared" si="187"/>
      </c>
      <c r="P235" s="86">
        <f t="shared" si="84"/>
      </c>
      <c r="Q235" s="86">
        <f t="shared" si="48"/>
      </c>
      <c r="R235" s="86">
        <f t="shared" si="12"/>
      </c>
      <c r="S235" s="86">
        <f t="shared" si="506"/>
      </c>
      <c r="T235" s="86">
        <f t="shared" si="403"/>
      </c>
      <c r="U235" s="87">
        <f t="shared" si="349"/>
      </c>
      <c r="V235" s="87">
        <f t="shared" si="259"/>
      </c>
      <c r="W235" s="87">
        <f t="shared" si="277"/>
      </c>
      <c r="X235" s="87">
        <f t="shared" si="295"/>
      </c>
      <c r="Y235" s="87">
        <f t="shared" si="205"/>
      </c>
      <c r="Z235" s="87">
        <f t="shared" si="102"/>
      </c>
      <c r="AA235" s="88">
        <f t="shared" si="66"/>
      </c>
      <c r="AB235" s="88">
        <f t="shared" si="30"/>
      </c>
      <c r="AC235" s="88">
        <f t="shared" si="524"/>
      </c>
      <c r="AD235" s="87">
        <f t="shared" si="421"/>
      </c>
      <c r="AE235" s="88">
        <f t="shared" si="367"/>
      </c>
      <c r="AF235" s="87">
        <f t="shared" si="313"/>
      </c>
      <c r="AG235" s="87">
        <f t="shared" si="223"/>
      </c>
      <c r="AH235" s="40">
        <f>SUM(AH232:AH234)</f>
      </c>
      <c r="AI235" s="40">
        <f>SUM(AI232:AI234)</f>
      </c>
      <c r="AJ235" s="40">
        <f>SUM(AJ232:AJ234)</f>
      </c>
      <c r="AK235" s="40">
        <f>SUM(AK232:AK234)</f>
      </c>
      <c r="AL235" s="40">
        <f>SUM(AL232:AL234)</f>
      </c>
      <c r="AM235" s="40">
        <f>SUM(AM232:AM234)</f>
      </c>
      <c r="AN235" s="40">
        <f>SUM(AN232:AN234)</f>
      </c>
      <c r="AO235" s="40">
        <f>SUM(AO232:AO234)</f>
      </c>
      <c r="AP235" s="40">
        <f>SUM(AP232:AP234)</f>
      </c>
      <c r="AQ235" s="40">
        <f>SUM(AQ232:AQ234)</f>
      </c>
      <c r="AR235" s="44">
        <f>SUM(AR232:AR234)</f>
      </c>
    </row>
    <row r="236">
      <c r="A236" s="74"/>
      <c r="B236" s="75" t="s">
        <v>69</v>
      </c>
      <c r="C236" s="76" t="s">
        <v>50</v>
      </c>
      <c r="D236" s="25" t="s">
        <v>68</v>
      </c>
      <c r="E236" s="75" t="s">
        <v>61</v>
      </c>
      <c r="F236" s="77">
        <f t="shared" ref="F236:F237" si="474">H236+G236</f>
      </c>
      <c r="G236" s="78">
        <v>287.03</v>
      </c>
      <c r="H236" s="78">
        <v>124.54</v>
      </c>
      <c r="I236" s="75">
        <v>0</v>
      </c>
      <c r="J236" s="75">
        <v>0</v>
      </c>
      <c r="K236" s="78">
        <v>0</v>
      </c>
      <c r="L236" s="79">
        <f t="shared" si="385"/>
      </c>
      <c r="M236" s="80">
        <f t="shared" si="331"/>
      </c>
      <c r="N236" s="81">
        <f t="shared" si="241"/>
      </c>
      <c r="O236" s="81">
        <f t="shared" si="187"/>
      </c>
      <c r="P236" s="81">
        <f t="shared" si="84"/>
      </c>
      <c r="Q236" s="81">
        <f t="shared" si="48"/>
      </c>
      <c r="R236" s="81">
        <f t="shared" si="12"/>
      </c>
      <c r="S236" s="81">
        <f t="shared" si="506"/>
      </c>
      <c r="T236" s="81">
        <f t="shared" si="403"/>
      </c>
      <c r="U236" s="79">
        <f t="shared" si="349"/>
      </c>
      <c r="V236" s="79">
        <f t="shared" si="259"/>
      </c>
      <c r="W236" s="79">
        <f t="shared" si="277"/>
      </c>
      <c r="X236" s="79">
        <f t="shared" si="295"/>
      </c>
      <c r="Y236" s="79">
        <f t="shared" si="205"/>
      </c>
      <c r="Z236" s="79">
        <f t="shared" si="102"/>
      </c>
      <c r="AA236" s="80">
        <f t="shared" si="66"/>
      </c>
      <c r="AB236" s="80">
        <f t="shared" si="30"/>
      </c>
      <c r="AC236" s="80">
        <f t="shared" si="524"/>
      </c>
      <c r="AD236" s="79">
        <f t="shared" si="421"/>
      </c>
      <c r="AE236" s="80">
        <f t="shared" si="367"/>
      </c>
      <c r="AF236" s="79">
        <f t="shared" si="313"/>
      </c>
      <c r="AG236" s="79">
        <f t="shared" si="223"/>
      </c>
      <c r="AH236" s="82">
        <v>2062</v>
      </c>
      <c r="AI236" s="34">
        <v>102</v>
      </c>
      <c r="AJ236" s="34">
        <v>202</v>
      </c>
      <c r="AK236" s="34">
        <v>9</v>
      </c>
      <c r="AL236" s="34">
        <v>0</v>
      </c>
      <c r="AM236" s="34">
        <v>0</v>
      </c>
      <c r="AN236" s="34">
        <v>44</v>
      </c>
      <c r="AO236" s="34">
        <v>7</v>
      </c>
      <c r="AP236" s="34">
        <v>0</v>
      </c>
      <c r="AQ236" s="29">
        <v>0</v>
      </c>
      <c r="AR236" s="36">
        <f t="shared" ref="AR236:AR237" si="155">COUNT(AQ236)</f>
      </c>
    </row>
    <row r="237">
      <c r="A237" s="74"/>
      <c r="B237" s="75" t="s">
        <v>69</v>
      </c>
      <c r="C237" s="76" t="s">
        <v>50</v>
      </c>
      <c r="D237" s="25" t="s">
        <v>68</v>
      </c>
      <c r="E237" s="75" t="s">
        <v>63</v>
      </c>
      <c r="F237" s="77">
        <f t="shared" si="474"/>
      </c>
      <c r="G237" s="78">
        <v>178.8</v>
      </c>
      <c r="H237" s="78">
        <v>340.02</v>
      </c>
      <c r="I237" s="75">
        <v>1</v>
      </c>
      <c r="J237" s="75">
        <v>1</v>
      </c>
      <c r="K237" s="78">
        <v>866.4</v>
      </c>
      <c r="L237" s="79">
        <f t="shared" si="385"/>
      </c>
      <c r="M237" s="80">
        <f t="shared" si="331"/>
      </c>
      <c r="N237" s="81">
        <f t="shared" si="241"/>
      </c>
      <c r="O237" s="81">
        <f t="shared" si="187"/>
      </c>
      <c r="P237" s="81">
        <f t="shared" si="84"/>
      </c>
      <c r="Q237" s="81">
        <f t="shared" si="48"/>
      </c>
      <c r="R237" s="81">
        <f t="shared" si="12"/>
      </c>
      <c r="S237" s="81">
        <f t="shared" si="506"/>
      </c>
      <c r="T237" s="81">
        <f t="shared" si="403"/>
      </c>
      <c r="U237" s="79">
        <f t="shared" si="349"/>
      </c>
      <c r="V237" s="79">
        <f t="shared" si="259"/>
      </c>
      <c r="W237" s="79">
        <f t="shared" si="277"/>
      </c>
      <c r="X237" s="79">
        <f t="shared" si="295"/>
      </c>
      <c r="Y237" s="79">
        <f t="shared" si="205"/>
      </c>
      <c r="Z237" s="79">
        <f t="shared" si="102"/>
      </c>
      <c r="AA237" s="80">
        <f t="shared" si="66"/>
      </c>
      <c r="AB237" s="80">
        <f t="shared" si="30"/>
      </c>
      <c r="AC237" s="80">
        <f t="shared" si="524"/>
      </c>
      <c r="AD237" s="79">
        <f t="shared" si="421"/>
      </c>
      <c r="AE237" s="80">
        <f t="shared" si="367"/>
      </c>
      <c r="AF237" s="79">
        <f t="shared" si="313"/>
      </c>
      <c r="AG237" s="79">
        <f t="shared" si="223"/>
      </c>
      <c r="AH237" s="82">
        <v>1900</v>
      </c>
      <c r="AI237" s="34">
        <v>317</v>
      </c>
      <c r="AJ237" s="34">
        <v>511</v>
      </c>
      <c r="AK237" s="34">
        <v>14</v>
      </c>
      <c r="AL237" s="34">
        <v>1</v>
      </c>
      <c r="AM237" s="34">
        <v>1</v>
      </c>
      <c r="AN237" s="34">
        <v>148</v>
      </c>
      <c r="AO237" s="34">
        <v>39</v>
      </c>
      <c r="AP237" s="34">
        <v>6</v>
      </c>
      <c r="AQ237" s="29">
        <v>0</v>
      </c>
      <c r="AR237" s="36">
        <f t="shared" si="155"/>
      </c>
    </row>
    <row r="238">
      <c r="A238" s="74"/>
      <c r="B238" s="85" t="s">
        <v>56</v>
      </c>
      <c r="C238" s="85"/>
      <c r="D238" s="85"/>
      <c r="E238" s="85"/>
      <c r="F238" s="86">
        <f>SUM(F236:F237)</f>
      </c>
      <c r="G238" s="86">
        <f>SUM(G236:G237)</f>
      </c>
      <c r="H238" s="86">
        <f>SUM(H236:H237)</f>
      </c>
      <c r="I238" s="85">
        <f>SUM(I236:I237)</f>
      </c>
      <c r="J238" s="85">
        <f>SUM(J236:J237)</f>
      </c>
      <c r="K238" s="86">
        <f>SUM(K236:K237)</f>
      </c>
      <c r="L238" s="87">
        <f t="shared" si="385"/>
      </c>
      <c r="M238" s="88">
        <f t="shared" si="331"/>
      </c>
      <c r="N238" s="86">
        <f t="shared" si="241"/>
      </c>
      <c r="O238" s="86">
        <f t="shared" si="187"/>
      </c>
      <c r="P238" s="86">
        <f t="shared" si="84"/>
      </c>
      <c r="Q238" s="86">
        <f t="shared" si="48"/>
      </c>
      <c r="R238" s="86">
        <f t="shared" si="12"/>
      </c>
      <c r="S238" s="86">
        <f t="shared" si="506"/>
      </c>
      <c r="T238" s="86">
        <f t="shared" si="403"/>
      </c>
      <c r="U238" s="87">
        <f t="shared" si="349"/>
      </c>
      <c r="V238" s="87">
        <f t="shared" si="259"/>
      </c>
      <c r="W238" s="87">
        <f t="shared" si="277"/>
      </c>
      <c r="X238" s="87">
        <f t="shared" si="295"/>
      </c>
      <c r="Y238" s="87">
        <f t="shared" si="205"/>
      </c>
      <c r="Z238" s="87">
        <f t="shared" si="102"/>
      </c>
      <c r="AA238" s="88">
        <f t="shared" si="66"/>
      </c>
      <c r="AB238" s="88">
        <f t="shared" si="30"/>
      </c>
      <c r="AC238" s="88">
        <f t="shared" si="524"/>
      </c>
      <c r="AD238" s="87">
        <f t="shared" si="421"/>
      </c>
      <c r="AE238" s="88">
        <f t="shared" si="367"/>
      </c>
      <c r="AF238" s="87">
        <f t="shared" si="313"/>
      </c>
      <c r="AG238" s="87">
        <f t="shared" si="223"/>
      </c>
      <c r="AH238" s="40">
        <f>SUM(AH236:AH237)</f>
      </c>
      <c r="AI238" s="40">
        <f>SUM(AI236:AI237)</f>
      </c>
      <c r="AJ238" s="40">
        <f>SUM(AJ236:AJ237)</f>
      </c>
      <c r="AK238" s="40">
        <f>SUM(AK236:AK237)</f>
      </c>
      <c r="AL238" s="40">
        <f>SUM(AL236:AL237)</f>
      </c>
      <c r="AM238" s="40">
        <f>SUM(AM236:AM237)</f>
      </c>
      <c r="AN238" s="40">
        <f>SUM(AN236:AN237)</f>
      </c>
      <c r="AO238" s="40">
        <f>SUM(AO236:AO237)</f>
      </c>
      <c r="AP238" s="40">
        <f>SUM(AP236:AP237)</f>
      </c>
      <c r="AQ238" s="40">
        <f>SUM(AQ236:AQ237)</f>
      </c>
      <c r="AR238" s="44">
        <f>SUM(AR236:AR237)</f>
      </c>
    </row>
    <row r="239">
      <c r="A239" s="74"/>
      <c r="B239" s="75"/>
      <c r="C239" s="76"/>
      <c r="D239" s="26"/>
      <c r="E239" s="76" t="s">
        <v>64</v>
      </c>
      <c r="F239" s="77">
        <f t="shared" ref="F239:F242" si="475">H239+G239</f>
      </c>
      <c r="G239" s="78"/>
      <c r="H239" s="78"/>
      <c r="I239" s="75"/>
      <c r="J239" s="75"/>
      <c r="K239" s="78"/>
      <c r="L239" s="79">
        <f t="shared" si="385"/>
      </c>
      <c r="M239" s="80">
        <f t="shared" si="331"/>
      </c>
      <c r="N239" s="81">
        <f t="shared" si="241"/>
      </c>
      <c r="O239" s="81">
        <f t="shared" si="187"/>
      </c>
      <c r="P239" s="81">
        <f t="shared" si="84"/>
      </c>
      <c r="Q239" s="81">
        <f t="shared" si="48"/>
      </c>
      <c r="R239" s="81">
        <f t="shared" si="12"/>
      </c>
      <c r="S239" s="81">
        <f t="shared" si="506"/>
      </c>
      <c r="T239" s="81">
        <f t="shared" si="403"/>
      </c>
      <c r="U239" s="79">
        <f t="shared" si="349"/>
      </c>
      <c r="V239" s="79">
        <f t="shared" si="259"/>
      </c>
      <c r="W239" s="79">
        <f t="shared" si="277"/>
      </c>
      <c r="X239" s="79">
        <f t="shared" si="295"/>
      </c>
      <c r="Y239" s="79">
        <f t="shared" si="205"/>
      </c>
      <c r="Z239" s="79">
        <f t="shared" si="102"/>
      </c>
      <c r="AA239" s="80">
        <f t="shared" si="66"/>
      </c>
      <c r="AB239" s="80">
        <f t="shared" si="30"/>
      </c>
      <c r="AC239" s="80">
        <f t="shared" si="524"/>
      </c>
      <c r="AD239" s="79">
        <f t="shared" si="421"/>
      </c>
      <c r="AE239" s="80">
        <f t="shared" si="367"/>
      </c>
      <c r="AF239" s="79">
        <f t="shared" si="313"/>
      </c>
      <c r="AG239" s="79">
        <f t="shared" si="223"/>
      </c>
      <c r="AH239" s="82"/>
      <c r="AI239" s="34"/>
      <c r="AJ239" s="34"/>
      <c r="AK239" s="34"/>
      <c r="AL239" s="29"/>
      <c r="AM239" s="29"/>
      <c r="AN239" s="34"/>
      <c r="AO239" s="34"/>
      <c r="AP239" s="34"/>
      <c r="AQ239" s="29"/>
      <c r="AR239" s="36">
        <f t="shared" ref="AR239:AR241" si="156">COUNT(AQ239)</f>
      </c>
    </row>
    <row r="240">
      <c r="A240" s="74"/>
      <c r="B240" s="75"/>
      <c r="C240" s="76"/>
      <c r="D240" s="26"/>
      <c r="E240" s="76" t="s">
        <v>65</v>
      </c>
      <c r="F240" s="77">
        <f t="shared" si="475"/>
      </c>
      <c r="G240" s="78"/>
      <c r="H240" s="78"/>
      <c r="I240" s="75"/>
      <c r="J240" s="75"/>
      <c r="K240" s="78"/>
      <c r="L240" s="79">
        <f t="shared" si="385"/>
      </c>
      <c r="M240" s="80">
        <f t="shared" si="331"/>
      </c>
      <c r="N240" s="81">
        <f t="shared" si="241"/>
      </c>
      <c r="O240" s="81">
        <f t="shared" si="187"/>
      </c>
      <c r="P240" s="81">
        <f t="shared" si="84"/>
      </c>
      <c r="Q240" s="81">
        <f t="shared" si="48"/>
      </c>
      <c r="R240" s="81">
        <f t="shared" si="12"/>
      </c>
      <c r="S240" s="81">
        <f t="shared" si="506"/>
      </c>
      <c r="T240" s="81">
        <f t="shared" si="403"/>
      </c>
      <c r="U240" s="79">
        <f t="shared" si="349"/>
      </c>
      <c r="V240" s="79">
        <f t="shared" si="259"/>
      </c>
      <c r="W240" s="79">
        <f t="shared" si="277"/>
      </c>
      <c r="X240" s="79">
        <f t="shared" si="295"/>
      </c>
      <c r="Y240" s="79">
        <f t="shared" si="205"/>
      </c>
      <c r="Z240" s="79">
        <f t="shared" si="102"/>
      </c>
      <c r="AA240" s="80">
        <f t="shared" si="66"/>
      </c>
      <c r="AB240" s="80">
        <f t="shared" si="30"/>
      </c>
      <c r="AC240" s="80">
        <f t="shared" si="524"/>
      </c>
      <c r="AD240" s="79">
        <f t="shared" si="421"/>
      </c>
      <c r="AE240" s="80">
        <f t="shared" si="367"/>
      </c>
      <c r="AF240" s="79">
        <f t="shared" si="313"/>
      </c>
      <c r="AG240" s="79">
        <f t="shared" si="223"/>
      </c>
      <c r="AH240" s="82"/>
      <c r="AI240" s="34"/>
      <c r="AJ240" s="34"/>
      <c r="AK240" s="34"/>
      <c r="AL240" s="34"/>
      <c r="AM240" s="34"/>
      <c r="AN240" s="34"/>
      <c r="AO240" s="34"/>
      <c r="AP240" s="34"/>
      <c r="AQ240" s="29"/>
      <c r="AR240" s="36">
        <f t="shared" si="156"/>
      </c>
    </row>
    <row r="241">
      <c r="A241" s="74"/>
      <c r="B241" s="75"/>
      <c r="C241" s="76"/>
      <c r="D241" s="26"/>
      <c r="E241" s="75" t="s">
        <v>66</v>
      </c>
      <c r="F241" s="77">
        <f t="shared" si="475"/>
      </c>
      <c r="G241" s="90"/>
      <c r="H241" s="90"/>
      <c r="I241" s="75"/>
      <c r="J241" s="75"/>
      <c r="K241" s="78"/>
      <c r="L241" s="79">
        <f t="shared" si="385"/>
      </c>
      <c r="M241" s="80">
        <f t="shared" si="331"/>
      </c>
      <c r="N241" s="81">
        <f t="shared" si="241"/>
      </c>
      <c r="O241" s="81">
        <f t="shared" si="187"/>
      </c>
      <c r="P241" s="81">
        <f t="shared" si="84"/>
      </c>
      <c r="Q241" s="81">
        <f t="shared" si="48"/>
      </c>
      <c r="R241" s="81">
        <f t="shared" si="12"/>
      </c>
      <c r="S241" s="81">
        <f t="shared" si="506"/>
      </c>
      <c r="T241" s="81">
        <f t="shared" si="403"/>
      </c>
      <c r="U241" s="79">
        <f t="shared" si="349"/>
      </c>
      <c r="V241" s="79">
        <f t="shared" si="259"/>
      </c>
      <c r="W241" s="79">
        <f t="shared" si="277"/>
      </c>
      <c r="X241" s="79">
        <f t="shared" si="295"/>
      </c>
      <c r="Y241" s="79">
        <f t="shared" si="205"/>
      </c>
      <c r="Z241" s="79">
        <f t="shared" si="102"/>
      </c>
      <c r="AA241" s="80">
        <f t="shared" si="66"/>
      </c>
      <c r="AB241" s="80">
        <f t="shared" si="30"/>
      </c>
      <c r="AC241" s="80">
        <f t="shared" si="524"/>
      </c>
      <c r="AD241" s="79">
        <f t="shared" si="421"/>
      </c>
      <c r="AE241" s="80">
        <f t="shared" si="367"/>
      </c>
      <c r="AF241" s="79">
        <f t="shared" si="313"/>
      </c>
      <c r="AG241" s="79">
        <f t="shared" si="223"/>
      </c>
      <c r="AH241" s="82"/>
      <c r="AI241" s="34"/>
      <c r="AJ241" s="34"/>
      <c r="AK241" s="34"/>
      <c r="AL241" s="29"/>
      <c r="AM241" s="29"/>
      <c r="AN241" s="34"/>
      <c r="AO241" s="34"/>
      <c r="AP241" s="34"/>
      <c r="AQ241" s="29"/>
      <c r="AR241" s="36">
        <f t="shared" si="156"/>
      </c>
    </row>
    <row customHeight="true" ht="16.071428571428573" r="242">
      <c r="A242" s="74"/>
      <c r="B242" s="75"/>
      <c r="C242" s="76"/>
      <c r="D242" s="26"/>
      <c r="E242" s="75" t="s">
        <v>74</v>
      </c>
      <c r="F242" s="77">
        <f t="shared" si="475"/>
      </c>
      <c r="G242" s="90"/>
      <c r="H242" s="90"/>
      <c r="I242" s="75"/>
      <c r="J242" s="75"/>
      <c r="K242" s="78"/>
      <c r="L242" s="79">
        <f t="shared" si="385"/>
      </c>
      <c r="M242" s="80">
        <f t="shared" si="331"/>
      </c>
      <c r="N242" s="81">
        <f t="shared" si="241"/>
      </c>
      <c r="O242" s="81">
        <f t="shared" si="187"/>
      </c>
      <c r="P242" s="81">
        <f t="shared" si="84"/>
      </c>
      <c r="Q242" s="81">
        <f t="shared" si="48"/>
      </c>
      <c r="R242" s="81">
        <f t="shared" si="12"/>
      </c>
      <c r="S242" s="81">
        <f t="shared" si="506"/>
      </c>
      <c r="T242" s="81">
        <f t="shared" si="403"/>
      </c>
      <c r="U242" s="79">
        <f t="shared" si="349"/>
      </c>
      <c r="V242" s="79">
        <f t="shared" si="259"/>
      </c>
      <c r="W242" s="79">
        <f t="shared" si="277"/>
      </c>
      <c r="X242" s="79">
        <f t="shared" si="295"/>
      </c>
      <c r="Y242" s="79">
        <f t="shared" si="205"/>
      </c>
      <c r="Z242" s="79">
        <f t="shared" si="102"/>
      </c>
      <c r="AA242" s="80">
        <f t="shared" si="66"/>
      </c>
      <c r="AB242" s="80">
        <f t="shared" si="30"/>
      </c>
      <c r="AC242" s="80">
        <f t="shared" si="524"/>
      </c>
      <c r="AD242" s="79">
        <f t="shared" si="421"/>
      </c>
      <c r="AE242" s="80">
        <f t="shared" si="367"/>
      </c>
      <c r="AF242" s="79">
        <f t="shared" si="313"/>
      </c>
      <c r="AG242" s="79">
        <f t="shared" si="223"/>
      </c>
      <c r="AH242" s="82"/>
      <c r="AI242" s="34"/>
      <c r="AJ242" s="34"/>
      <c r="AK242" s="34"/>
      <c r="AL242" s="29"/>
      <c r="AM242" s="29"/>
      <c r="AN242" s="34"/>
      <c r="AO242" s="34"/>
      <c r="AP242" s="34"/>
      <c r="AQ242" s="29"/>
      <c r="AR242" s="36"/>
    </row>
    <row r="243">
      <c r="A243" s="74"/>
      <c r="B243" s="85" t="s">
        <v>56</v>
      </c>
      <c r="C243" s="85"/>
      <c r="D243" s="85"/>
      <c r="E243" s="85"/>
      <c r="F243" s="86">
        <f>SUM(F239:F242)</f>
      </c>
      <c r="G243" s="86">
        <f>SUM(G239:G242)</f>
      </c>
      <c r="H243" s="86">
        <f>SUM(H239:H242)</f>
      </c>
      <c r="I243" s="103">
        <f>SUM(I239:I242)</f>
      </c>
      <c r="J243" s="103">
        <f>SUM(J239:J242)</f>
      </c>
      <c r="K243" s="86">
        <f>SUM(K239:K242)</f>
      </c>
      <c r="L243" s="87">
        <f t="shared" si="385"/>
      </c>
      <c r="M243" s="88">
        <f t="shared" si="331"/>
      </c>
      <c r="N243" s="86">
        <f t="shared" si="241"/>
      </c>
      <c r="O243" s="86">
        <f t="shared" si="187"/>
      </c>
      <c r="P243" s="86">
        <f t="shared" si="84"/>
      </c>
      <c r="Q243" s="86">
        <f t="shared" si="48"/>
      </c>
      <c r="R243" s="86">
        <f t="shared" si="12"/>
      </c>
      <c r="S243" s="86">
        <f t="shared" si="506"/>
      </c>
      <c r="T243" s="86">
        <f t="shared" si="403"/>
      </c>
      <c r="U243" s="87">
        <f t="shared" si="349"/>
      </c>
      <c r="V243" s="87">
        <f t="shared" si="259"/>
      </c>
      <c r="W243" s="87">
        <f t="shared" si="277"/>
      </c>
      <c r="X243" s="87">
        <f t="shared" si="295"/>
      </c>
      <c r="Y243" s="87">
        <f t="shared" si="205"/>
      </c>
      <c r="Z243" s="87">
        <f t="shared" si="102"/>
      </c>
      <c r="AA243" s="88">
        <f t="shared" si="66"/>
      </c>
      <c r="AB243" s="88">
        <f t="shared" si="30"/>
      </c>
      <c r="AC243" s="88">
        <f t="shared" si="524"/>
      </c>
      <c r="AD243" s="87">
        <f t="shared" si="421"/>
      </c>
      <c r="AE243" s="88">
        <f t="shared" si="367"/>
      </c>
      <c r="AF243" s="87">
        <f t="shared" si="313"/>
      </c>
      <c r="AG243" s="87">
        <f t="shared" si="223"/>
      </c>
      <c r="AH243" s="40">
        <f>SUM(AH239:AH242)</f>
      </c>
      <c r="AI243" s="40">
        <f>SUM(AI239:AI242)</f>
      </c>
      <c r="AJ243" s="40">
        <f>SUM(AJ239:AJ242)</f>
      </c>
      <c r="AK243" s="40">
        <f>SUM(AK239:AK242)</f>
      </c>
      <c r="AL243" s="40">
        <f>SUM(AL239:AL242)</f>
      </c>
      <c r="AM243" s="40">
        <f>SUM(AM239:AM242)</f>
      </c>
      <c r="AN243" s="40">
        <f>SUM(AN239:AN242)</f>
      </c>
      <c r="AO243" s="40">
        <f>SUM(AO239:AO242)</f>
      </c>
      <c r="AP243" s="40">
        <f>SUM(AP239:AP242)</f>
      </c>
      <c r="AQ243" s="40">
        <f>SUM(AQ239:AQ242)</f>
      </c>
      <c r="AR243" s="44">
        <f>SUM(AR239:AR241)</f>
      </c>
    </row>
    <row r="244">
      <c r="A244" s="74"/>
      <c r="B244" s="91" t="s">
        <v>67</v>
      </c>
      <c r="C244" s="91"/>
      <c r="D244" s="91"/>
      <c r="E244" s="91"/>
      <c r="F244" s="92">
        <f>F235+F231+F243+F238</f>
      </c>
      <c r="G244" s="92">
        <f>G235+G231+G243+G238</f>
      </c>
      <c r="H244" s="92">
        <f>H235+H231+H243+H238</f>
      </c>
      <c r="I244" s="92">
        <f>I235+I231+I243+I238</f>
      </c>
      <c r="J244" s="92">
        <f>J235+J231+J243+J238</f>
      </c>
      <c r="K244" s="92">
        <f>K235+K231+K243+K238</f>
      </c>
      <c r="L244" s="93">
        <f t="shared" si="385"/>
      </c>
      <c r="M244" s="94">
        <f t="shared" si="331"/>
      </c>
      <c r="N244" s="92">
        <f t="shared" si="241"/>
      </c>
      <c r="O244" s="92">
        <f t="shared" si="187"/>
      </c>
      <c r="P244" s="92">
        <f t="shared" si="84"/>
      </c>
      <c r="Q244" s="92">
        <f t="shared" si="48"/>
      </c>
      <c r="R244" s="92">
        <f t="shared" si="12"/>
      </c>
      <c r="S244" s="92">
        <f t="shared" si="506"/>
      </c>
      <c r="T244" s="92">
        <f t="shared" si="403"/>
      </c>
      <c r="U244" s="93">
        <f t="shared" si="349"/>
      </c>
      <c r="V244" s="93">
        <f t="shared" si="259"/>
      </c>
      <c r="W244" s="93">
        <f t="shared" si="277"/>
      </c>
      <c r="X244" s="93">
        <f t="shared" si="295"/>
      </c>
      <c r="Y244" s="93">
        <f t="shared" si="205"/>
      </c>
      <c r="Z244" s="93">
        <f t="shared" si="102"/>
      </c>
      <c r="AA244" s="94">
        <f t="shared" si="66"/>
      </c>
      <c r="AB244" s="94">
        <f t="shared" si="30"/>
      </c>
      <c r="AC244" s="94">
        <f t="shared" si="524"/>
      </c>
      <c r="AD244" s="93">
        <f t="shared" si="421"/>
      </c>
      <c r="AE244" s="94">
        <f t="shared" si="367"/>
      </c>
      <c r="AF244" s="93">
        <f t="shared" si="313"/>
      </c>
      <c r="AG244" s="93">
        <f t="shared" si="223"/>
      </c>
      <c r="AH244" s="44">
        <f>AH235+AH231+AH243+AH238</f>
      </c>
      <c r="AI244" s="44">
        <f>AI235+AI231+AI243+AI238</f>
      </c>
      <c r="AJ244" s="44">
        <f>AJ235+AJ231+AJ243+AJ238</f>
      </c>
      <c r="AK244" s="44">
        <f>AK235+AK231+AK243+AK238</f>
      </c>
      <c r="AL244" s="44">
        <f>AL235+AL231+AL243+AL238</f>
      </c>
      <c r="AM244" s="44">
        <f>AM235+AM231+AM243+AM238</f>
      </c>
      <c r="AN244" s="44">
        <f>AN235+AN231+AN243+AN238</f>
      </c>
      <c r="AO244" s="44">
        <f>AO235+AO231+AO243+AO238</f>
      </c>
      <c r="AP244" s="44">
        <f>AP235+AP231+AP243+AP238</f>
      </c>
      <c r="AQ244" s="44">
        <f>AQ235+AQ231+AQ243+AQ238</f>
      </c>
      <c r="AR244" s="44">
        <f>AR235+AR231+AR243+AR238</f>
      </c>
    </row>
    <row r="245">
      <c r="A245" s="59"/>
      <c r="B245" s="59"/>
      <c r="C245" s="59"/>
      <c r="D245" s="59"/>
      <c r="E245" s="59"/>
      <c r="F245" s="60" t="s">
        <v>1</v>
      </c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1" t="s">
        <v>2</v>
      </c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2" t="s">
        <v>3</v>
      </c>
      <c r="AD245" s="62"/>
      <c r="AE245" s="62"/>
      <c r="AF245" s="62"/>
      <c r="AG245" s="62"/>
      <c r="AH245" s="5" t="s">
        <v>4</v>
      </c>
      <c r="AI245" s="5"/>
      <c r="AJ245" s="5"/>
      <c r="AK245" s="5"/>
      <c r="AL245" s="5"/>
      <c r="AM245" s="5"/>
      <c r="AN245" s="5"/>
      <c r="AO245" s="5"/>
      <c r="AP245" s="5"/>
      <c r="AQ245" s="5"/>
      <c r="AR245" s="5"/>
    </row>
    <row r="246">
      <c r="A246" s="63" t="s">
        <v>5</v>
      </c>
      <c r="B246" s="59" t="s">
        <v>6</v>
      </c>
      <c r="C246" s="59" t="s">
        <v>7</v>
      </c>
      <c r="D246" s="59" t="s">
        <v>8</v>
      </c>
      <c r="E246" s="59" t="s">
        <v>9</v>
      </c>
      <c r="F246" s="64" t="s">
        <v>10</v>
      </c>
      <c r="G246" s="65" t="s">
        <v>11</v>
      </c>
      <c r="H246" s="66" t="s">
        <v>12</v>
      </c>
      <c r="I246" s="67" t="s">
        <v>13</v>
      </c>
      <c r="J246" s="67" t="s">
        <v>14</v>
      </c>
      <c r="K246" s="66" t="s">
        <v>15</v>
      </c>
      <c r="L246" s="68" t="s">
        <v>16</v>
      </c>
      <c r="M246" s="69" t="s">
        <v>17</v>
      </c>
      <c r="N246" s="70" t="s">
        <v>18</v>
      </c>
      <c r="O246" s="70" t="s">
        <v>19</v>
      </c>
      <c r="P246" s="70" t="s">
        <v>20</v>
      </c>
      <c r="Q246" s="61" t="s">
        <v>21</v>
      </c>
      <c r="R246" s="61" t="s">
        <v>22</v>
      </c>
      <c r="S246" s="61" t="s">
        <v>23</v>
      </c>
      <c r="T246" s="61" t="s">
        <v>24</v>
      </c>
      <c r="U246" s="71" t="s">
        <v>25</v>
      </c>
      <c r="V246" s="71" t="s">
        <v>26</v>
      </c>
      <c r="W246" s="71" t="s">
        <v>27</v>
      </c>
      <c r="X246" s="71" t="s">
        <v>28</v>
      </c>
      <c r="Y246" s="71" t="s">
        <v>29</v>
      </c>
      <c r="Z246" s="71" t="s">
        <v>30</v>
      </c>
      <c r="AA246" s="72" t="s">
        <v>31</v>
      </c>
      <c r="AB246" s="72" t="s">
        <v>32</v>
      </c>
      <c r="AC246" s="62" t="s">
        <v>33</v>
      </c>
      <c r="AD246" s="73" t="s">
        <v>34</v>
      </c>
      <c r="AE246" s="62" t="s">
        <v>35</v>
      </c>
      <c r="AF246" s="73" t="s">
        <v>36</v>
      </c>
      <c r="AG246" s="73" t="s">
        <v>37</v>
      </c>
      <c r="AH246" s="22" t="s">
        <v>38</v>
      </c>
      <c r="AI246" s="22" t="s">
        <v>39</v>
      </c>
      <c r="AJ246" s="22" t="s">
        <v>40</v>
      </c>
      <c r="AK246" s="22" t="s">
        <v>41</v>
      </c>
      <c r="AL246" s="22" t="s">
        <v>42</v>
      </c>
      <c r="AM246" s="22" t="s">
        <v>43</v>
      </c>
      <c r="AN246" s="22" t="s">
        <v>44</v>
      </c>
      <c r="AO246" s="22" t="s">
        <v>45</v>
      </c>
      <c r="AP246" s="22" t="s">
        <v>46</v>
      </c>
      <c r="AQ246" s="22" t="s">
        <v>47</v>
      </c>
      <c r="AR246" s="23" t="s">
        <v>48</v>
      </c>
    </row>
    <row r="247">
      <c r="A247" s="74">
        <v>46310</v>
      </c>
      <c r="B247" s="75" t="s">
        <v>69</v>
      </c>
      <c r="C247" s="76" t="s">
        <v>50</v>
      </c>
      <c r="D247" s="75" t="s">
        <v>51</v>
      </c>
      <c r="E247" s="75" t="s">
        <v>59</v>
      </c>
      <c r="F247" s="77">
        <f t="shared" ref="F247:F250" si="476">H247+G247</f>
      </c>
      <c r="G247" s="78">
        <v>650.37</v>
      </c>
      <c r="H247" s="78">
        <v>336.62</v>
      </c>
      <c r="I247" s="75">
        <v>1</v>
      </c>
      <c r="J247" s="75">
        <v>1</v>
      </c>
      <c r="K247" s="78">
        <v>862.8</v>
      </c>
      <c r="L247" s="79">
        <f t="shared" ref="L247:L256" si="386">AQ247/J247</f>
      </c>
      <c r="M247" s="80">
        <f t="shared" ref="M247:M256" si="332">K247/J247</f>
      </c>
      <c r="N247" s="81">
        <f t="shared" ref="N247:N256" si="242">F247/J247</f>
      </c>
      <c r="O247" s="81">
        <f t="shared" ref="O247:O256" si="188">K247/F247</f>
      </c>
      <c r="P247" s="81">
        <f t="shared" ref="P247:P256" si="85">K247/((300*AR247)+F247)</f>
      </c>
      <c r="Q247" s="81">
        <f t="shared" ref="Q247:Q256" si="49">F247/AJ247</f>
      </c>
      <c r="R247" s="81">
        <f t="shared" ref="R247:R256" si="13">F247/AK247</f>
      </c>
      <c r="S247" s="81">
        <f t="shared" ref="S247:S256" si="507">F247/AL247</f>
      </c>
      <c r="T247" s="81">
        <f t="shared" ref="T247:T256" si="404">F247/AM247</f>
      </c>
      <c r="U247" s="79">
        <f t="shared" ref="U247:U256" si="350">AI247/AJ247</f>
      </c>
      <c r="V247" s="79">
        <f t="shared" ref="V247:V256" si="260">AK247/AJ247</f>
      </c>
      <c r="W247" s="79">
        <f t="shared" ref="W247:W256" si="278">AL247/AK247</f>
      </c>
      <c r="X247" s="79">
        <f t="shared" ref="X247:X256" si="296">AM247/AL247</f>
      </c>
      <c r="Y247" s="79">
        <f t="shared" ref="Y247:Y256" si="206">AI247/AH247</f>
      </c>
      <c r="Z247" s="79">
        <f t="shared" ref="Z247:Z256" si="103">AM247/AI247</f>
      </c>
      <c r="AA247" s="80">
        <f t="shared" ref="AA247:AA256" si="67">F247/AH247*1000</f>
      </c>
      <c r="AB247" s="80">
        <f t="shared" ref="AB247:AB256" si="31">F247/AI247</f>
      </c>
      <c r="AC247" s="80">
        <f t="shared" ref="AC247:AC256" si="525">F247/AN247</f>
      </c>
      <c r="AD247" s="79">
        <f t="shared" ref="AD247:AD256" si="422">AN247/AJ247</f>
      </c>
      <c r="AE247" s="80">
        <f t="shared" ref="AE247:AE256" si="368">F247/AO247</f>
      </c>
      <c r="AF247" s="79">
        <f t="shared" ref="AF247:AF256" si="314">AO247/AJ247</f>
      </c>
      <c r="AG247" s="79">
        <f t="shared" ref="AG247:AG256" si="224">AP247/AJ247</f>
      </c>
      <c r="AH247" s="82">
        <v>10267</v>
      </c>
      <c r="AI247" s="35">
        <v>230</v>
      </c>
      <c r="AJ247" s="35">
        <v>270</v>
      </c>
      <c r="AK247" s="34">
        <v>22</v>
      </c>
      <c r="AL247" s="34">
        <v>1</v>
      </c>
      <c r="AM247" s="34">
        <v>1</v>
      </c>
      <c r="AN247" s="34">
        <v>40</v>
      </c>
      <c r="AO247" s="34">
        <v>47</v>
      </c>
      <c r="AP247" s="29">
        <v>3</v>
      </c>
      <c r="AQ247" s="29">
        <v>0</v>
      </c>
      <c r="AR247" s="36">
        <f t="shared" ref="AR247:AR250" si="157">COUNT(AQ247)</f>
      </c>
    </row>
    <row r="248">
      <c r="A248" s="74"/>
      <c r="B248" s="75" t="s">
        <v>69</v>
      </c>
      <c r="C248" s="76" t="s">
        <v>50</v>
      </c>
      <c r="D248" s="75" t="s">
        <v>51</v>
      </c>
      <c r="E248" s="75" t="s">
        <v>60</v>
      </c>
      <c r="F248" s="77">
        <f t="shared" si="476"/>
      </c>
      <c r="G248" s="83">
        <v>789.98</v>
      </c>
      <c r="H248" s="78">
        <v>133.87</v>
      </c>
      <c r="I248" s="75">
        <v>2</v>
      </c>
      <c r="J248" s="75">
        <v>2</v>
      </c>
      <c r="K248" s="78">
        <v>1830.0000000000002</v>
      </c>
      <c r="L248" s="79">
        <f t="shared" si="386"/>
      </c>
      <c r="M248" s="80">
        <f t="shared" si="332"/>
      </c>
      <c r="N248" s="81">
        <f t="shared" si="242"/>
      </c>
      <c r="O248" s="81">
        <f t="shared" si="188"/>
      </c>
      <c r="P248" s="81">
        <f t="shared" si="85"/>
      </c>
      <c r="Q248" s="81">
        <f t="shared" si="49"/>
      </c>
      <c r="R248" s="81">
        <f t="shared" si="13"/>
      </c>
      <c r="S248" s="81">
        <f t="shared" si="507"/>
      </c>
      <c r="T248" s="81">
        <f t="shared" si="404"/>
      </c>
      <c r="U248" s="79">
        <f t="shared" si="350"/>
      </c>
      <c r="V248" s="79">
        <f t="shared" si="260"/>
      </c>
      <c r="W248" s="79">
        <f t="shared" si="278"/>
      </c>
      <c r="X248" s="79">
        <f t="shared" si="296"/>
      </c>
      <c r="Y248" s="79">
        <f t="shared" si="206"/>
      </c>
      <c r="Z248" s="79">
        <f t="shared" si="103"/>
      </c>
      <c r="AA248" s="80">
        <f t="shared" si="67"/>
      </c>
      <c r="AB248" s="80">
        <f t="shared" si="31"/>
      </c>
      <c r="AC248" s="80">
        <f t="shared" si="525"/>
      </c>
      <c r="AD248" s="79">
        <f t="shared" si="422"/>
      </c>
      <c r="AE248" s="80">
        <f t="shared" si="368"/>
      </c>
      <c r="AF248" s="79">
        <f t="shared" si="314"/>
      </c>
      <c r="AG248" s="79">
        <f t="shared" si="224"/>
      </c>
      <c r="AH248" s="84">
        <v>11024</v>
      </c>
      <c r="AI248" s="34">
        <v>212</v>
      </c>
      <c r="AJ248" s="34">
        <v>235</v>
      </c>
      <c r="AK248" s="34">
        <v>29</v>
      </c>
      <c r="AL248" s="34">
        <v>2</v>
      </c>
      <c r="AM248" s="34">
        <v>2</v>
      </c>
      <c r="AN248" s="34">
        <v>47</v>
      </c>
      <c r="AO248" s="34">
        <v>45</v>
      </c>
      <c r="AP248" s="34">
        <v>5</v>
      </c>
      <c r="AQ248" s="29">
        <v>0</v>
      </c>
      <c r="AR248" s="36">
        <f t="shared" si="157"/>
      </c>
    </row>
    <row r="249">
      <c r="A249" s="74"/>
      <c r="B249" s="75" t="s">
        <v>69</v>
      </c>
      <c r="C249" s="76" t="s">
        <v>50</v>
      </c>
      <c r="D249" s="75" t="s">
        <v>51</v>
      </c>
      <c r="E249" s="75" t="s">
        <v>61</v>
      </c>
      <c r="F249" s="77">
        <f t="shared" si="476"/>
      </c>
      <c r="G249" s="78">
        <v>1319.92</v>
      </c>
      <c r="H249" s="78">
        <v>189.75</v>
      </c>
      <c r="I249" s="75">
        <v>3</v>
      </c>
      <c r="J249" s="75">
        <v>3</v>
      </c>
      <c r="K249" s="78">
        <v>2692.8</v>
      </c>
      <c r="L249" s="79">
        <f t="shared" si="386"/>
      </c>
      <c r="M249" s="80">
        <f t="shared" si="332"/>
      </c>
      <c r="N249" s="81">
        <f t="shared" si="242"/>
      </c>
      <c r="O249" s="81">
        <f t="shared" si="188"/>
      </c>
      <c r="P249" s="81">
        <f t="shared" si="85"/>
      </c>
      <c r="Q249" s="81">
        <f t="shared" si="49"/>
      </c>
      <c r="R249" s="81">
        <f t="shared" si="13"/>
      </c>
      <c r="S249" s="81">
        <f t="shared" si="507"/>
      </c>
      <c r="T249" s="81">
        <f t="shared" si="404"/>
      </c>
      <c r="U249" s="79">
        <f t="shared" si="350"/>
      </c>
      <c r="V249" s="79">
        <f t="shared" si="260"/>
      </c>
      <c r="W249" s="79">
        <f t="shared" si="278"/>
      </c>
      <c r="X249" s="79">
        <f t="shared" si="296"/>
      </c>
      <c r="Y249" s="79">
        <f t="shared" si="206"/>
      </c>
      <c r="Z249" s="79">
        <f t="shared" si="103"/>
      </c>
      <c r="AA249" s="80">
        <f t="shared" si="67"/>
      </c>
      <c r="AB249" s="80">
        <f t="shared" si="31"/>
      </c>
      <c r="AC249" s="80">
        <f t="shared" si="525"/>
      </c>
      <c r="AD249" s="79">
        <f t="shared" si="422"/>
      </c>
      <c r="AE249" s="80">
        <f t="shared" si="368"/>
      </c>
      <c r="AF249" s="79">
        <f t="shared" si="314"/>
      </c>
      <c r="AG249" s="79">
        <f t="shared" si="224"/>
      </c>
      <c r="AH249" s="84">
        <v>19901</v>
      </c>
      <c r="AI249" s="34">
        <v>383</v>
      </c>
      <c r="AJ249" s="34">
        <v>436</v>
      </c>
      <c r="AK249" s="34">
        <v>65</v>
      </c>
      <c r="AL249" s="29">
        <v>5</v>
      </c>
      <c r="AM249" s="34">
        <v>4</v>
      </c>
      <c r="AN249" s="34">
        <v>87</v>
      </c>
      <c r="AO249" s="34">
        <v>81</v>
      </c>
      <c r="AP249" s="34">
        <v>9</v>
      </c>
      <c r="AQ249" s="29">
        <v>2</v>
      </c>
      <c r="AR249" s="36">
        <f t="shared" si="157"/>
      </c>
    </row>
    <row r="250">
      <c r="A250" s="74"/>
      <c r="B250" s="75" t="s">
        <v>69</v>
      </c>
      <c r="C250" s="76" t="s">
        <v>50</v>
      </c>
      <c r="D250" s="75" t="s">
        <v>51</v>
      </c>
      <c r="E250" s="75" t="s">
        <v>63</v>
      </c>
      <c r="F250" s="77">
        <f t="shared" si="476"/>
      </c>
      <c r="G250" s="78">
        <v>1604.65</v>
      </c>
      <c r="H250" s="78">
        <v>470</v>
      </c>
      <c r="I250" s="75">
        <v>11</v>
      </c>
      <c r="J250" s="75">
        <v>13</v>
      </c>
      <c r="K250" s="78">
        <v>10653.4</v>
      </c>
      <c r="L250" s="79">
        <f t="shared" si="386"/>
      </c>
      <c r="M250" s="80">
        <f t="shared" si="332"/>
      </c>
      <c r="N250" s="81">
        <f t="shared" si="242"/>
      </c>
      <c r="O250" s="81">
        <f t="shared" si="188"/>
      </c>
      <c r="P250" s="81">
        <f t="shared" si="85"/>
      </c>
      <c r="Q250" s="81">
        <f t="shared" si="49"/>
      </c>
      <c r="R250" s="81">
        <f t="shared" si="13"/>
      </c>
      <c r="S250" s="81">
        <f t="shared" si="507"/>
      </c>
      <c r="T250" s="81">
        <f t="shared" si="404"/>
      </c>
      <c r="U250" s="79">
        <f t="shared" si="350"/>
      </c>
      <c r="V250" s="79">
        <f t="shared" si="260"/>
      </c>
      <c r="W250" s="79">
        <f t="shared" si="278"/>
      </c>
      <c r="X250" s="79">
        <f t="shared" si="296"/>
      </c>
      <c r="Y250" s="79">
        <f t="shared" si="206"/>
      </c>
      <c r="Z250" s="79">
        <f t="shared" si="103"/>
      </c>
      <c r="AA250" s="80">
        <f t="shared" si="67"/>
      </c>
      <c r="AB250" s="80">
        <f t="shared" si="31"/>
      </c>
      <c r="AC250" s="80">
        <f t="shared" si="525"/>
      </c>
      <c r="AD250" s="79">
        <f t="shared" si="422"/>
      </c>
      <c r="AE250" s="80">
        <f t="shared" si="368"/>
      </c>
      <c r="AF250" s="79">
        <f t="shared" si="314"/>
      </c>
      <c r="AG250" s="79">
        <f t="shared" si="224"/>
      </c>
      <c r="AH250" s="84">
        <v>20004</v>
      </c>
      <c r="AI250" s="34">
        <v>441</v>
      </c>
      <c r="AJ250" s="34">
        <v>475</v>
      </c>
      <c r="AK250" s="34">
        <v>50</v>
      </c>
      <c r="AL250" s="29">
        <v>9</v>
      </c>
      <c r="AM250" s="34">
        <v>9</v>
      </c>
      <c r="AN250" s="34">
        <v>65</v>
      </c>
      <c r="AO250" s="34">
        <v>98</v>
      </c>
      <c r="AP250" s="29">
        <v>9</v>
      </c>
      <c r="AQ250" s="29">
        <v>1</v>
      </c>
      <c r="AR250" s="36">
        <f t="shared" si="157"/>
      </c>
    </row>
    <row r="251">
      <c r="A251" s="74"/>
      <c r="B251" s="85" t="s">
        <v>56</v>
      </c>
      <c r="C251" s="85"/>
      <c r="D251" s="85"/>
      <c r="E251" s="85"/>
      <c r="F251" s="86">
        <f>SUM(F247:F250)</f>
      </c>
      <c r="G251" s="86">
        <f>SUM(G247:G250)</f>
      </c>
      <c r="H251" s="86">
        <f>SUM(H247:H250)</f>
      </c>
      <c r="I251" s="85">
        <f>SUM(I247:I250)</f>
      </c>
      <c r="J251" s="85">
        <f>SUM(J247:J250)</f>
      </c>
      <c r="K251" s="86">
        <f>SUM(K247:K250)</f>
      </c>
      <c r="L251" s="87">
        <f t="shared" si="386"/>
      </c>
      <c r="M251" s="88">
        <f t="shared" si="332"/>
      </c>
      <c r="N251" s="86">
        <f t="shared" si="242"/>
      </c>
      <c r="O251" s="86">
        <f t="shared" si="188"/>
      </c>
      <c r="P251" s="86">
        <f t="shared" si="85"/>
      </c>
      <c r="Q251" s="86">
        <f t="shared" si="49"/>
      </c>
      <c r="R251" s="86">
        <f t="shared" si="13"/>
      </c>
      <c r="S251" s="86">
        <f t="shared" si="507"/>
      </c>
      <c r="T251" s="86">
        <f t="shared" si="404"/>
      </c>
      <c r="U251" s="87">
        <f t="shared" si="350"/>
      </c>
      <c r="V251" s="87">
        <f t="shared" si="260"/>
      </c>
      <c r="W251" s="87">
        <f t="shared" si="278"/>
      </c>
      <c r="X251" s="87">
        <f t="shared" si="296"/>
      </c>
      <c r="Y251" s="87">
        <f t="shared" si="206"/>
      </c>
      <c r="Z251" s="87">
        <f t="shared" si="103"/>
      </c>
      <c r="AA251" s="88">
        <f t="shared" si="67"/>
      </c>
      <c r="AB251" s="88">
        <f t="shared" si="31"/>
      </c>
      <c r="AC251" s="88">
        <f t="shared" si="525"/>
      </c>
      <c r="AD251" s="87">
        <f t="shared" si="422"/>
      </c>
      <c r="AE251" s="88">
        <f t="shared" si="368"/>
      </c>
      <c r="AF251" s="87">
        <f t="shared" si="314"/>
      </c>
      <c r="AG251" s="87">
        <f t="shared" si="224"/>
      </c>
      <c r="AH251" s="40">
        <f>SUM(AH247:AH250)</f>
      </c>
      <c r="AI251" s="40">
        <f>SUM(AI247:AI250)</f>
      </c>
      <c r="AJ251" s="40">
        <f>SUM(AJ247:AJ250)</f>
      </c>
      <c r="AK251" s="40">
        <f>SUM(AK247:AK250)</f>
      </c>
      <c r="AL251" s="40">
        <f>SUM(AL247:AL250)</f>
      </c>
      <c r="AM251" s="40">
        <f>SUM(AM247:AM250)</f>
      </c>
      <c r="AN251" s="40">
        <f>SUM(AN247:AN250)</f>
      </c>
      <c r="AO251" s="40">
        <f>SUM(AO247:AO250)</f>
      </c>
      <c r="AP251" s="40">
        <f>SUM(AP247:AP250)</f>
      </c>
      <c r="AQ251" s="40">
        <f>SUM(AQ247:AQ250)</f>
      </c>
      <c r="AR251" s="44">
        <f>SUM(AR247:AR250)</f>
      </c>
    </row>
    <row r="252">
      <c r="A252" s="74"/>
      <c r="B252" s="75" t="s">
        <v>69</v>
      </c>
      <c r="C252" s="76" t="s">
        <v>50</v>
      </c>
      <c r="D252" s="75" t="s">
        <v>57</v>
      </c>
      <c r="E252" s="76" t="s">
        <v>64</v>
      </c>
      <c r="F252" s="77">
        <f t="shared" ref="F252:F254" si="477">H252+G252</f>
      </c>
      <c r="G252" s="78">
        <v>1723.69</v>
      </c>
      <c r="H252" s="78">
        <v>852.03</v>
      </c>
      <c r="I252" s="75">
        <v>4</v>
      </c>
      <c r="J252" s="75">
        <v>4</v>
      </c>
      <c r="K252" s="78">
        <v>3198</v>
      </c>
      <c r="L252" s="79">
        <f t="shared" si="386"/>
      </c>
      <c r="M252" s="80">
        <f t="shared" si="332"/>
      </c>
      <c r="N252" s="81">
        <f t="shared" si="242"/>
      </c>
      <c r="O252" s="81">
        <f t="shared" si="188"/>
      </c>
      <c r="P252" s="81">
        <f t="shared" si="85"/>
      </c>
      <c r="Q252" s="81">
        <f t="shared" si="49"/>
      </c>
      <c r="R252" s="81">
        <f t="shared" si="13"/>
      </c>
      <c r="S252" s="81">
        <f t="shared" si="507"/>
      </c>
      <c r="T252" s="81">
        <f t="shared" si="404"/>
      </c>
      <c r="U252" s="79">
        <f t="shared" si="350"/>
      </c>
      <c r="V252" s="79">
        <f t="shared" si="260"/>
      </c>
      <c r="W252" s="79">
        <f t="shared" si="278"/>
      </c>
      <c r="X252" s="79">
        <f t="shared" si="296"/>
      </c>
      <c r="Y252" s="79">
        <f t="shared" si="206"/>
      </c>
      <c r="Z252" s="79">
        <f t="shared" si="103"/>
      </c>
      <c r="AA252" s="80">
        <f t="shared" si="67"/>
      </c>
      <c r="AB252" s="80">
        <f t="shared" si="31"/>
      </c>
      <c r="AC252" s="80">
        <f t="shared" si="525"/>
      </c>
      <c r="AD252" s="79">
        <f t="shared" si="422"/>
      </c>
      <c r="AE252" s="80">
        <f t="shared" si="368"/>
      </c>
      <c r="AF252" s="79">
        <f t="shared" si="314"/>
      </c>
      <c r="AG252" s="79">
        <f t="shared" si="224"/>
      </c>
      <c r="AH252" s="82">
        <v>26319</v>
      </c>
      <c r="AI252" s="34">
        <v>609</v>
      </c>
      <c r="AJ252" s="34">
        <v>684</v>
      </c>
      <c r="AK252" s="34">
        <v>52</v>
      </c>
      <c r="AL252" s="29">
        <v>3</v>
      </c>
      <c r="AM252" s="29">
        <v>2</v>
      </c>
      <c r="AN252" s="34">
        <v>74</v>
      </c>
      <c r="AO252" s="34">
        <v>62</v>
      </c>
      <c r="AP252" s="34">
        <v>8</v>
      </c>
      <c r="AQ252" s="29">
        <v>1</v>
      </c>
      <c r="AR252" s="36">
        <f t="shared" ref="AR252:AR254" si="158">COUNT(AQ252)</f>
      </c>
    </row>
    <row r="253">
      <c r="A253" s="74"/>
      <c r="B253" s="75" t="s">
        <v>69</v>
      </c>
      <c r="C253" s="76" t="s">
        <v>50</v>
      </c>
      <c r="D253" s="75" t="s">
        <v>57</v>
      </c>
      <c r="E253" s="76" t="s">
        <v>65</v>
      </c>
      <c r="F253" s="77">
        <f t="shared" si="477"/>
      </c>
      <c r="G253" s="78">
        <v>2761.89</v>
      </c>
      <c r="H253" s="78">
        <v>868.98</v>
      </c>
      <c r="I253" s="75">
        <v>8</v>
      </c>
      <c r="J253" s="75">
        <v>6</v>
      </c>
      <c r="K253" s="78">
        <v>4404</v>
      </c>
      <c r="L253" s="79">
        <f t="shared" si="386"/>
      </c>
      <c r="M253" s="80">
        <f t="shared" si="332"/>
      </c>
      <c r="N253" s="81">
        <f t="shared" si="242"/>
      </c>
      <c r="O253" s="81">
        <f t="shared" si="188"/>
      </c>
      <c r="P253" s="81">
        <f t="shared" si="85"/>
      </c>
      <c r="Q253" s="81">
        <f t="shared" si="49"/>
      </c>
      <c r="R253" s="81">
        <f t="shared" si="13"/>
      </c>
      <c r="S253" s="81">
        <f t="shared" si="507"/>
      </c>
      <c r="T253" s="81">
        <f t="shared" si="404"/>
      </c>
      <c r="U253" s="79">
        <f t="shared" si="350"/>
      </c>
      <c r="V253" s="79">
        <f t="shared" si="260"/>
      </c>
      <c r="W253" s="79">
        <f t="shared" si="278"/>
      </c>
      <c r="X253" s="79">
        <f t="shared" si="296"/>
      </c>
      <c r="Y253" s="79">
        <f t="shared" si="206"/>
      </c>
      <c r="Z253" s="79">
        <f t="shared" si="103"/>
      </c>
      <c r="AA253" s="80">
        <f t="shared" si="67"/>
      </c>
      <c r="AB253" s="80">
        <f t="shared" si="31"/>
      </c>
      <c r="AC253" s="80">
        <f t="shared" si="525"/>
      </c>
      <c r="AD253" s="79">
        <f t="shared" si="422"/>
      </c>
      <c r="AE253" s="80">
        <f t="shared" si="368"/>
      </c>
      <c r="AF253" s="79">
        <f t="shared" si="314"/>
      </c>
      <c r="AG253" s="79">
        <f t="shared" si="224"/>
      </c>
      <c r="AH253" s="82">
        <v>39364</v>
      </c>
      <c r="AI253" s="34">
        <v>789</v>
      </c>
      <c r="AJ253" s="34">
        <v>916</v>
      </c>
      <c r="AK253" s="34">
        <v>84</v>
      </c>
      <c r="AL253" s="34">
        <v>6</v>
      </c>
      <c r="AM253" s="34">
        <v>4</v>
      </c>
      <c r="AN253" s="34">
        <v>124</v>
      </c>
      <c r="AO253" s="34">
        <v>100</v>
      </c>
      <c r="AP253" s="34">
        <v>11</v>
      </c>
      <c r="AQ253" s="29">
        <v>0</v>
      </c>
      <c r="AR253" s="36">
        <f t="shared" si="158"/>
      </c>
    </row>
    <row r="254">
      <c r="A254" s="74"/>
      <c r="B254" s="75" t="s">
        <v>69</v>
      </c>
      <c r="C254" s="76" t="s">
        <v>50</v>
      </c>
      <c r="D254" s="75" t="s">
        <v>57</v>
      </c>
      <c r="E254" s="75" t="s">
        <v>66</v>
      </c>
      <c r="F254" s="77">
        <f t="shared" si="477"/>
      </c>
      <c r="G254" s="90">
        <v>202.15</v>
      </c>
      <c r="H254" s="90">
        <v>510.09</v>
      </c>
      <c r="I254" s="75">
        <v>5</v>
      </c>
      <c r="J254" s="75">
        <v>4</v>
      </c>
      <c r="K254" s="78">
        <v>3747.4000000000015</v>
      </c>
      <c r="L254" s="79">
        <f t="shared" si="386"/>
      </c>
      <c r="M254" s="80">
        <f t="shared" si="332"/>
      </c>
      <c r="N254" s="81">
        <f t="shared" si="242"/>
      </c>
      <c r="O254" s="81">
        <f t="shared" si="188"/>
      </c>
      <c r="P254" s="81">
        <f t="shared" si="85"/>
      </c>
      <c r="Q254" s="81">
        <f t="shared" si="49"/>
      </c>
      <c r="R254" s="81">
        <f t="shared" si="13"/>
      </c>
      <c r="S254" s="81">
        <f t="shared" si="507"/>
      </c>
      <c r="T254" s="81">
        <f t="shared" si="404"/>
      </c>
      <c r="U254" s="79">
        <f t="shared" si="350"/>
      </c>
      <c r="V254" s="79">
        <f t="shared" si="260"/>
      </c>
      <c r="W254" s="79">
        <f t="shared" si="278"/>
      </c>
      <c r="X254" s="79">
        <f t="shared" si="296"/>
      </c>
      <c r="Y254" s="79">
        <f t="shared" si="206"/>
      </c>
      <c r="Z254" s="79">
        <f t="shared" si="103"/>
      </c>
      <c r="AA254" s="80">
        <f t="shared" si="67"/>
      </c>
      <c r="AB254" s="80">
        <f t="shared" si="31"/>
      </c>
      <c r="AC254" s="80">
        <f t="shared" si="525"/>
      </c>
      <c r="AD254" s="79">
        <f t="shared" si="422"/>
      </c>
      <c r="AE254" s="80">
        <f t="shared" si="368"/>
      </c>
      <c r="AF254" s="79">
        <f t="shared" si="314"/>
      </c>
      <c r="AG254" s="79">
        <f t="shared" si="224"/>
      </c>
      <c r="AH254" s="82">
        <v>8030</v>
      </c>
      <c r="AI254" s="34">
        <v>281</v>
      </c>
      <c r="AJ254" s="34">
        <v>357</v>
      </c>
      <c r="AK254" s="34">
        <v>32</v>
      </c>
      <c r="AL254" s="29">
        <v>3</v>
      </c>
      <c r="AM254" s="29">
        <v>2</v>
      </c>
      <c r="AN254" s="34">
        <v>43</v>
      </c>
      <c r="AO254" s="34">
        <v>49</v>
      </c>
      <c r="AP254" s="34">
        <v>5</v>
      </c>
      <c r="AQ254" s="29">
        <v>0</v>
      </c>
      <c r="AR254" s="36">
        <f t="shared" si="158"/>
      </c>
    </row>
    <row r="255">
      <c r="A255" s="74"/>
      <c r="B255" s="85" t="s">
        <v>56</v>
      </c>
      <c r="C255" s="85"/>
      <c r="D255" s="85"/>
      <c r="E255" s="85"/>
      <c r="F255" s="86">
        <f>SUM(F252:F254)</f>
      </c>
      <c r="G255" s="86">
        <f>SUM(G252:G254)</f>
      </c>
      <c r="H255" s="86">
        <f>SUM(H252:H254)</f>
      </c>
      <c r="I255" s="85">
        <f>SUM(I252:I254)</f>
      </c>
      <c r="J255" s="85">
        <f>SUM(J252:J254)</f>
      </c>
      <c r="K255" s="86">
        <f>SUM(K252:K254)</f>
      </c>
      <c r="L255" s="87">
        <f t="shared" si="386"/>
      </c>
      <c r="M255" s="88">
        <f t="shared" si="332"/>
      </c>
      <c r="N255" s="86">
        <f t="shared" si="242"/>
      </c>
      <c r="O255" s="86">
        <f t="shared" si="188"/>
      </c>
      <c r="P255" s="86">
        <f t="shared" si="85"/>
      </c>
      <c r="Q255" s="86">
        <f t="shared" si="49"/>
      </c>
      <c r="R255" s="86">
        <f t="shared" si="13"/>
      </c>
      <c r="S255" s="86">
        <f t="shared" si="507"/>
      </c>
      <c r="T255" s="86">
        <f t="shared" si="404"/>
      </c>
      <c r="U255" s="87">
        <f t="shared" si="350"/>
      </c>
      <c r="V255" s="87">
        <f t="shared" si="260"/>
      </c>
      <c r="W255" s="87">
        <f t="shared" si="278"/>
      </c>
      <c r="X255" s="87">
        <f t="shared" si="296"/>
      </c>
      <c r="Y255" s="87">
        <f t="shared" si="206"/>
      </c>
      <c r="Z255" s="87">
        <f t="shared" si="103"/>
      </c>
      <c r="AA255" s="88">
        <f t="shared" si="67"/>
      </c>
      <c r="AB255" s="88">
        <f t="shared" si="31"/>
      </c>
      <c r="AC255" s="88">
        <f t="shared" si="525"/>
      </c>
      <c r="AD255" s="87">
        <f t="shared" si="422"/>
      </c>
      <c r="AE255" s="88">
        <f t="shared" si="368"/>
      </c>
      <c r="AF255" s="87">
        <f t="shared" si="314"/>
      </c>
      <c r="AG255" s="87">
        <f t="shared" si="224"/>
      </c>
      <c r="AH255" s="40">
        <f>SUM(AH252:AH254)</f>
      </c>
      <c r="AI255" s="40">
        <f>SUM(AI252:AI254)</f>
      </c>
      <c r="AJ255" s="40">
        <f>SUM(AJ252:AJ254)</f>
      </c>
      <c r="AK255" s="40">
        <f>SUM(AK252:AK254)</f>
      </c>
      <c r="AL255" s="40">
        <f>SUM(AL252:AL254)</f>
      </c>
      <c r="AM255" s="40">
        <f>SUM(AM252:AM254)</f>
      </c>
      <c r="AN255" s="40">
        <f>SUM(AN252:AN254)</f>
      </c>
      <c r="AO255" s="40">
        <f>SUM(AO252:AO254)</f>
      </c>
      <c r="AP255" s="40">
        <f>SUM(AP252:AP254)</f>
      </c>
      <c r="AQ255" s="40">
        <f>SUM(AQ252:AQ254)</f>
      </c>
      <c r="AR255" s="44">
        <f>SUM(AR252:AR254)</f>
      </c>
    </row>
    <row r="256">
      <c r="A256" s="74"/>
      <c r="B256" s="91" t="s">
        <v>67</v>
      </c>
      <c r="C256" s="91"/>
      <c r="D256" s="91"/>
      <c r="E256" s="91"/>
      <c r="F256" s="92">
        <f>F251+F255</f>
      </c>
      <c r="G256" s="92">
        <f>G251+G255</f>
      </c>
      <c r="H256" s="92">
        <f>H251+H255</f>
      </c>
      <c r="I256" s="92">
        <f>I251+I255</f>
      </c>
      <c r="J256" s="92">
        <f>J251+J255</f>
      </c>
      <c r="K256" s="92">
        <f>K251+K255</f>
      </c>
      <c r="L256" s="93">
        <f t="shared" si="386"/>
      </c>
      <c r="M256" s="94">
        <f t="shared" si="332"/>
      </c>
      <c r="N256" s="92">
        <f t="shared" si="242"/>
      </c>
      <c r="O256" s="92">
        <f t="shared" si="188"/>
      </c>
      <c r="P256" s="92">
        <f t="shared" si="85"/>
      </c>
      <c r="Q256" s="92">
        <f t="shared" si="49"/>
      </c>
      <c r="R256" s="92">
        <f t="shared" si="13"/>
      </c>
      <c r="S256" s="92">
        <f t="shared" si="507"/>
      </c>
      <c r="T256" s="92">
        <f t="shared" si="404"/>
      </c>
      <c r="U256" s="93">
        <f t="shared" si="350"/>
      </c>
      <c r="V256" s="93">
        <f t="shared" si="260"/>
      </c>
      <c r="W256" s="93">
        <f t="shared" si="278"/>
      </c>
      <c r="X256" s="93">
        <f t="shared" si="296"/>
      </c>
      <c r="Y256" s="93">
        <f t="shared" si="206"/>
      </c>
      <c r="Z256" s="93">
        <f t="shared" si="103"/>
      </c>
      <c r="AA256" s="94">
        <f t="shared" si="67"/>
      </c>
      <c r="AB256" s="94">
        <f t="shared" si="31"/>
      </c>
      <c r="AC256" s="94">
        <f t="shared" si="525"/>
      </c>
      <c r="AD256" s="93">
        <f t="shared" si="422"/>
      </c>
      <c r="AE256" s="94">
        <f t="shared" si="368"/>
      </c>
      <c r="AF256" s="93">
        <f t="shared" si="314"/>
      </c>
      <c r="AG256" s="93">
        <f t="shared" si="224"/>
      </c>
      <c r="AH256" s="44">
        <f>AH251+AH255</f>
      </c>
      <c r="AI256" s="44">
        <f>AI251+AI255</f>
      </c>
      <c r="AJ256" s="44">
        <f>AJ251+AJ255</f>
      </c>
      <c r="AK256" s="44">
        <f>AK251+AK255</f>
      </c>
      <c r="AL256" s="44">
        <f>AL251+AL255</f>
      </c>
      <c r="AM256" s="44">
        <f>AM251+AM255</f>
      </c>
      <c r="AN256" s="44">
        <f>AN251+AN255</f>
      </c>
      <c r="AO256" s="44">
        <f>AO251+AO255</f>
      </c>
      <c r="AP256" s="44">
        <f>AP251+AP255</f>
      </c>
      <c r="AQ256" s="44">
        <f>AQ251+AQ255</f>
      </c>
      <c r="AR256" s="44">
        <f>AR251+AR255</f>
      </c>
    </row>
    <row r="257">
      <c r="A257" s="59"/>
      <c r="B257" s="59"/>
      <c r="C257" s="59"/>
      <c r="D257" s="59"/>
      <c r="E257" s="59"/>
      <c r="F257" s="60" t="s">
        <v>1</v>
      </c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1" t="s">
        <v>2</v>
      </c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2" t="s">
        <v>3</v>
      </c>
      <c r="AD257" s="62"/>
      <c r="AE257" s="62"/>
      <c r="AF257" s="62"/>
      <c r="AG257" s="62"/>
      <c r="AH257" s="5" t="s">
        <v>4</v>
      </c>
      <c r="AI257" s="5"/>
      <c r="AJ257" s="5"/>
      <c r="AK257" s="5"/>
      <c r="AL257" s="5"/>
      <c r="AM257" s="5"/>
      <c r="AN257" s="5"/>
      <c r="AO257" s="5"/>
      <c r="AP257" s="5"/>
      <c r="AQ257" s="5"/>
      <c r="AR257" s="5"/>
    </row>
    <row r="258">
      <c r="A258" s="63" t="s">
        <v>5</v>
      </c>
      <c r="B258" s="59" t="s">
        <v>6</v>
      </c>
      <c r="C258" s="59" t="s">
        <v>7</v>
      </c>
      <c r="D258" s="59" t="s">
        <v>8</v>
      </c>
      <c r="E258" s="59" t="s">
        <v>9</v>
      </c>
      <c r="F258" s="64" t="s">
        <v>10</v>
      </c>
      <c r="G258" s="65" t="s">
        <v>11</v>
      </c>
      <c r="H258" s="66" t="s">
        <v>12</v>
      </c>
      <c r="I258" s="67" t="s">
        <v>13</v>
      </c>
      <c r="J258" s="67" t="s">
        <v>14</v>
      </c>
      <c r="K258" s="66" t="s">
        <v>15</v>
      </c>
      <c r="L258" s="68" t="s">
        <v>16</v>
      </c>
      <c r="M258" s="69" t="s">
        <v>17</v>
      </c>
      <c r="N258" s="70" t="s">
        <v>18</v>
      </c>
      <c r="O258" s="70" t="s">
        <v>19</v>
      </c>
      <c r="P258" s="70" t="s">
        <v>20</v>
      </c>
      <c r="Q258" s="61" t="s">
        <v>21</v>
      </c>
      <c r="R258" s="61" t="s">
        <v>22</v>
      </c>
      <c r="S258" s="61" t="s">
        <v>23</v>
      </c>
      <c r="T258" s="61" t="s">
        <v>24</v>
      </c>
      <c r="U258" s="71" t="s">
        <v>25</v>
      </c>
      <c r="V258" s="71" t="s">
        <v>26</v>
      </c>
      <c r="W258" s="71" t="s">
        <v>27</v>
      </c>
      <c r="X258" s="71" t="s">
        <v>28</v>
      </c>
      <c r="Y258" s="71" t="s">
        <v>29</v>
      </c>
      <c r="Z258" s="71" t="s">
        <v>30</v>
      </c>
      <c r="AA258" s="72" t="s">
        <v>31</v>
      </c>
      <c r="AB258" s="72" t="s">
        <v>32</v>
      </c>
      <c r="AC258" s="62" t="s">
        <v>33</v>
      </c>
      <c r="AD258" s="73" t="s">
        <v>34</v>
      </c>
      <c r="AE258" s="62" t="s">
        <v>35</v>
      </c>
      <c r="AF258" s="73" t="s">
        <v>36</v>
      </c>
      <c r="AG258" s="73" t="s">
        <v>37</v>
      </c>
      <c r="AH258" s="22" t="s">
        <v>38</v>
      </c>
      <c r="AI258" s="22" t="s">
        <v>39</v>
      </c>
      <c r="AJ258" s="22" t="s">
        <v>40</v>
      </c>
      <c r="AK258" s="22" t="s">
        <v>41</v>
      </c>
      <c r="AL258" s="22" t="s">
        <v>42</v>
      </c>
      <c r="AM258" s="22" t="s">
        <v>43</v>
      </c>
      <c r="AN258" s="22" t="s">
        <v>44</v>
      </c>
      <c r="AO258" s="22" t="s">
        <v>45</v>
      </c>
      <c r="AP258" s="22" t="s">
        <v>46</v>
      </c>
      <c r="AQ258" s="22" t="s">
        <v>47</v>
      </c>
      <c r="AR258" s="23" t="s">
        <v>48</v>
      </c>
    </row>
    <row r="259">
      <c r="A259" s="74">
        <v>46311</v>
      </c>
      <c r="B259" s="75" t="s">
        <v>69</v>
      </c>
      <c r="C259" s="76" t="s">
        <v>50</v>
      </c>
      <c r="D259" s="75" t="s">
        <v>51</v>
      </c>
      <c r="E259" s="75" t="s">
        <v>52</v>
      </c>
      <c r="F259" s="77">
        <f t="shared" ref="F259:F262" si="478">H259+G259</f>
      </c>
      <c r="G259" s="78">
        <v>1438.37</v>
      </c>
      <c r="H259" s="78">
        <v>589.64</v>
      </c>
      <c r="I259" s="75">
        <v>4</v>
      </c>
      <c r="J259" s="75">
        <v>4</v>
      </c>
      <c r="K259" s="78">
        <v>3166.7999999999997</v>
      </c>
      <c r="L259" s="79">
        <f t="shared" ref="L259:L275" si="387">AQ259/J259</f>
      </c>
      <c r="M259" s="80">
        <f t="shared" ref="M259:M275" si="333">K259/J259</f>
      </c>
      <c r="N259" s="81">
        <f t="shared" ref="N259:N275" si="243">F259/J259</f>
      </c>
      <c r="O259" s="81">
        <f t="shared" ref="O259:O275" si="189">K259/F259</f>
      </c>
      <c r="P259" s="81">
        <f t="shared" ref="P259:P275" si="86">K259/((300*AR259)+F259)</f>
      </c>
      <c r="Q259" s="81">
        <f t="shared" ref="Q259:Q275" si="50">F259/AJ259</f>
      </c>
      <c r="R259" s="81">
        <f t="shared" ref="R259:R275" si="14">F259/AK259</f>
      </c>
      <c r="S259" s="81">
        <f t="shared" ref="S259:S275" si="508">F259/AL259</f>
      </c>
      <c r="T259" s="81">
        <f t="shared" ref="T259:T275" si="405">F259/AM259</f>
      </c>
      <c r="U259" s="79">
        <f t="shared" ref="U259:U275" si="351">AI259/AJ259</f>
      </c>
      <c r="V259" s="79">
        <f t="shared" ref="V259:V275" si="261">AK259/AJ259</f>
      </c>
      <c r="W259" s="79">
        <f t="shared" ref="W259:W275" si="279">AL259/AK259</f>
      </c>
      <c r="X259" s="79">
        <f t="shared" ref="X259:X275" si="297">AM259/AL259</f>
      </c>
      <c r="Y259" s="79">
        <f t="shared" ref="Y259:Y275" si="207">AI259/AH259</f>
      </c>
      <c r="Z259" s="79">
        <f t="shared" ref="Z259:Z275" si="104">AM259/AI259</f>
      </c>
      <c r="AA259" s="80">
        <f t="shared" ref="AA259:AA275" si="68">F259/AH259*1000</f>
      </c>
      <c r="AB259" s="80">
        <f t="shared" ref="AB259:AB275" si="32">F259/AI259</f>
      </c>
      <c r="AC259" s="80">
        <f t="shared" ref="AC259:AC275" si="526">F259/AN259</f>
      </c>
      <c r="AD259" s="79">
        <f t="shared" ref="AD259:AD275" si="423">AN259/AJ259</f>
      </c>
      <c r="AE259" s="80">
        <f t="shared" ref="AE259:AE275" si="369">F259/AO259</f>
      </c>
      <c r="AF259" s="79">
        <f t="shared" ref="AF259:AF275" si="315">AO259/AJ259</f>
      </c>
      <c r="AG259" s="79">
        <f t="shared" ref="AG259:AG275" si="225">AP259/AJ259</f>
      </c>
      <c r="AH259" s="82">
        <v>21652</v>
      </c>
      <c r="AI259" s="35">
        <v>407</v>
      </c>
      <c r="AJ259" s="35">
        <v>434</v>
      </c>
      <c r="AK259" s="34">
        <v>41</v>
      </c>
      <c r="AL259" s="34">
        <v>4</v>
      </c>
      <c r="AM259" s="34">
        <v>4</v>
      </c>
      <c r="AN259" s="34">
        <v>72</v>
      </c>
      <c r="AO259" s="34">
        <v>57</v>
      </c>
      <c r="AP259" s="29">
        <v>7</v>
      </c>
      <c r="AQ259" s="29">
        <v>0</v>
      </c>
      <c r="AR259" s="36">
        <f t="shared" ref="AR259:AR262" si="159">COUNT(AQ259)</f>
      </c>
    </row>
    <row r="260">
      <c r="A260" s="74"/>
      <c r="B260" s="75" t="s">
        <v>69</v>
      </c>
      <c r="C260" s="76" t="s">
        <v>50</v>
      </c>
      <c r="D260" s="75" t="s">
        <v>51</v>
      </c>
      <c r="E260" s="75" t="s">
        <v>53</v>
      </c>
      <c r="F260" s="77">
        <f t="shared" si="478"/>
      </c>
      <c r="G260" s="83">
        <v>1232.17</v>
      </c>
      <c r="H260" s="78">
        <v>579.51</v>
      </c>
      <c r="I260" s="75">
        <v>1</v>
      </c>
      <c r="J260" s="75">
        <v>2</v>
      </c>
      <c r="K260" s="78">
        <v>728.4000000000001</v>
      </c>
      <c r="L260" s="79">
        <f t="shared" si="387"/>
      </c>
      <c r="M260" s="80">
        <f t="shared" si="333"/>
      </c>
      <c r="N260" s="81">
        <f t="shared" si="243"/>
      </c>
      <c r="O260" s="81">
        <f t="shared" si="189"/>
      </c>
      <c r="P260" s="81">
        <f t="shared" si="86"/>
      </c>
      <c r="Q260" s="81">
        <f t="shared" si="50"/>
      </c>
      <c r="R260" s="81">
        <f t="shared" si="14"/>
      </c>
      <c r="S260" s="81">
        <f t="shared" si="508"/>
      </c>
      <c r="T260" s="81">
        <f t="shared" si="405"/>
      </c>
      <c r="U260" s="79">
        <f t="shared" si="351"/>
      </c>
      <c r="V260" s="79">
        <f t="shared" si="261"/>
      </c>
      <c r="W260" s="79">
        <f t="shared" si="279"/>
      </c>
      <c r="X260" s="79">
        <f t="shared" si="297"/>
      </c>
      <c r="Y260" s="79">
        <f t="shared" si="207"/>
      </c>
      <c r="Z260" s="79">
        <f t="shared" si="104"/>
      </c>
      <c r="AA260" s="80">
        <f t="shared" si="68"/>
      </c>
      <c r="AB260" s="80">
        <f t="shared" si="32"/>
      </c>
      <c r="AC260" s="80">
        <f t="shared" si="526"/>
      </c>
      <c r="AD260" s="79">
        <f t="shared" si="423"/>
      </c>
      <c r="AE260" s="80">
        <f t="shared" si="369"/>
      </c>
      <c r="AF260" s="79">
        <f t="shared" si="315"/>
      </c>
      <c r="AG260" s="79">
        <f t="shared" si="225"/>
      </c>
      <c r="AH260" s="84">
        <v>17877</v>
      </c>
      <c r="AI260" s="34">
        <v>453</v>
      </c>
      <c r="AJ260" s="34">
        <v>514</v>
      </c>
      <c r="AK260" s="34">
        <v>40</v>
      </c>
      <c r="AL260" s="34">
        <v>2</v>
      </c>
      <c r="AM260" s="34">
        <v>1</v>
      </c>
      <c r="AN260" s="34">
        <v>72</v>
      </c>
      <c r="AO260" s="34">
        <v>54</v>
      </c>
      <c r="AP260" s="34">
        <v>8</v>
      </c>
      <c r="AQ260" s="29">
        <v>1</v>
      </c>
      <c r="AR260" s="36">
        <f t="shared" si="159"/>
      </c>
    </row>
    <row r="261">
      <c r="A261" s="74"/>
      <c r="B261" s="75" t="s">
        <v>69</v>
      </c>
      <c r="C261" s="76" t="s">
        <v>50</v>
      </c>
      <c r="D261" s="75" t="s">
        <v>51</v>
      </c>
      <c r="E261" s="75" t="s">
        <v>54</v>
      </c>
      <c r="F261" s="77">
        <f t="shared" si="478"/>
      </c>
      <c r="G261" s="78">
        <v>1447.64</v>
      </c>
      <c r="H261" s="78">
        <v>449.33</v>
      </c>
      <c r="I261" s="75">
        <v>6</v>
      </c>
      <c r="J261" s="75">
        <v>5</v>
      </c>
      <c r="K261" s="78">
        <v>2787.5999999999995</v>
      </c>
      <c r="L261" s="79">
        <f t="shared" si="387"/>
      </c>
      <c r="M261" s="80">
        <f t="shared" si="333"/>
      </c>
      <c r="N261" s="81">
        <f t="shared" si="243"/>
      </c>
      <c r="O261" s="81">
        <f t="shared" si="189"/>
      </c>
      <c r="P261" s="81">
        <f t="shared" si="86"/>
      </c>
      <c r="Q261" s="81">
        <f t="shared" si="50"/>
      </c>
      <c r="R261" s="81">
        <f t="shared" si="14"/>
      </c>
      <c r="S261" s="81">
        <f t="shared" si="508"/>
      </c>
      <c r="T261" s="81">
        <f t="shared" si="405"/>
      </c>
      <c r="U261" s="79">
        <f t="shared" si="351"/>
      </c>
      <c r="V261" s="79">
        <f t="shared" si="261"/>
      </c>
      <c r="W261" s="79">
        <f t="shared" si="279"/>
      </c>
      <c r="X261" s="79">
        <f t="shared" si="297"/>
      </c>
      <c r="Y261" s="79">
        <f t="shared" si="207"/>
      </c>
      <c r="Z261" s="79">
        <f t="shared" si="104"/>
      </c>
      <c r="AA261" s="80">
        <f t="shared" si="68"/>
      </c>
      <c r="AB261" s="80">
        <f t="shared" si="32"/>
      </c>
      <c r="AC261" s="80">
        <f t="shared" si="526"/>
      </c>
      <c r="AD261" s="79">
        <f t="shared" si="423"/>
      </c>
      <c r="AE261" s="80">
        <f t="shared" si="369"/>
      </c>
      <c r="AF261" s="79">
        <f t="shared" si="315"/>
      </c>
      <c r="AG261" s="79">
        <f t="shared" si="225"/>
      </c>
      <c r="AH261" s="84">
        <v>21743</v>
      </c>
      <c r="AI261" s="34">
        <v>471</v>
      </c>
      <c r="AJ261" s="34">
        <v>582</v>
      </c>
      <c r="AK261" s="34">
        <v>26</v>
      </c>
      <c r="AL261" s="29">
        <v>5</v>
      </c>
      <c r="AM261" s="34">
        <v>5</v>
      </c>
      <c r="AN261" s="34">
        <v>83</v>
      </c>
      <c r="AO261" s="34">
        <v>72</v>
      </c>
      <c r="AP261" s="34">
        <v>9</v>
      </c>
      <c r="AQ261" s="29">
        <v>1</v>
      </c>
      <c r="AR261" s="36">
        <f t="shared" si="159"/>
      </c>
    </row>
    <row r="262">
      <c r="A262" s="74"/>
      <c r="B262" s="75" t="s">
        <v>69</v>
      </c>
      <c r="C262" s="76" t="s">
        <v>50</v>
      </c>
      <c r="D262" s="75" t="s">
        <v>51</v>
      </c>
      <c r="E262" s="75" t="s">
        <v>55</v>
      </c>
      <c r="F262" s="77">
        <f t="shared" si="478"/>
      </c>
      <c r="G262" s="78">
        <v>1993.33</v>
      </c>
      <c r="H262" s="78">
        <v>430.09</v>
      </c>
      <c r="I262" s="75">
        <v>12</v>
      </c>
      <c r="J262" s="75">
        <v>7</v>
      </c>
      <c r="K262" s="78">
        <v>6025.200000000001</v>
      </c>
      <c r="L262" s="79">
        <f t="shared" si="387"/>
      </c>
      <c r="M262" s="80">
        <f t="shared" si="333"/>
      </c>
      <c r="N262" s="81">
        <f t="shared" si="243"/>
      </c>
      <c r="O262" s="81">
        <f t="shared" si="189"/>
      </c>
      <c r="P262" s="81">
        <f t="shared" si="86"/>
      </c>
      <c r="Q262" s="81">
        <f t="shared" si="50"/>
      </c>
      <c r="R262" s="81">
        <f t="shared" si="14"/>
      </c>
      <c r="S262" s="81">
        <f t="shared" si="508"/>
      </c>
      <c r="T262" s="81">
        <f t="shared" si="405"/>
      </c>
      <c r="U262" s="79">
        <f t="shared" si="351"/>
      </c>
      <c r="V262" s="79">
        <f t="shared" si="261"/>
      </c>
      <c r="W262" s="79">
        <f t="shared" si="279"/>
      </c>
      <c r="X262" s="79">
        <f t="shared" si="297"/>
      </c>
      <c r="Y262" s="79">
        <f t="shared" si="207"/>
      </c>
      <c r="Z262" s="79">
        <f t="shared" si="104"/>
      </c>
      <c r="AA262" s="80">
        <f t="shared" si="68"/>
      </c>
      <c r="AB262" s="80">
        <f t="shared" si="32"/>
      </c>
      <c r="AC262" s="80">
        <f t="shared" si="526"/>
      </c>
      <c r="AD262" s="79">
        <f t="shared" si="423"/>
      </c>
      <c r="AE262" s="80">
        <f t="shared" si="369"/>
      </c>
      <c r="AF262" s="79">
        <f t="shared" si="315"/>
      </c>
      <c r="AG262" s="79">
        <f t="shared" si="225"/>
      </c>
      <c r="AH262" s="84">
        <v>31898</v>
      </c>
      <c r="AI262" s="34">
        <v>579</v>
      </c>
      <c r="AJ262" s="34">
        <v>692</v>
      </c>
      <c r="AK262" s="34">
        <v>33</v>
      </c>
      <c r="AL262" s="29">
        <v>10</v>
      </c>
      <c r="AM262" s="34">
        <v>6</v>
      </c>
      <c r="AN262" s="34">
        <v>105</v>
      </c>
      <c r="AO262" s="34">
        <v>94</v>
      </c>
      <c r="AP262" s="29">
        <v>14</v>
      </c>
      <c r="AQ262" s="29">
        <v>0</v>
      </c>
      <c r="AR262" s="36">
        <f t="shared" si="159"/>
      </c>
    </row>
    <row r="263">
      <c r="A263" s="74"/>
      <c r="B263" s="85" t="s">
        <v>56</v>
      </c>
      <c r="C263" s="85"/>
      <c r="D263" s="85"/>
      <c r="E263" s="85"/>
      <c r="F263" s="86">
        <f>SUM(F259:F262)</f>
      </c>
      <c r="G263" s="86">
        <f>SUM(G259:G262)</f>
      </c>
      <c r="H263" s="86">
        <f>SUM(H259:H262)</f>
      </c>
      <c r="I263" s="85">
        <f>SUM(I259:I262)</f>
      </c>
      <c r="J263" s="85">
        <f>SUM(J259:J262)</f>
      </c>
      <c r="K263" s="86">
        <f>SUM(K259:K262)</f>
      </c>
      <c r="L263" s="87">
        <f t="shared" si="387"/>
      </c>
      <c r="M263" s="88">
        <f t="shared" si="333"/>
      </c>
      <c r="N263" s="86">
        <f t="shared" si="243"/>
      </c>
      <c r="O263" s="86">
        <f t="shared" si="189"/>
      </c>
      <c r="P263" s="86">
        <f t="shared" si="86"/>
      </c>
      <c r="Q263" s="86">
        <f t="shared" si="50"/>
      </c>
      <c r="R263" s="86">
        <f t="shared" si="14"/>
      </c>
      <c r="S263" s="86">
        <f t="shared" si="508"/>
      </c>
      <c r="T263" s="86">
        <f t="shared" si="405"/>
      </c>
      <c r="U263" s="87">
        <f t="shared" si="351"/>
      </c>
      <c r="V263" s="87">
        <f t="shared" si="261"/>
      </c>
      <c r="W263" s="87">
        <f t="shared" si="279"/>
      </c>
      <c r="X263" s="87">
        <f t="shared" si="297"/>
      </c>
      <c r="Y263" s="87">
        <f t="shared" si="207"/>
      </c>
      <c r="Z263" s="87">
        <f t="shared" si="104"/>
      </c>
      <c r="AA263" s="88">
        <f t="shared" si="68"/>
      </c>
      <c r="AB263" s="88">
        <f t="shared" si="32"/>
      </c>
      <c r="AC263" s="88">
        <f t="shared" si="526"/>
      </c>
      <c r="AD263" s="87">
        <f t="shared" si="423"/>
      </c>
      <c r="AE263" s="88">
        <f t="shared" si="369"/>
      </c>
      <c r="AF263" s="87">
        <f t="shared" si="315"/>
      </c>
      <c r="AG263" s="87">
        <f t="shared" si="225"/>
      </c>
      <c r="AH263" s="40">
        <f>SUM(AH259:AH262)</f>
      </c>
      <c r="AI263" s="40">
        <f>SUM(AI259:AI262)</f>
      </c>
      <c r="AJ263" s="40">
        <f>SUM(AJ259:AJ262)</f>
      </c>
      <c r="AK263" s="40">
        <f>SUM(AK259:AK262)</f>
      </c>
      <c r="AL263" s="40">
        <f>SUM(AL259:AL262)</f>
      </c>
      <c r="AM263" s="40">
        <f>SUM(AM259:AM262)</f>
      </c>
      <c r="AN263" s="40">
        <f>SUM(AN259:AN262)</f>
      </c>
      <c r="AO263" s="40">
        <f>SUM(AO259:AO262)</f>
      </c>
      <c r="AP263" s="40">
        <f>SUM(AP259:AP262)</f>
      </c>
      <c r="AQ263" s="40">
        <f>SUM(AQ259:AQ262)</f>
      </c>
      <c r="AR263" s="44">
        <f>SUM(AR259:AR262)</f>
      </c>
    </row>
    <row r="264">
      <c r="A264" s="74"/>
      <c r="B264" s="75" t="s">
        <v>69</v>
      </c>
      <c r="C264" s="76" t="s">
        <v>50</v>
      </c>
      <c r="D264" s="75" t="s">
        <v>57</v>
      </c>
      <c r="E264" s="75" t="s">
        <v>58</v>
      </c>
      <c r="F264" s="77">
        <f t="shared" ref="F264:F266" si="479">H264+G264</f>
      </c>
      <c r="G264" s="78">
        <v>1979.05</v>
      </c>
      <c r="H264" s="78">
        <v>426.71</v>
      </c>
      <c r="I264" s="75">
        <v>4</v>
      </c>
      <c r="J264" s="75">
        <v>6</v>
      </c>
      <c r="K264" s="78">
        <v>4503.5999999999985</v>
      </c>
      <c r="L264" s="79">
        <f t="shared" si="387"/>
      </c>
      <c r="M264" s="80">
        <f t="shared" si="333"/>
      </c>
      <c r="N264" s="81">
        <f t="shared" si="243"/>
      </c>
      <c r="O264" s="81">
        <f t="shared" si="189"/>
      </c>
      <c r="P264" s="81">
        <f t="shared" si="86"/>
      </c>
      <c r="Q264" s="81">
        <f t="shared" si="50"/>
      </c>
      <c r="R264" s="81">
        <f t="shared" si="14"/>
      </c>
      <c r="S264" s="81">
        <f t="shared" si="508"/>
      </c>
      <c r="T264" s="81">
        <f t="shared" si="405"/>
      </c>
      <c r="U264" s="79">
        <f t="shared" si="351"/>
      </c>
      <c r="V264" s="79">
        <f t="shared" si="261"/>
      </c>
      <c r="W264" s="79">
        <f t="shared" si="279"/>
      </c>
      <c r="X264" s="79">
        <f t="shared" si="297"/>
      </c>
      <c r="Y264" s="79">
        <f t="shared" si="207"/>
      </c>
      <c r="Z264" s="79">
        <f t="shared" si="104"/>
      </c>
      <c r="AA264" s="80">
        <f t="shared" si="68"/>
      </c>
      <c r="AB264" s="80">
        <f t="shared" si="32"/>
      </c>
      <c r="AC264" s="80">
        <f t="shared" si="526"/>
      </c>
      <c r="AD264" s="79">
        <f t="shared" si="423"/>
      </c>
      <c r="AE264" s="80">
        <f t="shared" si="369"/>
      </c>
      <c r="AF264" s="79">
        <f t="shared" si="315"/>
      </c>
      <c r="AG264" s="79">
        <f t="shared" si="225"/>
      </c>
      <c r="AH264" s="82">
        <v>33751</v>
      </c>
      <c r="AI264" s="34">
        <v>586</v>
      </c>
      <c r="AJ264" s="34">
        <v>692</v>
      </c>
      <c r="AK264" s="34">
        <v>24</v>
      </c>
      <c r="AL264" s="29">
        <v>5</v>
      </c>
      <c r="AM264" s="29">
        <v>6</v>
      </c>
      <c r="AN264" s="34">
        <v>86</v>
      </c>
      <c r="AO264" s="34">
        <v>81</v>
      </c>
      <c r="AP264" s="34">
        <v>11</v>
      </c>
      <c r="AQ264" s="29">
        <v>0</v>
      </c>
      <c r="AR264" s="36">
        <f t="shared" ref="AR264:AR266" si="160">COUNT(AQ264)</f>
      </c>
    </row>
    <row r="265">
      <c r="A265" s="74"/>
      <c r="B265" s="75" t="s">
        <v>69</v>
      </c>
      <c r="C265" s="76" t="s">
        <v>50</v>
      </c>
      <c r="D265" s="75" t="s">
        <v>57</v>
      </c>
      <c r="E265" s="75" t="s">
        <v>59</v>
      </c>
      <c r="F265" s="77">
        <f t="shared" si="479"/>
      </c>
      <c r="G265" s="78">
        <v>1311.25</v>
      </c>
      <c r="H265" s="78">
        <v>322.82</v>
      </c>
      <c r="I265" s="75">
        <v>3</v>
      </c>
      <c r="J265" s="75">
        <v>1</v>
      </c>
      <c r="K265" s="78">
        <v>474</v>
      </c>
      <c r="L265" s="79">
        <f t="shared" si="387"/>
      </c>
      <c r="M265" s="80">
        <f t="shared" si="333"/>
      </c>
      <c r="N265" s="81">
        <f t="shared" si="243"/>
      </c>
      <c r="O265" s="81">
        <f t="shared" si="189"/>
      </c>
      <c r="P265" s="81">
        <f t="shared" si="86"/>
      </c>
      <c r="Q265" s="81">
        <f t="shared" si="50"/>
      </c>
      <c r="R265" s="81">
        <f t="shared" si="14"/>
      </c>
      <c r="S265" s="81">
        <f t="shared" si="508"/>
      </c>
      <c r="T265" s="81">
        <f t="shared" si="405"/>
      </c>
      <c r="U265" s="79">
        <f t="shared" si="351"/>
      </c>
      <c r="V265" s="79">
        <f t="shared" si="261"/>
      </c>
      <c r="W265" s="79">
        <f t="shared" si="279"/>
      </c>
      <c r="X265" s="79">
        <f t="shared" si="297"/>
      </c>
      <c r="Y265" s="79">
        <f t="shared" si="207"/>
      </c>
      <c r="Z265" s="79">
        <f t="shared" si="104"/>
      </c>
      <c r="AA265" s="80">
        <f t="shared" si="68"/>
      </c>
      <c r="AB265" s="80">
        <f t="shared" si="32"/>
      </c>
      <c r="AC265" s="80">
        <f t="shared" si="526"/>
      </c>
      <c r="AD265" s="79">
        <f t="shared" si="423"/>
      </c>
      <c r="AE265" s="80">
        <f t="shared" si="369"/>
      </c>
      <c r="AF265" s="79">
        <f t="shared" si="315"/>
      </c>
      <c r="AG265" s="79">
        <f t="shared" si="225"/>
      </c>
      <c r="AH265" s="82">
        <v>27242</v>
      </c>
      <c r="AI265" s="34">
        <v>621</v>
      </c>
      <c r="AJ265" s="34">
        <v>837</v>
      </c>
      <c r="AK265" s="34">
        <v>17</v>
      </c>
      <c r="AL265" s="29">
        <v>3</v>
      </c>
      <c r="AM265" s="29">
        <v>1</v>
      </c>
      <c r="AN265" s="34">
        <v>93</v>
      </c>
      <c r="AO265" s="34">
        <v>71</v>
      </c>
      <c r="AP265" s="34">
        <v>3</v>
      </c>
      <c r="AQ265" s="29">
        <v>0</v>
      </c>
      <c r="AR265" s="36">
        <f t="shared" si="160"/>
      </c>
    </row>
    <row r="266">
      <c r="A266" s="74"/>
      <c r="B266" s="75" t="s">
        <v>69</v>
      </c>
      <c r="C266" s="76" t="s">
        <v>50</v>
      </c>
      <c r="D266" s="75" t="s">
        <v>57</v>
      </c>
      <c r="E266" s="75" t="s">
        <v>60</v>
      </c>
      <c r="F266" s="77">
        <f t="shared" si="479"/>
      </c>
      <c r="G266" s="78">
        <v>977.24</v>
      </c>
      <c r="H266" s="78">
        <v>324.56</v>
      </c>
      <c r="I266" s="75">
        <v>0</v>
      </c>
      <c r="J266" s="75">
        <v>0</v>
      </c>
      <c r="K266" s="78">
        <v>0</v>
      </c>
      <c r="L266" s="79">
        <f t="shared" si="387"/>
      </c>
      <c r="M266" s="80">
        <f t="shared" si="333"/>
      </c>
      <c r="N266" s="81">
        <f t="shared" si="243"/>
      </c>
      <c r="O266" s="81">
        <f t="shared" si="189"/>
      </c>
      <c r="P266" s="81">
        <f t="shared" si="86"/>
      </c>
      <c r="Q266" s="81">
        <f t="shared" si="50"/>
      </c>
      <c r="R266" s="81">
        <f t="shared" si="14"/>
      </c>
      <c r="S266" s="81">
        <f t="shared" si="508"/>
      </c>
      <c r="T266" s="81">
        <f t="shared" si="405"/>
      </c>
      <c r="U266" s="79">
        <f t="shared" si="351"/>
      </c>
      <c r="V266" s="79">
        <f t="shared" si="261"/>
      </c>
      <c r="W266" s="79">
        <f t="shared" si="279"/>
      </c>
      <c r="X266" s="79">
        <f t="shared" si="297"/>
      </c>
      <c r="Y266" s="79">
        <f t="shared" si="207"/>
      </c>
      <c r="Z266" s="79">
        <f t="shared" si="104"/>
      </c>
      <c r="AA266" s="80">
        <f t="shared" si="68"/>
      </c>
      <c r="AB266" s="80">
        <f t="shared" si="32"/>
      </c>
      <c r="AC266" s="80">
        <f t="shared" si="526"/>
      </c>
      <c r="AD266" s="79">
        <f t="shared" si="423"/>
      </c>
      <c r="AE266" s="80">
        <f t="shared" si="369"/>
      </c>
      <c r="AF266" s="79">
        <f t="shared" si="315"/>
      </c>
      <c r="AG266" s="79">
        <f t="shared" si="225"/>
      </c>
      <c r="AH266" s="82">
        <v>18924</v>
      </c>
      <c r="AI266" s="34">
        <v>418</v>
      </c>
      <c r="AJ266" s="34">
        <v>561</v>
      </c>
      <c r="AK266" s="34">
        <v>18</v>
      </c>
      <c r="AL266" s="34">
        <v>0</v>
      </c>
      <c r="AM266" s="34">
        <v>0</v>
      </c>
      <c r="AN266" s="34">
        <v>53</v>
      </c>
      <c r="AO266" s="34">
        <v>39</v>
      </c>
      <c r="AP266" s="34">
        <v>2</v>
      </c>
      <c r="AQ266" s="29">
        <v>0</v>
      </c>
      <c r="AR266" s="36">
        <f t="shared" si="160"/>
      </c>
    </row>
    <row r="267">
      <c r="A267" s="74"/>
      <c r="B267" s="85" t="s">
        <v>56</v>
      </c>
      <c r="C267" s="85"/>
      <c r="D267" s="85"/>
      <c r="E267" s="85"/>
      <c r="F267" s="86">
        <f>SUM(F264:F266)</f>
      </c>
      <c r="G267" s="86">
        <f>SUM(G264:G266)</f>
      </c>
      <c r="H267" s="86">
        <f>SUM(H264:H266)</f>
      </c>
      <c r="I267" s="85">
        <f>SUM(I264:I266)</f>
      </c>
      <c r="J267" s="85">
        <f>SUM(J264:J266)</f>
      </c>
      <c r="K267" s="86">
        <f>SUM(K264:K266)</f>
      </c>
      <c r="L267" s="87">
        <f t="shared" si="387"/>
      </c>
      <c r="M267" s="88">
        <f t="shared" si="333"/>
      </c>
      <c r="N267" s="86">
        <f t="shared" si="243"/>
      </c>
      <c r="O267" s="86">
        <f t="shared" si="189"/>
      </c>
      <c r="P267" s="86">
        <f t="shared" si="86"/>
      </c>
      <c r="Q267" s="86">
        <f t="shared" si="50"/>
      </c>
      <c r="R267" s="86">
        <f t="shared" si="14"/>
      </c>
      <c r="S267" s="86">
        <f t="shared" si="508"/>
      </c>
      <c r="T267" s="86">
        <f t="shared" si="405"/>
      </c>
      <c r="U267" s="87">
        <f t="shared" si="351"/>
      </c>
      <c r="V267" s="87">
        <f t="shared" si="261"/>
      </c>
      <c r="W267" s="87">
        <f t="shared" si="279"/>
      </c>
      <c r="X267" s="87">
        <f t="shared" si="297"/>
      </c>
      <c r="Y267" s="87">
        <f t="shared" si="207"/>
      </c>
      <c r="Z267" s="87">
        <f t="shared" si="104"/>
      </c>
      <c r="AA267" s="88">
        <f t="shared" si="68"/>
      </c>
      <c r="AB267" s="88">
        <f t="shared" si="32"/>
      </c>
      <c r="AC267" s="88">
        <f t="shared" si="526"/>
      </c>
      <c r="AD267" s="87">
        <f t="shared" si="423"/>
      </c>
      <c r="AE267" s="88">
        <f t="shared" si="369"/>
      </c>
      <c r="AF267" s="87">
        <f t="shared" si="315"/>
      </c>
      <c r="AG267" s="87">
        <f t="shared" si="225"/>
      </c>
      <c r="AH267" s="40">
        <f>SUM(AH264:AH266)</f>
      </c>
      <c r="AI267" s="40">
        <f>SUM(AI264:AI266)</f>
      </c>
      <c r="AJ267" s="40">
        <f>SUM(AJ264:AJ266)</f>
      </c>
      <c r="AK267" s="40">
        <f>SUM(AK264:AK266)</f>
      </c>
      <c r="AL267" s="40">
        <f>SUM(AL264:AL266)</f>
      </c>
      <c r="AM267" s="40">
        <f>SUM(AM264:AM266)</f>
      </c>
      <c r="AN267" s="40">
        <f>SUM(AN264:AN266)</f>
      </c>
      <c r="AO267" s="40">
        <f>SUM(AO264:AO266)</f>
      </c>
      <c r="AP267" s="40">
        <f>SUM(AP264:AP266)</f>
      </c>
      <c r="AQ267" s="40">
        <f>SUM(AQ264:AQ266)</f>
      </c>
      <c r="AR267" s="44">
        <f>SUM(AR264:AR266)</f>
      </c>
    </row>
    <row r="268">
      <c r="A268" s="74"/>
      <c r="B268" s="75" t="s">
        <v>69</v>
      </c>
      <c r="C268" s="76" t="s">
        <v>50</v>
      </c>
      <c r="D268" s="75" t="s">
        <v>70</v>
      </c>
      <c r="E268" s="75" t="s">
        <v>61</v>
      </c>
      <c r="F268" s="77">
        <f t="shared" ref="F268:F269" si="480">H268+G268</f>
      </c>
      <c r="G268" s="78">
        <v>1463.98</v>
      </c>
      <c r="H268" s="78">
        <v>426.68</v>
      </c>
      <c r="I268" s="75">
        <v>2</v>
      </c>
      <c r="J268" s="75">
        <v>2</v>
      </c>
      <c r="K268" s="78">
        <v>1336.7999999999993</v>
      </c>
      <c r="L268" s="79">
        <f t="shared" si="387"/>
      </c>
      <c r="M268" s="80">
        <f t="shared" si="333"/>
      </c>
      <c r="N268" s="81">
        <f t="shared" si="243"/>
      </c>
      <c r="O268" s="81">
        <f t="shared" si="189"/>
      </c>
      <c r="P268" s="81">
        <f t="shared" si="86"/>
      </c>
      <c r="Q268" s="81">
        <f t="shared" si="50"/>
      </c>
      <c r="R268" s="81">
        <f t="shared" si="14"/>
      </c>
      <c r="S268" s="81">
        <f t="shared" si="508"/>
      </c>
      <c r="T268" s="81">
        <f t="shared" si="405"/>
      </c>
      <c r="U268" s="79">
        <f t="shared" si="351"/>
      </c>
      <c r="V268" s="79">
        <f t="shared" si="261"/>
      </c>
      <c r="W268" s="79">
        <f t="shared" si="279"/>
      </c>
      <c r="X268" s="79">
        <f t="shared" si="297"/>
      </c>
      <c r="Y268" s="79">
        <f t="shared" si="207"/>
      </c>
      <c r="Z268" s="79">
        <f t="shared" si="104"/>
      </c>
      <c r="AA268" s="80">
        <f t="shared" si="68"/>
      </c>
      <c r="AB268" s="80">
        <f t="shared" si="32"/>
      </c>
      <c r="AC268" s="80">
        <f t="shared" si="526"/>
      </c>
      <c r="AD268" s="79">
        <f t="shared" si="423"/>
      </c>
      <c r="AE268" s="80">
        <f t="shared" si="369"/>
      </c>
      <c r="AF268" s="79">
        <f t="shared" si="315"/>
      </c>
      <c r="AG268" s="79">
        <f t="shared" si="225"/>
      </c>
      <c r="AH268" s="82">
        <v>29037</v>
      </c>
      <c r="AI268" s="34">
        <v>617</v>
      </c>
      <c r="AJ268" s="34">
        <v>800</v>
      </c>
      <c r="AK268" s="34">
        <v>22</v>
      </c>
      <c r="AL268" s="34">
        <v>2</v>
      </c>
      <c r="AM268" s="34">
        <v>2</v>
      </c>
      <c r="AN268" s="34">
        <v>98</v>
      </c>
      <c r="AO268" s="34">
        <v>41</v>
      </c>
      <c r="AP268" s="34">
        <v>9</v>
      </c>
      <c r="AQ268" s="29">
        <v>0</v>
      </c>
      <c r="AR268" s="36">
        <f t="shared" ref="AR268:AR269" si="161">COUNT(AQ268)</f>
      </c>
    </row>
    <row r="269">
      <c r="A269" s="74"/>
      <c r="B269" s="75" t="s">
        <v>69</v>
      </c>
      <c r="C269" s="76" t="s">
        <v>50</v>
      </c>
      <c r="D269" s="75" t="s">
        <v>70</v>
      </c>
      <c r="E269" s="75" t="s">
        <v>63</v>
      </c>
      <c r="F269" s="77">
        <f t="shared" si="480"/>
      </c>
      <c r="G269" s="78">
        <v>837.88</v>
      </c>
      <c r="H269" s="78">
        <v>376.93</v>
      </c>
      <c r="I269" s="75">
        <v>2</v>
      </c>
      <c r="J269" s="76">
        <v>1</v>
      </c>
      <c r="K269" s="78">
        <v>967.2000000000007</v>
      </c>
      <c r="L269" s="79">
        <f t="shared" si="387"/>
      </c>
      <c r="M269" s="80">
        <f t="shared" si="333"/>
      </c>
      <c r="N269" s="81">
        <f t="shared" si="243"/>
      </c>
      <c r="O269" s="81">
        <f t="shared" si="189"/>
      </c>
      <c r="P269" s="81">
        <f t="shared" si="86"/>
      </c>
      <c r="Q269" s="81">
        <f t="shared" si="50"/>
      </c>
      <c r="R269" s="81">
        <f t="shared" si="14"/>
      </c>
      <c r="S269" s="81">
        <f t="shared" si="508"/>
      </c>
      <c r="T269" s="81">
        <f t="shared" si="405"/>
      </c>
      <c r="U269" s="79">
        <f t="shared" si="351"/>
      </c>
      <c r="V269" s="79">
        <f t="shared" si="261"/>
      </c>
      <c r="W269" s="79">
        <f t="shared" si="279"/>
      </c>
      <c r="X269" s="79">
        <f t="shared" si="297"/>
      </c>
      <c r="Y269" s="79">
        <f t="shared" si="207"/>
      </c>
      <c r="Z269" s="79">
        <f t="shared" si="104"/>
      </c>
      <c r="AA269" s="80">
        <f t="shared" si="68"/>
      </c>
      <c r="AB269" s="80">
        <f t="shared" si="32"/>
      </c>
      <c r="AC269" s="80">
        <f t="shared" si="526"/>
      </c>
      <c r="AD269" s="79">
        <f t="shared" si="423"/>
      </c>
      <c r="AE269" s="80">
        <f t="shared" si="369"/>
      </c>
      <c r="AF269" s="79">
        <f t="shared" si="315"/>
      </c>
      <c r="AG269" s="79">
        <f t="shared" si="225"/>
      </c>
      <c r="AH269" s="82">
        <v>14594</v>
      </c>
      <c r="AI269" s="34">
        <v>325</v>
      </c>
      <c r="AJ269" s="34">
        <v>497</v>
      </c>
      <c r="AK269" s="34">
        <v>23</v>
      </c>
      <c r="AL269" s="34">
        <v>2</v>
      </c>
      <c r="AM269" s="34">
        <v>1</v>
      </c>
      <c r="AN269" s="34">
        <v>66</v>
      </c>
      <c r="AO269" s="34">
        <v>52</v>
      </c>
      <c r="AP269" s="34">
        <v>4</v>
      </c>
      <c r="AQ269" s="29">
        <v>0</v>
      </c>
      <c r="AR269" s="36">
        <f t="shared" si="161"/>
      </c>
    </row>
    <row r="270">
      <c r="A270" s="74"/>
      <c r="B270" s="85" t="s">
        <v>56</v>
      </c>
      <c r="C270" s="85"/>
      <c r="D270" s="85"/>
      <c r="E270" s="85"/>
      <c r="F270" s="86">
        <f>SUM(F268:F269)</f>
      </c>
      <c r="G270" s="86">
        <f>SUM(G268:G269)</f>
      </c>
      <c r="H270" s="86">
        <f>SUM(H268:H269)</f>
      </c>
      <c r="I270" s="85">
        <f>SUM(I268:I269)</f>
      </c>
      <c r="J270" s="85">
        <f>SUM(J268:J269)</f>
      </c>
      <c r="K270" s="86">
        <f>SUM(K268:K269)</f>
      </c>
      <c r="L270" s="87">
        <f t="shared" si="387"/>
      </c>
      <c r="M270" s="88">
        <f t="shared" si="333"/>
      </c>
      <c r="N270" s="86">
        <f t="shared" si="243"/>
      </c>
      <c r="O270" s="86">
        <f t="shared" si="189"/>
      </c>
      <c r="P270" s="86">
        <f t="shared" si="86"/>
      </c>
      <c r="Q270" s="86">
        <f t="shared" si="50"/>
      </c>
      <c r="R270" s="86">
        <f t="shared" si="14"/>
      </c>
      <c r="S270" s="86">
        <f t="shared" si="508"/>
      </c>
      <c r="T270" s="86">
        <f t="shared" si="405"/>
      </c>
      <c r="U270" s="87">
        <f t="shared" si="351"/>
      </c>
      <c r="V270" s="87">
        <f t="shared" si="261"/>
      </c>
      <c r="W270" s="87">
        <f t="shared" si="279"/>
      </c>
      <c r="X270" s="87">
        <f t="shared" si="297"/>
      </c>
      <c r="Y270" s="87">
        <f t="shared" si="207"/>
      </c>
      <c r="Z270" s="87">
        <f t="shared" si="104"/>
      </c>
      <c r="AA270" s="88">
        <f t="shared" si="68"/>
      </c>
      <c r="AB270" s="88">
        <f t="shared" si="32"/>
      </c>
      <c r="AC270" s="88">
        <f t="shared" si="526"/>
      </c>
      <c r="AD270" s="87">
        <f t="shared" si="423"/>
      </c>
      <c r="AE270" s="88">
        <f t="shared" si="369"/>
      </c>
      <c r="AF270" s="87">
        <f t="shared" si="315"/>
      </c>
      <c r="AG270" s="87">
        <f t="shared" si="225"/>
      </c>
      <c r="AH270" s="40">
        <f>SUM(AH268:AH269)</f>
      </c>
      <c r="AI270" s="40">
        <f>SUM(AI268:AI269)</f>
      </c>
      <c r="AJ270" s="40">
        <f>SUM(AJ268:AJ269)</f>
      </c>
      <c r="AK270" s="40">
        <f>SUM(AK268:AK269)</f>
      </c>
      <c r="AL270" s="40">
        <f>SUM(AL268:AL269)</f>
      </c>
      <c r="AM270" s="40">
        <f>SUM(AM268:AM269)</f>
      </c>
      <c r="AN270" s="40">
        <f>SUM(AN268:AN269)</f>
      </c>
      <c r="AO270" s="40">
        <f>SUM(AO268:AO269)</f>
      </c>
      <c r="AP270" s="40">
        <f>SUM(AP268:AP269)</f>
      </c>
      <c r="AQ270" s="40">
        <f>SUM(AQ268:AQ269)</f>
      </c>
      <c r="AR270" s="44">
        <f>SUM(AR268:AR269)</f>
      </c>
    </row>
    <row r="271">
      <c r="A271" s="74"/>
      <c r="B271" s="75" t="s">
        <v>69</v>
      </c>
      <c r="C271" s="76" t="s">
        <v>50</v>
      </c>
      <c r="D271" s="75" t="s">
        <v>71</v>
      </c>
      <c r="E271" s="76" t="s">
        <v>64</v>
      </c>
      <c r="F271" s="77">
        <f t="shared" ref="F271:F273" si="481">H271+G271</f>
      </c>
      <c r="G271" s="78">
        <v>1235.47</v>
      </c>
      <c r="H271" s="78">
        <v>417.68</v>
      </c>
      <c r="I271" s="75">
        <v>4</v>
      </c>
      <c r="J271" s="75">
        <v>5</v>
      </c>
      <c r="K271" s="78">
        <v>2114.4000000000015</v>
      </c>
      <c r="L271" s="79">
        <f t="shared" si="387"/>
      </c>
      <c r="M271" s="80">
        <f t="shared" si="333"/>
      </c>
      <c r="N271" s="81">
        <f t="shared" si="243"/>
      </c>
      <c r="O271" s="81">
        <f t="shared" si="189"/>
      </c>
      <c r="P271" s="81">
        <f t="shared" si="86"/>
      </c>
      <c r="Q271" s="81">
        <f t="shared" si="50"/>
      </c>
      <c r="R271" s="81">
        <f t="shared" si="14"/>
      </c>
      <c r="S271" s="81">
        <f t="shared" si="508"/>
      </c>
      <c r="T271" s="81">
        <f t="shared" si="405"/>
      </c>
      <c r="U271" s="79">
        <f t="shared" si="351"/>
      </c>
      <c r="V271" s="79">
        <f t="shared" si="261"/>
      </c>
      <c r="W271" s="79">
        <f t="shared" si="279"/>
      </c>
      <c r="X271" s="79">
        <f t="shared" si="297"/>
      </c>
      <c r="Y271" s="79">
        <f t="shared" si="207"/>
      </c>
      <c r="Z271" s="79">
        <f t="shared" si="104"/>
      </c>
      <c r="AA271" s="80">
        <f t="shared" si="68"/>
      </c>
      <c r="AB271" s="80">
        <f t="shared" si="32"/>
      </c>
      <c r="AC271" s="80">
        <f t="shared" si="526"/>
      </c>
      <c r="AD271" s="79">
        <f t="shared" si="423"/>
      </c>
      <c r="AE271" s="80">
        <f t="shared" si="369"/>
      </c>
      <c r="AF271" s="79">
        <f t="shared" si="315"/>
      </c>
      <c r="AG271" s="79">
        <f t="shared" si="225"/>
      </c>
      <c r="AH271" s="82">
        <v>18287</v>
      </c>
      <c r="AI271" s="34">
        <v>371</v>
      </c>
      <c r="AJ271" s="34">
        <v>530</v>
      </c>
      <c r="AK271" s="34">
        <v>31</v>
      </c>
      <c r="AL271" s="29">
        <v>4</v>
      </c>
      <c r="AM271" s="29">
        <v>4</v>
      </c>
      <c r="AN271" s="34">
        <v>65</v>
      </c>
      <c r="AO271" s="34">
        <v>55</v>
      </c>
      <c r="AP271" s="34">
        <v>5</v>
      </c>
      <c r="AQ271" s="29">
        <v>1</v>
      </c>
      <c r="AR271" s="36">
        <f t="shared" ref="AR271:AR273" si="162">COUNT(AQ271)</f>
      </c>
    </row>
    <row r="272">
      <c r="A272" s="74"/>
      <c r="B272" s="75" t="s">
        <v>69</v>
      </c>
      <c r="C272" s="76" t="s">
        <v>50</v>
      </c>
      <c r="D272" s="75" t="s">
        <v>71</v>
      </c>
      <c r="E272" s="76" t="s">
        <v>65</v>
      </c>
      <c r="F272" s="77">
        <f t="shared" si="481"/>
      </c>
      <c r="G272" s="78">
        <v>2004.46</v>
      </c>
      <c r="H272" s="78">
        <v>575.99</v>
      </c>
      <c r="I272" s="75">
        <v>2</v>
      </c>
      <c r="J272" s="75">
        <v>1</v>
      </c>
      <c r="K272" s="78">
        <v>474</v>
      </c>
      <c r="L272" s="79">
        <f t="shared" si="387"/>
      </c>
      <c r="M272" s="80">
        <f t="shared" si="333"/>
      </c>
      <c r="N272" s="81">
        <f t="shared" si="243"/>
      </c>
      <c r="O272" s="81">
        <f t="shared" si="189"/>
      </c>
      <c r="P272" s="81">
        <f t="shared" si="86"/>
      </c>
      <c r="Q272" s="81">
        <f t="shared" si="50"/>
      </c>
      <c r="R272" s="81">
        <f t="shared" si="14"/>
      </c>
      <c r="S272" s="81">
        <f t="shared" si="508"/>
      </c>
      <c r="T272" s="81">
        <f t="shared" si="405"/>
      </c>
      <c r="U272" s="79">
        <f t="shared" si="351"/>
      </c>
      <c r="V272" s="79">
        <f t="shared" si="261"/>
      </c>
      <c r="W272" s="79">
        <f t="shared" si="279"/>
      </c>
      <c r="X272" s="79">
        <f t="shared" si="297"/>
      </c>
      <c r="Y272" s="79">
        <f t="shared" si="207"/>
      </c>
      <c r="Z272" s="79">
        <f t="shared" si="104"/>
      </c>
      <c r="AA272" s="80">
        <f t="shared" si="68"/>
      </c>
      <c r="AB272" s="80">
        <f t="shared" si="32"/>
      </c>
      <c r="AC272" s="80">
        <f t="shared" si="526"/>
      </c>
      <c r="AD272" s="79">
        <f t="shared" si="423"/>
      </c>
      <c r="AE272" s="80">
        <f t="shared" si="369"/>
      </c>
      <c r="AF272" s="79">
        <f t="shared" si="315"/>
      </c>
      <c r="AG272" s="79">
        <f t="shared" si="225"/>
      </c>
      <c r="AH272" s="82">
        <v>27004</v>
      </c>
      <c r="AI272" s="34">
        <v>612</v>
      </c>
      <c r="AJ272" s="34">
        <v>824</v>
      </c>
      <c r="AK272" s="34">
        <v>34</v>
      </c>
      <c r="AL272" s="34">
        <v>2</v>
      </c>
      <c r="AM272" s="34">
        <v>1</v>
      </c>
      <c r="AN272" s="34">
        <v>107</v>
      </c>
      <c r="AO272" s="34">
        <v>72</v>
      </c>
      <c r="AP272" s="34">
        <v>9</v>
      </c>
      <c r="AQ272" s="29">
        <v>0</v>
      </c>
      <c r="AR272" s="36">
        <f t="shared" si="162"/>
      </c>
    </row>
    <row r="273">
      <c r="A273" s="74"/>
      <c r="B273" s="75" t="s">
        <v>69</v>
      </c>
      <c r="C273" s="76" t="s">
        <v>50</v>
      </c>
      <c r="D273" s="75" t="s">
        <v>71</v>
      </c>
      <c r="E273" s="75" t="s">
        <v>66</v>
      </c>
      <c r="F273" s="77">
        <f t="shared" si="481"/>
      </c>
      <c r="G273" s="90">
        <v>150.06</v>
      </c>
      <c r="H273" s="90">
        <v>365.74</v>
      </c>
      <c r="I273" s="75">
        <v>7</v>
      </c>
      <c r="J273" s="75">
        <v>5</v>
      </c>
      <c r="K273" s="78">
        <v>4218.5999999999985</v>
      </c>
      <c r="L273" s="79">
        <f t="shared" si="387"/>
      </c>
      <c r="M273" s="80">
        <f t="shared" si="333"/>
      </c>
      <c r="N273" s="81">
        <f t="shared" si="243"/>
      </c>
      <c r="O273" s="81">
        <f t="shared" si="189"/>
      </c>
      <c r="P273" s="81">
        <f t="shared" si="86"/>
      </c>
      <c r="Q273" s="81">
        <f t="shared" si="50"/>
      </c>
      <c r="R273" s="81">
        <f t="shared" si="14"/>
      </c>
      <c r="S273" s="81">
        <f t="shared" si="508"/>
      </c>
      <c r="T273" s="81">
        <f t="shared" si="405"/>
      </c>
      <c r="U273" s="79">
        <f t="shared" si="351"/>
      </c>
      <c r="V273" s="79">
        <f t="shared" si="261"/>
      </c>
      <c r="W273" s="79">
        <f t="shared" si="279"/>
      </c>
      <c r="X273" s="79">
        <f t="shared" si="297"/>
      </c>
      <c r="Y273" s="79">
        <f t="shared" si="207"/>
      </c>
      <c r="Z273" s="79">
        <f t="shared" si="104"/>
      </c>
      <c r="AA273" s="80">
        <f t="shared" si="68"/>
      </c>
      <c r="AB273" s="80">
        <f t="shared" si="32"/>
      </c>
      <c r="AC273" s="80">
        <f t="shared" si="526"/>
      </c>
      <c r="AD273" s="79">
        <f t="shared" si="423"/>
      </c>
      <c r="AE273" s="80">
        <f t="shared" si="369"/>
      </c>
      <c r="AF273" s="79">
        <f t="shared" si="315"/>
      </c>
      <c r="AG273" s="79">
        <f t="shared" si="225"/>
      </c>
      <c r="AH273" s="84">
        <v>5948</v>
      </c>
      <c r="AI273" s="34">
        <v>178</v>
      </c>
      <c r="AJ273" s="34">
        <v>283</v>
      </c>
      <c r="AK273" s="34">
        <v>24</v>
      </c>
      <c r="AL273" s="29">
        <v>5</v>
      </c>
      <c r="AM273" s="29">
        <v>2</v>
      </c>
      <c r="AN273" s="34">
        <v>31</v>
      </c>
      <c r="AO273" s="34">
        <v>39</v>
      </c>
      <c r="AP273" s="34">
        <v>4</v>
      </c>
      <c r="AQ273" s="29">
        <v>0</v>
      </c>
      <c r="AR273" s="36">
        <f t="shared" si="162"/>
      </c>
    </row>
    <row r="274">
      <c r="A274" s="74"/>
      <c r="B274" s="85" t="s">
        <v>56</v>
      </c>
      <c r="C274" s="85"/>
      <c r="D274" s="85"/>
      <c r="E274" s="85"/>
      <c r="F274" s="86">
        <f>SUM(F271:F273)</f>
      </c>
      <c r="G274" s="86">
        <f>SUM(G271:G273)</f>
      </c>
      <c r="H274" s="86">
        <f>SUM(H271:H273)</f>
      </c>
      <c r="I274" s="85">
        <f>SUM(I271:I273)</f>
      </c>
      <c r="J274" s="85">
        <f>SUM(J271:J273)</f>
      </c>
      <c r="K274" s="86">
        <f>SUM(K271:K273)</f>
      </c>
      <c r="L274" s="87">
        <f t="shared" si="387"/>
      </c>
      <c r="M274" s="88">
        <f t="shared" si="333"/>
      </c>
      <c r="N274" s="86">
        <f t="shared" si="243"/>
      </c>
      <c r="O274" s="86">
        <f t="shared" si="189"/>
      </c>
      <c r="P274" s="86">
        <f t="shared" si="86"/>
      </c>
      <c r="Q274" s="86">
        <f t="shared" si="50"/>
      </c>
      <c r="R274" s="86">
        <f t="shared" si="14"/>
      </c>
      <c r="S274" s="86">
        <f t="shared" si="508"/>
      </c>
      <c r="T274" s="86">
        <f t="shared" si="405"/>
      </c>
      <c r="U274" s="87">
        <f t="shared" si="351"/>
      </c>
      <c r="V274" s="87">
        <f t="shared" si="261"/>
      </c>
      <c r="W274" s="87">
        <f t="shared" si="279"/>
      </c>
      <c r="X274" s="87">
        <f t="shared" si="297"/>
      </c>
      <c r="Y274" s="87">
        <f t="shared" si="207"/>
      </c>
      <c r="Z274" s="87">
        <f t="shared" si="104"/>
      </c>
      <c r="AA274" s="88">
        <f t="shared" si="68"/>
      </c>
      <c r="AB274" s="88">
        <f t="shared" si="32"/>
      </c>
      <c r="AC274" s="88">
        <f t="shared" si="526"/>
      </c>
      <c r="AD274" s="87">
        <f t="shared" si="423"/>
      </c>
      <c r="AE274" s="88">
        <f t="shared" si="369"/>
      </c>
      <c r="AF274" s="87">
        <f t="shared" si="315"/>
      </c>
      <c r="AG274" s="87">
        <f t="shared" si="225"/>
      </c>
      <c r="AH274" s="40">
        <f>SUM(AH271:AH273)</f>
      </c>
      <c r="AI274" s="40">
        <f>SUM(AI271:AI273)</f>
      </c>
      <c r="AJ274" s="40">
        <f>SUM(AJ271:AJ273)</f>
      </c>
      <c r="AK274" s="40">
        <f>SUM(AK271:AK273)</f>
      </c>
      <c r="AL274" s="40">
        <f>SUM(AL271:AL273)</f>
      </c>
      <c r="AM274" s="40">
        <f>SUM(AM271:AM273)</f>
      </c>
      <c r="AN274" s="40">
        <f>SUM(AN271:AN273)</f>
      </c>
      <c r="AO274" s="40">
        <f>SUM(AO271:AO273)</f>
      </c>
      <c r="AP274" s="40">
        <f>SUM(AP271:AP273)</f>
      </c>
      <c r="AQ274" s="40">
        <f>SUM(AQ271:AQ273)</f>
      </c>
      <c r="AR274" s="44">
        <f>SUM(AR271:AR273)</f>
      </c>
    </row>
    <row r="275">
      <c r="A275" s="74"/>
      <c r="B275" s="91" t="s">
        <v>67</v>
      </c>
      <c r="C275" s="91"/>
      <c r="D275" s="91"/>
      <c r="E275" s="91"/>
      <c r="F275" s="92">
        <f>F267+F263+F274+F270</f>
      </c>
      <c r="G275" s="92">
        <f>G267+G263+G274+G270</f>
      </c>
      <c r="H275" s="92">
        <f>H267+H263+H274+H270</f>
      </c>
      <c r="I275" s="92">
        <f>I267+I263+I274+I270</f>
      </c>
      <c r="J275" s="92">
        <f>J267+J263+J274+J270</f>
      </c>
      <c r="K275" s="92">
        <f>K267+K263+K274+K270</f>
      </c>
      <c r="L275" s="93">
        <f t="shared" si="387"/>
      </c>
      <c r="M275" s="94">
        <f t="shared" si="333"/>
      </c>
      <c r="N275" s="92">
        <f t="shared" si="243"/>
      </c>
      <c r="O275" s="92">
        <f t="shared" si="189"/>
      </c>
      <c r="P275" s="92">
        <f t="shared" si="86"/>
      </c>
      <c r="Q275" s="92">
        <f t="shared" si="50"/>
      </c>
      <c r="R275" s="92">
        <f t="shared" si="14"/>
      </c>
      <c r="S275" s="92">
        <f t="shared" si="508"/>
      </c>
      <c r="T275" s="92">
        <f t="shared" si="405"/>
      </c>
      <c r="U275" s="93">
        <f t="shared" si="351"/>
      </c>
      <c r="V275" s="93">
        <f t="shared" si="261"/>
      </c>
      <c r="W275" s="93">
        <f t="shared" si="279"/>
      </c>
      <c r="X275" s="93">
        <f t="shared" si="297"/>
      </c>
      <c r="Y275" s="93">
        <f t="shared" si="207"/>
      </c>
      <c r="Z275" s="93">
        <f t="shared" si="104"/>
      </c>
      <c r="AA275" s="94">
        <f t="shared" si="68"/>
      </c>
      <c r="AB275" s="94">
        <f t="shared" si="32"/>
      </c>
      <c r="AC275" s="94">
        <f t="shared" si="526"/>
      </c>
      <c r="AD275" s="93">
        <f t="shared" si="423"/>
      </c>
      <c r="AE275" s="94">
        <f t="shared" si="369"/>
      </c>
      <c r="AF275" s="93">
        <f t="shared" si="315"/>
      </c>
      <c r="AG275" s="93">
        <f t="shared" si="225"/>
      </c>
      <c r="AH275" s="44">
        <f>AH267+AH263+AH274+AH270</f>
      </c>
      <c r="AI275" s="44">
        <f>AI267+AI263+AI274+AI270</f>
      </c>
      <c r="AJ275" s="44">
        <f>AJ267+AJ263+AJ274+AJ270</f>
      </c>
      <c r="AK275" s="44">
        <f>AK267+AK263+AK274+AK270</f>
      </c>
      <c r="AL275" s="44">
        <f>AL267+AL263+AL274+AL270</f>
      </c>
      <c r="AM275" s="44">
        <f>AM267+AM263+AM274+AM270</f>
      </c>
      <c r="AN275" s="44">
        <f>AN267+AN263+AN274+AN270</f>
      </c>
      <c r="AO275" s="44">
        <f>AO267+AO263+AO274+AO270</f>
      </c>
      <c r="AP275" s="44">
        <f>AP267+AP263+AP274+AP270</f>
      </c>
      <c r="AQ275" s="44">
        <f>AQ267+AQ263+AQ274+AQ270</f>
      </c>
      <c r="AR275" s="44">
        <f>AR267+AR263+AR274+AR270</f>
      </c>
    </row>
    <row r="276">
      <c r="A276" s="59"/>
      <c r="B276" s="59"/>
      <c r="C276" s="59"/>
      <c r="D276" s="59"/>
      <c r="E276" s="59"/>
      <c r="F276" s="60" t="s">
        <v>1</v>
      </c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1" t="s">
        <v>2</v>
      </c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2" t="s">
        <v>3</v>
      </c>
      <c r="AD276" s="62"/>
      <c r="AE276" s="62"/>
      <c r="AF276" s="62"/>
      <c r="AG276" s="62"/>
      <c r="AH276" s="5" t="s">
        <v>4</v>
      </c>
      <c r="AI276" s="5"/>
      <c r="AJ276" s="5"/>
      <c r="AK276" s="5"/>
      <c r="AL276" s="5"/>
      <c r="AM276" s="5"/>
      <c r="AN276" s="5"/>
      <c r="AO276" s="5"/>
      <c r="AP276" s="5"/>
      <c r="AQ276" s="5"/>
      <c r="AR276" s="5"/>
    </row>
    <row r="277">
      <c r="A277" s="63" t="s">
        <v>5</v>
      </c>
      <c r="B277" s="59" t="s">
        <v>6</v>
      </c>
      <c r="C277" s="59" t="s">
        <v>7</v>
      </c>
      <c r="D277" s="59" t="s">
        <v>8</v>
      </c>
      <c r="E277" s="59" t="s">
        <v>9</v>
      </c>
      <c r="F277" s="64" t="s">
        <v>10</v>
      </c>
      <c r="G277" s="65" t="s">
        <v>11</v>
      </c>
      <c r="H277" s="66" t="s">
        <v>12</v>
      </c>
      <c r="I277" s="67" t="s">
        <v>13</v>
      </c>
      <c r="J277" s="67" t="s">
        <v>14</v>
      </c>
      <c r="K277" s="66" t="s">
        <v>15</v>
      </c>
      <c r="L277" s="68" t="s">
        <v>16</v>
      </c>
      <c r="M277" s="69" t="s">
        <v>17</v>
      </c>
      <c r="N277" s="70" t="s">
        <v>18</v>
      </c>
      <c r="O277" s="70" t="s">
        <v>19</v>
      </c>
      <c r="P277" s="70" t="s">
        <v>20</v>
      </c>
      <c r="Q277" s="61" t="s">
        <v>21</v>
      </c>
      <c r="R277" s="61" t="s">
        <v>22</v>
      </c>
      <c r="S277" s="61" t="s">
        <v>23</v>
      </c>
      <c r="T277" s="61" t="s">
        <v>24</v>
      </c>
      <c r="U277" s="71" t="s">
        <v>25</v>
      </c>
      <c r="V277" s="71" t="s">
        <v>26</v>
      </c>
      <c r="W277" s="71" t="s">
        <v>27</v>
      </c>
      <c r="X277" s="71" t="s">
        <v>28</v>
      </c>
      <c r="Y277" s="71" t="s">
        <v>29</v>
      </c>
      <c r="Z277" s="71" t="s">
        <v>30</v>
      </c>
      <c r="AA277" s="72" t="s">
        <v>31</v>
      </c>
      <c r="AB277" s="72" t="s">
        <v>32</v>
      </c>
      <c r="AC277" s="62" t="s">
        <v>33</v>
      </c>
      <c r="AD277" s="73" t="s">
        <v>34</v>
      </c>
      <c r="AE277" s="62" t="s">
        <v>35</v>
      </c>
      <c r="AF277" s="73" t="s">
        <v>36</v>
      </c>
      <c r="AG277" s="73" t="s">
        <v>37</v>
      </c>
      <c r="AH277" s="22" t="s">
        <v>38</v>
      </c>
      <c r="AI277" s="22" t="s">
        <v>39</v>
      </c>
      <c r="AJ277" s="22" t="s">
        <v>40</v>
      </c>
      <c r="AK277" s="22" t="s">
        <v>41</v>
      </c>
      <c r="AL277" s="22" t="s">
        <v>42</v>
      </c>
      <c r="AM277" s="22" t="s">
        <v>43</v>
      </c>
      <c r="AN277" s="22" t="s">
        <v>44</v>
      </c>
      <c r="AO277" s="22" t="s">
        <v>45</v>
      </c>
      <c r="AP277" s="22" t="s">
        <v>46</v>
      </c>
      <c r="AQ277" s="22" t="s">
        <v>47</v>
      </c>
      <c r="AR277" s="23" t="s">
        <v>48</v>
      </c>
    </row>
    <row r="278">
      <c r="A278" s="74">
        <v>46312</v>
      </c>
      <c r="B278" s="75" t="s">
        <v>69</v>
      </c>
      <c r="C278" s="76" t="s">
        <v>50</v>
      </c>
      <c r="D278" s="75" t="s">
        <v>51</v>
      </c>
      <c r="E278" s="75" t="s">
        <v>52</v>
      </c>
      <c r="F278" s="77">
        <f t="shared" ref="F278:F281" si="482">H278+G278</f>
      </c>
      <c r="G278" s="78">
        <v>1014.37</v>
      </c>
      <c r="H278" s="78">
        <v>307.05</v>
      </c>
      <c r="I278" s="75">
        <v>6</v>
      </c>
      <c r="J278" s="75">
        <v>6</v>
      </c>
      <c r="K278" s="78">
        <v>3425.8</v>
      </c>
      <c r="L278" s="79">
        <f t="shared" ref="L278:L294" si="388">AQ278/J278</f>
      </c>
      <c r="M278" s="80">
        <f t="shared" ref="M278:M294" si="334">K278/J278</f>
      </c>
      <c r="N278" s="81">
        <f t="shared" ref="N278:N294" si="244">F278/J278</f>
      </c>
      <c r="O278" s="81">
        <f t="shared" ref="O278:O294" si="190">K278/F278</f>
      </c>
      <c r="P278" s="81">
        <f t="shared" ref="P278:P294" si="87">K278/((300*AR278)+F278)</f>
      </c>
      <c r="Q278" s="81">
        <f t="shared" ref="Q278:Q294" si="51">F278/AJ278</f>
      </c>
      <c r="R278" s="81">
        <f t="shared" ref="R278:R294" si="15">F278/AK278</f>
      </c>
      <c r="S278" s="81">
        <f t="shared" ref="S278:S294" si="509">F278/AL278</f>
      </c>
      <c r="T278" s="81">
        <f t="shared" ref="T278:T294" si="406">F278/AM278</f>
      </c>
      <c r="U278" s="79">
        <f t="shared" ref="U278:U294" si="352">AI278/AJ278</f>
      </c>
      <c r="V278" s="79">
        <f t="shared" ref="V278:V294" si="262">AK278/AJ278</f>
      </c>
      <c r="W278" s="79">
        <f t="shared" ref="W278:W294" si="280">AL278/AK278</f>
      </c>
      <c r="X278" s="79">
        <f t="shared" ref="X278:X294" si="298">AM278/AL278</f>
      </c>
      <c r="Y278" s="79">
        <f t="shared" ref="Y278:Y294" si="208">AI278/AH278</f>
      </c>
      <c r="Z278" s="79">
        <f t="shared" ref="Z278:Z294" si="105">AM278/AI278</f>
      </c>
      <c r="AA278" s="80">
        <f t="shared" ref="AA278:AA294" si="69">F278/AH278*1000</f>
      </c>
      <c r="AB278" s="80">
        <f t="shared" ref="AB278:AB294" si="33">F278/AI278</f>
      </c>
      <c r="AC278" s="80">
        <f t="shared" ref="AC278:AC294" si="527">F278/AN278</f>
      </c>
      <c r="AD278" s="79">
        <f t="shared" ref="AD278:AD294" si="424">AN278/AJ278</f>
      </c>
      <c r="AE278" s="80">
        <f t="shared" ref="AE278:AE294" si="370">F278/AO278</f>
      </c>
      <c r="AF278" s="79">
        <f t="shared" ref="AF278:AF294" si="316">AO278/AJ278</f>
      </c>
      <c r="AG278" s="79">
        <f t="shared" ref="AG278:AG294" si="226">AP278/AJ278</f>
      </c>
      <c r="AH278" s="82">
        <v>12926</v>
      </c>
      <c r="AI278" s="35">
        <v>278</v>
      </c>
      <c r="AJ278" s="35">
        <v>341</v>
      </c>
      <c r="AK278" s="34">
        <v>31</v>
      </c>
      <c r="AL278" s="34">
        <v>4</v>
      </c>
      <c r="AM278" s="34">
        <v>3</v>
      </c>
      <c r="AN278" s="34">
        <v>64</v>
      </c>
      <c r="AO278" s="34">
        <v>45</v>
      </c>
      <c r="AP278" s="29">
        <v>8</v>
      </c>
      <c r="AQ278" s="29">
        <v>2</v>
      </c>
      <c r="AR278" s="36">
        <f t="shared" ref="AR278:AR281" si="163">COUNT(AQ278)</f>
      </c>
    </row>
    <row r="279">
      <c r="A279" s="74"/>
      <c r="B279" s="75" t="s">
        <v>69</v>
      </c>
      <c r="C279" s="76" t="s">
        <v>50</v>
      </c>
      <c r="D279" s="75" t="s">
        <v>51</v>
      </c>
      <c r="E279" s="75" t="s">
        <v>53</v>
      </c>
      <c r="F279" s="77">
        <f t="shared" si="482"/>
      </c>
      <c r="G279" s="83">
        <v>1668.02</v>
      </c>
      <c r="H279" s="78">
        <v>308.53</v>
      </c>
      <c r="I279" s="75">
        <v>5</v>
      </c>
      <c r="J279" s="75">
        <v>5</v>
      </c>
      <c r="K279" s="78">
        <v>4133.400000000001</v>
      </c>
      <c r="L279" s="79">
        <f t="shared" si="388"/>
      </c>
      <c r="M279" s="80">
        <f t="shared" si="334"/>
      </c>
      <c r="N279" s="81">
        <f t="shared" si="244"/>
      </c>
      <c r="O279" s="81">
        <f t="shared" si="190"/>
      </c>
      <c r="P279" s="81">
        <f t="shared" si="87"/>
      </c>
      <c r="Q279" s="81">
        <f t="shared" si="51"/>
      </c>
      <c r="R279" s="81">
        <f t="shared" si="15"/>
      </c>
      <c r="S279" s="81">
        <f t="shared" si="509"/>
      </c>
      <c r="T279" s="81">
        <f t="shared" si="406"/>
      </c>
      <c r="U279" s="79">
        <f t="shared" si="352"/>
      </c>
      <c r="V279" s="79">
        <f t="shared" si="262"/>
      </c>
      <c r="W279" s="79">
        <f t="shared" si="280"/>
      </c>
      <c r="X279" s="79">
        <f t="shared" si="298"/>
      </c>
      <c r="Y279" s="79">
        <f t="shared" si="208"/>
      </c>
      <c r="Z279" s="79">
        <f t="shared" si="105"/>
      </c>
      <c r="AA279" s="80">
        <f t="shared" si="69"/>
      </c>
      <c r="AB279" s="80">
        <f t="shared" si="33"/>
      </c>
      <c r="AC279" s="80">
        <f t="shared" si="527"/>
      </c>
      <c r="AD279" s="79">
        <f t="shared" si="424"/>
      </c>
      <c r="AE279" s="80">
        <f t="shared" si="370"/>
      </c>
      <c r="AF279" s="79">
        <f t="shared" si="316"/>
      </c>
      <c r="AG279" s="79">
        <f t="shared" si="226"/>
      </c>
      <c r="AH279" s="84">
        <v>18613</v>
      </c>
      <c r="AI279" s="34">
        <v>360</v>
      </c>
      <c r="AJ279" s="34">
        <v>475</v>
      </c>
      <c r="AK279" s="34">
        <v>44</v>
      </c>
      <c r="AL279" s="34">
        <v>3</v>
      </c>
      <c r="AM279" s="34">
        <v>4</v>
      </c>
      <c r="AN279" s="34">
        <v>68</v>
      </c>
      <c r="AO279" s="34">
        <v>45</v>
      </c>
      <c r="AP279" s="34">
        <v>10</v>
      </c>
      <c r="AQ279" s="29">
        <v>0</v>
      </c>
      <c r="AR279" s="36">
        <f t="shared" si="163"/>
      </c>
    </row>
    <row r="280">
      <c r="A280" s="74"/>
      <c r="B280" s="75" t="s">
        <v>69</v>
      </c>
      <c r="C280" s="76" t="s">
        <v>50</v>
      </c>
      <c r="D280" s="75" t="s">
        <v>51</v>
      </c>
      <c r="E280" s="75" t="s">
        <v>54</v>
      </c>
      <c r="F280" s="77">
        <f t="shared" si="482"/>
      </c>
      <c r="G280" s="78">
        <v>1983.78</v>
      </c>
      <c r="H280" s="78">
        <v>175.65</v>
      </c>
      <c r="I280" s="75">
        <v>7</v>
      </c>
      <c r="J280" s="75">
        <v>6</v>
      </c>
      <c r="K280" s="78">
        <v>4012.5999999999985</v>
      </c>
      <c r="L280" s="79">
        <f t="shared" si="388"/>
      </c>
      <c r="M280" s="80">
        <f t="shared" si="334"/>
      </c>
      <c r="N280" s="81">
        <f t="shared" si="244"/>
      </c>
      <c r="O280" s="81">
        <f t="shared" si="190"/>
      </c>
      <c r="P280" s="81">
        <f t="shared" si="87"/>
      </c>
      <c r="Q280" s="81">
        <f t="shared" si="51"/>
      </c>
      <c r="R280" s="81">
        <f t="shared" si="15"/>
      </c>
      <c r="S280" s="81">
        <f t="shared" si="509"/>
      </c>
      <c r="T280" s="81">
        <f t="shared" si="406"/>
      </c>
      <c r="U280" s="79">
        <f t="shared" si="352"/>
      </c>
      <c r="V280" s="79">
        <f t="shared" si="262"/>
      </c>
      <c r="W280" s="79">
        <f t="shared" si="280"/>
      </c>
      <c r="X280" s="79">
        <f t="shared" si="298"/>
      </c>
      <c r="Y280" s="79">
        <f t="shared" si="208"/>
      </c>
      <c r="Z280" s="79">
        <f t="shared" si="105"/>
      </c>
      <c r="AA280" s="80">
        <f t="shared" si="69"/>
      </c>
      <c r="AB280" s="80">
        <f t="shared" si="33"/>
      </c>
      <c r="AC280" s="80">
        <f t="shared" si="527"/>
      </c>
      <c r="AD280" s="79">
        <f t="shared" si="424"/>
      </c>
      <c r="AE280" s="80">
        <f t="shared" si="370"/>
      </c>
      <c r="AF280" s="79">
        <f t="shared" si="316"/>
      </c>
      <c r="AG280" s="79">
        <f t="shared" si="226"/>
      </c>
      <c r="AH280" s="84">
        <v>21689</v>
      </c>
      <c r="AI280" s="34">
        <v>419</v>
      </c>
      <c r="AJ280" s="34">
        <v>563</v>
      </c>
      <c r="AK280" s="34">
        <v>43</v>
      </c>
      <c r="AL280" s="29">
        <v>4</v>
      </c>
      <c r="AM280" s="34">
        <v>3</v>
      </c>
      <c r="AN280" s="34">
        <v>92</v>
      </c>
      <c r="AO280" s="34">
        <v>67</v>
      </c>
      <c r="AP280" s="34">
        <v>8</v>
      </c>
      <c r="AQ280" s="29">
        <v>1</v>
      </c>
      <c r="AR280" s="36">
        <f t="shared" si="163"/>
      </c>
    </row>
    <row r="281">
      <c r="A281" s="74"/>
      <c r="B281" s="75" t="s">
        <v>69</v>
      </c>
      <c r="C281" s="76" t="s">
        <v>50</v>
      </c>
      <c r="D281" s="75" t="s">
        <v>51</v>
      </c>
      <c r="E281" s="75" t="s">
        <v>55</v>
      </c>
      <c r="F281" s="77">
        <f t="shared" si="482"/>
      </c>
      <c r="G281" s="78">
        <v>1876.72</v>
      </c>
      <c r="H281" s="78">
        <v>165.98</v>
      </c>
      <c r="I281" s="75">
        <v>4</v>
      </c>
      <c r="J281" s="75">
        <v>3</v>
      </c>
      <c r="K281" s="78">
        <v>2692.7999999999993</v>
      </c>
      <c r="L281" s="79">
        <f t="shared" si="388"/>
      </c>
      <c r="M281" s="80">
        <f t="shared" si="334"/>
      </c>
      <c r="N281" s="81">
        <f t="shared" si="244"/>
      </c>
      <c r="O281" s="81">
        <f t="shared" si="190"/>
      </c>
      <c r="P281" s="81">
        <f t="shared" si="87"/>
      </c>
      <c r="Q281" s="81">
        <f t="shared" si="51"/>
      </c>
      <c r="R281" s="81">
        <f t="shared" si="15"/>
      </c>
      <c r="S281" s="81">
        <f t="shared" si="509"/>
      </c>
      <c r="T281" s="81">
        <f t="shared" si="406"/>
      </c>
      <c r="U281" s="79">
        <f t="shared" si="352"/>
      </c>
      <c r="V281" s="79">
        <f t="shared" si="262"/>
      </c>
      <c r="W281" s="79">
        <f t="shared" si="280"/>
      </c>
      <c r="X281" s="79">
        <f t="shared" si="298"/>
      </c>
      <c r="Y281" s="79">
        <f t="shared" si="208"/>
      </c>
      <c r="Z281" s="79">
        <f t="shared" si="105"/>
      </c>
      <c r="AA281" s="80">
        <f t="shared" si="69"/>
      </c>
      <c r="AB281" s="80">
        <f t="shared" si="33"/>
      </c>
      <c r="AC281" s="80">
        <f t="shared" si="527"/>
      </c>
      <c r="AD281" s="79">
        <f t="shared" si="424"/>
      </c>
      <c r="AE281" s="80">
        <f t="shared" si="370"/>
      </c>
      <c r="AF281" s="79">
        <f t="shared" si="316"/>
      </c>
      <c r="AG281" s="79">
        <f t="shared" si="226"/>
      </c>
      <c r="AH281" s="84">
        <v>21897</v>
      </c>
      <c r="AI281" s="34">
        <v>351</v>
      </c>
      <c r="AJ281" s="34">
        <v>478</v>
      </c>
      <c r="AK281" s="34">
        <v>31</v>
      </c>
      <c r="AL281" s="29">
        <v>4</v>
      </c>
      <c r="AM281" s="34">
        <v>3</v>
      </c>
      <c r="AN281" s="34">
        <v>68</v>
      </c>
      <c r="AO281" s="34">
        <v>43</v>
      </c>
      <c r="AP281" s="29">
        <v>3</v>
      </c>
      <c r="AQ281" s="29">
        <v>0</v>
      </c>
      <c r="AR281" s="36">
        <f t="shared" si="163"/>
      </c>
    </row>
    <row r="282">
      <c r="A282" s="74"/>
      <c r="B282" s="85" t="s">
        <v>56</v>
      </c>
      <c r="C282" s="85"/>
      <c r="D282" s="85"/>
      <c r="E282" s="85"/>
      <c r="F282" s="86">
        <f>SUM(F278:F281)</f>
      </c>
      <c r="G282" s="86">
        <f>SUM(G278:G281)</f>
      </c>
      <c r="H282" s="86">
        <f>SUM(H278:H281)</f>
      </c>
      <c r="I282" s="85">
        <f>SUM(I278:I281)</f>
      </c>
      <c r="J282" s="85">
        <f>SUM(J278:J281)</f>
      </c>
      <c r="K282" s="86">
        <f>SUM(K278:K281)</f>
      </c>
      <c r="L282" s="87">
        <f t="shared" si="388"/>
      </c>
      <c r="M282" s="88">
        <f t="shared" si="334"/>
      </c>
      <c r="N282" s="86">
        <f t="shared" si="244"/>
      </c>
      <c r="O282" s="86">
        <f t="shared" si="190"/>
      </c>
      <c r="P282" s="86">
        <f t="shared" si="87"/>
      </c>
      <c r="Q282" s="86">
        <f t="shared" si="51"/>
      </c>
      <c r="R282" s="86">
        <f t="shared" si="15"/>
      </c>
      <c r="S282" s="86">
        <f t="shared" si="509"/>
      </c>
      <c r="T282" s="86">
        <f t="shared" si="406"/>
      </c>
      <c r="U282" s="87">
        <f t="shared" si="352"/>
      </c>
      <c r="V282" s="87">
        <f t="shared" si="262"/>
      </c>
      <c r="W282" s="87">
        <f t="shared" si="280"/>
      </c>
      <c r="X282" s="87">
        <f t="shared" si="298"/>
      </c>
      <c r="Y282" s="87">
        <f t="shared" si="208"/>
      </c>
      <c r="Z282" s="87">
        <f t="shared" si="105"/>
      </c>
      <c r="AA282" s="88">
        <f t="shared" si="69"/>
      </c>
      <c r="AB282" s="88">
        <f t="shared" si="33"/>
      </c>
      <c r="AC282" s="88">
        <f t="shared" si="527"/>
      </c>
      <c r="AD282" s="87">
        <f t="shared" si="424"/>
      </c>
      <c r="AE282" s="88">
        <f t="shared" si="370"/>
      </c>
      <c r="AF282" s="87">
        <f t="shared" si="316"/>
      </c>
      <c r="AG282" s="87">
        <f t="shared" si="226"/>
      </c>
      <c r="AH282" s="40">
        <f>SUM(AH278:AH281)</f>
      </c>
      <c r="AI282" s="40">
        <f>SUM(AI278:AI281)</f>
      </c>
      <c r="AJ282" s="40">
        <f>SUM(AJ278:AJ281)</f>
      </c>
      <c r="AK282" s="40">
        <f>SUM(AK278:AK281)</f>
      </c>
      <c r="AL282" s="40">
        <f>SUM(AL278:AL281)</f>
      </c>
      <c r="AM282" s="40">
        <f>SUM(AM278:AM281)</f>
      </c>
      <c r="AN282" s="40">
        <f>SUM(AN278:AN281)</f>
      </c>
      <c r="AO282" s="40">
        <f>SUM(AO278:AO281)</f>
      </c>
      <c r="AP282" s="40">
        <f>SUM(AP278:AP281)</f>
      </c>
      <c r="AQ282" s="40">
        <f>SUM(AQ278:AQ281)</f>
      </c>
      <c r="AR282" s="44">
        <f>SUM(AR278:AR281)</f>
      </c>
    </row>
    <row r="283">
      <c r="A283" s="74"/>
      <c r="B283" s="75" t="s">
        <v>69</v>
      </c>
      <c r="C283" s="76" t="s">
        <v>50</v>
      </c>
      <c r="D283" s="75" t="s">
        <v>70</v>
      </c>
      <c r="E283" s="75" t="s">
        <v>58</v>
      </c>
      <c r="F283" s="77">
        <f t="shared" ref="F283:F285" si="483">H283+G283</f>
      </c>
      <c r="G283" s="78">
        <v>1485.5</v>
      </c>
      <c r="H283" s="78">
        <v>135.7</v>
      </c>
      <c r="I283" s="75">
        <v>2</v>
      </c>
      <c r="J283" s="75">
        <v>1</v>
      </c>
      <c r="K283" s="78">
        <v>967.2000000000007</v>
      </c>
      <c r="L283" s="79">
        <f t="shared" si="388"/>
      </c>
      <c r="M283" s="80">
        <f t="shared" si="334"/>
      </c>
      <c r="N283" s="81">
        <f t="shared" si="244"/>
      </c>
      <c r="O283" s="81">
        <f t="shared" si="190"/>
      </c>
      <c r="P283" s="81">
        <f t="shared" si="87"/>
      </c>
      <c r="Q283" s="81">
        <f t="shared" si="51"/>
      </c>
      <c r="R283" s="81">
        <f t="shared" si="15"/>
      </c>
      <c r="S283" s="81">
        <f t="shared" si="509"/>
      </c>
      <c r="T283" s="81">
        <f t="shared" si="406"/>
      </c>
      <c r="U283" s="79">
        <f t="shared" si="352"/>
      </c>
      <c r="V283" s="79">
        <f t="shared" si="262"/>
      </c>
      <c r="W283" s="79">
        <f t="shared" si="280"/>
      </c>
      <c r="X283" s="79">
        <f t="shared" si="298"/>
      </c>
      <c r="Y283" s="79">
        <f t="shared" si="208"/>
      </c>
      <c r="Z283" s="79">
        <f t="shared" si="105"/>
      </c>
      <c r="AA283" s="80">
        <f t="shared" si="69"/>
      </c>
      <c r="AB283" s="80">
        <f t="shared" si="33"/>
      </c>
      <c r="AC283" s="80">
        <f t="shared" si="527"/>
      </c>
      <c r="AD283" s="79">
        <f t="shared" si="424"/>
      </c>
      <c r="AE283" s="80">
        <f t="shared" si="370"/>
      </c>
      <c r="AF283" s="79">
        <f t="shared" si="316"/>
      </c>
      <c r="AG283" s="79">
        <f t="shared" si="226"/>
      </c>
      <c r="AH283" s="82">
        <v>17350</v>
      </c>
      <c r="AI283" s="34">
        <v>324</v>
      </c>
      <c r="AJ283" s="34">
        <v>426</v>
      </c>
      <c r="AK283" s="34">
        <v>41</v>
      </c>
      <c r="AL283" s="29">
        <v>2</v>
      </c>
      <c r="AM283" s="29">
        <v>1</v>
      </c>
      <c r="AN283" s="34">
        <v>68</v>
      </c>
      <c r="AO283" s="34">
        <v>28</v>
      </c>
      <c r="AP283" s="34">
        <v>7</v>
      </c>
      <c r="AQ283" s="29">
        <v>1</v>
      </c>
      <c r="AR283" s="36">
        <f t="shared" ref="AR283:AR285" si="164">COUNT(AQ283)</f>
      </c>
    </row>
    <row r="284">
      <c r="A284" s="74"/>
      <c r="B284" s="75" t="s">
        <v>69</v>
      </c>
      <c r="C284" s="76" t="s">
        <v>50</v>
      </c>
      <c r="D284" s="75" t="s">
        <v>70</v>
      </c>
      <c r="E284" s="75" t="s">
        <v>59</v>
      </c>
      <c r="F284" s="77">
        <f t="shared" si="483"/>
      </c>
      <c r="G284" s="78">
        <v>959.48</v>
      </c>
      <c r="H284" s="78">
        <v>163.18</v>
      </c>
      <c r="I284" s="75">
        <v>2</v>
      </c>
      <c r="J284" s="75">
        <v>2</v>
      </c>
      <c r="K284" s="78">
        <v>1441.2000000000007</v>
      </c>
      <c r="L284" s="79">
        <f t="shared" si="388"/>
      </c>
      <c r="M284" s="80">
        <f t="shared" si="334"/>
      </c>
      <c r="N284" s="81">
        <f t="shared" si="244"/>
      </c>
      <c r="O284" s="81">
        <f t="shared" si="190"/>
      </c>
      <c r="P284" s="81">
        <f t="shared" si="87"/>
      </c>
      <c r="Q284" s="81">
        <f t="shared" si="51"/>
      </c>
      <c r="R284" s="81">
        <f t="shared" si="15"/>
      </c>
      <c r="S284" s="81">
        <f t="shared" si="509"/>
      </c>
      <c r="T284" s="81">
        <f t="shared" si="406"/>
      </c>
      <c r="U284" s="79">
        <f t="shared" si="352"/>
      </c>
      <c r="V284" s="79">
        <f t="shared" si="262"/>
      </c>
      <c r="W284" s="79">
        <f t="shared" si="280"/>
      </c>
      <c r="X284" s="79">
        <f t="shared" si="298"/>
      </c>
      <c r="Y284" s="79">
        <f t="shared" si="208"/>
      </c>
      <c r="Z284" s="79">
        <f t="shared" si="105"/>
      </c>
      <c r="AA284" s="80">
        <f t="shared" si="69"/>
      </c>
      <c r="AB284" s="80">
        <f t="shared" si="33"/>
      </c>
      <c r="AC284" s="80">
        <f t="shared" si="527"/>
      </c>
      <c r="AD284" s="79">
        <f t="shared" si="424"/>
      </c>
      <c r="AE284" s="80">
        <f t="shared" si="370"/>
      </c>
      <c r="AF284" s="79">
        <f t="shared" si="316"/>
      </c>
      <c r="AG284" s="79">
        <f t="shared" si="226"/>
      </c>
      <c r="AH284" s="82">
        <v>11879</v>
      </c>
      <c r="AI284" s="34">
        <v>230</v>
      </c>
      <c r="AJ284" s="34">
        <v>288</v>
      </c>
      <c r="AK284" s="34">
        <v>22</v>
      </c>
      <c r="AL284" s="29">
        <v>2</v>
      </c>
      <c r="AM284" s="29">
        <v>2</v>
      </c>
      <c r="AN284" s="34">
        <v>39</v>
      </c>
      <c r="AO284" s="34">
        <v>42</v>
      </c>
      <c r="AP284" s="34">
        <v>9</v>
      </c>
      <c r="AQ284" s="29">
        <v>0</v>
      </c>
      <c r="AR284" s="36">
        <f t="shared" si="164"/>
      </c>
    </row>
    <row r="285">
      <c r="A285" s="74"/>
      <c r="B285" s="75" t="s">
        <v>69</v>
      </c>
      <c r="C285" s="76" t="s">
        <v>50</v>
      </c>
      <c r="D285" s="75" t="s">
        <v>70</v>
      </c>
      <c r="E285" s="75" t="s">
        <v>60</v>
      </c>
      <c r="F285" s="77">
        <f t="shared" si="483"/>
      </c>
      <c r="G285" s="78">
        <v>867.9</v>
      </c>
      <c r="H285" s="78">
        <v>112.64</v>
      </c>
      <c r="I285" s="75">
        <v>3</v>
      </c>
      <c r="J285" s="75">
        <v>2</v>
      </c>
      <c r="K285" s="78">
        <v>1830</v>
      </c>
      <c r="L285" s="79">
        <f t="shared" si="388"/>
      </c>
      <c r="M285" s="80">
        <f t="shared" si="334"/>
      </c>
      <c r="N285" s="81">
        <f t="shared" si="244"/>
      </c>
      <c r="O285" s="81">
        <f t="shared" si="190"/>
      </c>
      <c r="P285" s="81">
        <f t="shared" si="87"/>
      </c>
      <c r="Q285" s="81">
        <f t="shared" si="51"/>
      </c>
      <c r="R285" s="81">
        <f t="shared" si="15"/>
      </c>
      <c r="S285" s="81">
        <f t="shared" si="509"/>
      </c>
      <c r="T285" s="81">
        <f t="shared" si="406"/>
      </c>
      <c r="U285" s="79">
        <f t="shared" si="352"/>
      </c>
      <c r="V285" s="79">
        <f t="shared" si="262"/>
      </c>
      <c r="W285" s="79">
        <f t="shared" si="280"/>
      </c>
      <c r="X285" s="79">
        <f t="shared" si="298"/>
      </c>
      <c r="Y285" s="79">
        <f t="shared" si="208"/>
      </c>
      <c r="Z285" s="79">
        <f t="shared" si="105"/>
      </c>
      <c r="AA285" s="80">
        <f t="shared" si="69"/>
      </c>
      <c r="AB285" s="80">
        <f t="shared" si="33"/>
      </c>
      <c r="AC285" s="80">
        <f t="shared" si="527"/>
      </c>
      <c r="AD285" s="79">
        <f t="shared" si="424"/>
      </c>
      <c r="AE285" s="80">
        <f t="shared" si="370"/>
      </c>
      <c r="AF285" s="79">
        <f t="shared" si="316"/>
      </c>
      <c r="AG285" s="79">
        <f t="shared" si="226"/>
      </c>
      <c r="AH285" s="82">
        <v>11233</v>
      </c>
      <c r="AI285" s="34">
        <v>199</v>
      </c>
      <c r="AJ285" s="34">
        <v>283</v>
      </c>
      <c r="AK285" s="34">
        <v>22</v>
      </c>
      <c r="AL285" s="34">
        <v>3</v>
      </c>
      <c r="AM285" s="34">
        <v>2</v>
      </c>
      <c r="AN285" s="34">
        <v>44</v>
      </c>
      <c r="AO285" s="34">
        <v>32</v>
      </c>
      <c r="AP285" s="34">
        <v>2</v>
      </c>
      <c r="AQ285" s="29">
        <v>0</v>
      </c>
      <c r="AR285" s="36">
        <f t="shared" si="164"/>
      </c>
    </row>
    <row r="286">
      <c r="A286" s="74"/>
      <c r="B286" s="85" t="s">
        <v>56</v>
      </c>
      <c r="C286" s="85"/>
      <c r="D286" s="85"/>
      <c r="E286" s="85"/>
      <c r="F286" s="86">
        <f>SUM(F283:F285)</f>
      </c>
      <c r="G286" s="86">
        <f>SUM(G283:G285)</f>
      </c>
      <c r="H286" s="86">
        <f>SUM(H283:H285)</f>
      </c>
      <c r="I286" s="85">
        <f>SUM(I283:I285)</f>
      </c>
      <c r="J286" s="85">
        <f>SUM(J283:J285)</f>
      </c>
      <c r="K286" s="86">
        <f>SUM(K283:K285)</f>
      </c>
      <c r="L286" s="87">
        <f t="shared" si="388"/>
      </c>
      <c r="M286" s="88">
        <f t="shared" si="334"/>
      </c>
      <c r="N286" s="86">
        <f t="shared" si="244"/>
      </c>
      <c r="O286" s="86">
        <f t="shared" si="190"/>
      </c>
      <c r="P286" s="86">
        <f t="shared" si="87"/>
      </c>
      <c r="Q286" s="86">
        <f t="shared" si="51"/>
      </c>
      <c r="R286" s="86">
        <f t="shared" si="15"/>
      </c>
      <c r="S286" s="86">
        <f t="shared" si="509"/>
      </c>
      <c r="T286" s="86">
        <f t="shared" si="406"/>
      </c>
      <c r="U286" s="87">
        <f t="shared" si="352"/>
      </c>
      <c r="V286" s="87">
        <f t="shared" si="262"/>
      </c>
      <c r="W286" s="87">
        <f t="shared" si="280"/>
      </c>
      <c r="X286" s="87">
        <f t="shared" si="298"/>
      </c>
      <c r="Y286" s="87">
        <f t="shared" si="208"/>
      </c>
      <c r="Z286" s="87">
        <f t="shared" si="105"/>
      </c>
      <c r="AA286" s="88">
        <f t="shared" si="69"/>
      </c>
      <c r="AB286" s="88">
        <f t="shared" si="33"/>
      </c>
      <c r="AC286" s="88">
        <f t="shared" si="527"/>
      </c>
      <c r="AD286" s="87">
        <f t="shared" si="424"/>
      </c>
      <c r="AE286" s="88">
        <f t="shared" si="370"/>
      </c>
      <c r="AF286" s="87">
        <f t="shared" si="316"/>
      </c>
      <c r="AG286" s="87">
        <f t="shared" si="226"/>
      </c>
      <c r="AH286" s="40">
        <f>SUM(AH283:AH285)</f>
      </c>
      <c r="AI286" s="40">
        <f>SUM(AI283:AI285)</f>
      </c>
      <c r="AJ286" s="40">
        <f>SUM(AJ283:AJ285)</f>
      </c>
      <c r="AK286" s="40">
        <f>SUM(AK283:AK285)</f>
      </c>
      <c r="AL286" s="40">
        <f>SUM(AL283:AL285)</f>
      </c>
      <c r="AM286" s="40">
        <f>SUM(AM283:AM285)</f>
      </c>
      <c r="AN286" s="40">
        <f>SUM(AN283:AN285)</f>
      </c>
      <c r="AO286" s="40">
        <f>SUM(AO283:AO285)</f>
      </c>
      <c r="AP286" s="40">
        <f>SUM(AP283:AP285)</f>
      </c>
      <c r="AQ286" s="40">
        <f>SUM(AQ283:AQ285)</f>
      </c>
      <c r="AR286" s="44">
        <f>SUM(AR283:AR285)</f>
      </c>
    </row>
    <row r="287">
      <c r="A287" s="74"/>
      <c r="B287" s="75" t="s">
        <v>69</v>
      </c>
      <c r="C287" s="76" t="s">
        <v>50</v>
      </c>
      <c r="D287" s="75" t="s">
        <v>62</v>
      </c>
      <c r="E287" s="75" t="s">
        <v>61</v>
      </c>
      <c r="F287" s="77">
        <f t="shared" ref="F287:F288" si="484">H287+G287</f>
      </c>
      <c r="G287" s="78">
        <v>952.16</v>
      </c>
      <c r="H287" s="78">
        <v>129.88</v>
      </c>
      <c r="I287" s="75">
        <v>0</v>
      </c>
      <c r="J287" s="75">
        <v>0</v>
      </c>
      <c r="K287" s="78">
        <v>0</v>
      </c>
      <c r="L287" s="79">
        <f t="shared" si="388"/>
      </c>
      <c r="M287" s="80">
        <f t="shared" si="334"/>
      </c>
      <c r="N287" s="81">
        <f t="shared" si="244"/>
      </c>
      <c r="O287" s="81">
        <f t="shared" si="190"/>
      </c>
      <c r="P287" s="81">
        <f t="shared" si="87"/>
      </c>
      <c r="Q287" s="81">
        <f t="shared" si="51"/>
      </c>
      <c r="R287" s="81">
        <f t="shared" si="15"/>
      </c>
      <c r="S287" s="81">
        <f t="shared" si="509"/>
      </c>
      <c r="T287" s="81">
        <f t="shared" si="406"/>
      </c>
      <c r="U287" s="79">
        <f t="shared" si="352"/>
      </c>
      <c r="V287" s="79">
        <f t="shared" si="262"/>
      </c>
      <c r="W287" s="79">
        <f t="shared" si="280"/>
      </c>
      <c r="X287" s="79">
        <f t="shared" si="298"/>
      </c>
      <c r="Y287" s="79">
        <f t="shared" si="208"/>
      </c>
      <c r="Z287" s="79">
        <f t="shared" si="105"/>
      </c>
      <c r="AA287" s="80">
        <f t="shared" si="69"/>
      </c>
      <c r="AB287" s="80">
        <f t="shared" si="33"/>
      </c>
      <c r="AC287" s="80">
        <f t="shared" si="527"/>
      </c>
      <c r="AD287" s="79">
        <f t="shared" si="424"/>
      </c>
      <c r="AE287" s="80">
        <f t="shared" si="370"/>
      </c>
      <c r="AF287" s="79">
        <f t="shared" si="316"/>
      </c>
      <c r="AG287" s="79">
        <f t="shared" si="226"/>
      </c>
      <c r="AH287" s="82">
        <v>12101</v>
      </c>
      <c r="AI287" s="34">
        <v>209</v>
      </c>
      <c r="AJ287" s="34">
        <v>290</v>
      </c>
      <c r="AK287" s="34">
        <v>18</v>
      </c>
      <c r="AL287" s="34">
        <v>0</v>
      </c>
      <c r="AM287" s="34">
        <v>0</v>
      </c>
      <c r="AN287" s="34">
        <v>39</v>
      </c>
      <c r="AO287" s="34">
        <v>42</v>
      </c>
      <c r="AP287" s="34">
        <v>4</v>
      </c>
      <c r="AQ287" s="29">
        <v>0</v>
      </c>
      <c r="AR287" s="36">
        <f t="shared" ref="AR287:AR288" si="165">COUNT(AQ287)</f>
      </c>
    </row>
    <row r="288">
      <c r="A288" s="74"/>
      <c r="B288" s="75" t="s">
        <v>69</v>
      </c>
      <c r="C288" s="76" t="s">
        <v>50</v>
      </c>
      <c r="D288" s="75" t="s">
        <v>62</v>
      </c>
      <c r="E288" s="75" t="s">
        <v>63</v>
      </c>
      <c r="F288" s="77">
        <f t="shared" si="484"/>
      </c>
      <c r="G288" s="78">
        <v>954.61</v>
      </c>
      <c r="H288" s="78">
        <v>169.72</v>
      </c>
      <c r="I288" s="75">
        <v>1</v>
      </c>
      <c r="J288" s="76">
        <v>1</v>
      </c>
      <c r="K288" s="78">
        <v>967.2000000000007</v>
      </c>
      <c r="L288" s="79">
        <f t="shared" si="388"/>
      </c>
      <c r="M288" s="80">
        <f t="shared" si="334"/>
      </c>
      <c r="N288" s="81">
        <f t="shared" si="244"/>
      </c>
      <c r="O288" s="81">
        <f t="shared" si="190"/>
      </c>
      <c r="P288" s="81">
        <f t="shared" si="87"/>
      </c>
      <c r="Q288" s="81">
        <f t="shared" si="51"/>
      </c>
      <c r="R288" s="81">
        <f t="shared" si="15"/>
      </c>
      <c r="S288" s="81">
        <f t="shared" si="509"/>
      </c>
      <c r="T288" s="81">
        <f t="shared" si="406"/>
      </c>
      <c r="U288" s="79">
        <f t="shared" si="352"/>
      </c>
      <c r="V288" s="79">
        <f t="shared" si="262"/>
      </c>
      <c r="W288" s="79">
        <f t="shared" si="280"/>
      </c>
      <c r="X288" s="79">
        <f t="shared" si="298"/>
      </c>
      <c r="Y288" s="79">
        <f t="shared" si="208"/>
      </c>
      <c r="Z288" s="79">
        <f t="shared" si="105"/>
      </c>
      <c r="AA288" s="80">
        <f t="shared" si="69"/>
      </c>
      <c r="AB288" s="80">
        <f t="shared" si="33"/>
      </c>
      <c r="AC288" s="80">
        <f t="shared" si="527"/>
      </c>
      <c r="AD288" s="79">
        <f t="shared" si="424"/>
      </c>
      <c r="AE288" s="80">
        <f t="shared" si="370"/>
      </c>
      <c r="AF288" s="79">
        <f t="shared" si="316"/>
      </c>
      <c r="AG288" s="79">
        <f t="shared" si="226"/>
      </c>
      <c r="AH288" s="82">
        <v>11509</v>
      </c>
      <c r="AI288" s="34">
        <v>219</v>
      </c>
      <c r="AJ288" s="34">
        <v>334</v>
      </c>
      <c r="AK288" s="34">
        <v>15</v>
      </c>
      <c r="AL288" s="34">
        <v>1</v>
      </c>
      <c r="AM288" s="34">
        <v>1</v>
      </c>
      <c r="AN288" s="34">
        <v>36</v>
      </c>
      <c r="AO288" s="34">
        <v>19</v>
      </c>
      <c r="AP288" s="34">
        <v>1</v>
      </c>
      <c r="AQ288" s="29">
        <v>0</v>
      </c>
      <c r="AR288" s="36">
        <f t="shared" si="165"/>
      </c>
    </row>
    <row r="289">
      <c r="A289" s="74"/>
      <c r="B289" s="85" t="s">
        <v>56</v>
      </c>
      <c r="C289" s="85"/>
      <c r="D289" s="85"/>
      <c r="E289" s="85"/>
      <c r="F289" s="86">
        <f>SUM(F287:F288)</f>
      </c>
      <c r="G289" s="86">
        <f>SUM(G287:G288)</f>
      </c>
      <c r="H289" s="86">
        <f>SUM(H287:H288)</f>
      </c>
      <c r="I289" s="85">
        <f>SUM(I287:I288)</f>
      </c>
      <c r="J289" s="85">
        <f>SUM(J287:J288)</f>
      </c>
      <c r="K289" s="86">
        <f>SUM(K287:K288)</f>
      </c>
      <c r="L289" s="87">
        <f t="shared" si="388"/>
      </c>
      <c r="M289" s="88">
        <f t="shared" si="334"/>
      </c>
      <c r="N289" s="86">
        <f t="shared" si="244"/>
      </c>
      <c r="O289" s="86">
        <f t="shared" si="190"/>
      </c>
      <c r="P289" s="86">
        <f t="shared" si="87"/>
      </c>
      <c r="Q289" s="86">
        <f t="shared" si="51"/>
      </c>
      <c r="R289" s="86">
        <f t="shared" si="15"/>
      </c>
      <c r="S289" s="86">
        <f t="shared" si="509"/>
      </c>
      <c r="T289" s="86">
        <f t="shared" si="406"/>
      </c>
      <c r="U289" s="87">
        <f t="shared" si="352"/>
      </c>
      <c r="V289" s="87">
        <f t="shared" si="262"/>
      </c>
      <c r="W289" s="87">
        <f t="shared" si="280"/>
      </c>
      <c r="X289" s="87">
        <f t="shared" si="298"/>
      </c>
      <c r="Y289" s="87">
        <f t="shared" si="208"/>
      </c>
      <c r="Z289" s="87">
        <f t="shared" si="105"/>
      </c>
      <c r="AA289" s="88">
        <f t="shared" si="69"/>
      </c>
      <c r="AB289" s="88">
        <f t="shared" si="33"/>
      </c>
      <c r="AC289" s="88">
        <f t="shared" si="527"/>
      </c>
      <c r="AD289" s="87">
        <f t="shared" si="424"/>
      </c>
      <c r="AE289" s="88">
        <f t="shared" si="370"/>
      </c>
      <c r="AF289" s="87">
        <f t="shared" si="316"/>
      </c>
      <c r="AG289" s="87">
        <f t="shared" si="226"/>
      </c>
      <c r="AH289" s="40">
        <f>SUM(AH287:AH288)</f>
      </c>
      <c r="AI289" s="40">
        <f>SUM(AI287:AI288)</f>
      </c>
      <c r="AJ289" s="40">
        <f>SUM(AJ287:AJ288)</f>
      </c>
      <c r="AK289" s="40">
        <f>SUM(AK287:AK288)</f>
      </c>
      <c r="AL289" s="40">
        <f>SUM(AL287:AL288)</f>
      </c>
      <c r="AM289" s="40">
        <f>SUM(AM287:AM288)</f>
      </c>
      <c r="AN289" s="40">
        <f>SUM(AN287:AN288)</f>
      </c>
      <c r="AO289" s="40">
        <f>SUM(AO287:AO288)</f>
      </c>
      <c r="AP289" s="40">
        <f>SUM(AP287:AP288)</f>
      </c>
      <c r="AQ289" s="40">
        <f>SUM(AQ287:AQ288)</f>
      </c>
      <c r="AR289" s="44">
        <f>SUM(AR287:AR288)</f>
      </c>
    </row>
    <row r="290">
      <c r="A290" s="74"/>
      <c r="B290" s="75" t="s">
        <v>69</v>
      </c>
      <c r="C290" s="76" t="s">
        <v>50</v>
      </c>
      <c r="D290" s="75" t="s">
        <v>71</v>
      </c>
      <c r="E290" s="76" t="s">
        <v>64</v>
      </c>
      <c r="F290" s="77">
        <f t="shared" ref="F290:F292" si="485">H290+G290</f>
      </c>
      <c r="G290" s="78">
        <v>819.21</v>
      </c>
      <c r="H290" s="78">
        <v>394.52</v>
      </c>
      <c r="I290" s="75">
        <v>2</v>
      </c>
      <c r="J290" s="75">
        <v>1</v>
      </c>
      <c r="K290" s="78">
        <v>439</v>
      </c>
      <c r="L290" s="79">
        <f t="shared" si="388"/>
      </c>
      <c r="M290" s="80">
        <f t="shared" si="334"/>
      </c>
      <c r="N290" s="81">
        <f t="shared" si="244"/>
      </c>
      <c r="O290" s="81">
        <f t="shared" si="190"/>
      </c>
      <c r="P290" s="81">
        <f t="shared" si="87"/>
      </c>
      <c r="Q290" s="81">
        <f t="shared" si="51"/>
      </c>
      <c r="R290" s="81">
        <f t="shared" si="15"/>
      </c>
      <c r="S290" s="81">
        <f t="shared" si="509"/>
      </c>
      <c r="T290" s="81">
        <f t="shared" si="406"/>
      </c>
      <c r="U290" s="79">
        <f t="shared" si="352"/>
      </c>
      <c r="V290" s="79">
        <f t="shared" si="262"/>
      </c>
      <c r="W290" s="79">
        <f t="shared" si="280"/>
      </c>
      <c r="X290" s="79">
        <f t="shared" si="298"/>
      </c>
      <c r="Y290" s="79">
        <f t="shared" si="208"/>
      </c>
      <c r="Z290" s="79">
        <f t="shared" si="105"/>
      </c>
      <c r="AA290" s="80">
        <f t="shared" si="69"/>
      </c>
      <c r="AB290" s="80">
        <f t="shared" si="33"/>
      </c>
      <c r="AC290" s="80">
        <f t="shared" si="527"/>
      </c>
      <c r="AD290" s="79">
        <f t="shared" si="424"/>
      </c>
      <c r="AE290" s="80">
        <f t="shared" si="370"/>
      </c>
      <c r="AF290" s="79">
        <f t="shared" si="316"/>
      </c>
      <c r="AG290" s="79">
        <f t="shared" si="226"/>
      </c>
      <c r="AH290" s="82">
        <v>11329</v>
      </c>
      <c r="AI290" s="34">
        <v>247</v>
      </c>
      <c r="AJ290" s="34">
        <v>392</v>
      </c>
      <c r="AK290" s="34">
        <v>33</v>
      </c>
      <c r="AL290" s="29">
        <v>3</v>
      </c>
      <c r="AM290" s="29">
        <v>1</v>
      </c>
      <c r="AN290" s="34">
        <v>50</v>
      </c>
      <c r="AO290" s="34">
        <v>68</v>
      </c>
      <c r="AP290" s="34">
        <v>7</v>
      </c>
      <c r="AQ290" s="29">
        <v>0</v>
      </c>
      <c r="AR290" s="36">
        <f t="shared" ref="AR290:AR292" si="166">COUNT(AQ290)</f>
      </c>
    </row>
    <row r="291">
      <c r="A291" s="74"/>
      <c r="B291" s="75" t="s">
        <v>69</v>
      </c>
      <c r="C291" s="76" t="s">
        <v>50</v>
      </c>
      <c r="D291" s="75" t="s">
        <v>71</v>
      </c>
      <c r="E291" s="76" t="s">
        <v>65</v>
      </c>
      <c r="F291" s="77">
        <f t="shared" si="485"/>
      </c>
      <c r="G291" s="78">
        <v>648.73</v>
      </c>
      <c r="H291" s="78">
        <v>752.95</v>
      </c>
      <c r="I291" s="75">
        <v>5</v>
      </c>
      <c r="J291" s="75">
        <v>4</v>
      </c>
      <c r="K291" s="78">
        <v>3091.2000000000007</v>
      </c>
      <c r="L291" s="79">
        <f t="shared" si="388"/>
      </c>
      <c r="M291" s="80">
        <f t="shared" si="334"/>
      </c>
      <c r="N291" s="81">
        <f t="shared" si="244"/>
      </c>
      <c r="O291" s="81">
        <f t="shared" si="190"/>
      </c>
      <c r="P291" s="81">
        <f t="shared" si="87"/>
      </c>
      <c r="Q291" s="81">
        <f t="shared" si="51"/>
      </c>
      <c r="R291" s="81">
        <f t="shared" si="15"/>
      </c>
      <c r="S291" s="81">
        <f t="shared" si="509"/>
      </c>
      <c r="T291" s="81">
        <f t="shared" si="406"/>
      </c>
      <c r="U291" s="79">
        <f t="shared" si="352"/>
      </c>
      <c r="V291" s="79">
        <f t="shared" si="262"/>
      </c>
      <c r="W291" s="79">
        <f t="shared" si="280"/>
      </c>
      <c r="X291" s="79">
        <f t="shared" si="298"/>
      </c>
      <c r="Y291" s="79">
        <f t="shared" si="208"/>
      </c>
      <c r="Z291" s="79">
        <f t="shared" si="105"/>
      </c>
      <c r="AA291" s="80">
        <f t="shared" si="69"/>
      </c>
      <c r="AB291" s="80">
        <f t="shared" si="33"/>
      </c>
      <c r="AC291" s="80">
        <f t="shared" si="527"/>
      </c>
      <c r="AD291" s="79">
        <f t="shared" si="424"/>
      </c>
      <c r="AE291" s="80">
        <f t="shared" si="370"/>
      </c>
      <c r="AF291" s="79">
        <f t="shared" si="316"/>
      </c>
      <c r="AG291" s="79">
        <f t="shared" si="226"/>
      </c>
      <c r="AH291" s="82">
        <v>14222</v>
      </c>
      <c r="AI291" s="34">
        <v>473</v>
      </c>
      <c r="AJ291" s="34">
        <v>615</v>
      </c>
      <c r="AK291" s="34">
        <v>55</v>
      </c>
      <c r="AL291" s="34">
        <v>5</v>
      </c>
      <c r="AM291" s="34">
        <v>4</v>
      </c>
      <c r="AN291" s="34">
        <v>89</v>
      </c>
      <c r="AO291" s="34">
        <v>146</v>
      </c>
      <c r="AP291" s="34">
        <v>8</v>
      </c>
      <c r="AQ291" s="29">
        <v>0</v>
      </c>
      <c r="AR291" s="36">
        <f t="shared" si="166"/>
      </c>
    </row>
    <row r="292">
      <c r="A292" s="74"/>
      <c r="B292" s="75" t="s">
        <v>69</v>
      </c>
      <c r="C292" s="76" t="s">
        <v>50</v>
      </c>
      <c r="D292" s="75" t="s">
        <v>71</v>
      </c>
      <c r="E292" s="75" t="s">
        <v>66</v>
      </c>
      <c r="F292" s="77">
        <f t="shared" si="485"/>
      </c>
      <c r="G292" s="90">
        <v>324.85</v>
      </c>
      <c r="H292" s="90">
        <v>517.76</v>
      </c>
      <c r="I292" s="75">
        <v>11</v>
      </c>
      <c r="J292" s="75">
        <v>10</v>
      </c>
      <c r="K292" s="78">
        <v>7192.4000000000015</v>
      </c>
      <c r="L292" s="79">
        <f t="shared" si="388"/>
      </c>
      <c r="M292" s="80">
        <f t="shared" si="334"/>
      </c>
      <c r="N292" s="81">
        <f t="shared" si="244"/>
      </c>
      <c r="O292" s="81">
        <f t="shared" si="190"/>
      </c>
      <c r="P292" s="81">
        <f t="shared" si="87"/>
      </c>
      <c r="Q292" s="81">
        <f t="shared" si="51"/>
      </c>
      <c r="R292" s="81">
        <f t="shared" si="15"/>
      </c>
      <c r="S292" s="81">
        <f t="shared" si="509"/>
      </c>
      <c r="T292" s="81">
        <f t="shared" si="406"/>
      </c>
      <c r="U292" s="79">
        <f t="shared" si="352"/>
      </c>
      <c r="V292" s="79">
        <f t="shared" si="262"/>
      </c>
      <c r="W292" s="79">
        <f t="shared" si="280"/>
      </c>
      <c r="X292" s="79">
        <f t="shared" si="298"/>
      </c>
      <c r="Y292" s="79">
        <f t="shared" si="208"/>
      </c>
      <c r="Z292" s="79">
        <f t="shared" si="105"/>
      </c>
      <c r="AA292" s="80">
        <f t="shared" si="69"/>
      </c>
      <c r="AB292" s="80">
        <f t="shared" si="33"/>
      </c>
      <c r="AC292" s="80">
        <f t="shared" si="527"/>
      </c>
      <c r="AD292" s="79">
        <f t="shared" si="424"/>
      </c>
      <c r="AE292" s="80">
        <f t="shared" si="370"/>
      </c>
      <c r="AF292" s="79">
        <f t="shared" si="316"/>
      </c>
      <c r="AG292" s="79">
        <f t="shared" si="226"/>
      </c>
      <c r="AH292" s="84">
        <v>10888</v>
      </c>
      <c r="AI292" s="34">
        <v>414</v>
      </c>
      <c r="AJ292" s="34">
        <v>509</v>
      </c>
      <c r="AK292" s="34">
        <v>47</v>
      </c>
      <c r="AL292" s="29">
        <v>8</v>
      </c>
      <c r="AM292" s="29">
        <v>7</v>
      </c>
      <c r="AN292" s="34">
        <v>63</v>
      </c>
      <c r="AO292" s="34">
        <v>112</v>
      </c>
      <c r="AP292" s="34">
        <v>11</v>
      </c>
      <c r="AQ292" s="29">
        <v>2</v>
      </c>
      <c r="AR292" s="36">
        <f t="shared" si="166"/>
      </c>
    </row>
    <row r="293">
      <c r="A293" s="74"/>
      <c r="B293" s="85" t="s">
        <v>56</v>
      </c>
      <c r="C293" s="85"/>
      <c r="D293" s="85"/>
      <c r="E293" s="85"/>
      <c r="F293" s="86">
        <f>SUM(F290:F292)</f>
      </c>
      <c r="G293" s="86">
        <f>SUM(G290:G292)</f>
      </c>
      <c r="H293" s="86">
        <f>SUM(H290:H292)</f>
      </c>
      <c r="I293" s="85">
        <f>SUM(I290:I292)</f>
      </c>
      <c r="J293" s="85">
        <f>SUM(J290:J292)</f>
      </c>
      <c r="K293" s="86">
        <f>SUM(K290:K292)</f>
      </c>
      <c r="L293" s="87">
        <f t="shared" si="388"/>
      </c>
      <c r="M293" s="88">
        <f t="shared" si="334"/>
      </c>
      <c r="N293" s="86">
        <f t="shared" si="244"/>
      </c>
      <c r="O293" s="86">
        <f t="shared" si="190"/>
      </c>
      <c r="P293" s="86">
        <f t="shared" si="87"/>
      </c>
      <c r="Q293" s="86">
        <f t="shared" si="51"/>
      </c>
      <c r="R293" s="86">
        <f t="shared" si="15"/>
      </c>
      <c r="S293" s="86">
        <f t="shared" si="509"/>
      </c>
      <c r="T293" s="86">
        <f t="shared" si="406"/>
      </c>
      <c r="U293" s="87">
        <f t="shared" si="352"/>
      </c>
      <c r="V293" s="87">
        <f t="shared" si="262"/>
      </c>
      <c r="W293" s="87">
        <f t="shared" si="280"/>
      </c>
      <c r="X293" s="87">
        <f t="shared" si="298"/>
      </c>
      <c r="Y293" s="87">
        <f t="shared" si="208"/>
      </c>
      <c r="Z293" s="87">
        <f t="shared" si="105"/>
      </c>
      <c r="AA293" s="88">
        <f t="shared" si="69"/>
      </c>
      <c r="AB293" s="88">
        <f t="shared" si="33"/>
      </c>
      <c r="AC293" s="88">
        <f t="shared" si="527"/>
      </c>
      <c r="AD293" s="87">
        <f t="shared" si="424"/>
      </c>
      <c r="AE293" s="88">
        <f t="shared" si="370"/>
      </c>
      <c r="AF293" s="87">
        <f t="shared" si="316"/>
      </c>
      <c r="AG293" s="87">
        <f t="shared" si="226"/>
      </c>
      <c r="AH293" s="40">
        <f>SUM(AH290:AH292)</f>
      </c>
      <c r="AI293" s="40">
        <f>SUM(AI290:AI292)</f>
      </c>
      <c r="AJ293" s="40">
        <f>SUM(AJ290:AJ292)</f>
      </c>
      <c r="AK293" s="40">
        <f>SUM(AK290:AK292)</f>
      </c>
      <c r="AL293" s="40">
        <f>SUM(AL290:AL292)</f>
      </c>
      <c r="AM293" s="40">
        <f>SUM(AM290:AM292)</f>
      </c>
      <c r="AN293" s="40">
        <f>SUM(AN290:AN292)</f>
      </c>
      <c r="AO293" s="40">
        <f>SUM(AO290:AO292)</f>
      </c>
      <c r="AP293" s="40">
        <f>SUM(AP290:AP292)</f>
      </c>
      <c r="AQ293" s="40">
        <f>SUM(AQ290:AQ292)</f>
      </c>
      <c r="AR293" s="44">
        <f>SUM(AR290:AR292)</f>
      </c>
    </row>
    <row r="294">
      <c r="A294" s="74"/>
      <c r="B294" s="91" t="s">
        <v>67</v>
      </c>
      <c r="C294" s="91"/>
      <c r="D294" s="91"/>
      <c r="E294" s="91"/>
      <c r="F294" s="92">
        <f>F286+F282+F293+F289</f>
      </c>
      <c r="G294" s="92">
        <f>G286+G282+G293+G289</f>
      </c>
      <c r="H294" s="92">
        <f>H286+H282+H293+H289</f>
      </c>
      <c r="I294" s="92">
        <f>I286+I282+I293+I289</f>
      </c>
      <c r="J294" s="92">
        <f>J286+J282+J293+J289</f>
      </c>
      <c r="K294" s="92">
        <f>K286+K282+K293+K289</f>
      </c>
      <c r="L294" s="93">
        <f t="shared" si="388"/>
      </c>
      <c r="M294" s="94">
        <f t="shared" si="334"/>
      </c>
      <c r="N294" s="92">
        <f t="shared" si="244"/>
      </c>
      <c r="O294" s="92">
        <f t="shared" si="190"/>
      </c>
      <c r="P294" s="92">
        <f t="shared" si="87"/>
      </c>
      <c r="Q294" s="92">
        <f t="shared" si="51"/>
      </c>
      <c r="R294" s="92">
        <f t="shared" si="15"/>
      </c>
      <c r="S294" s="92">
        <f t="shared" si="509"/>
      </c>
      <c r="T294" s="92">
        <f t="shared" si="406"/>
      </c>
      <c r="U294" s="93">
        <f t="shared" si="352"/>
      </c>
      <c r="V294" s="93">
        <f t="shared" si="262"/>
      </c>
      <c r="W294" s="93">
        <f t="shared" si="280"/>
      </c>
      <c r="X294" s="93">
        <f t="shared" si="298"/>
      </c>
      <c r="Y294" s="93">
        <f t="shared" si="208"/>
      </c>
      <c r="Z294" s="93">
        <f t="shared" si="105"/>
      </c>
      <c r="AA294" s="94">
        <f t="shared" si="69"/>
      </c>
      <c r="AB294" s="94">
        <f t="shared" si="33"/>
      </c>
      <c r="AC294" s="94">
        <f t="shared" si="527"/>
      </c>
      <c r="AD294" s="93">
        <f t="shared" si="424"/>
      </c>
      <c r="AE294" s="94">
        <f t="shared" si="370"/>
      </c>
      <c r="AF294" s="93">
        <f t="shared" si="316"/>
      </c>
      <c r="AG294" s="93">
        <f t="shared" si="226"/>
      </c>
      <c r="AH294" s="44">
        <f>AH286+AH282+AH293+AH289</f>
      </c>
      <c r="AI294" s="44">
        <f>AI286+AI282+AI293+AI289</f>
      </c>
      <c r="AJ294" s="44">
        <f>AJ286+AJ282+AJ293+AJ289</f>
      </c>
      <c r="AK294" s="44">
        <f>AK286+AK282+AK293+AK289</f>
      </c>
      <c r="AL294" s="44">
        <f>AL286+AL282+AL293+AL289</f>
      </c>
      <c r="AM294" s="44">
        <f>AM286+AM282+AM293+AM289</f>
      </c>
      <c r="AN294" s="44">
        <f>AN286+AN282+AN293+AN289</f>
      </c>
      <c r="AO294" s="44">
        <f>AO286+AO282+AO293+AO289</f>
      </c>
      <c r="AP294" s="44">
        <f>AP286+AP282+AP293+AP289</f>
      </c>
      <c r="AQ294" s="44">
        <f>AQ286+AQ282+AQ293+AQ289</f>
      </c>
      <c r="AR294" s="44">
        <f>AR286+AR282+AR293+AR289</f>
      </c>
    </row>
    <row r="295">
      <c r="A295" s="59"/>
      <c r="B295" s="59"/>
      <c r="C295" s="59"/>
      <c r="D295" s="59"/>
      <c r="E295" s="59"/>
      <c r="F295" s="60" t="s">
        <v>1</v>
      </c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1" t="s">
        <v>2</v>
      </c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2" t="s">
        <v>3</v>
      </c>
      <c r="AD295" s="62"/>
      <c r="AE295" s="62"/>
      <c r="AF295" s="62"/>
      <c r="AG295" s="62"/>
      <c r="AH295" s="5" t="s">
        <v>4</v>
      </c>
      <c r="AI295" s="5"/>
      <c r="AJ295" s="5"/>
      <c r="AK295" s="5"/>
      <c r="AL295" s="5"/>
      <c r="AM295" s="5"/>
      <c r="AN295" s="5"/>
      <c r="AO295" s="5"/>
      <c r="AP295" s="5"/>
      <c r="AQ295" s="5"/>
      <c r="AR295" s="5"/>
    </row>
    <row r="296">
      <c r="A296" s="63" t="s">
        <v>5</v>
      </c>
      <c r="B296" s="59" t="s">
        <v>6</v>
      </c>
      <c r="C296" s="59" t="s">
        <v>7</v>
      </c>
      <c r="D296" s="59" t="s">
        <v>8</v>
      </c>
      <c r="E296" s="59" t="s">
        <v>9</v>
      </c>
      <c r="F296" s="64" t="s">
        <v>10</v>
      </c>
      <c r="G296" s="65" t="s">
        <v>11</v>
      </c>
      <c r="H296" s="66" t="s">
        <v>12</v>
      </c>
      <c r="I296" s="67" t="s">
        <v>13</v>
      </c>
      <c r="J296" s="67" t="s">
        <v>14</v>
      </c>
      <c r="K296" s="66" t="s">
        <v>15</v>
      </c>
      <c r="L296" s="68" t="s">
        <v>16</v>
      </c>
      <c r="M296" s="69" t="s">
        <v>17</v>
      </c>
      <c r="N296" s="70" t="s">
        <v>18</v>
      </c>
      <c r="O296" s="70" t="s">
        <v>19</v>
      </c>
      <c r="P296" s="70" t="s">
        <v>20</v>
      </c>
      <c r="Q296" s="61" t="s">
        <v>21</v>
      </c>
      <c r="R296" s="61" t="s">
        <v>22</v>
      </c>
      <c r="S296" s="61" t="s">
        <v>23</v>
      </c>
      <c r="T296" s="61" t="s">
        <v>24</v>
      </c>
      <c r="U296" s="71" t="s">
        <v>25</v>
      </c>
      <c r="V296" s="71" t="s">
        <v>26</v>
      </c>
      <c r="W296" s="71" t="s">
        <v>27</v>
      </c>
      <c r="X296" s="71" t="s">
        <v>28</v>
      </c>
      <c r="Y296" s="71" t="s">
        <v>29</v>
      </c>
      <c r="Z296" s="71" t="s">
        <v>30</v>
      </c>
      <c r="AA296" s="72" t="s">
        <v>31</v>
      </c>
      <c r="AB296" s="72" t="s">
        <v>32</v>
      </c>
      <c r="AC296" s="62" t="s">
        <v>33</v>
      </c>
      <c r="AD296" s="73" t="s">
        <v>34</v>
      </c>
      <c r="AE296" s="62" t="s">
        <v>35</v>
      </c>
      <c r="AF296" s="73" t="s">
        <v>36</v>
      </c>
      <c r="AG296" s="73" t="s">
        <v>37</v>
      </c>
      <c r="AH296" s="22" t="s">
        <v>38</v>
      </c>
      <c r="AI296" s="22" t="s">
        <v>39</v>
      </c>
      <c r="AJ296" s="22" t="s">
        <v>40</v>
      </c>
      <c r="AK296" s="22" t="s">
        <v>41</v>
      </c>
      <c r="AL296" s="22" t="s">
        <v>42</v>
      </c>
      <c r="AM296" s="22" t="s">
        <v>43</v>
      </c>
      <c r="AN296" s="22" t="s">
        <v>44</v>
      </c>
      <c r="AO296" s="22" t="s">
        <v>45</v>
      </c>
      <c r="AP296" s="22" t="s">
        <v>46</v>
      </c>
      <c r="AQ296" s="22" t="s">
        <v>47</v>
      </c>
      <c r="AR296" s="23" t="s">
        <v>48</v>
      </c>
    </row>
    <row r="297">
      <c r="A297" s="74">
        <v>46313</v>
      </c>
      <c r="B297" s="75" t="s">
        <v>69</v>
      </c>
      <c r="C297" s="76" t="s">
        <v>50</v>
      </c>
      <c r="D297" s="75" t="s">
        <v>51</v>
      </c>
      <c r="E297" s="75" t="s">
        <v>52</v>
      </c>
      <c r="F297" s="77">
        <f t="shared" ref="F297:F300" si="486">H297+G297</f>
      </c>
      <c r="G297" s="78">
        <v>1360.36</v>
      </c>
      <c r="H297" s="78">
        <v>418.24</v>
      </c>
      <c r="I297" s="75">
        <v>3</v>
      </c>
      <c r="J297" s="75">
        <v>2</v>
      </c>
      <c r="K297" s="78">
        <v>1441.1999999999998</v>
      </c>
      <c r="L297" s="79">
        <f t="shared" ref="L297:L313" si="389">AQ297/J297</f>
      </c>
      <c r="M297" s="80">
        <f t="shared" ref="M297:M313" si="335">K297/J297</f>
      </c>
      <c r="N297" s="81">
        <f t="shared" ref="N297:N313" si="245">F297/J297</f>
      </c>
      <c r="O297" s="81">
        <f t="shared" ref="O297:O313" si="191">K297/F297</f>
      </c>
      <c r="P297" s="81">
        <f t="shared" ref="P297:P313" si="88">K297/((300*AR297)+F297)</f>
      </c>
      <c r="Q297" s="81">
        <f t="shared" ref="Q297:Q313" si="52">F297/AJ297</f>
      </c>
      <c r="R297" s="81">
        <f t="shared" ref="R297:R313" si="16">F297/AK297</f>
      </c>
      <c r="S297" s="81">
        <f t="shared" ref="S297:S313" si="510">F297/AL297</f>
      </c>
      <c r="T297" s="81">
        <f t="shared" ref="T297:T313" si="407">F297/AM297</f>
      </c>
      <c r="U297" s="79">
        <f t="shared" ref="U297:U313" si="353">AI297/AJ297</f>
      </c>
      <c r="V297" s="79">
        <f t="shared" ref="V297:V313" si="263">AK297/AJ297</f>
      </c>
      <c r="W297" s="79">
        <f t="shared" ref="W297:W313" si="281">AL297/AK297</f>
      </c>
      <c r="X297" s="79">
        <f t="shared" ref="X297:X313" si="299">AM297/AL297</f>
      </c>
      <c r="Y297" s="79">
        <f t="shared" ref="Y297:Y313" si="209">AI297/AH297</f>
      </c>
      <c r="Z297" s="79">
        <f t="shared" ref="Z297:Z313" si="106">AM297/AI297</f>
      </c>
      <c r="AA297" s="80">
        <f t="shared" ref="AA297:AA313" si="70">F297/AH297*1000</f>
      </c>
      <c r="AB297" s="80">
        <f t="shared" ref="AB297:AB313" si="34">F297/AI297</f>
      </c>
      <c r="AC297" s="80">
        <f t="shared" ref="AC297:AC313" si="528">F297/AN297</f>
      </c>
      <c r="AD297" s="79">
        <f t="shared" ref="AD297:AD313" si="425">AN297/AJ297</f>
      </c>
      <c r="AE297" s="80">
        <f t="shared" ref="AE297:AE313" si="371">F297/AO297</f>
      </c>
      <c r="AF297" s="79">
        <f t="shared" ref="AF297:AF313" si="317">AO297/AJ297</f>
      </c>
      <c r="AG297" s="79">
        <f t="shared" ref="AG297:AG313" si="227">AP297/AJ297</f>
      </c>
      <c r="AH297" s="82">
        <v>17047</v>
      </c>
      <c r="AI297" s="35">
        <v>364</v>
      </c>
      <c r="AJ297" s="35">
        <v>443</v>
      </c>
      <c r="AK297" s="34">
        <v>37</v>
      </c>
      <c r="AL297" s="34">
        <v>2</v>
      </c>
      <c r="AM297" s="34">
        <v>2</v>
      </c>
      <c r="AN297" s="34">
        <v>65</v>
      </c>
      <c r="AO297" s="34">
        <v>71</v>
      </c>
      <c r="AP297" s="29">
        <v>13</v>
      </c>
      <c r="AQ297" s="29">
        <v>0</v>
      </c>
      <c r="AR297" s="36">
        <f t="shared" ref="AR297:AR300" si="167">COUNT(AQ297)</f>
      </c>
    </row>
    <row r="298">
      <c r="A298" s="74"/>
      <c r="B298" s="75" t="s">
        <v>69</v>
      </c>
      <c r="C298" s="76" t="s">
        <v>50</v>
      </c>
      <c r="D298" s="75" t="s">
        <v>51</v>
      </c>
      <c r="E298" s="75" t="s">
        <v>53</v>
      </c>
      <c r="F298" s="77">
        <f t="shared" si="486"/>
      </c>
      <c r="G298" s="83">
        <v>1977.18</v>
      </c>
      <c r="H298" s="78">
        <v>379.53</v>
      </c>
      <c r="I298" s="75">
        <v>6</v>
      </c>
      <c r="J298" s="75">
        <v>5</v>
      </c>
      <c r="K298" s="78">
        <v>3565.2</v>
      </c>
      <c r="L298" s="79">
        <f t="shared" si="389"/>
      </c>
      <c r="M298" s="80">
        <f t="shared" si="335"/>
      </c>
      <c r="N298" s="81">
        <f t="shared" si="245"/>
      </c>
      <c r="O298" s="81">
        <f t="shared" si="191"/>
      </c>
      <c r="P298" s="81">
        <f t="shared" si="88"/>
      </c>
      <c r="Q298" s="81">
        <f t="shared" si="52"/>
      </c>
      <c r="R298" s="81">
        <f t="shared" si="16"/>
      </c>
      <c r="S298" s="81">
        <f t="shared" si="510"/>
      </c>
      <c r="T298" s="81">
        <f t="shared" si="407"/>
      </c>
      <c r="U298" s="79">
        <f t="shared" si="353"/>
      </c>
      <c r="V298" s="79">
        <f t="shared" si="263"/>
      </c>
      <c r="W298" s="79">
        <f t="shared" si="281"/>
      </c>
      <c r="X298" s="79">
        <f t="shared" si="299"/>
      </c>
      <c r="Y298" s="79">
        <f t="shared" si="209"/>
      </c>
      <c r="Z298" s="79">
        <f t="shared" si="106"/>
      </c>
      <c r="AA298" s="80">
        <f t="shared" si="70"/>
      </c>
      <c r="AB298" s="80">
        <f t="shared" si="34"/>
      </c>
      <c r="AC298" s="80">
        <f t="shared" si="528"/>
      </c>
      <c r="AD298" s="79">
        <f t="shared" si="425"/>
      </c>
      <c r="AE298" s="80">
        <f t="shared" si="371"/>
      </c>
      <c r="AF298" s="79">
        <f t="shared" si="317"/>
      </c>
      <c r="AG298" s="79">
        <f t="shared" si="227"/>
      </c>
      <c r="AH298" s="84">
        <v>24882</v>
      </c>
      <c r="AI298" s="34">
        <v>528</v>
      </c>
      <c r="AJ298" s="34">
        <v>651</v>
      </c>
      <c r="AK298" s="34">
        <v>73</v>
      </c>
      <c r="AL298" s="34">
        <v>5</v>
      </c>
      <c r="AM298" s="34">
        <v>4</v>
      </c>
      <c r="AN298" s="34">
        <v>98</v>
      </c>
      <c r="AO298" s="34">
        <v>84</v>
      </c>
      <c r="AP298" s="34">
        <v>7</v>
      </c>
      <c r="AQ298" s="29">
        <v>0</v>
      </c>
      <c r="AR298" s="36">
        <f t="shared" si="167"/>
      </c>
    </row>
    <row r="299">
      <c r="A299" s="74"/>
      <c r="B299" s="75" t="s">
        <v>69</v>
      </c>
      <c r="C299" s="76" t="s">
        <v>50</v>
      </c>
      <c r="D299" s="75" t="s">
        <v>51</v>
      </c>
      <c r="E299" s="75" t="s">
        <v>54</v>
      </c>
      <c r="F299" s="77">
        <f t="shared" si="486"/>
      </c>
      <c r="G299" s="78">
        <v>2318.73</v>
      </c>
      <c r="H299" s="78">
        <v>208.21</v>
      </c>
      <c r="I299" s="75">
        <v>6</v>
      </c>
      <c r="J299" s="75">
        <v>6</v>
      </c>
      <c r="K299" s="78">
        <v>3337.199999999999</v>
      </c>
      <c r="L299" s="79">
        <f t="shared" si="389"/>
      </c>
      <c r="M299" s="80">
        <f t="shared" si="335"/>
      </c>
      <c r="N299" s="81">
        <f t="shared" si="245"/>
      </c>
      <c r="O299" s="81">
        <f t="shared" si="191"/>
      </c>
      <c r="P299" s="81">
        <f t="shared" si="88"/>
      </c>
      <c r="Q299" s="81">
        <f t="shared" si="52"/>
      </c>
      <c r="R299" s="81">
        <f t="shared" si="16"/>
      </c>
      <c r="S299" s="81">
        <f t="shared" si="510"/>
      </c>
      <c r="T299" s="81">
        <f t="shared" si="407"/>
      </c>
      <c r="U299" s="79">
        <f t="shared" si="353"/>
      </c>
      <c r="V299" s="79">
        <f t="shared" si="263"/>
      </c>
      <c r="W299" s="79">
        <f t="shared" si="281"/>
      </c>
      <c r="X299" s="79">
        <f t="shared" si="299"/>
      </c>
      <c r="Y299" s="79">
        <f t="shared" si="209"/>
      </c>
      <c r="Z299" s="79">
        <f t="shared" si="106"/>
      </c>
      <c r="AA299" s="80">
        <f t="shared" si="70"/>
      </c>
      <c r="AB299" s="80">
        <f t="shared" si="34"/>
      </c>
      <c r="AC299" s="80">
        <f t="shared" si="528"/>
      </c>
      <c r="AD299" s="79">
        <f t="shared" si="425"/>
      </c>
      <c r="AE299" s="80">
        <f t="shared" si="371"/>
      </c>
      <c r="AF299" s="79">
        <f t="shared" si="317"/>
      </c>
      <c r="AG299" s="79">
        <f t="shared" si="227"/>
      </c>
      <c r="AH299" s="84">
        <v>28685</v>
      </c>
      <c r="AI299" s="34">
        <v>463</v>
      </c>
      <c r="AJ299" s="34">
        <v>558</v>
      </c>
      <c r="AK299" s="34">
        <v>73</v>
      </c>
      <c r="AL299" s="29">
        <v>6</v>
      </c>
      <c r="AM299" s="34">
        <v>6</v>
      </c>
      <c r="AN299" s="34">
        <v>102</v>
      </c>
      <c r="AO299" s="34">
        <v>101</v>
      </c>
      <c r="AP299" s="34">
        <v>6</v>
      </c>
      <c r="AQ299" s="29">
        <v>0</v>
      </c>
      <c r="AR299" s="36">
        <f t="shared" si="167"/>
      </c>
    </row>
    <row r="300">
      <c r="A300" s="74"/>
      <c r="B300" s="75" t="s">
        <v>69</v>
      </c>
      <c r="C300" s="76" t="s">
        <v>50</v>
      </c>
      <c r="D300" s="75" t="s">
        <v>51</v>
      </c>
      <c r="E300" s="75" t="s">
        <v>55</v>
      </c>
      <c r="F300" s="77">
        <f t="shared" si="486"/>
      </c>
      <c r="G300" s="78">
        <v>3528.48</v>
      </c>
      <c r="H300" s="78">
        <v>182.84</v>
      </c>
      <c r="I300" s="75">
        <v>9</v>
      </c>
      <c r="J300" s="75">
        <v>9</v>
      </c>
      <c r="K300" s="78">
        <v>6825.4000000000015</v>
      </c>
      <c r="L300" s="79">
        <f t="shared" si="389"/>
      </c>
      <c r="M300" s="80">
        <f t="shared" si="335"/>
      </c>
      <c r="N300" s="81">
        <f t="shared" si="245"/>
      </c>
      <c r="O300" s="81">
        <f t="shared" si="191"/>
      </c>
      <c r="P300" s="81">
        <f t="shared" si="88"/>
      </c>
      <c r="Q300" s="81">
        <f t="shared" si="52"/>
      </c>
      <c r="R300" s="81">
        <f t="shared" si="16"/>
      </c>
      <c r="S300" s="81">
        <f t="shared" si="510"/>
      </c>
      <c r="T300" s="81">
        <f t="shared" si="407"/>
      </c>
      <c r="U300" s="79">
        <f t="shared" si="353"/>
      </c>
      <c r="V300" s="79">
        <f t="shared" si="263"/>
      </c>
      <c r="W300" s="79">
        <f t="shared" si="281"/>
      </c>
      <c r="X300" s="79">
        <f t="shared" si="299"/>
      </c>
      <c r="Y300" s="79">
        <f t="shared" si="209"/>
      </c>
      <c r="Z300" s="79">
        <f t="shared" si="106"/>
      </c>
      <c r="AA300" s="80">
        <f t="shared" si="70"/>
      </c>
      <c r="AB300" s="80">
        <f t="shared" si="34"/>
      </c>
      <c r="AC300" s="80">
        <f t="shared" si="528"/>
      </c>
      <c r="AD300" s="79">
        <f t="shared" si="425"/>
      </c>
      <c r="AE300" s="80">
        <f t="shared" si="371"/>
      </c>
      <c r="AF300" s="79">
        <f t="shared" si="317"/>
      </c>
      <c r="AG300" s="79">
        <f t="shared" si="227"/>
      </c>
      <c r="AH300" s="84">
        <v>45718</v>
      </c>
      <c r="AI300" s="34">
        <v>702</v>
      </c>
      <c r="AJ300" s="34">
        <v>800</v>
      </c>
      <c r="AK300" s="34">
        <v>89</v>
      </c>
      <c r="AL300" s="29">
        <v>7</v>
      </c>
      <c r="AM300" s="34">
        <v>7</v>
      </c>
      <c r="AN300" s="34">
        <v>144</v>
      </c>
      <c r="AO300" s="34">
        <v>109</v>
      </c>
      <c r="AP300" s="29">
        <v>15</v>
      </c>
      <c r="AQ300" s="29">
        <v>1</v>
      </c>
      <c r="AR300" s="36">
        <f t="shared" si="167"/>
      </c>
    </row>
    <row r="301">
      <c r="A301" s="74"/>
      <c r="B301" s="85" t="s">
        <v>56</v>
      </c>
      <c r="C301" s="85"/>
      <c r="D301" s="85"/>
      <c r="E301" s="85"/>
      <c r="F301" s="86">
        <f>SUM(F297:F300)</f>
      </c>
      <c r="G301" s="86">
        <f>SUM(G297:G300)</f>
      </c>
      <c r="H301" s="86">
        <f>SUM(H297:H300)</f>
      </c>
      <c r="I301" s="85">
        <f>SUM(I297:I300)</f>
      </c>
      <c r="J301" s="85">
        <f>SUM(J297:J300)</f>
      </c>
      <c r="K301" s="86">
        <f>SUM(K297:K300)</f>
      </c>
      <c r="L301" s="87">
        <f t="shared" si="389"/>
      </c>
      <c r="M301" s="88">
        <f t="shared" si="335"/>
      </c>
      <c r="N301" s="86">
        <f t="shared" si="245"/>
      </c>
      <c r="O301" s="86">
        <f t="shared" si="191"/>
      </c>
      <c r="P301" s="86">
        <f t="shared" si="88"/>
      </c>
      <c r="Q301" s="86">
        <f t="shared" si="52"/>
      </c>
      <c r="R301" s="86">
        <f t="shared" si="16"/>
      </c>
      <c r="S301" s="86">
        <f t="shared" si="510"/>
      </c>
      <c r="T301" s="86">
        <f t="shared" si="407"/>
      </c>
      <c r="U301" s="87">
        <f t="shared" si="353"/>
      </c>
      <c r="V301" s="87">
        <f t="shared" si="263"/>
      </c>
      <c r="W301" s="87">
        <f t="shared" si="281"/>
      </c>
      <c r="X301" s="87">
        <f t="shared" si="299"/>
      </c>
      <c r="Y301" s="87">
        <f t="shared" si="209"/>
      </c>
      <c r="Z301" s="87">
        <f t="shared" si="106"/>
      </c>
      <c r="AA301" s="88">
        <f t="shared" si="70"/>
      </c>
      <c r="AB301" s="88">
        <f t="shared" si="34"/>
      </c>
      <c r="AC301" s="88">
        <f t="shared" si="528"/>
      </c>
      <c r="AD301" s="87">
        <f t="shared" si="425"/>
      </c>
      <c r="AE301" s="88">
        <f t="shared" si="371"/>
      </c>
      <c r="AF301" s="87">
        <f t="shared" si="317"/>
      </c>
      <c r="AG301" s="87">
        <f t="shared" si="227"/>
      </c>
      <c r="AH301" s="40">
        <f>SUM(AH297:AH300)</f>
      </c>
      <c r="AI301" s="40">
        <f>SUM(AI297:AI300)</f>
      </c>
      <c r="AJ301" s="40">
        <f>SUM(AJ297:AJ300)</f>
      </c>
      <c r="AK301" s="40">
        <f>SUM(AK297:AK300)</f>
      </c>
      <c r="AL301" s="40">
        <f>SUM(AL297:AL300)</f>
      </c>
      <c r="AM301" s="40">
        <f>SUM(AM297:AM300)</f>
      </c>
      <c r="AN301" s="40">
        <f>SUM(AN297:AN300)</f>
      </c>
      <c r="AO301" s="40">
        <f>SUM(AO297:AO300)</f>
      </c>
      <c r="AP301" s="40">
        <f>SUM(AP297:AP300)</f>
      </c>
      <c r="AQ301" s="40">
        <f>SUM(AQ297:AQ300)</f>
      </c>
      <c r="AR301" s="44">
        <f>SUM(AR297:AR300)</f>
      </c>
    </row>
    <row r="302">
      <c r="A302" s="74"/>
      <c r="B302" s="75" t="s">
        <v>69</v>
      </c>
      <c r="C302" s="76" t="s">
        <v>50</v>
      </c>
      <c r="D302" s="75" t="s">
        <v>62</v>
      </c>
      <c r="E302" s="75" t="s">
        <v>58</v>
      </c>
      <c r="F302" s="77">
        <f t="shared" ref="F302:F304" si="487">H302+G302</f>
      </c>
      <c r="G302" s="78">
        <v>1964.21</v>
      </c>
      <c r="H302" s="78">
        <v>243.14</v>
      </c>
      <c r="I302" s="75">
        <v>6</v>
      </c>
      <c r="J302" s="75">
        <v>4</v>
      </c>
      <c r="K302" s="78">
        <v>3068</v>
      </c>
      <c r="L302" s="79">
        <f t="shared" si="389"/>
      </c>
      <c r="M302" s="80">
        <f t="shared" si="335"/>
      </c>
      <c r="N302" s="81">
        <f t="shared" si="245"/>
      </c>
      <c r="O302" s="81">
        <f t="shared" si="191"/>
      </c>
      <c r="P302" s="81">
        <f t="shared" si="88"/>
      </c>
      <c r="Q302" s="81">
        <f t="shared" si="52"/>
      </c>
      <c r="R302" s="81">
        <f t="shared" si="16"/>
      </c>
      <c r="S302" s="81">
        <f t="shared" si="510"/>
      </c>
      <c r="T302" s="81">
        <f t="shared" si="407"/>
      </c>
      <c r="U302" s="79">
        <f t="shared" si="353"/>
      </c>
      <c r="V302" s="79">
        <f t="shared" si="263"/>
      </c>
      <c r="W302" s="79">
        <f t="shared" si="281"/>
      </c>
      <c r="X302" s="79">
        <f t="shared" si="299"/>
      </c>
      <c r="Y302" s="79">
        <f t="shared" si="209"/>
      </c>
      <c r="Z302" s="79">
        <f t="shared" si="106"/>
      </c>
      <c r="AA302" s="80">
        <f t="shared" si="70"/>
      </c>
      <c r="AB302" s="80">
        <f t="shared" si="34"/>
      </c>
      <c r="AC302" s="80">
        <f t="shared" si="528"/>
      </c>
      <c r="AD302" s="79">
        <f t="shared" si="425"/>
      </c>
      <c r="AE302" s="80">
        <f t="shared" si="371"/>
      </c>
      <c r="AF302" s="79">
        <f t="shared" si="317"/>
      </c>
      <c r="AG302" s="79">
        <f t="shared" si="227"/>
      </c>
      <c r="AH302" s="82">
        <v>28109</v>
      </c>
      <c r="AI302" s="34">
        <v>458</v>
      </c>
      <c r="AJ302" s="34">
        <v>535</v>
      </c>
      <c r="AK302" s="34">
        <v>69</v>
      </c>
      <c r="AL302" s="29">
        <v>6</v>
      </c>
      <c r="AM302" s="29">
        <v>4</v>
      </c>
      <c r="AN302" s="34">
        <v>95</v>
      </c>
      <c r="AO302" s="34">
        <v>129</v>
      </c>
      <c r="AP302" s="34">
        <v>9</v>
      </c>
      <c r="AQ302" s="29">
        <v>0</v>
      </c>
      <c r="AR302" s="36">
        <f t="shared" ref="AR302:AR304" si="168">COUNT(AQ302)</f>
      </c>
    </row>
    <row r="303">
      <c r="A303" s="74"/>
      <c r="B303" s="75" t="s">
        <v>69</v>
      </c>
      <c r="C303" s="76" t="s">
        <v>50</v>
      </c>
      <c r="D303" s="75" t="s">
        <v>62</v>
      </c>
      <c r="E303" s="75" t="s">
        <v>59</v>
      </c>
      <c r="F303" s="77">
        <f t="shared" si="487"/>
      </c>
      <c r="G303" s="78">
        <v>2721.01</v>
      </c>
      <c r="H303" s="78">
        <v>215.66</v>
      </c>
      <c r="I303" s="75">
        <v>8</v>
      </c>
      <c r="J303" s="75">
        <v>8</v>
      </c>
      <c r="K303" s="78">
        <v>4672.4000000000015</v>
      </c>
      <c r="L303" s="79">
        <f t="shared" si="389"/>
      </c>
      <c r="M303" s="80">
        <f t="shared" si="335"/>
      </c>
      <c r="N303" s="81">
        <f t="shared" si="245"/>
      </c>
      <c r="O303" s="81">
        <f t="shared" si="191"/>
      </c>
      <c r="P303" s="81">
        <f t="shared" si="88"/>
      </c>
      <c r="Q303" s="81">
        <f t="shared" si="52"/>
      </c>
      <c r="R303" s="81">
        <f t="shared" si="16"/>
      </c>
      <c r="S303" s="81">
        <f t="shared" si="510"/>
      </c>
      <c r="T303" s="81">
        <f t="shared" si="407"/>
      </c>
      <c r="U303" s="79">
        <f t="shared" si="353"/>
      </c>
      <c r="V303" s="79">
        <f t="shared" si="263"/>
      </c>
      <c r="W303" s="79">
        <f t="shared" si="281"/>
      </c>
      <c r="X303" s="79">
        <f t="shared" si="299"/>
      </c>
      <c r="Y303" s="79">
        <f t="shared" si="209"/>
      </c>
      <c r="Z303" s="79">
        <f t="shared" si="106"/>
      </c>
      <c r="AA303" s="80">
        <f t="shared" si="70"/>
      </c>
      <c r="AB303" s="80">
        <f t="shared" si="34"/>
      </c>
      <c r="AC303" s="80">
        <f t="shared" si="528"/>
      </c>
      <c r="AD303" s="79">
        <f t="shared" si="425"/>
      </c>
      <c r="AE303" s="80">
        <f t="shared" si="371"/>
      </c>
      <c r="AF303" s="79">
        <f t="shared" si="317"/>
      </c>
      <c r="AG303" s="79">
        <f t="shared" si="227"/>
      </c>
      <c r="AH303" s="82">
        <v>37930</v>
      </c>
      <c r="AI303" s="34">
        <v>578</v>
      </c>
      <c r="AJ303" s="34">
        <v>653</v>
      </c>
      <c r="AK303" s="34">
        <v>38</v>
      </c>
      <c r="AL303" s="29">
        <v>6</v>
      </c>
      <c r="AM303" s="29">
        <v>5</v>
      </c>
      <c r="AN303" s="34">
        <v>122</v>
      </c>
      <c r="AO303" s="34">
        <v>70</v>
      </c>
      <c r="AP303" s="34">
        <v>20</v>
      </c>
      <c r="AQ303" s="29">
        <v>2</v>
      </c>
      <c r="AR303" s="36">
        <f t="shared" si="168"/>
      </c>
    </row>
    <row r="304">
      <c r="A304" s="74"/>
      <c r="B304" s="75" t="s">
        <v>69</v>
      </c>
      <c r="C304" s="76" t="s">
        <v>50</v>
      </c>
      <c r="D304" s="75" t="s">
        <v>62</v>
      </c>
      <c r="E304" s="75" t="s">
        <v>60</v>
      </c>
      <c r="F304" s="77">
        <f t="shared" si="487"/>
      </c>
      <c r="G304" s="78">
        <v>1546.23</v>
      </c>
      <c r="H304" s="78">
        <v>182.35</v>
      </c>
      <c r="I304" s="75">
        <v>5</v>
      </c>
      <c r="J304" s="75">
        <v>5</v>
      </c>
      <c r="K304" s="78">
        <v>3466.199999999997</v>
      </c>
      <c r="L304" s="79">
        <f t="shared" si="389"/>
      </c>
      <c r="M304" s="80">
        <f t="shared" si="335"/>
      </c>
      <c r="N304" s="81">
        <f t="shared" si="245"/>
      </c>
      <c r="O304" s="81">
        <f t="shared" si="191"/>
      </c>
      <c r="P304" s="81">
        <f t="shared" si="88"/>
      </c>
      <c r="Q304" s="81">
        <f t="shared" si="52"/>
      </c>
      <c r="R304" s="81">
        <f t="shared" si="16"/>
      </c>
      <c r="S304" s="81">
        <f t="shared" si="510"/>
      </c>
      <c r="T304" s="81">
        <f t="shared" si="407"/>
      </c>
      <c r="U304" s="79">
        <f t="shared" si="353"/>
      </c>
      <c r="V304" s="79">
        <f t="shared" si="263"/>
      </c>
      <c r="W304" s="79">
        <f t="shared" si="281"/>
      </c>
      <c r="X304" s="79">
        <f t="shared" si="299"/>
      </c>
      <c r="Y304" s="79">
        <f t="shared" si="209"/>
      </c>
      <c r="Z304" s="79">
        <f t="shared" si="106"/>
      </c>
      <c r="AA304" s="80">
        <f t="shared" si="70"/>
      </c>
      <c r="AB304" s="80">
        <f t="shared" si="34"/>
      </c>
      <c r="AC304" s="80">
        <f t="shared" si="528"/>
      </c>
      <c r="AD304" s="79">
        <f t="shared" si="425"/>
      </c>
      <c r="AE304" s="80">
        <f t="shared" si="371"/>
      </c>
      <c r="AF304" s="79">
        <f t="shared" si="317"/>
      </c>
      <c r="AG304" s="79">
        <f t="shared" si="227"/>
      </c>
      <c r="AH304" s="82">
        <v>24656</v>
      </c>
      <c r="AI304" s="34">
        <v>358</v>
      </c>
      <c r="AJ304" s="34">
        <v>392</v>
      </c>
      <c r="AK304" s="34">
        <v>26</v>
      </c>
      <c r="AL304" s="34">
        <v>4</v>
      </c>
      <c r="AM304" s="34">
        <v>4</v>
      </c>
      <c r="AN304" s="34">
        <v>74</v>
      </c>
      <c r="AO304" s="34">
        <v>86</v>
      </c>
      <c r="AP304" s="34">
        <v>7</v>
      </c>
      <c r="AQ304" s="29">
        <v>0</v>
      </c>
      <c r="AR304" s="36">
        <f t="shared" si="168"/>
      </c>
    </row>
    <row r="305">
      <c r="A305" s="74"/>
      <c r="B305" s="85" t="s">
        <v>56</v>
      </c>
      <c r="C305" s="85"/>
      <c r="D305" s="85"/>
      <c r="E305" s="85"/>
      <c r="F305" s="86">
        <f>SUM(F302:F304)</f>
      </c>
      <c r="G305" s="86">
        <f>SUM(G302:G304)</f>
      </c>
      <c r="H305" s="86">
        <f>SUM(H302:H304)</f>
      </c>
      <c r="I305" s="85">
        <f>SUM(I302:I304)</f>
      </c>
      <c r="J305" s="85">
        <f>SUM(J302:J304)</f>
      </c>
      <c r="K305" s="86">
        <f>SUM(K302:K304)</f>
      </c>
      <c r="L305" s="87">
        <f t="shared" si="389"/>
      </c>
      <c r="M305" s="88">
        <f t="shared" si="335"/>
      </c>
      <c r="N305" s="86">
        <f t="shared" si="245"/>
      </c>
      <c r="O305" s="86">
        <f t="shared" si="191"/>
      </c>
      <c r="P305" s="86">
        <f t="shared" si="88"/>
      </c>
      <c r="Q305" s="86">
        <f t="shared" si="52"/>
      </c>
      <c r="R305" s="86">
        <f t="shared" si="16"/>
      </c>
      <c r="S305" s="86">
        <f t="shared" si="510"/>
      </c>
      <c r="T305" s="86">
        <f t="shared" si="407"/>
      </c>
      <c r="U305" s="87">
        <f t="shared" si="353"/>
      </c>
      <c r="V305" s="87">
        <f t="shared" si="263"/>
      </c>
      <c r="W305" s="87">
        <f t="shared" si="281"/>
      </c>
      <c r="X305" s="87">
        <f t="shared" si="299"/>
      </c>
      <c r="Y305" s="87">
        <f t="shared" si="209"/>
      </c>
      <c r="Z305" s="87">
        <f t="shared" si="106"/>
      </c>
      <c r="AA305" s="88">
        <f t="shared" si="70"/>
      </c>
      <c r="AB305" s="88">
        <f t="shared" si="34"/>
      </c>
      <c r="AC305" s="88">
        <f t="shared" si="528"/>
      </c>
      <c r="AD305" s="87">
        <f t="shared" si="425"/>
      </c>
      <c r="AE305" s="88">
        <f t="shared" si="371"/>
      </c>
      <c r="AF305" s="87">
        <f t="shared" si="317"/>
      </c>
      <c r="AG305" s="87">
        <f t="shared" si="227"/>
      </c>
      <c r="AH305" s="40">
        <f>SUM(AH302:AH304)</f>
      </c>
      <c r="AI305" s="40">
        <f>SUM(AI302:AI304)</f>
      </c>
      <c r="AJ305" s="40">
        <f>SUM(AJ302:AJ304)</f>
      </c>
      <c r="AK305" s="40">
        <f>SUM(AK302:AK304)</f>
      </c>
      <c r="AL305" s="40">
        <f>SUM(AL302:AL304)</f>
      </c>
      <c r="AM305" s="40">
        <f>SUM(AM302:AM304)</f>
      </c>
      <c r="AN305" s="40">
        <f>SUM(AN302:AN304)</f>
      </c>
      <c r="AO305" s="40">
        <f>SUM(AO302:AO304)</f>
      </c>
      <c r="AP305" s="40">
        <f>SUM(AP302:AP304)</f>
      </c>
      <c r="AQ305" s="40">
        <f>SUM(AQ302:AQ304)</f>
      </c>
      <c r="AR305" s="44">
        <f>SUM(AR302:AR304)</f>
      </c>
    </row>
    <row r="306">
      <c r="A306" s="74"/>
      <c r="B306" s="75" t="s">
        <v>69</v>
      </c>
      <c r="C306" s="76" t="s">
        <v>50</v>
      </c>
      <c r="D306" s="75" t="s">
        <v>73</v>
      </c>
      <c r="E306" s="75" t="s">
        <v>61</v>
      </c>
      <c r="F306" s="77">
        <f t="shared" ref="F306:F307" si="488">H306+G306</f>
      </c>
      <c r="G306" s="78">
        <v>2343.54</v>
      </c>
      <c r="H306" s="78">
        <v>312.32</v>
      </c>
      <c r="I306" s="75">
        <v>3</v>
      </c>
      <c r="J306" s="75">
        <v>2</v>
      </c>
      <c r="K306" s="78">
        <v>1830</v>
      </c>
      <c r="L306" s="79">
        <f t="shared" si="389"/>
      </c>
      <c r="M306" s="80">
        <f t="shared" si="335"/>
      </c>
      <c r="N306" s="81">
        <f t="shared" si="245"/>
      </c>
      <c r="O306" s="81">
        <f t="shared" si="191"/>
      </c>
      <c r="P306" s="81">
        <f t="shared" si="88"/>
      </c>
      <c r="Q306" s="81">
        <f t="shared" si="52"/>
      </c>
      <c r="R306" s="81">
        <f t="shared" si="16"/>
      </c>
      <c r="S306" s="81">
        <f t="shared" si="510"/>
      </c>
      <c r="T306" s="81">
        <f t="shared" si="407"/>
      </c>
      <c r="U306" s="79">
        <f t="shared" si="353"/>
      </c>
      <c r="V306" s="79">
        <f t="shared" si="263"/>
      </c>
      <c r="W306" s="79">
        <f t="shared" si="281"/>
      </c>
      <c r="X306" s="79">
        <f t="shared" si="299"/>
      </c>
      <c r="Y306" s="79">
        <f t="shared" si="209"/>
      </c>
      <c r="Z306" s="79">
        <f t="shared" si="106"/>
      </c>
      <c r="AA306" s="80">
        <f t="shared" si="70"/>
      </c>
      <c r="AB306" s="80">
        <f t="shared" si="34"/>
      </c>
      <c r="AC306" s="80">
        <f t="shared" si="528"/>
      </c>
      <c r="AD306" s="79">
        <f t="shared" si="425"/>
      </c>
      <c r="AE306" s="80">
        <f t="shared" si="371"/>
      </c>
      <c r="AF306" s="79">
        <f t="shared" si="317"/>
      </c>
      <c r="AG306" s="79">
        <f t="shared" si="227"/>
      </c>
      <c r="AH306" s="82">
        <v>38070</v>
      </c>
      <c r="AI306" s="34">
        <v>601</v>
      </c>
      <c r="AJ306" s="34">
        <v>677</v>
      </c>
      <c r="AK306" s="34">
        <v>47</v>
      </c>
      <c r="AL306" s="34">
        <v>3</v>
      </c>
      <c r="AM306" s="34">
        <v>2</v>
      </c>
      <c r="AN306" s="34">
        <v>120</v>
      </c>
      <c r="AO306" s="34">
        <v>75</v>
      </c>
      <c r="AP306" s="34">
        <v>8</v>
      </c>
      <c r="AQ306" s="29">
        <v>0</v>
      </c>
      <c r="AR306" s="36">
        <f t="shared" ref="AR306:AR307" si="169">COUNT(AQ306)</f>
      </c>
    </row>
    <row r="307">
      <c r="A307" s="74"/>
      <c r="B307" s="75" t="s">
        <v>69</v>
      </c>
      <c r="C307" s="76" t="s">
        <v>50</v>
      </c>
      <c r="D307" s="75" t="s">
        <v>73</v>
      </c>
      <c r="E307" s="75" t="s">
        <v>63</v>
      </c>
      <c r="F307" s="77">
        <f t="shared" si="488"/>
      </c>
      <c r="G307" s="78">
        <v>2174.28</v>
      </c>
      <c r="H307" s="78">
        <v>321.24</v>
      </c>
      <c r="I307" s="75">
        <v>8</v>
      </c>
      <c r="J307" s="76">
        <v>5</v>
      </c>
      <c r="K307" s="78">
        <v>3472.5999999999985</v>
      </c>
      <c r="L307" s="79">
        <f t="shared" si="389"/>
      </c>
      <c r="M307" s="80">
        <f t="shared" si="335"/>
      </c>
      <c r="N307" s="81">
        <f t="shared" si="245"/>
      </c>
      <c r="O307" s="81">
        <f t="shared" si="191"/>
      </c>
      <c r="P307" s="81">
        <f t="shared" si="88"/>
      </c>
      <c r="Q307" s="81">
        <f t="shared" si="52"/>
      </c>
      <c r="R307" s="81">
        <f t="shared" si="16"/>
      </c>
      <c r="S307" s="81">
        <f t="shared" si="510"/>
      </c>
      <c r="T307" s="81">
        <f t="shared" si="407"/>
      </c>
      <c r="U307" s="79">
        <f t="shared" si="353"/>
      </c>
      <c r="V307" s="79">
        <f t="shared" si="263"/>
      </c>
      <c r="W307" s="79">
        <f t="shared" si="281"/>
      </c>
      <c r="X307" s="79">
        <f t="shared" si="299"/>
      </c>
      <c r="Y307" s="79">
        <f t="shared" si="209"/>
      </c>
      <c r="Z307" s="79">
        <f t="shared" si="106"/>
      </c>
      <c r="AA307" s="80">
        <f t="shared" si="70"/>
      </c>
      <c r="AB307" s="80">
        <f t="shared" si="34"/>
      </c>
      <c r="AC307" s="80">
        <f t="shared" si="528"/>
      </c>
      <c r="AD307" s="79">
        <f t="shared" si="425"/>
      </c>
      <c r="AE307" s="80">
        <f t="shared" si="371"/>
      </c>
      <c r="AF307" s="79">
        <f t="shared" si="317"/>
      </c>
      <c r="AG307" s="79">
        <f t="shared" si="227"/>
      </c>
      <c r="AH307" s="82">
        <v>31578</v>
      </c>
      <c r="AI307" s="34">
        <v>521</v>
      </c>
      <c r="AJ307" s="34">
        <v>611</v>
      </c>
      <c r="AK307" s="34">
        <v>33</v>
      </c>
      <c r="AL307" s="34">
        <v>8</v>
      </c>
      <c r="AM307" s="34">
        <v>5</v>
      </c>
      <c r="AN307" s="34">
        <v>113</v>
      </c>
      <c r="AO307" s="34">
        <v>91</v>
      </c>
      <c r="AP307" s="34">
        <v>7</v>
      </c>
      <c r="AQ307" s="29">
        <v>0</v>
      </c>
      <c r="AR307" s="36">
        <f t="shared" si="169"/>
      </c>
    </row>
    <row r="308">
      <c r="A308" s="74"/>
      <c r="B308" s="85" t="s">
        <v>56</v>
      </c>
      <c r="C308" s="85"/>
      <c r="D308" s="85"/>
      <c r="E308" s="85"/>
      <c r="F308" s="86">
        <f>SUM(F306:F307)</f>
      </c>
      <c r="G308" s="86">
        <f>SUM(G306:G307)</f>
      </c>
      <c r="H308" s="86">
        <f>SUM(H306:H307)</f>
      </c>
      <c r="I308" s="85">
        <f>SUM(I306:I307)</f>
      </c>
      <c r="J308" s="85">
        <f>SUM(J306:J307)</f>
      </c>
      <c r="K308" s="86">
        <f>SUM(K306:K307)</f>
      </c>
      <c r="L308" s="87">
        <f t="shared" si="389"/>
      </c>
      <c r="M308" s="88">
        <f t="shared" si="335"/>
      </c>
      <c r="N308" s="86">
        <f t="shared" si="245"/>
      </c>
      <c r="O308" s="86">
        <f t="shared" si="191"/>
      </c>
      <c r="P308" s="86">
        <f t="shared" si="88"/>
      </c>
      <c r="Q308" s="86">
        <f t="shared" si="52"/>
      </c>
      <c r="R308" s="86">
        <f t="shared" si="16"/>
      </c>
      <c r="S308" s="86">
        <f t="shared" si="510"/>
      </c>
      <c r="T308" s="86">
        <f t="shared" si="407"/>
      </c>
      <c r="U308" s="87">
        <f t="shared" si="353"/>
      </c>
      <c r="V308" s="87">
        <f t="shared" si="263"/>
      </c>
      <c r="W308" s="87">
        <f t="shared" si="281"/>
      </c>
      <c r="X308" s="87">
        <f t="shared" si="299"/>
      </c>
      <c r="Y308" s="87">
        <f t="shared" si="209"/>
      </c>
      <c r="Z308" s="87">
        <f t="shared" si="106"/>
      </c>
      <c r="AA308" s="88">
        <f t="shared" si="70"/>
      </c>
      <c r="AB308" s="88">
        <f t="shared" si="34"/>
      </c>
      <c r="AC308" s="88">
        <f t="shared" si="528"/>
      </c>
      <c r="AD308" s="87">
        <f t="shared" si="425"/>
      </c>
      <c r="AE308" s="88">
        <f t="shared" si="371"/>
      </c>
      <c r="AF308" s="87">
        <f t="shared" si="317"/>
      </c>
      <c r="AG308" s="87">
        <f t="shared" si="227"/>
      </c>
      <c r="AH308" s="40">
        <f>SUM(AH306:AH307)</f>
      </c>
      <c r="AI308" s="40">
        <f>SUM(AI306:AI307)</f>
      </c>
      <c r="AJ308" s="40">
        <f>SUM(AJ306:AJ307)</f>
      </c>
      <c r="AK308" s="40">
        <f>SUM(AK306:AK307)</f>
      </c>
      <c r="AL308" s="40">
        <f>SUM(AL306:AL307)</f>
      </c>
      <c r="AM308" s="40">
        <f>SUM(AM306:AM307)</f>
      </c>
      <c r="AN308" s="40">
        <f>SUM(AN306:AN307)</f>
      </c>
      <c r="AO308" s="40">
        <f>SUM(AO306:AO307)</f>
      </c>
      <c r="AP308" s="40">
        <f>SUM(AP306:AP307)</f>
      </c>
      <c r="AQ308" s="40">
        <f>SUM(AQ306:AQ307)</f>
      </c>
      <c r="AR308" s="44">
        <f>SUM(AR306:AR307)</f>
      </c>
    </row>
    <row r="309">
      <c r="A309" s="74"/>
      <c r="B309" s="75" t="s">
        <v>69</v>
      </c>
      <c r="C309" s="76" t="s">
        <v>50</v>
      </c>
      <c r="D309" s="75" t="s">
        <v>57</v>
      </c>
      <c r="E309" s="76" t="s">
        <v>64</v>
      </c>
      <c r="F309" s="77">
        <f t="shared" ref="F309:F311" si="489">H309+G309</f>
      </c>
      <c r="G309" s="78">
        <v>2661.15</v>
      </c>
      <c r="H309" s="78">
        <v>348.56</v>
      </c>
      <c r="I309" s="75">
        <v>11</v>
      </c>
      <c r="J309" s="75">
        <v>9</v>
      </c>
      <c r="K309" s="78">
        <v>6394.200000000004</v>
      </c>
      <c r="L309" s="79">
        <f t="shared" si="389"/>
      </c>
      <c r="M309" s="80">
        <f t="shared" si="335"/>
      </c>
      <c r="N309" s="81">
        <f t="shared" si="245"/>
      </c>
      <c r="O309" s="81">
        <f t="shared" si="191"/>
      </c>
      <c r="P309" s="81">
        <f t="shared" si="88"/>
      </c>
      <c r="Q309" s="81">
        <f t="shared" si="52"/>
      </c>
      <c r="R309" s="81">
        <f t="shared" si="16"/>
      </c>
      <c r="S309" s="81">
        <f t="shared" si="510"/>
      </c>
      <c r="T309" s="81">
        <f t="shared" si="407"/>
      </c>
      <c r="U309" s="79">
        <f t="shared" si="353"/>
      </c>
      <c r="V309" s="79">
        <f t="shared" si="263"/>
      </c>
      <c r="W309" s="79">
        <f t="shared" si="281"/>
      </c>
      <c r="X309" s="79">
        <f t="shared" si="299"/>
      </c>
      <c r="Y309" s="79">
        <f t="shared" si="209"/>
      </c>
      <c r="Z309" s="79">
        <f t="shared" si="106"/>
      </c>
      <c r="AA309" s="80">
        <f t="shared" si="70"/>
      </c>
      <c r="AB309" s="80">
        <f t="shared" si="34"/>
      </c>
      <c r="AC309" s="80">
        <f t="shared" si="528"/>
      </c>
      <c r="AD309" s="79">
        <f t="shared" si="425"/>
      </c>
      <c r="AE309" s="80">
        <f t="shared" si="371"/>
      </c>
      <c r="AF309" s="79">
        <f t="shared" si="317"/>
      </c>
      <c r="AG309" s="79">
        <f t="shared" si="227"/>
      </c>
      <c r="AH309" s="82">
        <v>31163</v>
      </c>
      <c r="AI309" s="34">
        <v>573</v>
      </c>
      <c r="AJ309" s="34">
        <v>675</v>
      </c>
      <c r="AK309" s="34">
        <v>71</v>
      </c>
      <c r="AL309" s="29">
        <v>8</v>
      </c>
      <c r="AM309" s="29">
        <v>6</v>
      </c>
      <c r="AN309" s="34">
        <v>133</v>
      </c>
      <c r="AO309" s="34">
        <v>68</v>
      </c>
      <c r="AP309" s="34">
        <v>9</v>
      </c>
      <c r="AQ309" s="29">
        <v>1</v>
      </c>
      <c r="AR309" s="36">
        <f t="shared" ref="AR309:AR311" si="170">COUNT(AQ309)</f>
      </c>
    </row>
    <row r="310">
      <c r="A310" s="74"/>
      <c r="B310" s="75" t="s">
        <v>69</v>
      </c>
      <c r="C310" s="76" t="s">
        <v>50</v>
      </c>
      <c r="D310" s="75" t="s">
        <v>57</v>
      </c>
      <c r="E310" s="76" t="s">
        <v>65</v>
      </c>
      <c r="F310" s="77">
        <f t="shared" si="489"/>
      </c>
      <c r="G310" s="78">
        <v>4683.23</v>
      </c>
      <c r="H310" s="78">
        <v>730.66</v>
      </c>
      <c r="I310" s="75">
        <v>17</v>
      </c>
      <c r="J310" s="75">
        <v>13</v>
      </c>
      <c r="K310" s="78">
        <v>7647.5999999999985</v>
      </c>
      <c r="L310" s="79">
        <f t="shared" si="389"/>
      </c>
      <c r="M310" s="80">
        <f t="shared" si="335"/>
      </c>
      <c r="N310" s="81">
        <f t="shared" si="245"/>
      </c>
      <c r="O310" s="81">
        <f t="shared" si="191"/>
      </c>
      <c r="P310" s="81">
        <f t="shared" si="88"/>
      </c>
      <c r="Q310" s="81">
        <f t="shared" si="52"/>
      </c>
      <c r="R310" s="81">
        <f t="shared" si="16"/>
      </c>
      <c r="S310" s="81">
        <f t="shared" si="510"/>
      </c>
      <c r="T310" s="81">
        <f t="shared" si="407"/>
      </c>
      <c r="U310" s="79">
        <f t="shared" si="353"/>
      </c>
      <c r="V310" s="79">
        <f t="shared" si="263"/>
      </c>
      <c r="W310" s="79">
        <f t="shared" si="281"/>
      </c>
      <c r="X310" s="79">
        <f t="shared" si="299"/>
      </c>
      <c r="Y310" s="79">
        <f t="shared" si="209"/>
      </c>
      <c r="Z310" s="79">
        <f t="shared" si="106"/>
      </c>
      <c r="AA310" s="80">
        <f t="shared" si="70"/>
      </c>
      <c r="AB310" s="80">
        <f t="shared" si="34"/>
      </c>
      <c r="AC310" s="80">
        <f t="shared" si="528"/>
      </c>
      <c r="AD310" s="79">
        <f t="shared" si="425"/>
      </c>
      <c r="AE310" s="80">
        <f t="shared" si="371"/>
      </c>
      <c r="AF310" s="79">
        <f t="shared" si="317"/>
      </c>
      <c r="AG310" s="79">
        <f t="shared" si="227"/>
      </c>
      <c r="AH310" s="82">
        <v>61409</v>
      </c>
      <c r="AI310" s="34">
        <v>1156</v>
      </c>
      <c r="AJ310" s="34">
        <v>1308</v>
      </c>
      <c r="AK310" s="34">
        <v>96</v>
      </c>
      <c r="AL310" s="34">
        <v>13</v>
      </c>
      <c r="AM310" s="34">
        <v>11</v>
      </c>
      <c r="AN310" s="34">
        <v>261</v>
      </c>
      <c r="AO310" s="34">
        <v>149</v>
      </c>
      <c r="AP310" s="34">
        <v>26</v>
      </c>
      <c r="AQ310" s="29">
        <v>1</v>
      </c>
      <c r="AR310" s="36">
        <f t="shared" si="170"/>
      </c>
    </row>
    <row r="311">
      <c r="A311" s="74"/>
      <c r="B311" s="75" t="s">
        <v>69</v>
      </c>
      <c r="C311" s="76" t="s">
        <v>50</v>
      </c>
      <c r="D311" s="75" t="s">
        <v>57</v>
      </c>
      <c r="E311" s="75" t="s">
        <v>66</v>
      </c>
      <c r="F311" s="77">
        <f t="shared" si="489"/>
      </c>
      <c r="G311" s="90">
        <v>3852.84</v>
      </c>
      <c r="H311" s="90">
        <v>361.56</v>
      </c>
      <c r="I311" s="75">
        <v>10</v>
      </c>
      <c r="J311" s="75">
        <v>5</v>
      </c>
      <c r="K311" s="78">
        <v>4538.199999999997</v>
      </c>
      <c r="L311" s="79">
        <f t="shared" si="389"/>
      </c>
      <c r="M311" s="80">
        <f t="shared" si="335"/>
      </c>
      <c r="N311" s="81">
        <f t="shared" si="245"/>
      </c>
      <c r="O311" s="81">
        <f t="shared" si="191"/>
      </c>
      <c r="P311" s="81">
        <f t="shared" si="88"/>
      </c>
      <c r="Q311" s="81">
        <f t="shared" si="52"/>
      </c>
      <c r="R311" s="81">
        <f t="shared" si="16"/>
      </c>
      <c r="S311" s="81">
        <f t="shared" si="510"/>
      </c>
      <c r="T311" s="81">
        <f t="shared" si="407"/>
      </c>
      <c r="U311" s="79">
        <f t="shared" si="353"/>
      </c>
      <c r="V311" s="79">
        <f t="shared" si="263"/>
      </c>
      <c r="W311" s="79">
        <f t="shared" si="281"/>
      </c>
      <c r="X311" s="79">
        <f t="shared" si="299"/>
      </c>
      <c r="Y311" s="79">
        <f t="shared" si="209"/>
      </c>
      <c r="Z311" s="79">
        <f t="shared" si="106"/>
      </c>
      <c r="AA311" s="80">
        <f t="shared" si="70"/>
      </c>
      <c r="AB311" s="80">
        <f t="shared" si="34"/>
      </c>
      <c r="AC311" s="80">
        <f t="shared" si="528"/>
      </c>
      <c r="AD311" s="79">
        <f t="shared" si="425"/>
      </c>
      <c r="AE311" s="80">
        <f t="shared" si="371"/>
      </c>
      <c r="AF311" s="79">
        <f t="shared" si="317"/>
      </c>
      <c r="AG311" s="79">
        <f t="shared" si="227"/>
      </c>
      <c r="AH311" s="84">
        <v>48124</v>
      </c>
      <c r="AI311" s="34">
        <v>871</v>
      </c>
      <c r="AJ311" s="34">
        <v>981</v>
      </c>
      <c r="AK311" s="34">
        <v>54</v>
      </c>
      <c r="AL311" s="29">
        <v>12</v>
      </c>
      <c r="AM311" s="29">
        <v>5</v>
      </c>
      <c r="AN311" s="34">
        <v>184</v>
      </c>
      <c r="AO311" s="34">
        <v>133</v>
      </c>
      <c r="AP311" s="34">
        <v>24</v>
      </c>
      <c r="AQ311" s="29">
        <v>0</v>
      </c>
      <c r="AR311" s="36">
        <f t="shared" si="170"/>
      </c>
    </row>
    <row r="312">
      <c r="A312" s="74"/>
      <c r="B312" s="85" t="s">
        <v>56</v>
      </c>
      <c r="C312" s="85"/>
      <c r="D312" s="85"/>
      <c r="E312" s="85"/>
      <c r="F312" s="86">
        <f>SUM(F309:F311)</f>
      </c>
      <c r="G312" s="86">
        <f>SUM(G309:G311)</f>
      </c>
      <c r="H312" s="86">
        <f>SUM(H309:H311)</f>
      </c>
      <c r="I312" s="85">
        <f>SUM(I309:I311)</f>
      </c>
      <c r="J312" s="85">
        <f>SUM(J309:J311)</f>
      </c>
      <c r="K312" s="86">
        <f>SUM(K309:K311)</f>
      </c>
      <c r="L312" s="87">
        <f t="shared" si="389"/>
      </c>
      <c r="M312" s="88">
        <f t="shared" si="335"/>
      </c>
      <c r="N312" s="86">
        <f t="shared" si="245"/>
      </c>
      <c r="O312" s="86">
        <f t="shared" si="191"/>
      </c>
      <c r="P312" s="86">
        <f t="shared" si="88"/>
      </c>
      <c r="Q312" s="86">
        <f t="shared" si="52"/>
      </c>
      <c r="R312" s="86">
        <f t="shared" si="16"/>
      </c>
      <c r="S312" s="86">
        <f t="shared" si="510"/>
      </c>
      <c r="T312" s="86">
        <f t="shared" si="407"/>
      </c>
      <c r="U312" s="87">
        <f t="shared" si="353"/>
      </c>
      <c r="V312" s="87">
        <f t="shared" si="263"/>
      </c>
      <c r="W312" s="87">
        <f t="shared" si="281"/>
      </c>
      <c r="X312" s="87">
        <f t="shared" si="299"/>
      </c>
      <c r="Y312" s="87">
        <f t="shared" si="209"/>
      </c>
      <c r="Z312" s="87">
        <f t="shared" si="106"/>
      </c>
      <c r="AA312" s="88">
        <f t="shared" si="70"/>
      </c>
      <c r="AB312" s="88">
        <f t="shared" si="34"/>
      </c>
      <c r="AC312" s="88">
        <f t="shared" si="528"/>
      </c>
      <c r="AD312" s="87">
        <f t="shared" si="425"/>
      </c>
      <c r="AE312" s="88">
        <f t="shared" si="371"/>
      </c>
      <c r="AF312" s="87">
        <f t="shared" si="317"/>
      </c>
      <c r="AG312" s="87">
        <f t="shared" si="227"/>
      </c>
      <c r="AH312" s="40">
        <f>SUM(AH309:AH311)</f>
      </c>
      <c r="AI312" s="40">
        <f>SUM(AI309:AI311)</f>
      </c>
      <c r="AJ312" s="40">
        <f>SUM(AJ309:AJ311)</f>
      </c>
      <c r="AK312" s="40">
        <f>SUM(AK309:AK311)</f>
      </c>
      <c r="AL312" s="40">
        <f>SUM(AL309:AL311)</f>
      </c>
      <c r="AM312" s="40">
        <f>SUM(AM309:AM311)</f>
      </c>
      <c r="AN312" s="40">
        <f>SUM(AN309:AN311)</f>
      </c>
      <c r="AO312" s="40">
        <f>SUM(AO309:AO311)</f>
      </c>
      <c r="AP312" s="40">
        <f>SUM(AP309:AP311)</f>
      </c>
      <c r="AQ312" s="40">
        <f>SUM(AQ309:AQ311)</f>
      </c>
      <c r="AR312" s="44">
        <f>SUM(AR309:AR311)</f>
      </c>
    </row>
    <row r="313">
      <c r="A313" s="74"/>
      <c r="B313" s="91" t="s">
        <v>67</v>
      </c>
      <c r="C313" s="91"/>
      <c r="D313" s="91"/>
      <c r="E313" s="91"/>
      <c r="F313" s="92">
        <f>F305+F301+F312+F308</f>
      </c>
      <c r="G313" s="92">
        <f>G305+G301+G312+G308</f>
      </c>
      <c r="H313" s="92">
        <f>H305+H301+H312+H308</f>
      </c>
      <c r="I313" s="92">
        <f>I305+I301+I312+I308</f>
      </c>
      <c r="J313" s="92">
        <f>J305+J301+J312+J308</f>
      </c>
      <c r="K313" s="92">
        <f>K305+K301+K312+K308</f>
      </c>
      <c r="L313" s="93">
        <f t="shared" si="389"/>
      </c>
      <c r="M313" s="94">
        <f t="shared" si="335"/>
      </c>
      <c r="N313" s="92">
        <f t="shared" si="245"/>
      </c>
      <c r="O313" s="92">
        <f t="shared" si="191"/>
      </c>
      <c r="P313" s="92">
        <f t="shared" si="88"/>
      </c>
      <c r="Q313" s="92">
        <f t="shared" si="52"/>
      </c>
      <c r="R313" s="92">
        <f t="shared" si="16"/>
      </c>
      <c r="S313" s="92">
        <f t="shared" si="510"/>
      </c>
      <c r="T313" s="92">
        <f t="shared" si="407"/>
      </c>
      <c r="U313" s="93">
        <f t="shared" si="353"/>
      </c>
      <c r="V313" s="93">
        <f t="shared" si="263"/>
      </c>
      <c r="W313" s="93">
        <f t="shared" si="281"/>
      </c>
      <c r="X313" s="93">
        <f t="shared" si="299"/>
      </c>
      <c r="Y313" s="93">
        <f t="shared" si="209"/>
      </c>
      <c r="Z313" s="93">
        <f t="shared" si="106"/>
      </c>
      <c r="AA313" s="94">
        <f t="shared" si="70"/>
      </c>
      <c r="AB313" s="94">
        <f t="shared" si="34"/>
      </c>
      <c r="AC313" s="94">
        <f t="shared" si="528"/>
      </c>
      <c r="AD313" s="93">
        <f t="shared" si="425"/>
      </c>
      <c r="AE313" s="94">
        <f t="shared" si="371"/>
      </c>
      <c r="AF313" s="93">
        <f t="shared" si="317"/>
      </c>
      <c r="AG313" s="93">
        <f t="shared" si="227"/>
      </c>
      <c r="AH313" s="44">
        <f>AH305+AH301+AH312+AH308</f>
      </c>
      <c r="AI313" s="44">
        <f>AI305+AI301+AI312+AI308</f>
      </c>
      <c r="AJ313" s="44">
        <f>AJ305+AJ301+AJ312+AJ308</f>
      </c>
      <c r="AK313" s="44">
        <f>AK305+AK301+AK312+AK308</f>
      </c>
      <c r="AL313" s="44">
        <f>AL305+AL301+AL312+AL308</f>
      </c>
      <c r="AM313" s="44">
        <f>AM305+AM301+AM312+AM308</f>
      </c>
      <c r="AN313" s="44">
        <f>AN305+AN301+AN312+AN308</f>
      </c>
      <c r="AO313" s="44">
        <f>AO305+AO301+AO312+AO308</f>
      </c>
      <c r="AP313" s="44">
        <f>AP305+AP301+AP312+AP308</f>
      </c>
      <c r="AQ313" s="44">
        <f>AQ305+AQ301+AQ312+AQ308</f>
      </c>
      <c r="AR313" s="44">
        <f>AR305+AR301+AR312+AR308</f>
      </c>
    </row>
    <row r="314">
      <c r="A314" s="59"/>
      <c r="B314" s="59"/>
      <c r="C314" s="59"/>
      <c r="D314" s="59"/>
      <c r="E314" s="59"/>
      <c r="F314" s="60" t="s">
        <v>1</v>
      </c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1" t="s">
        <v>2</v>
      </c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2" t="s">
        <v>3</v>
      </c>
      <c r="AD314" s="62"/>
      <c r="AE314" s="62"/>
      <c r="AF314" s="62"/>
      <c r="AG314" s="62"/>
      <c r="AH314" s="5" t="s">
        <v>4</v>
      </c>
      <c r="AI314" s="5"/>
      <c r="AJ314" s="5"/>
      <c r="AK314" s="5"/>
      <c r="AL314" s="5"/>
      <c r="AM314" s="5"/>
      <c r="AN314" s="5"/>
      <c r="AO314" s="5"/>
      <c r="AP314" s="5"/>
      <c r="AQ314" s="5"/>
      <c r="AR314" s="5"/>
    </row>
    <row r="315">
      <c r="A315" s="63" t="s">
        <v>5</v>
      </c>
      <c r="B315" s="59" t="s">
        <v>6</v>
      </c>
      <c r="C315" s="59" t="s">
        <v>7</v>
      </c>
      <c r="D315" s="59" t="s">
        <v>8</v>
      </c>
      <c r="E315" s="59" t="s">
        <v>9</v>
      </c>
      <c r="F315" s="64" t="s">
        <v>10</v>
      </c>
      <c r="G315" s="65" t="s">
        <v>11</v>
      </c>
      <c r="H315" s="66" t="s">
        <v>12</v>
      </c>
      <c r="I315" s="67" t="s">
        <v>13</v>
      </c>
      <c r="J315" s="67" t="s">
        <v>14</v>
      </c>
      <c r="K315" s="66" t="s">
        <v>15</v>
      </c>
      <c r="L315" s="68" t="s">
        <v>16</v>
      </c>
      <c r="M315" s="69" t="s">
        <v>17</v>
      </c>
      <c r="N315" s="70" t="s">
        <v>18</v>
      </c>
      <c r="O315" s="70" t="s">
        <v>19</v>
      </c>
      <c r="P315" s="70" t="s">
        <v>20</v>
      </c>
      <c r="Q315" s="61" t="s">
        <v>21</v>
      </c>
      <c r="R315" s="61" t="s">
        <v>22</v>
      </c>
      <c r="S315" s="61" t="s">
        <v>23</v>
      </c>
      <c r="T315" s="61" t="s">
        <v>24</v>
      </c>
      <c r="U315" s="71" t="s">
        <v>25</v>
      </c>
      <c r="V315" s="71" t="s">
        <v>26</v>
      </c>
      <c r="W315" s="71" t="s">
        <v>27</v>
      </c>
      <c r="X315" s="71" t="s">
        <v>28</v>
      </c>
      <c r="Y315" s="71" t="s">
        <v>29</v>
      </c>
      <c r="Z315" s="71" t="s">
        <v>30</v>
      </c>
      <c r="AA315" s="72" t="s">
        <v>31</v>
      </c>
      <c r="AB315" s="72" t="s">
        <v>32</v>
      </c>
      <c r="AC315" s="62" t="s">
        <v>33</v>
      </c>
      <c r="AD315" s="73" t="s">
        <v>34</v>
      </c>
      <c r="AE315" s="62" t="s">
        <v>35</v>
      </c>
      <c r="AF315" s="73" t="s">
        <v>36</v>
      </c>
      <c r="AG315" s="73" t="s">
        <v>37</v>
      </c>
      <c r="AH315" s="22" t="s">
        <v>38</v>
      </c>
      <c r="AI315" s="22" t="s">
        <v>39</v>
      </c>
      <c r="AJ315" s="22" t="s">
        <v>40</v>
      </c>
      <c r="AK315" s="22" t="s">
        <v>41</v>
      </c>
      <c r="AL315" s="22" t="s">
        <v>42</v>
      </c>
      <c r="AM315" s="22" t="s">
        <v>43</v>
      </c>
      <c r="AN315" s="22" t="s">
        <v>44</v>
      </c>
      <c r="AO315" s="22" t="s">
        <v>45</v>
      </c>
      <c r="AP315" s="22" t="s">
        <v>46</v>
      </c>
      <c r="AQ315" s="22" t="s">
        <v>47</v>
      </c>
      <c r="AR315" s="23" t="s">
        <v>48</v>
      </c>
    </row>
    <row r="316">
      <c r="A316" s="74">
        <v>46314</v>
      </c>
      <c r="B316" s="75" t="s">
        <v>69</v>
      </c>
      <c r="C316" s="76" t="s">
        <v>50</v>
      </c>
      <c r="D316" s="75" t="s">
        <v>51</v>
      </c>
      <c r="E316" s="75" t="s">
        <v>52</v>
      </c>
      <c r="F316" s="77">
        <f t="shared" ref="F316:F319" si="490">H316+G316</f>
      </c>
      <c r="G316" s="78">
        <v>2291.35</v>
      </c>
      <c r="H316" s="78">
        <v>515.58</v>
      </c>
      <c r="I316" s="75">
        <v>6</v>
      </c>
      <c r="J316" s="75">
        <v>8</v>
      </c>
      <c r="K316" s="78">
        <v>5629.200000000001</v>
      </c>
      <c r="L316" s="79">
        <f t="shared" ref="L316:L332" si="390">AQ316/J316</f>
      </c>
      <c r="M316" s="80">
        <f t="shared" ref="M316:M332" si="336">K316/J316</f>
      </c>
      <c r="N316" s="81">
        <f t="shared" ref="N316:N332" si="246">F316/J316</f>
      </c>
      <c r="O316" s="81">
        <f t="shared" ref="O316:O332" si="192">K316/F316</f>
      </c>
      <c r="P316" s="81">
        <f t="shared" ref="P316:P332" si="89">K316/((300*AR316)+F316)</f>
      </c>
      <c r="Q316" s="81">
        <f t="shared" ref="Q316:Q332" si="53">F316/AJ316</f>
      </c>
      <c r="R316" s="81">
        <f t="shared" ref="R316:R332" si="17">F316/AK316</f>
      </c>
      <c r="S316" s="81">
        <f t="shared" ref="S316:S332" si="511">F316/AL316</f>
      </c>
      <c r="T316" s="81">
        <f t="shared" ref="T316:T332" si="408">F316/AM316</f>
      </c>
      <c r="U316" s="79">
        <f t="shared" ref="U316:U332" si="354">AI316/AJ316</f>
      </c>
      <c r="V316" s="79">
        <f t="shared" ref="V316:V332" si="264">AK316/AJ316</f>
      </c>
      <c r="W316" s="79">
        <f t="shared" ref="W316:W332" si="282">AL316/AK316</f>
      </c>
      <c r="X316" s="79">
        <f t="shared" ref="X316:X332" si="300">AM316/AL316</f>
      </c>
      <c r="Y316" s="79">
        <f t="shared" ref="Y316:Y332" si="210">AI316/AH316</f>
      </c>
      <c r="Z316" s="79">
        <f t="shared" ref="Z316:Z332" si="107">AM316/AI316</f>
      </c>
      <c r="AA316" s="80">
        <f t="shared" ref="AA316:AA332" si="71">F316/AH316*1000</f>
      </c>
      <c r="AB316" s="80">
        <f t="shared" ref="AB316:AB332" si="35">F316/AI316</f>
      </c>
      <c r="AC316" s="80">
        <f t="shared" ref="AC316:AC332" si="529">F316/AN316</f>
      </c>
      <c r="AD316" s="79">
        <f t="shared" ref="AD316:AD332" si="426">AN316/AJ316</f>
      </c>
      <c r="AE316" s="80">
        <f t="shared" ref="AE316:AE332" si="372">F316/AO316</f>
      </c>
      <c r="AF316" s="79">
        <f t="shared" ref="AF316:AF332" si="318">AO316/AJ316</f>
      </c>
      <c r="AG316" s="79">
        <f t="shared" ref="AG316:AG332" si="228">AP316/AJ316</f>
      </c>
      <c r="AH316" s="82">
        <v>31637</v>
      </c>
      <c r="AI316" s="35">
        <v>526</v>
      </c>
      <c r="AJ316" s="35">
        <v>548</v>
      </c>
      <c r="AK316" s="34">
        <v>43</v>
      </c>
      <c r="AL316" s="34">
        <v>5</v>
      </c>
      <c r="AM316" s="34">
        <v>4</v>
      </c>
      <c r="AN316" s="34">
        <v>110</v>
      </c>
      <c r="AO316" s="34">
        <v>78</v>
      </c>
      <c r="AP316" s="29">
        <v>19</v>
      </c>
      <c r="AQ316" s="29">
        <v>3</v>
      </c>
      <c r="AR316" s="36">
        <f t="shared" ref="AR316:AR319" si="171">COUNT(AQ316)</f>
      </c>
    </row>
    <row r="317">
      <c r="A317" s="74"/>
      <c r="B317" s="75" t="s">
        <v>69</v>
      </c>
      <c r="C317" s="76" t="s">
        <v>50</v>
      </c>
      <c r="D317" s="75" t="s">
        <v>51</v>
      </c>
      <c r="E317" s="75" t="s">
        <v>53</v>
      </c>
      <c r="F317" s="77">
        <f t="shared" si="490"/>
      </c>
      <c r="G317" s="83">
        <v>2518.38</v>
      </c>
      <c r="H317" s="78">
        <v>472.44</v>
      </c>
      <c r="I317" s="75">
        <v>6</v>
      </c>
      <c r="J317" s="75">
        <v>6</v>
      </c>
      <c r="K317" s="78">
        <v>4436.399999999998</v>
      </c>
      <c r="L317" s="79">
        <f t="shared" si="390"/>
      </c>
      <c r="M317" s="80">
        <f t="shared" si="336"/>
      </c>
      <c r="N317" s="81">
        <f t="shared" si="246"/>
      </c>
      <c r="O317" s="81">
        <f t="shared" si="192"/>
      </c>
      <c r="P317" s="81">
        <f t="shared" si="89"/>
      </c>
      <c r="Q317" s="81">
        <f t="shared" si="53"/>
      </c>
      <c r="R317" s="81">
        <f t="shared" si="17"/>
      </c>
      <c r="S317" s="81">
        <f t="shared" si="511"/>
      </c>
      <c r="T317" s="81">
        <f t="shared" si="408"/>
      </c>
      <c r="U317" s="79">
        <f t="shared" si="354"/>
      </c>
      <c r="V317" s="79">
        <f t="shared" si="264"/>
      </c>
      <c r="W317" s="79">
        <f t="shared" si="282"/>
      </c>
      <c r="X317" s="79">
        <f t="shared" si="300"/>
      </c>
      <c r="Y317" s="79">
        <f t="shared" si="210"/>
      </c>
      <c r="Z317" s="79">
        <f t="shared" si="107"/>
      </c>
      <c r="AA317" s="80">
        <f t="shared" si="71"/>
      </c>
      <c r="AB317" s="80">
        <f t="shared" si="35"/>
      </c>
      <c r="AC317" s="80">
        <f t="shared" si="529"/>
      </c>
      <c r="AD317" s="79">
        <f t="shared" si="426"/>
      </c>
      <c r="AE317" s="80">
        <f t="shared" si="372"/>
      </c>
      <c r="AF317" s="79">
        <f t="shared" si="318"/>
      </c>
      <c r="AG317" s="79">
        <f t="shared" si="228"/>
      </c>
      <c r="AH317" s="84">
        <v>31209</v>
      </c>
      <c r="AI317" s="34">
        <v>556</v>
      </c>
      <c r="AJ317" s="34">
        <v>616</v>
      </c>
      <c r="AK317" s="34">
        <v>35</v>
      </c>
      <c r="AL317" s="34">
        <v>6</v>
      </c>
      <c r="AM317" s="34">
        <v>5</v>
      </c>
      <c r="AN317" s="34">
        <v>112</v>
      </c>
      <c r="AO317" s="34">
        <v>98</v>
      </c>
      <c r="AP317" s="34">
        <v>13</v>
      </c>
      <c r="AQ317" s="29">
        <v>1</v>
      </c>
      <c r="AR317" s="36">
        <f t="shared" si="171"/>
      </c>
    </row>
    <row r="318">
      <c r="A318" s="74"/>
      <c r="B318" s="75" t="s">
        <v>69</v>
      </c>
      <c r="C318" s="76" t="s">
        <v>50</v>
      </c>
      <c r="D318" s="75" t="s">
        <v>51</v>
      </c>
      <c r="E318" s="75" t="s">
        <v>54</v>
      </c>
      <c r="F318" s="77">
        <f t="shared" si="490"/>
      </c>
      <c r="G318" s="78"/>
      <c r="H318" s="78"/>
      <c r="I318" s="104">
        <v>13</v>
      </c>
      <c r="J318" s="104">
        <v>13</v>
      </c>
      <c r="K318" s="105">
        <v>7900.5999999999985</v>
      </c>
      <c r="L318" s="79">
        <f t="shared" si="390"/>
      </c>
      <c r="M318" s="80">
        <f t="shared" si="336"/>
      </c>
      <c r="N318" s="81">
        <f t="shared" si="246"/>
      </c>
      <c r="O318" s="81">
        <f t="shared" si="192"/>
      </c>
      <c r="P318" s="81">
        <f t="shared" si="89"/>
      </c>
      <c r="Q318" s="81">
        <f t="shared" si="53"/>
      </c>
      <c r="R318" s="81">
        <f t="shared" si="17"/>
      </c>
      <c r="S318" s="81">
        <f t="shared" si="511"/>
      </c>
      <c r="T318" s="81">
        <f t="shared" si="408"/>
      </c>
      <c r="U318" s="79">
        <f t="shared" si="354"/>
      </c>
      <c r="V318" s="79">
        <f t="shared" si="264"/>
      </c>
      <c r="W318" s="79">
        <f t="shared" si="282"/>
      </c>
      <c r="X318" s="79">
        <f t="shared" si="300"/>
      </c>
      <c r="Y318" s="79">
        <f t="shared" si="210"/>
      </c>
      <c r="Z318" s="79">
        <f t="shared" si="107"/>
      </c>
      <c r="AA318" s="80">
        <f t="shared" si="71"/>
      </c>
      <c r="AB318" s="80">
        <f t="shared" si="35"/>
      </c>
      <c r="AC318" s="80">
        <f t="shared" si="529"/>
      </c>
      <c r="AD318" s="79">
        <f t="shared" si="426"/>
      </c>
      <c r="AE318" s="80">
        <f t="shared" si="372"/>
      </c>
      <c r="AF318" s="79">
        <f t="shared" si="318"/>
      </c>
      <c r="AG318" s="79">
        <f t="shared" si="228"/>
      </c>
      <c r="AH318" s="84"/>
      <c r="AI318" s="34"/>
      <c r="AJ318" s="34"/>
      <c r="AK318" s="34"/>
      <c r="AL318" s="29"/>
      <c r="AM318" s="34"/>
      <c r="AN318" s="34"/>
      <c r="AO318" s="34"/>
      <c r="AP318" s="34"/>
      <c r="AQ318" s="106">
        <v>2</v>
      </c>
      <c r="AR318" s="36">
        <f t="shared" si="171"/>
      </c>
    </row>
    <row r="319">
      <c r="A319" s="74"/>
      <c r="B319" s="75" t="s">
        <v>69</v>
      </c>
      <c r="C319" s="76" t="s">
        <v>50</v>
      </c>
      <c r="D319" s="75" t="s">
        <v>51</v>
      </c>
      <c r="E319" s="75" t="s">
        <v>55</v>
      </c>
      <c r="F319" s="77">
        <f t="shared" si="490"/>
      </c>
      <c r="G319" s="78"/>
      <c r="H319" s="78"/>
      <c r="I319" s="75"/>
      <c r="J319" s="75"/>
      <c r="K319" s="78"/>
      <c r="L319" s="79">
        <f t="shared" si="390"/>
      </c>
      <c r="M319" s="80">
        <f t="shared" si="336"/>
      </c>
      <c r="N319" s="81">
        <f t="shared" si="246"/>
      </c>
      <c r="O319" s="81">
        <f t="shared" si="192"/>
      </c>
      <c r="P319" s="81">
        <f t="shared" si="89"/>
      </c>
      <c r="Q319" s="81">
        <f t="shared" si="53"/>
      </c>
      <c r="R319" s="81">
        <f t="shared" si="17"/>
      </c>
      <c r="S319" s="81">
        <f t="shared" si="511"/>
      </c>
      <c r="T319" s="81">
        <f t="shared" si="408"/>
      </c>
      <c r="U319" s="79">
        <f t="shared" si="354"/>
      </c>
      <c r="V319" s="79">
        <f t="shared" si="264"/>
      </c>
      <c r="W319" s="79">
        <f t="shared" si="282"/>
      </c>
      <c r="X319" s="79">
        <f t="shared" si="300"/>
      </c>
      <c r="Y319" s="79">
        <f t="shared" si="210"/>
      </c>
      <c r="Z319" s="79">
        <f t="shared" si="107"/>
      </c>
      <c r="AA319" s="80">
        <f t="shared" si="71"/>
      </c>
      <c r="AB319" s="80">
        <f t="shared" si="35"/>
      </c>
      <c r="AC319" s="80">
        <f t="shared" si="529"/>
      </c>
      <c r="AD319" s="79">
        <f t="shared" si="426"/>
      </c>
      <c r="AE319" s="80">
        <f t="shared" si="372"/>
      </c>
      <c r="AF319" s="79">
        <f t="shared" si="318"/>
      </c>
      <c r="AG319" s="79">
        <f t="shared" si="228"/>
      </c>
      <c r="AH319" s="84"/>
      <c r="AI319" s="34"/>
      <c r="AJ319" s="34"/>
      <c r="AK319" s="34"/>
      <c r="AL319" s="29"/>
      <c r="AM319" s="34"/>
      <c r="AN319" s="34"/>
      <c r="AO319" s="34"/>
      <c r="AP319" s="29"/>
      <c r="AQ319" s="29"/>
      <c r="AR319" s="36">
        <f t="shared" si="171"/>
      </c>
    </row>
    <row r="320">
      <c r="A320" s="74"/>
      <c r="B320" s="85" t="s">
        <v>56</v>
      </c>
      <c r="C320" s="85"/>
      <c r="D320" s="85"/>
      <c r="E320" s="85"/>
      <c r="F320" s="86">
        <f>SUM(F316:F319)</f>
      </c>
      <c r="G320" s="86">
        <f>SUM(G316:G319)</f>
      </c>
      <c r="H320" s="86">
        <f>SUM(H316:H319)</f>
      </c>
      <c r="I320" s="85">
        <f>SUM(I316:I319)</f>
      </c>
      <c r="J320" s="85">
        <f>SUM(J316:J319)</f>
      </c>
      <c r="K320" s="86">
        <f>SUM(K316:K319)</f>
      </c>
      <c r="L320" s="87">
        <f t="shared" si="390"/>
      </c>
      <c r="M320" s="88">
        <f t="shared" si="336"/>
      </c>
      <c r="N320" s="86">
        <f t="shared" si="246"/>
      </c>
      <c r="O320" s="86">
        <f t="shared" si="192"/>
      </c>
      <c r="P320" s="86">
        <f t="shared" si="89"/>
      </c>
      <c r="Q320" s="86">
        <f t="shared" si="53"/>
      </c>
      <c r="R320" s="86">
        <f t="shared" si="17"/>
      </c>
      <c r="S320" s="86">
        <f t="shared" si="511"/>
      </c>
      <c r="T320" s="86">
        <f t="shared" si="408"/>
      </c>
      <c r="U320" s="87">
        <f t="shared" si="354"/>
      </c>
      <c r="V320" s="87">
        <f t="shared" si="264"/>
      </c>
      <c r="W320" s="87">
        <f t="shared" si="282"/>
      </c>
      <c r="X320" s="87">
        <f t="shared" si="300"/>
      </c>
      <c r="Y320" s="87">
        <f t="shared" si="210"/>
      </c>
      <c r="Z320" s="87">
        <f t="shared" si="107"/>
      </c>
      <c r="AA320" s="88">
        <f t="shared" si="71"/>
      </c>
      <c r="AB320" s="88">
        <f t="shared" si="35"/>
      </c>
      <c r="AC320" s="88">
        <f t="shared" si="529"/>
      </c>
      <c r="AD320" s="87">
        <f t="shared" si="426"/>
      </c>
      <c r="AE320" s="88">
        <f t="shared" si="372"/>
      </c>
      <c r="AF320" s="87">
        <f t="shared" si="318"/>
      </c>
      <c r="AG320" s="87">
        <f t="shared" si="228"/>
      </c>
      <c r="AH320" s="40">
        <f>SUM(AH316:AH319)</f>
      </c>
      <c r="AI320" s="40">
        <f>SUM(AI316:AI319)</f>
      </c>
      <c r="AJ320" s="40">
        <f>SUM(AJ316:AJ319)</f>
      </c>
      <c r="AK320" s="40">
        <f>SUM(AK316:AK319)</f>
      </c>
      <c r="AL320" s="40">
        <f>SUM(AL316:AL319)</f>
      </c>
      <c r="AM320" s="40">
        <f>SUM(AM316:AM319)</f>
      </c>
      <c r="AN320" s="40">
        <f>SUM(AN316:AN319)</f>
      </c>
      <c r="AO320" s="40">
        <f>SUM(AO316:AO319)</f>
      </c>
      <c r="AP320" s="40">
        <f>SUM(AP316:AP319)</f>
      </c>
      <c r="AQ320" s="40">
        <f>SUM(AQ316:AQ319)</f>
      </c>
      <c r="AR320" s="44">
        <f>SUM(AR316:AR319)</f>
      </c>
    </row>
    <row r="321">
      <c r="A321" s="74"/>
      <c r="B321" s="75" t="s">
        <v>69</v>
      </c>
      <c r="C321" s="76" t="s">
        <v>50</v>
      </c>
      <c r="D321" s="75" t="s">
        <v>71</v>
      </c>
      <c r="E321" s="75" t="s">
        <v>58</v>
      </c>
      <c r="F321" s="77">
        <f t="shared" ref="F321:F323" si="491">H321+G321</f>
      </c>
      <c r="G321" s="78"/>
      <c r="H321" s="78"/>
      <c r="I321" s="75"/>
      <c r="J321" s="75"/>
      <c r="K321" s="78"/>
      <c r="L321" s="79">
        <f t="shared" si="390"/>
      </c>
      <c r="M321" s="80">
        <f t="shared" si="336"/>
      </c>
      <c r="N321" s="81">
        <f t="shared" si="246"/>
      </c>
      <c r="O321" s="81">
        <f t="shared" si="192"/>
      </c>
      <c r="P321" s="81">
        <f t="shared" si="89"/>
      </c>
      <c r="Q321" s="81">
        <f t="shared" si="53"/>
      </c>
      <c r="R321" s="81">
        <f t="shared" si="17"/>
      </c>
      <c r="S321" s="81">
        <f t="shared" si="511"/>
      </c>
      <c r="T321" s="81">
        <f t="shared" si="408"/>
      </c>
      <c r="U321" s="79">
        <f t="shared" si="354"/>
      </c>
      <c r="V321" s="79">
        <f t="shared" si="264"/>
      </c>
      <c r="W321" s="79">
        <f t="shared" si="282"/>
      </c>
      <c r="X321" s="79">
        <f t="shared" si="300"/>
      </c>
      <c r="Y321" s="79">
        <f t="shared" si="210"/>
      </c>
      <c r="Z321" s="79">
        <f t="shared" si="107"/>
      </c>
      <c r="AA321" s="80">
        <f t="shared" si="71"/>
      </c>
      <c r="AB321" s="80">
        <f t="shared" si="35"/>
      </c>
      <c r="AC321" s="80">
        <f t="shared" si="529"/>
      </c>
      <c r="AD321" s="79">
        <f t="shared" si="426"/>
      </c>
      <c r="AE321" s="80">
        <f t="shared" si="372"/>
      </c>
      <c r="AF321" s="79">
        <f t="shared" si="318"/>
      </c>
      <c r="AG321" s="79">
        <f t="shared" si="228"/>
      </c>
      <c r="AH321" s="82"/>
      <c r="AI321" s="34"/>
      <c r="AJ321" s="34"/>
      <c r="AK321" s="34"/>
      <c r="AL321" s="29"/>
      <c r="AM321" s="29"/>
      <c r="AN321" s="34"/>
      <c r="AO321" s="34"/>
      <c r="AP321" s="34"/>
      <c r="AQ321" s="29"/>
      <c r="AR321" s="36">
        <f t="shared" ref="AR321:AR323" si="172">COUNT(AQ321)</f>
      </c>
    </row>
    <row r="322">
      <c r="A322" s="74"/>
      <c r="B322" s="75" t="s">
        <v>69</v>
      </c>
      <c r="C322" s="76" t="s">
        <v>50</v>
      </c>
      <c r="D322" s="75" t="s">
        <v>71</v>
      </c>
      <c r="E322" s="75" t="s">
        <v>59</v>
      </c>
      <c r="F322" s="77">
        <f t="shared" si="491"/>
      </c>
      <c r="G322" s="78"/>
      <c r="H322" s="78"/>
      <c r="I322" s="75"/>
      <c r="J322" s="75"/>
      <c r="K322" s="78"/>
      <c r="L322" s="79">
        <f t="shared" si="390"/>
      </c>
      <c r="M322" s="80">
        <f t="shared" si="336"/>
      </c>
      <c r="N322" s="81">
        <f t="shared" si="246"/>
      </c>
      <c r="O322" s="81">
        <f t="shared" si="192"/>
      </c>
      <c r="P322" s="81">
        <f t="shared" si="89"/>
      </c>
      <c r="Q322" s="81">
        <f t="shared" si="53"/>
      </c>
      <c r="R322" s="81">
        <f t="shared" si="17"/>
      </c>
      <c r="S322" s="81">
        <f t="shared" si="511"/>
      </c>
      <c r="T322" s="81">
        <f t="shared" si="408"/>
      </c>
      <c r="U322" s="79">
        <f t="shared" si="354"/>
      </c>
      <c r="V322" s="79">
        <f t="shared" si="264"/>
      </c>
      <c r="W322" s="79">
        <f t="shared" si="282"/>
      </c>
      <c r="X322" s="79">
        <f t="shared" si="300"/>
      </c>
      <c r="Y322" s="79">
        <f t="shared" si="210"/>
      </c>
      <c r="Z322" s="79">
        <f t="shared" si="107"/>
      </c>
      <c r="AA322" s="80">
        <f t="shared" si="71"/>
      </c>
      <c r="AB322" s="80">
        <f t="shared" si="35"/>
      </c>
      <c r="AC322" s="80">
        <f t="shared" si="529"/>
      </c>
      <c r="AD322" s="79">
        <f t="shared" si="426"/>
      </c>
      <c r="AE322" s="80">
        <f t="shared" si="372"/>
      </c>
      <c r="AF322" s="79">
        <f t="shared" si="318"/>
      </c>
      <c r="AG322" s="79">
        <f t="shared" si="228"/>
      </c>
      <c r="AH322" s="82"/>
      <c r="AI322" s="34"/>
      <c r="AJ322" s="34"/>
      <c r="AK322" s="34"/>
      <c r="AL322" s="29"/>
      <c r="AM322" s="29"/>
      <c r="AN322" s="34"/>
      <c r="AO322" s="34"/>
      <c r="AP322" s="34"/>
      <c r="AQ322" s="29"/>
      <c r="AR322" s="36">
        <f t="shared" si="172"/>
      </c>
    </row>
    <row r="323">
      <c r="A323" s="74"/>
      <c r="B323" s="75" t="s">
        <v>69</v>
      </c>
      <c r="C323" s="76" t="s">
        <v>50</v>
      </c>
      <c r="D323" s="75" t="s">
        <v>71</v>
      </c>
      <c r="E323" s="75" t="s">
        <v>60</v>
      </c>
      <c r="F323" s="77">
        <f t="shared" si="491"/>
      </c>
      <c r="G323" s="78"/>
      <c r="H323" s="78"/>
      <c r="I323" s="75"/>
      <c r="J323" s="75"/>
      <c r="K323" s="78"/>
      <c r="L323" s="79">
        <f t="shared" si="390"/>
      </c>
      <c r="M323" s="80">
        <f t="shared" si="336"/>
      </c>
      <c r="N323" s="81">
        <f t="shared" si="246"/>
      </c>
      <c r="O323" s="81">
        <f t="shared" si="192"/>
      </c>
      <c r="P323" s="81">
        <f t="shared" si="89"/>
      </c>
      <c r="Q323" s="81">
        <f t="shared" si="53"/>
      </c>
      <c r="R323" s="81">
        <f t="shared" si="17"/>
      </c>
      <c r="S323" s="81">
        <f t="shared" si="511"/>
      </c>
      <c r="T323" s="81">
        <f t="shared" si="408"/>
      </c>
      <c r="U323" s="79">
        <f t="shared" si="354"/>
      </c>
      <c r="V323" s="79">
        <f t="shared" si="264"/>
      </c>
      <c r="W323" s="79">
        <f t="shared" si="282"/>
      </c>
      <c r="X323" s="79">
        <f t="shared" si="300"/>
      </c>
      <c r="Y323" s="79">
        <f t="shared" si="210"/>
      </c>
      <c r="Z323" s="79">
        <f t="shared" si="107"/>
      </c>
      <c r="AA323" s="80">
        <f t="shared" si="71"/>
      </c>
      <c r="AB323" s="80">
        <f t="shared" si="35"/>
      </c>
      <c r="AC323" s="80">
        <f t="shared" si="529"/>
      </c>
      <c r="AD323" s="79">
        <f t="shared" si="426"/>
      </c>
      <c r="AE323" s="80">
        <f t="shared" si="372"/>
      </c>
      <c r="AF323" s="79">
        <f t="shared" si="318"/>
      </c>
      <c r="AG323" s="79">
        <f t="shared" si="228"/>
      </c>
      <c r="AH323" s="82"/>
      <c r="AI323" s="34"/>
      <c r="AJ323" s="34"/>
      <c r="AK323" s="34"/>
      <c r="AL323" s="34"/>
      <c r="AM323" s="34"/>
      <c r="AN323" s="34"/>
      <c r="AO323" s="34"/>
      <c r="AP323" s="34"/>
      <c r="AQ323" s="29"/>
      <c r="AR323" s="36">
        <f t="shared" si="172"/>
      </c>
    </row>
    <row r="324">
      <c r="A324" s="74"/>
      <c r="B324" s="85" t="s">
        <v>56</v>
      </c>
      <c r="C324" s="85"/>
      <c r="D324" s="85"/>
      <c r="E324" s="85"/>
      <c r="F324" s="86">
        <f>SUM(F321:F323)</f>
      </c>
      <c r="G324" s="86">
        <f>SUM(G321:G323)</f>
      </c>
      <c r="H324" s="86">
        <f>SUM(H321:H323)</f>
      </c>
      <c r="I324" s="85">
        <f>SUM(I321:I323)</f>
      </c>
      <c r="J324" s="85">
        <f>SUM(J321:J323)</f>
      </c>
      <c r="K324" s="86">
        <f>SUM(K321:K323)</f>
      </c>
      <c r="L324" s="87">
        <f t="shared" si="390"/>
      </c>
      <c r="M324" s="88">
        <f t="shared" si="336"/>
      </c>
      <c r="N324" s="86">
        <f t="shared" si="246"/>
      </c>
      <c r="O324" s="86">
        <f t="shared" si="192"/>
      </c>
      <c r="P324" s="86">
        <f t="shared" si="89"/>
      </c>
      <c r="Q324" s="86">
        <f t="shared" si="53"/>
      </c>
      <c r="R324" s="86">
        <f t="shared" si="17"/>
      </c>
      <c r="S324" s="86">
        <f t="shared" si="511"/>
      </c>
      <c r="T324" s="86">
        <f t="shared" si="408"/>
      </c>
      <c r="U324" s="87">
        <f t="shared" si="354"/>
      </c>
      <c r="V324" s="87">
        <f t="shared" si="264"/>
      </c>
      <c r="W324" s="87">
        <f t="shared" si="282"/>
      </c>
      <c r="X324" s="87">
        <f t="shared" si="300"/>
      </c>
      <c r="Y324" s="87">
        <f t="shared" si="210"/>
      </c>
      <c r="Z324" s="87">
        <f t="shared" si="107"/>
      </c>
      <c r="AA324" s="88">
        <f t="shared" si="71"/>
      </c>
      <c r="AB324" s="88">
        <f t="shared" si="35"/>
      </c>
      <c r="AC324" s="88">
        <f t="shared" si="529"/>
      </c>
      <c r="AD324" s="87">
        <f t="shared" si="426"/>
      </c>
      <c r="AE324" s="88">
        <f t="shared" si="372"/>
      </c>
      <c r="AF324" s="87">
        <f t="shared" si="318"/>
      </c>
      <c r="AG324" s="87">
        <f t="shared" si="228"/>
      </c>
      <c r="AH324" s="40">
        <f>SUM(AH321:AH323)</f>
      </c>
      <c r="AI324" s="40">
        <f>SUM(AI321:AI323)</f>
      </c>
      <c r="AJ324" s="40">
        <f>SUM(AJ321:AJ323)</f>
      </c>
      <c r="AK324" s="40">
        <f>SUM(AK321:AK323)</f>
      </c>
      <c r="AL324" s="40">
        <f>SUM(AL321:AL323)</f>
      </c>
      <c r="AM324" s="40">
        <f>SUM(AM321:AM323)</f>
      </c>
      <c r="AN324" s="40">
        <f>SUM(AN321:AN323)</f>
      </c>
      <c r="AO324" s="40">
        <f>SUM(AO321:AO323)</f>
      </c>
      <c r="AP324" s="40">
        <f>SUM(AP321:AP323)</f>
      </c>
      <c r="AQ324" s="40">
        <f>SUM(AQ321:AQ323)</f>
      </c>
      <c r="AR324" s="44">
        <f>SUM(AR321:AR323)</f>
      </c>
    </row>
    <row r="325">
      <c r="A325" s="74"/>
      <c r="B325" s="75" t="s">
        <v>69</v>
      </c>
      <c r="C325" s="76" t="s">
        <v>50</v>
      </c>
      <c r="D325" s="75" t="s">
        <v>73</v>
      </c>
      <c r="E325" s="75" t="s">
        <v>61</v>
      </c>
      <c r="F325" s="77">
        <f t="shared" ref="F325:F326" si="492">H325+G325</f>
      </c>
      <c r="G325" s="78"/>
      <c r="H325" s="78"/>
      <c r="I325" s="75"/>
      <c r="J325" s="75"/>
      <c r="K325" s="78"/>
      <c r="L325" s="79">
        <f t="shared" si="390"/>
      </c>
      <c r="M325" s="80">
        <f t="shared" si="336"/>
      </c>
      <c r="N325" s="81">
        <f t="shared" si="246"/>
      </c>
      <c r="O325" s="81">
        <f t="shared" si="192"/>
      </c>
      <c r="P325" s="81">
        <f t="shared" si="89"/>
      </c>
      <c r="Q325" s="81">
        <f t="shared" si="53"/>
      </c>
      <c r="R325" s="81">
        <f t="shared" si="17"/>
      </c>
      <c r="S325" s="81">
        <f t="shared" si="511"/>
      </c>
      <c r="T325" s="81">
        <f t="shared" si="408"/>
      </c>
      <c r="U325" s="79">
        <f t="shared" si="354"/>
      </c>
      <c r="V325" s="79">
        <f t="shared" si="264"/>
      </c>
      <c r="W325" s="79">
        <f t="shared" si="282"/>
      </c>
      <c r="X325" s="79">
        <f t="shared" si="300"/>
      </c>
      <c r="Y325" s="79">
        <f t="shared" si="210"/>
      </c>
      <c r="Z325" s="79">
        <f t="shared" si="107"/>
      </c>
      <c r="AA325" s="80">
        <f t="shared" si="71"/>
      </c>
      <c r="AB325" s="80">
        <f t="shared" si="35"/>
      </c>
      <c r="AC325" s="80">
        <f t="shared" si="529"/>
      </c>
      <c r="AD325" s="79">
        <f t="shared" si="426"/>
      </c>
      <c r="AE325" s="80">
        <f t="shared" si="372"/>
      </c>
      <c r="AF325" s="79">
        <f t="shared" si="318"/>
      </c>
      <c r="AG325" s="79">
        <f t="shared" si="228"/>
      </c>
      <c r="AH325" s="82"/>
      <c r="AI325" s="34"/>
      <c r="AJ325" s="34"/>
      <c r="AK325" s="34"/>
      <c r="AL325" s="34"/>
      <c r="AM325" s="34"/>
      <c r="AN325" s="34"/>
      <c r="AO325" s="34"/>
      <c r="AP325" s="34"/>
      <c r="AQ325" s="29"/>
      <c r="AR325" s="36">
        <f t="shared" ref="AR325:AR326" si="173">COUNT(AQ325)</f>
      </c>
    </row>
    <row r="326">
      <c r="A326" s="74"/>
      <c r="B326" s="75" t="s">
        <v>69</v>
      </c>
      <c r="C326" s="76" t="s">
        <v>50</v>
      </c>
      <c r="D326" s="75" t="s">
        <v>73</v>
      </c>
      <c r="E326" s="75" t="s">
        <v>63</v>
      </c>
      <c r="F326" s="77">
        <f t="shared" si="492"/>
      </c>
      <c r="G326" s="78"/>
      <c r="H326" s="78"/>
      <c r="I326" s="75"/>
      <c r="J326" s="76"/>
      <c r="K326" s="78"/>
      <c r="L326" s="79">
        <f t="shared" si="390"/>
      </c>
      <c r="M326" s="80">
        <f t="shared" si="336"/>
      </c>
      <c r="N326" s="81">
        <f t="shared" si="246"/>
      </c>
      <c r="O326" s="81">
        <f t="shared" si="192"/>
      </c>
      <c r="P326" s="81">
        <f t="shared" si="89"/>
      </c>
      <c r="Q326" s="81">
        <f t="shared" si="53"/>
      </c>
      <c r="R326" s="81">
        <f t="shared" si="17"/>
      </c>
      <c r="S326" s="81">
        <f t="shared" si="511"/>
      </c>
      <c r="T326" s="81">
        <f t="shared" si="408"/>
      </c>
      <c r="U326" s="79">
        <f t="shared" si="354"/>
      </c>
      <c r="V326" s="79">
        <f t="shared" si="264"/>
      </c>
      <c r="W326" s="79">
        <f t="shared" si="282"/>
      </c>
      <c r="X326" s="79">
        <f t="shared" si="300"/>
      </c>
      <c r="Y326" s="79">
        <f t="shared" si="210"/>
      </c>
      <c r="Z326" s="79">
        <f t="shared" si="107"/>
      </c>
      <c r="AA326" s="80">
        <f t="shared" si="71"/>
      </c>
      <c r="AB326" s="80">
        <f t="shared" si="35"/>
      </c>
      <c r="AC326" s="80">
        <f t="shared" si="529"/>
      </c>
      <c r="AD326" s="79">
        <f t="shared" si="426"/>
      </c>
      <c r="AE326" s="80">
        <f t="shared" si="372"/>
      </c>
      <c r="AF326" s="79">
        <f t="shared" si="318"/>
      </c>
      <c r="AG326" s="79">
        <f t="shared" si="228"/>
      </c>
      <c r="AH326" s="82"/>
      <c r="AI326" s="34"/>
      <c r="AJ326" s="34"/>
      <c r="AK326" s="34"/>
      <c r="AL326" s="34"/>
      <c r="AM326" s="34"/>
      <c r="AN326" s="34"/>
      <c r="AO326" s="34"/>
      <c r="AP326" s="34"/>
      <c r="AQ326" s="29"/>
      <c r="AR326" s="36">
        <f t="shared" si="173"/>
      </c>
    </row>
    <row r="327">
      <c r="A327" s="74"/>
      <c r="B327" s="85" t="s">
        <v>56</v>
      </c>
      <c r="C327" s="85"/>
      <c r="D327" s="85"/>
      <c r="E327" s="85"/>
      <c r="F327" s="86">
        <f>SUM(F325:F326)</f>
      </c>
      <c r="G327" s="86">
        <f>SUM(G325:G326)</f>
      </c>
      <c r="H327" s="86">
        <f>SUM(H325:H326)</f>
      </c>
      <c r="I327" s="85">
        <f>SUM(I325:I326)</f>
      </c>
      <c r="J327" s="85">
        <f>SUM(J325:J326)</f>
      </c>
      <c r="K327" s="86">
        <f>SUM(K325:K326)</f>
      </c>
      <c r="L327" s="87">
        <f t="shared" si="390"/>
      </c>
      <c r="M327" s="88">
        <f t="shared" si="336"/>
      </c>
      <c r="N327" s="86">
        <f t="shared" si="246"/>
      </c>
      <c r="O327" s="86">
        <f t="shared" si="192"/>
      </c>
      <c r="P327" s="86">
        <f t="shared" si="89"/>
      </c>
      <c r="Q327" s="86">
        <f t="shared" si="53"/>
      </c>
      <c r="R327" s="86">
        <f t="shared" si="17"/>
      </c>
      <c r="S327" s="86">
        <f t="shared" si="511"/>
      </c>
      <c r="T327" s="86">
        <f t="shared" si="408"/>
      </c>
      <c r="U327" s="87">
        <f t="shared" si="354"/>
      </c>
      <c r="V327" s="87">
        <f t="shared" si="264"/>
      </c>
      <c r="W327" s="87">
        <f t="shared" si="282"/>
      </c>
      <c r="X327" s="87">
        <f t="shared" si="300"/>
      </c>
      <c r="Y327" s="87">
        <f t="shared" si="210"/>
      </c>
      <c r="Z327" s="87">
        <f t="shared" si="107"/>
      </c>
      <c r="AA327" s="88">
        <f t="shared" si="71"/>
      </c>
      <c r="AB327" s="88">
        <f t="shared" si="35"/>
      </c>
      <c r="AC327" s="88">
        <f t="shared" si="529"/>
      </c>
      <c r="AD327" s="87">
        <f t="shared" si="426"/>
      </c>
      <c r="AE327" s="88">
        <f t="shared" si="372"/>
      </c>
      <c r="AF327" s="87">
        <f t="shared" si="318"/>
      </c>
      <c r="AG327" s="87">
        <f t="shared" si="228"/>
      </c>
      <c r="AH327" s="40">
        <f>SUM(AH325:AH326)</f>
      </c>
      <c r="AI327" s="40">
        <f>SUM(AI325:AI326)</f>
      </c>
      <c r="AJ327" s="40">
        <f>SUM(AJ325:AJ326)</f>
      </c>
      <c r="AK327" s="40">
        <f>SUM(AK325:AK326)</f>
      </c>
      <c r="AL327" s="40">
        <f>SUM(AL325:AL326)</f>
      </c>
      <c r="AM327" s="40">
        <f>SUM(AM325:AM326)</f>
      </c>
      <c r="AN327" s="40">
        <f>SUM(AN325:AN326)</f>
      </c>
      <c r="AO327" s="40">
        <f>SUM(AO325:AO326)</f>
      </c>
      <c r="AP327" s="40">
        <f>SUM(AP325:AP326)</f>
      </c>
      <c r="AQ327" s="40">
        <f>SUM(AQ325:AQ326)</f>
      </c>
      <c r="AR327" s="44">
        <f>SUM(AR325:AR326)</f>
      </c>
    </row>
    <row r="328">
      <c r="A328" s="74"/>
      <c r="B328" s="75" t="s">
        <v>69</v>
      </c>
      <c r="C328" s="76" t="s">
        <v>50</v>
      </c>
      <c r="D328" s="75" t="s">
        <v>57</v>
      </c>
      <c r="E328" s="76" t="s">
        <v>64</v>
      </c>
      <c r="F328" s="77">
        <f t="shared" ref="F328:F330" si="493">H328+G328</f>
      </c>
      <c r="G328" s="78"/>
      <c r="H328" s="78"/>
      <c r="I328" s="75"/>
      <c r="J328" s="75"/>
      <c r="K328" s="78"/>
      <c r="L328" s="79">
        <f t="shared" si="390"/>
      </c>
      <c r="M328" s="80">
        <f t="shared" si="336"/>
      </c>
      <c r="N328" s="81">
        <f t="shared" si="246"/>
      </c>
      <c r="O328" s="81">
        <f t="shared" si="192"/>
      </c>
      <c r="P328" s="81">
        <f t="shared" si="89"/>
      </c>
      <c r="Q328" s="81">
        <f t="shared" si="53"/>
      </c>
      <c r="R328" s="81">
        <f t="shared" si="17"/>
      </c>
      <c r="S328" s="81">
        <f t="shared" si="511"/>
      </c>
      <c r="T328" s="81">
        <f t="shared" si="408"/>
      </c>
      <c r="U328" s="79">
        <f t="shared" si="354"/>
      </c>
      <c r="V328" s="79">
        <f t="shared" si="264"/>
      </c>
      <c r="W328" s="79">
        <f t="shared" si="282"/>
      </c>
      <c r="X328" s="79">
        <f t="shared" si="300"/>
      </c>
      <c r="Y328" s="79">
        <f t="shared" si="210"/>
      </c>
      <c r="Z328" s="79">
        <f t="shared" si="107"/>
      </c>
      <c r="AA328" s="80">
        <f t="shared" si="71"/>
      </c>
      <c r="AB328" s="80">
        <f t="shared" si="35"/>
      </c>
      <c r="AC328" s="80">
        <f t="shared" si="529"/>
      </c>
      <c r="AD328" s="79">
        <f t="shared" si="426"/>
      </c>
      <c r="AE328" s="80">
        <f t="shared" si="372"/>
      </c>
      <c r="AF328" s="79">
        <f t="shared" si="318"/>
      </c>
      <c r="AG328" s="79">
        <f t="shared" si="228"/>
      </c>
      <c r="AH328" s="82"/>
      <c r="AI328" s="34"/>
      <c r="AJ328" s="34"/>
      <c r="AK328" s="34"/>
      <c r="AL328" s="29"/>
      <c r="AM328" s="29"/>
      <c r="AN328" s="34"/>
      <c r="AO328" s="34"/>
      <c r="AP328" s="34"/>
      <c r="AQ328" s="29"/>
      <c r="AR328" s="36">
        <f t="shared" ref="AR328:AR330" si="174">COUNT(AQ328)</f>
      </c>
    </row>
    <row r="329">
      <c r="A329" s="74"/>
      <c r="B329" s="75" t="s">
        <v>69</v>
      </c>
      <c r="C329" s="76" t="s">
        <v>50</v>
      </c>
      <c r="D329" s="75" t="s">
        <v>57</v>
      </c>
      <c r="E329" s="76" t="s">
        <v>65</v>
      </c>
      <c r="F329" s="77">
        <f t="shared" si="493"/>
      </c>
      <c r="G329" s="78"/>
      <c r="H329" s="78"/>
      <c r="I329" s="75"/>
      <c r="J329" s="75"/>
      <c r="K329" s="78"/>
      <c r="L329" s="79">
        <f t="shared" si="390"/>
      </c>
      <c r="M329" s="80">
        <f t="shared" si="336"/>
      </c>
      <c r="N329" s="81">
        <f t="shared" si="246"/>
      </c>
      <c r="O329" s="81">
        <f t="shared" si="192"/>
      </c>
      <c r="P329" s="81">
        <f t="shared" si="89"/>
      </c>
      <c r="Q329" s="81">
        <f t="shared" si="53"/>
      </c>
      <c r="R329" s="81">
        <f t="shared" si="17"/>
      </c>
      <c r="S329" s="81">
        <f t="shared" si="511"/>
      </c>
      <c r="T329" s="81">
        <f t="shared" si="408"/>
      </c>
      <c r="U329" s="79">
        <f t="shared" si="354"/>
      </c>
      <c r="V329" s="79">
        <f t="shared" si="264"/>
      </c>
      <c r="W329" s="79">
        <f t="shared" si="282"/>
      </c>
      <c r="X329" s="79">
        <f t="shared" si="300"/>
      </c>
      <c r="Y329" s="79">
        <f t="shared" si="210"/>
      </c>
      <c r="Z329" s="79">
        <f t="shared" si="107"/>
      </c>
      <c r="AA329" s="80">
        <f t="shared" si="71"/>
      </c>
      <c r="AB329" s="80">
        <f t="shared" si="35"/>
      </c>
      <c r="AC329" s="80">
        <f t="shared" si="529"/>
      </c>
      <c r="AD329" s="79">
        <f t="shared" si="426"/>
      </c>
      <c r="AE329" s="80">
        <f t="shared" si="372"/>
      </c>
      <c r="AF329" s="79">
        <f t="shared" si="318"/>
      </c>
      <c r="AG329" s="79">
        <f t="shared" si="228"/>
      </c>
      <c r="AH329" s="82"/>
      <c r="AI329" s="34"/>
      <c r="AJ329" s="34"/>
      <c r="AK329" s="34"/>
      <c r="AL329" s="34"/>
      <c r="AM329" s="34"/>
      <c r="AN329" s="34"/>
      <c r="AO329" s="34"/>
      <c r="AP329" s="34"/>
      <c r="AQ329" s="29"/>
      <c r="AR329" s="36">
        <f t="shared" si="174"/>
      </c>
    </row>
    <row r="330">
      <c r="A330" s="74"/>
      <c r="B330" s="75" t="s">
        <v>69</v>
      </c>
      <c r="C330" s="76" t="s">
        <v>50</v>
      </c>
      <c r="D330" s="75" t="s">
        <v>57</v>
      </c>
      <c r="E330" s="75" t="s">
        <v>66</v>
      </c>
      <c r="F330" s="77">
        <f t="shared" si="493"/>
      </c>
      <c r="G330" s="90"/>
      <c r="H330" s="90"/>
      <c r="I330" s="75"/>
      <c r="J330" s="75"/>
      <c r="K330" s="78"/>
      <c r="L330" s="79">
        <f t="shared" si="390"/>
      </c>
      <c r="M330" s="80">
        <f t="shared" si="336"/>
      </c>
      <c r="N330" s="81">
        <f t="shared" si="246"/>
      </c>
      <c r="O330" s="81">
        <f t="shared" si="192"/>
      </c>
      <c r="P330" s="81">
        <f t="shared" si="89"/>
      </c>
      <c r="Q330" s="81">
        <f t="shared" si="53"/>
      </c>
      <c r="R330" s="81">
        <f t="shared" si="17"/>
      </c>
      <c r="S330" s="81">
        <f t="shared" si="511"/>
      </c>
      <c r="T330" s="81">
        <f t="shared" si="408"/>
      </c>
      <c r="U330" s="79">
        <f t="shared" si="354"/>
      </c>
      <c r="V330" s="79">
        <f t="shared" si="264"/>
      </c>
      <c r="W330" s="79">
        <f t="shared" si="282"/>
      </c>
      <c r="X330" s="79">
        <f t="shared" si="300"/>
      </c>
      <c r="Y330" s="79">
        <f t="shared" si="210"/>
      </c>
      <c r="Z330" s="79">
        <f t="shared" si="107"/>
      </c>
      <c r="AA330" s="80">
        <f t="shared" si="71"/>
      </c>
      <c r="AB330" s="80">
        <f t="shared" si="35"/>
      </c>
      <c r="AC330" s="80">
        <f t="shared" si="529"/>
      </c>
      <c r="AD330" s="79">
        <f t="shared" si="426"/>
      </c>
      <c r="AE330" s="80">
        <f t="shared" si="372"/>
      </c>
      <c r="AF330" s="79">
        <f t="shared" si="318"/>
      </c>
      <c r="AG330" s="79">
        <f t="shared" si="228"/>
      </c>
      <c r="AH330" s="84"/>
      <c r="AI330" s="34"/>
      <c r="AJ330" s="34"/>
      <c r="AK330" s="34"/>
      <c r="AL330" s="29"/>
      <c r="AM330" s="29"/>
      <c r="AN330" s="34"/>
      <c r="AO330" s="34"/>
      <c r="AP330" s="34"/>
      <c r="AQ330" s="29"/>
      <c r="AR330" s="36">
        <f t="shared" si="174"/>
      </c>
    </row>
    <row r="331">
      <c r="A331" s="74"/>
      <c r="B331" s="85" t="s">
        <v>56</v>
      </c>
      <c r="C331" s="85"/>
      <c r="D331" s="85"/>
      <c r="E331" s="85"/>
      <c r="F331" s="86">
        <f>SUM(F328:F330)</f>
      </c>
      <c r="G331" s="86">
        <f>SUM(G328:G330)</f>
      </c>
      <c r="H331" s="86">
        <f>SUM(H328:H330)</f>
      </c>
      <c r="I331" s="85">
        <f>SUM(I328:I330)</f>
      </c>
      <c r="J331" s="85">
        <f>SUM(J328:J330)</f>
      </c>
      <c r="K331" s="86">
        <f>SUM(K328:K330)</f>
      </c>
      <c r="L331" s="87">
        <f t="shared" si="390"/>
      </c>
      <c r="M331" s="88">
        <f t="shared" si="336"/>
      </c>
      <c r="N331" s="86">
        <f t="shared" si="246"/>
      </c>
      <c r="O331" s="86">
        <f t="shared" si="192"/>
      </c>
      <c r="P331" s="86">
        <f t="shared" si="89"/>
      </c>
      <c r="Q331" s="86">
        <f t="shared" si="53"/>
      </c>
      <c r="R331" s="86">
        <f t="shared" si="17"/>
      </c>
      <c r="S331" s="86">
        <f t="shared" si="511"/>
      </c>
      <c r="T331" s="86">
        <f t="shared" si="408"/>
      </c>
      <c r="U331" s="87">
        <f t="shared" si="354"/>
      </c>
      <c r="V331" s="87">
        <f t="shared" si="264"/>
      </c>
      <c r="W331" s="87">
        <f t="shared" si="282"/>
      </c>
      <c r="X331" s="87">
        <f t="shared" si="300"/>
      </c>
      <c r="Y331" s="87">
        <f t="shared" si="210"/>
      </c>
      <c r="Z331" s="87">
        <f t="shared" si="107"/>
      </c>
      <c r="AA331" s="88">
        <f t="shared" si="71"/>
      </c>
      <c r="AB331" s="88">
        <f t="shared" si="35"/>
      </c>
      <c r="AC331" s="88">
        <f t="shared" si="529"/>
      </c>
      <c r="AD331" s="87">
        <f t="shared" si="426"/>
      </c>
      <c r="AE331" s="88">
        <f t="shared" si="372"/>
      </c>
      <c r="AF331" s="87">
        <f t="shared" si="318"/>
      </c>
      <c r="AG331" s="87">
        <f t="shared" si="228"/>
      </c>
      <c r="AH331" s="40">
        <f>SUM(AH328:AH330)</f>
      </c>
      <c r="AI331" s="40">
        <f>SUM(AI328:AI330)</f>
      </c>
      <c r="AJ331" s="40">
        <f>SUM(AJ328:AJ330)</f>
      </c>
      <c r="AK331" s="40">
        <f>SUM(AK328:AK330)</f>
      </c>
      <c r="AL331" s="40">
        <f>SUM(AL328:AL330)</f>
      </c>
      <c r="AM331" s="40">
        <f>SUM(AM328:AM330)</f>
      </c>
      <c r="AN331" s="40">
        <f>SUM(AN328:AN330)</f>
      </c>
      <c r="AO331" s="40">
        <f>SUM(AO328:AO330)</f>
      </c>
      <c r="AP331" s="40">
        <f>SUM(AP328:AP330)</f>
      </c>
      <c r="AQ331" s="40">
        <f>SUM(AQ328:AQ330)</f>
      </c>
      <c r="AR331" s="44">
        <f>SUM(AR328:AR330)</f>
      </c>
    </row>
    <row r="332">
      <c r="A332" s="74"/>
      <c r="B332" s="91" t="s">
        <v>67</v>
      </c>
      <c r="C332" s="91"/>
      <c r="D332" s="91"/>
      <c r="E332" s="91"/>
      <c r="F332" s="92">
        <f>F324+F320+F331+F327</f>
      </c>
      <c r="G332" s="92">
        <f>G324+G320+G331+G327</f>
      </c>
      <c r="H332" s="92">
        <f>H324+H320+H331+H327</f>
      </c>
      <c r="I332" s="92">
        <f>I324+I320+I331+I327</f>
      </c>
      <c r="J332" s="92">
        <f>J324+J320+J331+J327</f>
      </c>
      <c r="K332" s="92">
        <f>K324+K320+K331+K327</f>
      </c>
      <c r="L332" s="93">
        <f t="shared" si="390"/>
      </c>
      <c r="M332" s="94">
        <f t="shared" si="336"/>
      </c>
      <c r="N332" s="92">
        <f t="shared" si="246"/>
      </c>
      <c r="O332" s="92">
        <f t="shared" si="192"/>
      </c>
      <c r="P332" s="92">
        <f t="shared" si="89"/>
      </c>
      <c r="Q332" s="92">
        <f t="shared" si="53"/>
      </c>
      <c r="R332" s="92">
        <f t="shared" si="17"/>
      </c>
      <c r="S332" s="92">
        <f t="shared" si="511"/>
      </c>
      <c r="T332" s="92">
        <f t="shared" si="408"/>
      </c>
      <c r="U332" s="93">
        <f t="shared" si="354"/>
      </c>
      <c r="V332" s="93">
        <f t="shared" si="264"/>
      </c>
      <c r="W332" s="93">
        <f t="shared" si="282"/>
      </c>
      <c r="X332" s="93">
        <f t="shared" si="300"/>
      </c>
      <c r="Y332" s="93">
        <f t="shared" si="210"/>
      </c>
      <c r="Z332" s="93">
        <f t="shared" si="107"/>
      </c>
      <c r="AA332" s="94">
        <f t="shared" si="71"/>
      </c>
      <c r="AB332" s="94">
        <f t="shared" si="35"/>
      </c>
      <c r="AC332" s="94">
        <f t="shared" si="529"/>
      </c>
      <c r="AD332" s="93">
        <f t="shared" si="426"/>
      </c>
      <c r="AE332" s="94">
        <f t="shared" si="372"/>
      </c>
      <c r="AF332" s="93">
        <f t="shared" si="318"/>
      </c>
      <c r="AG332" s="93">
        <f t="shared" si="228"/>
      </c>
      <c r="AH332" s="44">
        <f>AH324+AH320+AH331+AH327</f>
      </c>
      <c r="AI332" s="44">
        <f>AI324+AI320+AI331+AI327</f>
      </c>
      <c r="AJ332" s="44">
        <f>AJ324+AJ320+AJ331+AJ327</f>
      </c>
      <c r="AK332" s="44">
        <f>AK324+AK320+AK331+AK327</f>
      </c>
      <c r="AL332" s="44">
        <f>AL324+AL320+AL331+AL327</f>
      </c>
      <c r="AM332" s="44">
        <f>AM324+AM320+AM331+AM327</f>
      </c>
      <c r="AN332" s="44">
        <f>AN324+AN320+AN331+AN327</f>
      </c>
      <c r="AO332" s="44">
        <f>AO324+AO320+AO331+AO327</f>
      </c>
      <c r="AP332" s="44">
        <f>AP324+AP320+AP331+AP327</f>
      </c>
      <c r="AQ332" s="44">
        <f>AQ324+AQ320+AQ331+AQ327</f>
      </c>
      <c r="AR332" s="44">
        <f>AR324+AR320+AR331+AR327</f>
      </c>
    </row>
    <row r="333">
      <c r="A333" s="107"/>
      <c r="B333" s="107"/>
      <c r="C333" s="107"/>
      <c r="D333" s="107"/>
      <c r="E333" s="107"/>
      <c r="F333" s="107"/>
      <c r="I333" s="108">
        <f>I334-I332</f>
      </c>
      <c r="J333" s="108">
        <f>J334-J332</f>
      </c>
      <c r="K333" s="108">
        <f>K334-K332</f>
      </c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107"/>
      <c r="AB333" s="107"/>
      <c r="AC333" s="107"/>
      <c r="AD333" s="107"/>
      <c r="AE333" s="107"/>
      <c r="AF333" s="107"/>
      <c r="AG333" s="107"/>
      <c r="AH333" s="107">
        <f>AH334-AH332</f>
      </c>
      <c r="AI333" s="107">
        <f>AI334-AI332</f>
      </c>
      <c r="AJ333" s="107">
        <f>AJ334-AJ332</f>
      </c>
      <c r="AK333" s="107">
        <f>AK334-AK332</f>
      </c>
      <c r="AL333" s="107">
        <f>AL334-AL332</f>
      </c>
      <c r="AM333" s="107">
        <f>AM334-AM332</f>
      </c>
      <c r="AN333" s="107">
        <f>AN334-AN332</f>
      </c>
      <c r="AO333" s="107">
        <f>AO334-AO332</f>
      </c>
      <c r="AP333" s="107">
        <f>AP334-AP332</f>
      </c>
      <c r="AQ333" s="107"/>
      <c r="AR333" s="107"/>
    </row>
    <row r="334">
      <c r="I334" s="109">
        <v>25</v>
      </c>
      <c r="J334" s="108" cm="1">
        <f t="array" ref="J334:J334">IMPORTRANGE("https://meimeiwangluo.feishu.cn/sheets/DgmEs6UhHhIEDRtCWdlcHn9qnUd","'Sheet1'!D1")</f>
      </c>
      <c r="K334" s="108" cm="1">
        <f t="array" ref="K334:K334">IMPORTRANGE("https://meimeiwangluo.feishu.cn/sheets/DgmEs6UhHhIEDRtCWdlcHn9qnUd","'Sheet1'!E1")</f>
      </c>
    </row>
  </sheetData>
  <mergeCells>
    <mergeCell ref="B275:E275"/>
    <mergeCell ref="B274:E274"/>
    <mergeCell ref="B270:E270"/>
    <mergeCell ref="B267:E267"/>
    <mergeCell ref="B263:E263"/>
    <mergeCell ref="A259:A275"/>
    <mergeCell ref="A257:E257"/>
    <mergeCell ref="AC257:AG257"/>
    <mergeCell ref="Q257:AB257"/>
    <mergeCell ref="F257:P257"/>
    <mergeCell ref="AH257:AR257"/>
    <mergeCell ref="B251:E251"/>
    <mergeCell ref="A245:E245"/>
    <mergeCell ref="AC245:AG245"/>
    <mergeCell ref="Q245:AB245"/>
    <mergeCell ref="F245:P245"/>
    <mergeCell ref="AH245:AR245"/>
    <mergeCell ref="B244:E244"/>
    <mergeCell ref="B243:E243"/>
    <mergeCell ref="A228:A244"/>
    <mergeCell ref="AH208:AR208"/>
    <mergeCell ref="F208:P208"/>
    <mergeCell ref="Q208:AB208"/>
    <mergeCell ref="AC208:AG208"/>
    <mergeCell ref="B207:E207"/>
    <mergeCell ref="B206:E206"/>
    <mergeCell ref="B202:E202"/>
    <mergeCell ref="B199:E199"/>
    <mergeCell ref="B195:E195"/>
    <mergeCell ref="A191:A207"/>
    <mergeCell ref="A189:E189"/>
    <mergeCell ref="AC189:AG189"/>
    <mergeCell ref="Q189:AB189"/>
    <mergeCell ref="F189:P189"/>
    <mergeCell ref="AH189:AR189"/>
    <mergeCell ref="B188:E188"/>
    <mergeCell ref="B187:E187"/>
    <mergeCell ref="B183:E183"/>
    <mergeCell ref="B180:E180"/>
    <mergeCell ref="B176:E176"/>
    <mergeCell ref="A172:A188"/>
    <mergeCell ref="A170:E170"/>
    <mergeCell ref="AC170:AG170"/>
    <mergeCell ref="Q170:AB170"/>
    <mergeCell ref="F170:P170"/>
    <mergeCell ref="AH170:AR170"/>
    <mergeCell ref="B169:E169"/>
    <mergeCell ref="B168:E168"/>
    <mergeCell ref="B164:E164"/>
    <mergeCell ref="B161:E161"/>
    <mergeCell ref="B157:E157"/>
    <mergeCell ref="A153:A169"/>
    <mergeCell ref="A151:E151"/>
    <mergeCell ref="AC151:AG151"/>
    <mergeCell ref="Q151:AB151"/>
    <mergeCell ref="F151:P151"/>
    <mergeCell ref="AH151:AR151"/>
    <mergeCell ref="B150:E150"/>
    <mergeCell ref="B149:E149"/>
    <mergeCell ref="B145:E145"/>
    <mergeCell ref="B142:E142"/>
    <mergeCell ref="B138:E138"/>
    <mergeCell ref="A134:A150"/>
    <mergeCell ref="A132:E132"/>
    <mergeCell ref="AC132:AG132"/>
    <mergeCell ref="Q132:AB132"/>
    <mergeCell ref="F132:P132"/>
    <mergeCell ref="AH132:AR132"/>
    <mergeCell ref="B131:E131"/>
    <mergeCell ref="B130:E130"/>
    <mergeCell ref="B126:E126"/>
    <mergeCell ref="B123:E123"/>
    <mergeCell ref="B119:E119"/>
    <mergeCell ref="A115:A131"/>
    <mergeCell ref="A113:E113"/>
    <mergeCell ref="AC113:AG113"/>
    <mergeCell ref="Q113:AB113"/>
    <mergeCell ref="F113:P113"/>
    <mergeCell ref="AH113:AR113"/>
    <mergeCell ref="B112:E112"/>
    <mergeCell ref="B111:E111"/>
    <mergeCell ref="B107:E107"/>
    <mergeCell ref="B104:E104"/>
    <mergeCell ref="B100:E100"/>
    <mergeCell ref="A96:A112"/>
    <mergeCell ref="A94:E94"/>
    <mergeCell ref="AC94:AG94"/>
    <mergeCell ref="Q94:AB94"/>
    <mergeCell ref="F94:P94"/>
    <mergeCell ref="AH94:AR94"/>
    <mergeCell ref="A56:E56"/>
    <mergeCell ref="AC56:AG56"/>
    <mergeCell ref="Q56:AB56"/>
    <mergeCell ref="F56:P56"/>
    <mergeCell ref="AH56:AR56"/>
    <mergeCell ref="A58:A74"/>
    <mergeCell ref="B63:E63"/>
    <mergeCell ref="B66:E66"/>
    <mergeCell ref="B69:E69"/>
    <mergeCell ref="B73:E73"/>
    <mergeCell ref="B74:E74"/>
    <mergeCell ref="B50:E50"/>
    <mergeCell ref="A39:A55"/>
    <mergeCell ref="B54:E54"/>
    <mergeCell ref="B55:E55"/>
    <mergeCell ref="B44:E44"/>
    <mergeCell ref="B47:E47"/>
    <mergeCell ref="A21:A36"/>
    <mergeCell ref="B31:E31"/>
    <mergeCell ref="B35:E35"/>
    <mergeCell ref="B36:E36"/>
    <mergeCell ref="AH1:AR1"/>
    <mergeCell ref="F1:P1"/>
    <mergeCell ref="Q1:AB1"/>
    <mergeCell ref="AC1:AG1"/>
    <mergeCell ref="A1:E1"/>
    <mergeCell ref="A3:A18"/>
    <mergeCell ref="B7:E7"/>
    <mergeCell ref="B12:E12"/>
    <mergeCell ref="B17:E17"/>
    <mergeCell ref="B18:E18"/>
    <mergeCell ref="AH19:AR19"/>
    <mergeCell ref="F19:P19"/>
    <mergeCell ref="Q19:AB19"/>
    <mergeCell ref="AC19:AG19"/>
    <mergeCell ref="A19:E19"/>
    <mergeCell ref="B25:E25"/>
    <mergeCell ref="AH37:AR37"/>
    <mergeCell ref="F37:P37"/>
    <mergeCell ref="Q37:AB37"/>
    <mergeCell ref="AC37:AG37"/>
    <mergeCell ref="A37:E37"/>
    <mergeCell ref="A75:E75"/>
    <mergeCell ref="AC75:AG75"/>
    <mergeCell ref="Q75:AB75"/>
    <mergeCell ref="F75:P75"/>
    <mergeCell ref="AH75:AR75"/>
    <mergeCell ref="B81:E81"/>
    <mergeCell ref="B93:E93"/>
    <mergeCell ref="B92:E92"/>
    <mergeCell ref="B88:E88"/>
    <mergeCell ref="B85:E85"/>
    <mergeCell ref="A77:A93"/>
    <mergeCell ref="A208:E208"/>
    <mergeCell ref="A210:A225"/>
    <mergeCell ref="B214:E214"/>
    <mergeCell ref="B219:E219"/>
    <mergeCell ref="B224:E224"/>
    <mergeCell ref="B225:E225"/>
    <mergeCell ref="A226:E226"/>
    <mergeCell ref="AC226:AG226"/>
    <mergeCell ref="Q226:AB226"/>
    <mergeCell ref="F226:P226"/>
    <mergeCell ref="AH226:AR226"/>
    <mergeCell ref="B231:E231"/>
    <mergeCell ref="B235:E235"/>
    <mergeCell ref="B238:E238"/>
    <mergeCell ref="A247:A256"/>
    <mergeCell ref="B255:E255"/>
    <mergeCell ref="B256:E256"/>
    <mergeCell ref="A276:E276"/>
    <mergeCell ref="AC276:AG276"/>
    <mergeCell ref="Q276:AB276"/>
    <mergeCell ref="F276:P276"/>
    <mergeCell ref="AH276:AR276"/>
    <mergeCell ref="A278:A294"/>
    <mergeCell ref="B282:E282"/>
    <mergeCell ref="B286:E286"/>
    <mergeCell ref="B289:E289"/>
    <mergeCell ref="B293:E293"/>
    <mergeCell ref="B294:E294"/>
    <mergeCell ref="A295:E295"/>
    <mergeCell ref="AC295:AG295"/>
    <mergeCell ref="Q295:AB295"/>
    <mergeCell ref="F295:P295"/>
    <mergeCell ref="AH295:AR295"/>
    <mergeCell ref="A297:A313"/>
    <mergeCell ref="B301:E301"/>
    <mergeCell ref="B305:E305"/>
    <mergeCell ref="B308:E308"/>
    <mergeCell ref="B312:E312"/>
    <mergeCell ref="B313:E313"/>
    <mergeCell ref="A314:E314"/>
    <mergeCell ref="AC314:AG314"/>
    <mergeCell ref="Q314:AB314"/>
    <mergeCell ref="F314:P314"/>
    <mergeCell ref="AH314:AR314"/>
    <mergeCell ref="A316:A332"/>
    <mergeCell ref="B320:E320"/>
    <mergeCell ref="B324:E324"/>
    <mergeCell ref="B327:E327"/>
    <mergeCell ref="B331:E331"/>
    <mergeCell ref="B332:E332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s="110"/>
      <c r="B1" s="110"/>
      <c r="C1" s="110"/>
      <c r="D1" s="110"/>
      <c r="E1" s="110"/>
      <c r="F1" s="111" t="s">
        <v>75</v>
      </c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2" t="s">
        <v>76</v>
      </c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3" t="s">
        <v>77</v>
      </c>
      <c r="AD1" s="113"/>
      <c r="AE1" s="113"/>
      <c r="AF1" s="113"/>
      <c r="AG1" s="113"/>
      <c r="AH1" s="114" t="s">
        <v>78</v>
      </c>
      <c r="AI1" s="114"/>
      <c r="AJ1" s="114"/>
      <c r="AK1" s="114"/>
      <c r="AL1" s="114"/>
      <c r="AM1" s="114"/>
      <c r="AN1" s="114"/>
      <c r="AO1" s="114"/>
      <c r="AP1" s="114"/>
      <c r="AQ1" s="114"/>
      <c r="AR1" s="114"/>
    </row>
    <row r="2">
      <c r="A2" s="115" t="s">
        <v>79</v>
      </c>
      <c r="B2" s="110" t="s">
        <v>80</v>
      </c>
      <c r="C2" s="110" t="s">
        <v>81</v>
      </c>
      <c r="D2" s="110" t="s">
        <v>82</v>
      </c>
      <c r="E2" s="110" t="s">
        <v>83</v>
      </c>
      <c r="F2" s="116" t="s">
        <v>84</v>
      </c>
      <c r="G2" s="117" t="s">
        <v>85</v>
      </c>
      <c r="H2" s="118" t="s">
        <v>86</v>
      </c>
      <c r="I2" s="119" t="s">
        <v>87</v>
      </c>
      <c r="J2" s="119" t="s">
        <v>88</v>
      </c>
      <c r="K2" s="118" t="s">
        <v>89</v>
      </c>
      <c r="L2" s="120" t="s">
        <v>90</v>
      </c>
      <c r="M2" s="121" t="s">
        <v>91</v>
      </c>
      <c r="N2" s="122" t="s">
        <v>92</v>
      </c>
      <c r="O2" s="122" t="s">
        <v>93</v>
      </c>
      <c r="P2" s="122" t="s">
        <v>94</v>
      </c>
      <c r="Q2" s="112" t="s">
        <v>95</v>
      </c>
      <c r="R2" s="112" t="s">
        <v>96</v>
      </c>
      <c r="S2" s="112" t="s">
        <v>97</v>
      </c>
      <c r="T2" s="112" t="s">
        <v>98</v>
      </c>
      <c r="U2" s="123" t="s">
        <v>99</v>
      </c>
      <c r="V2" s="123" t="s">
        <v>100</v>
      </c>
      <c r="W2" s="123" t="s">
        <v>101</v>
      </c>
      <c r="X2" s="123" t="s">
        <v>102</v>
      </c>
      <c r="Y2" s="123" t="s">
        <v>103</v>
      </c>
      <c r="Z2" s="123" t="s">
        <v>104</v>
      </c>
      <c r="AA2" s="124" t="s">
        <v>105</v>
      </c>
      <c r="AB2" s="124" t="s">
        <v>106</v>
      </c>
      <c r="AC2" s="113" t="s">
        <v>107</v>
      </c>
      <c r="AD2" s="125" t="s">
        <v>108</v>
      </c>
      <c r="AE2" s="113" t="s">
        <v>109</v>
      </c>
      <c r="AF2" s="125" t="s">
        <v>110</v>
      </c>
      <c r="AG2" s="125" t="s">
        <v>111</v>
      </c>
      <c r="AH2" s="126" t="s">
        <v>112</v>
      </c>
      <c r="AI2" s="126" t="s">
        <v>113</v>
      </c>
      <c r="AJ2" s="126" t="s">
        <v>114</v>
      </c>
      <c r="AK2" s="126" t="s">
        <v>115</v>
      </c>
      <c r="AL2" s="126" t="s">
        <v>116</v>
      </c>
      <c r="AM2" s="126" t="s">
        <v>117</v>
      </c>
      <c r="AN2" s="126" t="s">
        <v>118</v>
      </c>
      <c r="AO2" s="126" t="s">
        <v>119</v>
      </c>
      <c r="AP2" s="126" t="s">
        <v>120</v>
      </c>
      <c r="AQ2" s="126" t="s">
        <v>121</v>
      </c>
      <c r="AR2" s="127" t="s">
        <v>122</v>
      </c>
    </row>
    <row r="3">
      <c r="A3" s="128">
        <v>46306</v>
      </c>
      <c r="B3" s="129" t="s">
        <v>123</v>
      </c>
      <c r="C3" s="130" t="s">
        <v>124</v>
      </c>
      <c r="D3" s="129" t="s">
        <v>125</v>
      </c>
      <c r="E3" s="129" t="s">
        <v>126</v>
      </c>
      <c r="F3" s="131">
        <f t="shared" ref="F3:F6" si="25">H3+G3</f>
      </c>
      <c r="G3" s="132"/>
      <c r="H3" s="132"/>
      <c r="I3" s="129"/>
      <c r="J3" s="129"/>
      <c r="K3" s="132"/>
      <c r="L3" s="133">
        <f t="shared" ref="L3:L19" si="0">AQ3/J3</f>
      </c>
      <c r="M3" s="134">
        <f t="shared" ref="M3:M19" si="3">K3/J3</f>
      </c>
      <c r="N3" s="135">
        <f t="shared" ref="N3:N19" si="6">F3/J3</f>
      </c>
      <c r="O3" s="135">
        <f t="shared" ref="O3:O19" si="9">K3/F3</f>
      </c>
      <c r="P3" s="135">
        <f t="shared" ref="P3:P19" si="14">K3/((300*AR3)+F3)</f>
      </c>
      <c r="Q3" s="135">
        <f t="shared" ref="Q3:Q19" si="17">F3/AJ3</f>
      </c>
      <c r="R3" s="135">
        <f t="shared" ref="R3:R19" si="23">F3/AK3</f>
      </c>
      <c r="S3" s="135">
        <f t="shared" ref="S3:S19" si="1">F3/AL3</f>
      </c>
      <c r="T3" s="135">
        <f t="shared" ref="T3:T19" si="4">F3/AM3</f>
      </c>
      <c r="U3" s="133">
        <f t="shared" ref="U3:U19" si="7">AI3/AJ3</f>
      </c>
      <c r="V3" s="133">
        <f t="shared" ref="V3:V19" si="10">AK3/AJ3</f>
      </c>
      <c r="W3" s="133">
        <f t="shared" ref="W3:W19" si="11">AL3/AK3</f>
      </c>
      <c r="X3" s="133">
        <f t="shared" ref="X3:X19" si="12">AM3/AL3</f>
      </c>
      <c r="Y3" s="133">
        <f t="shared" ref="Y3:Y19" si="15">AI3/AH3</f>
      </c>
      <c r="Z3" s="133">
        <f t="shared" ref="Z3:Z19" si="18">AM3/AI3</f>
      </c>
      <c r="AA3" s="134">
        <f t="shared" ref="AA3:AA19" si="24">F3/AH3*1000</f>
      </c>
      <c r="AB3" s="134">
        <f t="shared" ref="AB3:AB19" si="29">F3/AI3</f>
      </c>
      <c r="AC3" s="134">
        <f t="shared" ref="AC3:AC19" si="2">F3/AN3</f>
      </c>
      <c r="AD3" s="133">
        <f t="shared" ref="AD3:AD19" si="5">AN3/AJ3</f>
      </c>
      <c r="AE3" s="134">
        <f t="shared" ref="AE3:AE19" si="8">F3/AO3</f>
      </c>
      <c r="AF3" s="133">
        <f t="shared" ref="AF3:AF19" si="13">AO3/AJ3</f>
      </c>
      <c r="AG3" s="133">
        <f t="shared" ref="AG3:AG19" si="16">AP3/AJ3</f>
      </c>
      <c r="AH3" s="136"/>
      <c r="AI3" s="137"/>
      <c r="AJ3" s="137"/>
      <c r="AK3" s="138"/>
      <c r="AL3" s="138"/>
      <c r="AM3" s="138"/>
      <c r="AN3" s="138"/>
      <c r="AO3" s="138"/>
      <c r="AP3" s="139"/>
      <c r="AQ3" s="139"/>
      <c r="AR3" s="140">
        <f t="shared" ref="AR3:AR6" si="19">COUNT(AQ3)</f>
      </c>
    </row>
    <row r="4">
      <c r="A4" s="128"/>
      <c r="B4" s="129" t="s">
        <v>123</v>
      </c>
      <c r="C4" s="130" t="s">
        <v>124</v>
      </c>
      <c r="D4" s="129" t="s">
        <v>125</v>
      </c>
      <c r="E4" s="129" t="s">
        <v>127</v>
      </c>
      <c r="F4" s="131">
        <f t="shared" si="25"/>
      </c>
      <c r="G4" s="141"/>
      <c r="H4" s="132"/>
      <c r="I4" s="129"/>
      <c r="J4" s="129"/>
      <c r="K4" s="132"/>
      <c r="L4" s="133">
        <f t="shared" si="0"/>
      </c>
      <c r="M4" s="134">
        <f t="shared" si="3"/>
      </c>
      <c r="N4" s="135">
        <f t="shared" si="6"/>
      </c>
      <c r="O4" s="135">
        <f t="shared" si="9"/>
      </c>
      <c r="P4" s="135">
        <f t="shared" si="14"/>
      </c>
      <c r="Q4" s="135">
        <f t="shared" si="17"/>
      </c>
      <c r="R4" s="135">
        <f t="shared" si="23"/>
      </c>
      <c r="S4" s="135">
        <f t="shared" si="1"/>
      </c>
      <c r="T4" s="135">
        <f t="shared" si="4"/>
      </c>
      <c r="U4" s="133">
        <f t="shared" si="7"/>
      </c>
      <c r="V4" s="133">
        <f t="shared" si="10"/>
      </c>
      <c r="W4" s="133">
        <f t="shared" si="11"/>
      </c>
      <c r="X4" s="133">
        <f t="shared" si="12"/>
      </c>
      <c r="Y4" s="133">
        <f t="shared" si="15"/>
      </c>
      <c r="Z4" s="133">
        <f t="shared" si="18"/>
      </c>
      <c r="AA4" s="134">
        <f t="shared" si="24"/>
      </c>
      <c r="AB4" s="134">
        <f t="shared" si="29"/>
      </c>
      <c r="AC4" s="134">
        <f t="shared" si="2"/>
      </c>
      <c r="AD4" s="133">
        <f t="shared" si="5"/>
      </c>
      <c r="AE4" s="134">
        <f t="shared" si="8"/>
      </c>
      <c r="AF4" s="133">
        <f t="shared" si="13"/>
      </c>
      <c r="AG4" s="133">
        <f t="shared" si="16"/>
      </c>
      <c r="AH4" s="142"/>
      <c r="AI4" s="138"/>
      <c r="AJ4" s="138"/>
      <c r="AK4" s="138"/>
      <c r="AL4" s="138"/>
      <c r="AM4" s="138"/>
      <c r="AN4" s="138"/>
      <c r="AO4" s="138"/>
      <c r="AP4" s="138"/>
      <c r="AQ4" s="139"/>
      <c r="AR4" s="140">
        <f t="shared" si="19"/>
      </c>
    </row>
    <row r="5">
      <c r="A5" s="128"/>
      <c r="B5" s="129" t="s">
        <v>123</v>
      </c>
      <c r="C5" s="130" t="s">
        <v>124</v>
      </c>
      <c r="D5" s="129" t="s">
        <v>125</v>
      </c>
      <c r="E5" s="129" t="s">
        <v>128</v>
      </c>
      <c r="F5" s="131">
        <f t="shared" si="25"/>
      </c>
      <c r="G5" s="132"/>
      <c r="H5" s="132"/>
      <c r="I5" s="129"/>
      <c r="J5" s="129"/>
      <c r="K5" s="132"/>
      <c r="L5" s="133">
        <f t="shared" si="0"/>
      </c>
      <c r="M5" s="134">
        <f t="shared" si="3"/>
      </c>
      <c r="N5" s="135">
        <f t="shared" si="6"/>
      </c>
      <c r="O5" s="135">
        <f t="shared" si="9"/>
      </c>
      <c r="P5" s="135">
        <f t="shared" si="14"/>
      </c>
      <c r="Q5" s="135">
        <f t="shared" si="17"/>
      </c>
      <c r="R5" s="135">
        <f t="shared" si="23"/>
      </c>
      <c r="S5" s="135">
        <f t="shared" si="1"/>
      </c>
      <c r="T5" s="135">
        <f t="shared" si="4"/>
      </c>
      <c r="U5" s="133">
        <f t="shared" si="7"/>
      </c>
      <c r="V5" s="133">
        <f t="shared" si="10"/>
      </c>
      <c r="W5" s="133">
        <f t="shared" si="11"/>
      </c>
      <c r="X5" s="133">
        <f t="shared" si="12"/>
      </c>
      <c r="Y5" s="133">
        <f t="shared" si="15"/>
      </c>
      <c r="Z5" s="133">
        <f t="shared" si="18"/>
      </c>
      <c r="AA5" s="134">
        <f t="shared" si="24"/>
      </c>
      <c r="AB5" s="134">
        <f t="shared" si="29"/>
      </c>
      <c r="AC5" s="134">
        <f t="shared" si="2"/>
      </c>
      <c r="AD5" s="133">
        <f t="shared" si="5"/>
      </c>
      <c r="AE5" s="134">
        <f t="shared" si="8"/>
      </c>
      <c r="AF5" s="133">
        <f t="shared" si="13"/>
      </c>
      <c r="AG5" s="133">
        <f t="shared" si="16"/>
      </c>
      <c r="AH5" s="142"/>
      <c r="AI5" s="138"/>
      <c r="AJ5" s="138"/>
      <c r="AK5" s="138"/>
      <c r="AL5" s="139"/>
      <c r="AM5" s="138"/>
      <c r="AN5" s="138"/>
      <c r="AO5" s="138"/>
      <c r="AP5" s="138"/>
      <c r="AQ5" s="139"/>
      <c r="AR5" s="140">
        <f t="shared" si="19"/>
      </c>
    </row>
    <row r="6">
      <c r="A6" s="128"/>
      <c r="B6" s="129" t="s">
        <v>123</v>
      </c>
      <c r="C6" s="130" t="s">
        <v>124</v>
      </c>
      <c r="D6" s="129" t="s">
        <v>125</v>
      </c>
      <c r="E6" s="129" t="s">
        <v>129</v>
      </c>
      <c r="F6" s="131">
        <f t="shared" si="25"/>
      </c>
      <c r="G6" s="132"/>
      <c r="H6" s="132"/>
      <c r="I6" s="129"/>
      <c r="J6" s="129"/>
      <c r="K6" s="132"/>
      <c r="L6" s="133">
        <f t="shared" si="0"/>
      </c>
      <c r="M6" s="134">
        <f t="shared" si="3"/>
      </c>
      <c r="N6" s="135">
        <f t="shared" si="6"/>
      </c>
      <c r="O6" s="135">
        <f t="shared" si="9"/>
      </c>
      <c r="P6" s="135">
        <f t="shared" si="14"/>
      </c>
      <c r="Q6" s="135">
        <f t="shared" si="17"/>
      </c>
      <c r="R6" s="135">
        <f t="shared" si="23"/>
      </c>
      <c r="S6" s="135">
        <f t="shared" si="1"/>
      </c>
      <c r="T6" s="135">
        <f t="shared" si="4"/>
      </c>
      <c r="U6" s="133">
        <f t="shared" si="7"/>
      </c>
      <c r="V6" s="133">
        <f t="shared" si="10"/>
      </c>
      <c r="W6" s="133">
        <f t="shared" si="11"/>
      </c>
      <c r="X6" s="133">
        <f t="shared" si="12"/>
      </c>
      <c r="Y6" s="133">
        <f t="shared" si="15"/>
      </c>
      <c r="Z6" s="133">
        <f t="shared" si="18"/>
      </c>
      <c r="AA6" s="134">
        <f t="shared" si="24"/>
      </c>
      <c r="AB6" s="134">
        <f t="shared" si="29"/>
      </c>
      <c r="AC6" s="134">
        <f t="shared" si="2"/>
      </c>
      <c r="AD6" s="133">
        <f t="shared" si="5"/>
      </c>
      <c r="AE6" s="134">
        <f t="shared" si="8"/>
      </c>
      <c r="AF6" s="133">
        <f t="shared" si="13"/>
      </c>
      <c r="AG6" s="133">
        <f t="shared" si="16"/>
      </c>
      <c r="AH6" s="142"/>
      <c r="AI6" s="138"/>
      <c r="AJ6" s="138"/>
      <c r="AK6" s="138"/>
      <c r="AL6" s="139"/>
      <c r="AM6" s="138"/>
      <c r="AN6" s="138"/>
      <c r="AO6" s="138"/>
      <c r="AP6" s="139"/>
      <c r="AQ6" s="139"/>
      <c r="AR6" s="140">
        <f t="shared" si="19"/>
      </c>
    </row>
    <row r="7">
      <c r="A7" s="128"/>
      <c r="B7" s="143" t="s">
        <v>130</v>
      </c>
      <c r="C7" s="143"/>
      <c r="D7" s="143"/>
      <c r="E7" s="143"/>
      <c r="F7" s="144">
        <f>SUM(F3:F6)</f>
      </c>
      <c r="G7" s="144">
        <f>SUM(G3:G6)</f>
      </c>
      <c r="H7" s="144">
        <f>SUM(H3:H6)</f>
      </c>
      <c r="I7" s="143">
        <f>SUM(I3:I6)</f>
      </c>
      <c r="J7" s="143">
        <f>SUM(J3:J6)</f>
      </c>
      <c r="K7" s="144">
        <f>SUM(K3:K6)</f>
      </c>
      <c r="L7" s="145">
        <f t="shared" si="0"/>
      </c>
      <c r="M7" s="146">
        <f t="shared" si="3"/>
      </c>
      <c r="N7" s="144">
        <f t="shared" si="6"/>
      </c>
      <c r="O7" s="144">
        <f t="shared" si="9"/>
      </c>
      <c r="P7" s="144">
        <f t="shared" si="14"/>
      </c>
      <c r="Q7" s="144">
        <f t="shared" si="17"/>
      </c>
      <c r="R7" s="144">
        <f t="shared" si="23"/>
      </c>
      <c r="S7" s="144">
        <f t="shared" si="1"/>
      </c>
      <c r="T7" s="144">
        <f t="shared" si="4"/>
      </c>
      <c r="U7" s="145">
        <f t="shared" si="7"/>
      </c>
      <c r="V7" s="145">
        <f t="shared" si="10"/>
      </c>
      <c r="W7" s="145">
        <f t="shared" si="11"/>
      </c>
      <c r="X7" s="145">
        <f t="shared" si="12"/>
      </c>
      <c r="Y7" s="145">
        <f t="shared" si="15"/>
      </c>
      <c r="Z7" s="145">
        <f t="shared" si="18"/>
      </c>
      <c r="AA7" s="146">
        <f t="shared" si="24"/>
      </c>
      <c r="AB7" s="146">
        <f t="shared" si="29"/>
      </c>
      <c r="AC7" s="146">
        <f t="shared" si="2"/>
      </c>
      <c r="AD7" s="145">
        <f t="shared" si="5"/>
      </c>
      <c r="AE7" s="146">
        <f t="shared" si="8"/>
      </c>
      <c r="AF7" s="145">
        <f t="shared" si="13"/>
      </c>
      <c r="AG7" s="145">
        <f t="shared" si="16"/>
      </c>
      <c r="AH7" s="147">
        <f>SUM(AH3:AH6)</f>
      </c>
      <c r="AI7" s="147">
        <f>SUM(AI3:AI6)</f>
      </c>
      <c r="AJ7" s="147">
        <f>SUM(AJ3:AJ6)</f>
      </c>
      <c r="AK7" s="147">
        <f>SUM(AK3:AK6)</f>
      </c>
      <c r="AL7" s="147">
        <f>SUM(AL3:AL6)</f>
      </c>
      <c r="AM7" s="147">
        <f>SUM(AM3:AM6)</f>
      </c>
      <c r="AN7" s="147">
        <f>SUM(AN3:AN6)</f>
      </c>
      <c r="AO7" s="147">
        <f>SUM(AO3:AO6)</f>
      </c>
      <c r="AP7" s="147">
        <f>SUM(AP3:AP6)</f>
      </c>
      <c r="AQ7" s="147">
        <f>SUM(AQ3:AQ6)</f>
      </c>
      <c r="AR7" s="148">
        <f>SUM(AR3:AR6)</f>
      </c>
    </row>
    <row r="8">
      <c r="A8" s="128"/>
      <c r="B8" s="129" t="s">
        <v>123</v>
      </c>
      <c r="C8" s="130" t="s">
        <v>124</v>
      </c>
      <c r="D8" s="129" t="s">
        <v>131</v>
      </c>
      <c r="E8" s="129" t="s">
        <v>132</v>
      </c>
      <c r="F8" s="131">
        <f t="shared" ref="F8:F10" si="26">H8+G8</f>
      </c>
      <c r="G8" s="132"/>
      <c r="H8" s="132"/>
      <c r="I8" s="129"/>
      <c r="J8" s="129"/>
      <c r="K8" s="132"/>
      <c r="L8" s="133">
        <f t="shared" si="0"/>
      </c>
      <c r="M8" s="134">
        <f t="shared" si="3"/>
      </c>
      <c r="N8" s="135">
        <f t="shared" si="6"/>
      </c>
      <c r="O8" s="135">
        <f t="shared" si="9"/>
      </c>
      <c r="P8" s="135">
        <f t="shared" si="14"/>
      </c>
      <c r="Q8" s="135">
        <f t="shared" si="17"/>
      </c>
      <c r="R8" s="135">
        <f t="shared" si="23"/>
      </c>
      <c r="S8" s="135">
        <f t="shared" si="1"/>
      </c>
      <c r="T8" s="135">
        <f t="shared" si="4"/>
      </c>
      <c r="U8" s="133">
        <f t="shared" si="7"/>
      </c>
      <c r="V8" s="133">
        <f t="shared" si="10"/>
      </c>
      <c r="W8" s="133">
        <f t="shared" si="11"/>
      </c>
      <c r="X8" s="133">
        <f t="shared" si="12"/>
      </c>
      <c r="Y8" s="133">
        <f t="shared" si="15"/>
      </c>
      <c r="Z8" s="133">
        <f t="shared" si="18"/>
      </c>
      <c r="AA8" s="134">
        <f t="shared" si="24"/>
      </c>
      <c r="AB8" s="134">
        <f t="shared" si="29"/>
      </c>
      <c r="AC8" s="134">
        <f t="shared" si="2"/>
      </c>
      <c r="AD8" s="133">
        <f t="shared" si="5"/>
      </c>
      <c r="AE8" s="134">
        <f t="shared" si="8"/>
      </c>
      <c r="AF8" s="133">
        <f t="shared" si="13"/>
      </c>
      <c r="AG8" s="133">
        <f t="shared" si="16"/>
      </c>
      <c r="AH8" s="136"/>
      <c r="AI8" s="138"/>
      <c r="AJ8" s="138"/>
      <c r="AK8" s="138"/>
      <c r="AL8" s="139"/>
      <c r="AM8" s="139"/>
      <c r="AN8" s="138"/>
      <c r="AO8" s="138"/>
      <c r="AP8" s="138"/>
      <c r="AQ8" s="139"/>
      <c r="AR8" s="140">
        <f t="shared" ref="AR8:AR10" si="20">COUNT(AQ8)</f>
      </c>
    </row>
    <row r="9">
      <c r="A9" s="128"/>
      <c r="B9" s="129" t="s">
        <v>123</v>
      </c>
      <c r="C9" s="130" t="s">
        <v>124</v>
      </c>
      <c r="D9" s="129" t="s">
        <v>131</v>
      </c>
      <c r="E9" s="129" t="s">
        <v>133</v>
      </c>
      <c r="F9" s="131">
        <f t="shared" si="26"/>
      </c>
      <c r="G9" s="132"/>
      <c r="H9" s="132"/>
      <c r="I9" s="129"/>
      <c r="J9" s="129"/>
      <c r="K9" s="132"/>
      <c r="L9" s="133">
        <f t="shared" si="0"/>
      </c>
      <c r="M9" s="134">
        <f t="shared" si="3"/>
      </c>
      <c r="N9" s="135">
        <f t="shared" si="6"/>
      </c>
      <c r="O9" s="135">
        <f t="shared" si="9"/>
      </c>
      <c r="P9" s="135">
        <f t="shared" si="14"/>
      </c>
      <c r="Q9" s="135">
        <f t="shared" si="17"/>
      </c>
      <c r="R9" s="135">
        <f t="shared" si="23"/>
      </c>
      <c r="S9" s="135">
        <f t="shared" si="1"/>
      </c>
      <c r="T9" s="135">
        <f t="shared" si="4"/>
      </c>
      <c r="U9" s="133">
        <f t="shared" si="7"/>
      </c>
      <c r="V9" s="133">
        <f t="shared" si="10"/>
      </c>
      <c r="W9" s="133">
        <f t="shared" si="11"/>
      </c>
      <c r="X9" s="133">
        <f t="shared" si="12"/>
      </c>
      <c r="Y9" s="133">
        <f t="shared" si="15"/>
      </c>
      <c r="Z9" s="133">
        <f t="shared" si="18"/>
      </c>
      <c r="AA9" s="134">
        <f t="shared" si="24"/>
      </c>
      <c r="AB9" s="134">
        <f t="shared" si="29"/>
      </c>
      <c r="AC9" s="134">
        <f t="shared" si="2"/>
      </c>
      <c r="AD9" s="133">
        <f t="shared" si="5"/>
      </c>
      <c r="AE9" s="134">
        <f t="shared" si="8"/>
      </c>
      <c r="AF9" s="133">
        <f t="shared" si="13"/>
      </c>
      <c r="AG9" s="133">
        <f t="shared" si="16"/>
      </c>
      <c r="AH9" s="136"/>
      <c r="AI9" s="138"/>
      <c r="AJ9" s="138"/>
      <c r="AK9" s="138"/>
      <c r="AL9" s="139"/>
      <c r="AM9" s="139"/>
      <c r="AN9" s="138"/>
      <c r="AO9" s="138"/>
      <c r="AP9" s="138"/>
      <c r="AQ9" s="139"/>
      <c r="AR9" s="140">
        <f t="shared" si="20"/>
      </c>
    </row>
    <row r="10">
      <c r="A10" s="128"/>
      <c r="B10" s="129" t="s">
        <v>123</v>
      </c>
      <c r="C10" s="130" t="s">
        <v>124</v>
      </c>
      <c r="D10" s="129" t="s">
        <v>131</v>
      </c>
      <c r="E10" s="129" t="s">
        <v>134</v>
      </c>
      <c r="F10" s="131">
        <f t="shared" si="26"/>
      </c>
      <c r="G10" s="132"/>
      <c r="H10" s="132"/>
      <c r="I10" s="129"/>
      <c r="J10" s="129"/>
      <c r="K10" s="132"/>
      <c r="L10" s="133">
        <f t="shared" si="0"/>
      </c>
      <c r="M10" s="134">
        <f t="shared" si="3"/>
      </c>
      <c r="N10" s="135">
        <f t="shared" si="6"/>
      </c>
      <c r="O10" s="135">
        <f t="shared" si="9"/>
      </c>
      <c r="P10" s="135">
        <f t="shared" si="14"/>
      </c>
      <c r="Q10" s="135">
        <f t="shared" si="17"/>
      </c>
      <c r="R10" s="135">
        <f t="shared" si="23"/>
      </c>
      <c r="S10" s="135">
        <f t="shared" si="1"/>
      </c>
      <c r="T10" s="135">
        <f t="shared" si="4"/>
      </c>
      <c r="U10" s="133">
        <f t="shared" si="7"/>
      </c>
      <c r="V10" s="133">
        <f t="shared" si="10"/>
      </c>
      <c r="W10" s="133">
        <f t="shared" si="11"/>
      </c>
      <c r="X10" s="133">
        <f t="shared" si="12"/>
      </c>
      <c r="Y10" s="133">
        <f t="shared" si="15"/>
      </c>
      <c r="Z10" s="133">
        <f t="shared" si="18"/>
      </c>
      <c r="AA10" s="134">
        <f t="shared" si="24"/>
      </c>
      <c r="AB10" s="134">
        <f t="shared" si="29"/>
      </c>
      <c r="AC10" s="134">
        <f t="shared" si="2"/>
      </c>
      <c r="AD10" s="133">
        <f t="shared" si="5"/>
      </c>
      <c r="AE10" s="134">
        <f t="shared" si="8"/>
      </c>
      <c r="AF10" s="133">
        <f t="shared" si="13"/>
      </c>
      <c r="AG10" s="133">
        <f t="shared" si="16"/>
      </c>
      <c r="AH10" s="136"/>
      <c r="AI10" s="138"/>
      <c r="AJ10" s="138"/>
      <c r="AK10" s="138"/>
      <c r="AL10" s="138"/>
      <c r="AM10" s="138"/>
      <c r="AN10" s="138"/>
      <c r="AO10" s="138"/>
      <c r="AP10" s="138"/>
      <c r="AQ10" s="139"/>
      <c r="AR10" s="140">
        <f t="shared" si="20"/>
      </c>
    </row>
    <row r="11">
      <c r="A11" s="128"/>
      <c r="B11" s="143" t="s">
        <v>130</v>
      </c>
      <c r="C11" s="143"/>
      <c r="D11" s="143"/>
      <c r="E11" s="143"/>
      <c r="F11" s="144">
        <f>SUM(F8:F10)</f>
      </c>
      <c r="G11" s="144">
        <f>SUM(G8:G10)</f>
      </c>
      <c r="H11" s="144">
        <f>SUM(H8:H10)</f>
      </c>
      <c r="I11" s="143">
        <f>SUM(I8:I10)</f>
      </c>
      <c r="J11" s="143">
        <f>SUM(J8:J10)</f>
      </c>
      <c r="K11" s="144">
        <f>SUM(K8:K10)</f>
      </c>
      <c r="L11" s="145">
        <f t="shared" si="0"/>
      </c>
      <c r="M11" s="146">
        <f t="shared" si="3"/>
      </c>
      <c r="N11" s="144">
        <f t="shared" si="6"/>
      </c>
      <c r="O11" s="144">
        <f t="shared" si="9"/>
      </c>
      <c r="P11" s="144">
        <f t="shared" si="14"/>
      </c>
      <c r="Q11" s="144">
        <f t="shared" si="17"/>
      </c>
      <c r="R11" s="144">
        <f t="shared" si="23"/>
      </c>
      <c r="S11" s="144">
        <f t="shared" si="1"/>
      </c>
      <c r="T11" s="144">
        <f t="shared" si="4"/>
      </c>
      <c r="U11" s="145">
        <f t="shared" si="7"/>
      </c>
      <c r="V11" s="145">
        <f t="shared" si="10"/>
      </c>
      <c r="W11" s="145">
        <f t="shared" si="11"/>
      </c>
      <c r="X11" s="145">
        <f t="shared" si="12"/>
      </c>
      <c r="Y11" s="145">
        <f t="shared" si="15"/>
      </c>
      <c r="Z11" s="145">
        <f t="shared" si="18"/>
      </c>
      <c r="AA11" s="146">
        <f t="shared" si="24"/>
      </c>
      <c r="AB11" s="146">
        <f t="shared" si="29"/>
      </c>
      <c r="AC11" s="146">
        <f t="shared" si="2"/>
      </c>
      <c r="AD11" s="145">
        <f t="shared" si="5"/>
      </c>
      <c r="AE11" s="146">
        <f t="shared" si="8"/>
      </c>
      <c r="AF11" s="145">
        <f t="shared" si="13"/>
      </c>
      <c r="AG11" s="145">
        <f t="shared" si="16"/>
      </c>
      <c r="AH11" s="147">
        <f>SUM(AH8:AH10)</f>
      </c>
      <c r="AI11" s="147">
        <f>SUM(AI8:AI10)</f>
      </c>
      <c r="AJ11" s="147">
        <f>SUM(AJ8:AJ10)</f>
      </c>
      <c r="AK11" s="147">
        <f>SUM(AK8:AK10)</f>
      </c>
      <c r="AL11" s="147">
        <f>SUM(AL8:AL10)</f>
      </c>
      <c r="AM11" s="147">
        <f>SUM(AM8:AM10)</f>
      </c>
      <c r="AN11" s="147">
        <f>SUM(AN8:AN10)</f>
      </c>
      <c r="AO11" s="147">
        <f>SUM(AO8:AO10)</f>
      </c>
      <c r="AP11" s="147">
        <f>SUM(AP8:AP10)</f>
      </c>
      <c r="AQ11" s="147">
        <f>SUM(AQ8:AQ10)</f>
      </c>
      <c r="AR11" s="148">
        <f>SUM(AR8:AR10)</f>
      </c>
    </row>
    <row r="12">
      <c r="A12" s="128"/>
      <c r="B12" s="129" t="s">
        <v>123</v>
      </c>
      <c r="C12" s="130" t="s">
        <v>124</v>
      </c>
      <c r="D12" s="129" t="s">
        <v>135</v>
      </c>
      <c r="E12" s="129" t="s">
        <v>136</v>
      </c>
      <c r="F12" s="131">
        <f t="shared" ref="F12:F13" si="27">H12+G12</f>
      </c>
      <c r="G12" s="132"/>
      <c r="H12" s="132"/>
      <c r="I12" s="129"/>
      <c r="J12" s="129"/>
      <c r="K12" s="132"/>
      <c r="L12" s="133">
        <f t="shared" si="0"/>
      </c>
      <c r="M12" s="134">
        <f t="shared" si="3"/>
      </c>
      <c r="N12" s="135">
        <f t="shared" si="6"/>
      </c>
      <c r="O12" s="135">
        <f t="shared" si="9"/>
      </c>
      <c r="P12" s="135">
        <f t="shared" si="14"/>
      </c>
      <c r="Q12" s="135">
        <f t="shared" si="17"/>
      </c>
      <c r="R12" s="135">
        <f t="shared" si="23"/>
      </c>
      <c r="S12" s="135">
        <f t="shared" si="1"/>
      </c>
      <c r="T12" s="135">
        <f t="shared" si="4"/>
      </c>
      <c r="U12" s="133">
        <f t="shared" si="7"/>
      </c>
      <c r="V12" s="133">
        <f t="shared" si="10"/>
      </c>
      <c r="W12" s="133">
        <f t="shared" si="11"/>
      </c>
      <c r="X12" s="133">
        <f t="shared" si="12"/>
      </c>
      <c r="Y12" s="133">
        <f t="shared" si="15"/>
      </c>
      <c r="Z12" s="133">
        <f t="shared" si="18"/>
      </c>
      <c r="AA12" s="134">
        <f t="shared" si="24"/>
      </c>
      <c r="AB12" s="134">
        <f t="shared" si="29"/>
      </c>
      <c r="AC12" s="134">
        <f t="shared" si="2"/>
      </c>
      <c r="AD12" s="133">
        <f t="shared" si="5"/>
      </c>
      <c r="AE12" s="134">
        <f t="shared" si="8"/>
      </c>
      <c r="AF12" s="133">
        <f t="shared" si="13"/>
      </c>
      <c r="AG12" s="133">
        <f t="shared" si="16"/>
      </c>
      <c r="AH12" s="136"/>
      <c r="AI12" s="138"/>
      <c r="AJ12" s="138"/>
      <c r="AK12" s="138"/>
      <c r="AL12" s="138"/>
      <c r="AM12" s="138"/>
      <c r="AN12" s="138"/>
      <c r="AO12" s="138"/>
      <c r="AP12" s="138"/>
      <c r="AQ12" s="139"/>
      <c r="AR12" s="140">
        <f t="shared" ref="AR12:AR13" si="21">COUNT(AQ12)</f>
      </c>
    </row>
    <row r="13">
      <c r="A13" s="128"/>
      <c r="B13" s="129" t="s">
        <v>123</v>
      </c>
      <c r="C13" s="130" t="s">
        <v>124</v>
      </c>
      <c r="D13" s="129" t="s">
        <v>135</v>
      </c>
      <c r="E13" s="129" t="s">
        <v>137</v>
      </c>
      <c r="F13" s="131">
        <f t="shared" si="27"/>
      </c>
      <c r="G13" s="132"/>
      <c r="H13" s="132"/>
      <c r="I13" s="129"/>
      <c r="J13" s="130"/>
      <c r="K13" s="132"/>
      <c r="L13" s="133">
        <f t="shared" si="0"/>
      </c>
      <c r="M13" s="134">
        <f t="shared" si="3"/>
      </c>
      <c r="N13" s="135">
        <f t="shared" si="6"/>
      </c>
      <c r="O13" s="135">
        <f t="shared" si="9"/>
      </c>
      <c r="P13" s="135">
        <f t="shared" si="14"/>
      </c>
      <c r="Q13" s="135">
        <f t="shared" si="17"/>
      </c>
      <c r="R13" s="135">
        <f t="shared" si="23"/>
      </c>
      <c r="S13" s="135">
        <f t="shared" si="1"/>
      </c>
      <c r="T13" s="135">
        <f t="shared" si="4"/>
      </c>
      <c r="U13" s="133">
        <f t="shared" si="7"/>
      </c>
      <c r="V13" s="133">
        <f t="shared" si="10"/>
      </c>
      <c r="W13" s="133">
        <f t="shared" si="11"/>
      </c>
      <c r="X13" s="133">
        <f t="shared" si="12"/>
      </c>
      <c r="Y13" s="133">
        <f t="shared" si="15"/>
      </c>
      <c r="Z13" s="133">
        <f t="shared" si="18"/>
      </c>
      <c r="AA13" s="134">
        <f t="shared" si="24"/>
      </c>
      <c r="AB13" s="134">
        <f t="shared" si="29"/>
      </c>
      <c r="AC13" s="134">
        <f t="shared" si="2"/>
      </c>
      <c r="AD13" s="133">
        <f t="shared" si="5"/>
      </c>
      <c r="AE13" s="134">
        <f t="shared" si="8"/>
      </c>
      <c r="AF13" s="133">
        <f t="shared" si="13"/>
      </c>
      <c r="AG13" s="133">
        <f t="shared" si="16"/>
      </c>
      <c r="AH13" s="136"/>
      <c r="AI13" s="138"/>
      <c r="AJ13" s="138"/>
      <c r="AK13" s="138"/>
      <c r="AL13" s="138"/>
      <c r="AM13" s="138"/>
      <c r="AN13" s="138"/>
      <c r="AO13" s="138"/>
      <c r="AP13" s="138"/>
      <c r="AQ13" s="139"/>
      <c r="AR13" s="140">
        <f t="shared" si="21"/>
      </c>
    </row>
    <row r="14">
      <c r="A14" s="128"/>
      <c r="B14" s="143" t="s">
        <v>130</v>
      </c>
      <c r="C14" s="143"/>
      <c r="D14" s="143"/>
      <c r="E14" s="143"/>
      <c r="F14" s="144">
        <f>SUM(F12:F13)</f>
      </c>
      <c r="G14" s="144">
        <f>SUM(G12:G13)</f>
      </c>
      <c r="H14" s="144">
        <f>SUM(H12:H13)</f>
      </c>
      <c r="I14" s="143">
        <f>SUM(I12:I13)</f>
      </c>
      <c r="J14" s="143">
        <f>SUM(J12:J13)</f>
      </c>
      <c r="K14" s="144">
        <f>SUM(K12:K13)</f>
      </c>
      <c r="L14" s="145">
        <f t="shared" si="0"/>
      </c>
      <c r="M14" s="146">
        <f t="shared" si="3"/>
      </c>
      <c r="N14" s="144">
        <f t="shared" si="6"/>
      </c>
      <c r="O14" s="144">
        <f t="shared" si="9"/>
      </c>
      <c r="P14" s="144">
        <f t="shared" si="14"/>
      </c>
      <c r="Q14" s="144">
        <f t="shared" si="17"/>
      </c>
      <c r="R14" s="144">
        <f t="shared" si="23"/>
      </c>
      <c r="S14" s="144">
        <f t="shared" si="1"/>
      </c>
      <c r="T14" s="144">
        <f t="shared" si="4"/>
      </c>
      <c r="U14" s="145">
        <f t="shared" si="7"/>
      </c>
      <c r="V14" s="145">
        <f t="shared" si="10"/>
      </c>
      <c r="W14" s="145">
        <f t="shared" si="11"/>
      </c>
      <c r="X14" s="145">
        <f t="shared" si="12"/>
      </c>
      <c r="Y14" s="145">
        <f t="shared" si="15"/>
      </c>
      <c r="Z14" s="145">
        <f t="shared" si="18"/>
      </c>
      <c r="AA14" s="146">
        <f t="shared" si="24"/>
      </c>
      <c r="AB14" s="146">
        <f t="shared" si="29"/>
      </c>
      <c r="AC14" s="146">
        <f t="shared" si="2"/>
      </c>
      <c r="AD14" s="145">
        <f t="shared" si="5"/>
      </c>
      <c r="AE14" s="146">
        <f t="shared" si="8"/>
      </c>
      <c r="AF14" s="145">
        <f t="shared" si="13"/>
      </c>
      <c r="AG14" s="145">
        <f t="shared" si="16"/>
      </c>
      <c r="AH14" s="147">
        <f>SUM(AH12:AH13)</f>
      </c>
      <c r="AI14" s="147">
        <f>SUM(AI12:AI13)</f>
      </c>
      <c r="AJ14" s="147">
        <f>SUM(AJ12:AJ13)</f>
      </c>
      <c r="AK14" s="147">
        <f>SUM(AK12:AK13)</f>
      </c>
      <c r="AL14" s="147">
        <f>SUM(AL12:AL13)</f>
      </c>
      <c r="AM14" s="147">
        <f>SUM(AM12:AM13)</f>
      </c>
      <c r="AN14" s="147">
        <f>SUM(AN12:AN13)</f>
      </c>
      <c r="AO14" s="147">
        <f>SUM(AO12:AO13)</f>
      </c>
      <c r="AP14" s="147">
        <f>SUM(AP12:AP13)</f>
      </c>
      <c r="AQ14" s="147">
        <f>SUM(AQ12:AQ13)</f>
      </c>
      <c r="AR14" s="148">
        <f>SUM(AR12:AR13)</f>
      </c>
    </row>
    <row r="15">
      <c r="A15" s="128"/>
      <c r="B15" s="129" t="s">
        <v>123</v>
      </c>
      <c r="C15" s="130" t="s">
        <v>124</v>
      </c>
      <c r="D15" s="129" t="s">
        <v>138</v>
      </c>
      <c r="E15" s="130" t="s">
        <v>139</v>
      </c>
      <c r="F15" s="131">
        <f t="shared" ref="F15:F17" si="28">H15+G15</f>
      </c>
      <c r="G15" s="132"/>
      <c r="H15" s="132"/>
      <c r="I15" s="129"/>
      <c r="J15" s="129"/>
      <c r="K15" s="132"/>
      <c r="L15" s="133">
        <f t="shared" si="0"/>
      </c>
      <c r="M15" s="134">
        <f t="shared" si="3"/>
      </c>
      <c r="N15" s="135">
        <f t="shared" si="6"/>
      </c>
      <c r="O15" s="135">
        <f t="shared" si="9"/>
      </c>
      <c r="P15" s="135">
        <f t="shared" si="14"/>
      </c>
      <c r="Q15" s="135">
        <f t="shared" si="17"/>
      </c>
      <c r="R15" s="135">
        <f t="shared" si="23"/>
      </c>
      <c r="S15" s="135">
        <f t="shared" si="1"/>
      </c>
      <c r="T15" s="135">
        <f t="shared" si="4"/>
      </c>
      <c r="U15" s="133">
        <f t="shared" si="7"/>
      </c>
      <c r="V15" s="133">
        <f t="shared" si="10"/>
      </c>
      <c r="W15" s="133">
        <f t="shared" si="11"/>
      </c>
      <c r="X15" s="133">
        <f t="shared" si="12"/>
      </c>
      <c r="Y15" s="133">
        <f t="shared" si="15"/>
      </c>
      <c r="Z15" s="133">
        <f t="shared" si="18"/>
      </c>
      <c r="AA15" s="134">
        <f t="shared" si="24"/>
      </c>
      <c r="AB15" s="134">
        <f t="shared" si="29"/>
      </c>
      <c r="AC15" s="134">
        <f t="shared" si="2"/>
      </c>
      <c r="AD15" s="133">
        <f t="shared" si="5"/>
      </c>
      <c r="AE15" s="134">
        <f t="shared" si="8"/>
      </c>
      <c r="AF15" s="133">
        <f t="shared" si="13"/>
      </c>
      <c r="AG15" s="133">
        <f t="shared" si="16"/>
      </c>
      <c r="AH15" s="136"/>
      <c r="AI15" s="138"/>
      <c r="AJ15" s="138"/>
      <c r="AK15" s="138"/>
      <c r="AL15" s="139"/>
      <c r="AM15" s="139"/>
      <c r="AN15" s="138"/>
      <c r="AO15" s="138"/>
      <c r="AP15" s="138"/>
      <c r="AQ15" s="139"/>
      <c r="AR15" s="140">
        <f t="shared" ref="AR15:AR17" si="22">COUNT(AQ15)</f>
      </c>
    </row>
    <row r="16">
      <c r="A16" s="128"/>
      <c r="B16" s="129" t="s">
        <v>123</v>
      </c>
      <c r="C16" s="130" t="s">
        <v>124</v>
      </c>
      <c r="D16" s="129" t="s">
        <v>138</v>
      </c>
      <c r="E16" s="130" t="s">
        <v>140</v>
      </c>
      <c r="F16" s="131">
        <f t="shared" si="28"/>
      </c>
      <c r="G16" s="132"/>
      <c r="H16" s="132"/>
      <c r="I16" s="129"/>
      <c r="J16" s="129"/>
      <c r="K16" s="132"/>
      <c r="L16" s="133">
        <f t="shared" si="0"/>
      </c>
      <c r="M16" s="134">
        <f t="shared" si="3"/>
      </c>
      <c r="N16" s="135">
        <f t="shared" si="6"/>
      </c>
      <c r="O16" s="135">
        <f t="shared" si="9"/>
      </c>
      <c r="P16" s="135">
        <f t="shared" si="14"/>
      </c>
      <c r="Q16" s="135">
        <f t="shared" si="17"/>
      </c>
      <c r="R16" s="135">
        <f t="shared" si="23"/>
      </c>
      <c r="S16" s="135">
        <f t="shared" si="1"/>
      </c>
      <c r="T16" s="135">
        <f t="shared" si="4"/>
      </c>
      <c r="U16" s="133">
        <f t="shared" si="7"/>
      </c>
      <c r="V16" s="133">
        <f t="shared" si="10"/>
      </c>
      <c r="W16" s="133">
        <f t="shared" si="11"/>
      </c>
      <c r="X16" s="133">
        <f t="shared" si="12"/>
      </c>
      <c r="Y16" s="133">
        <f t="shared" si="15"/>
      </c>
      <c r="Z16" s="133">
        <f t="shared" si="18"/>
      </c>
      <c r="AA16" s="134">
        <f t="shared" si="24"/>
      </c>
      <c r="AB16" s="134">
        <f t="shared" si="29"/>
      </c>
      <c r="AC16" s="134">
        <f t="shared" si="2"/>
      </c>
      <c r="AD16" s="133">
        <f t="shared" si="5"/>
      </c>
      <c r="AE16" s="134">
        <f t="shared" si="8"/>
      </c>
      <c r="AF16" s="133">
        <f t="shared" si="13"/>
      </c>
      <c r="AG16" s="133">
        <f t="shared" si="16"/>
      </c>
      <c r="AH16" s="136"/>
      <c r="AI16" s="138"/>
      <c r="AJ16" s="138"/>
      <c r="AK16" s="138"/>
      <c r="AL16" s="138"/>
      <c r="AM16" s="138"/>
      <c r="AN16" s="138"/>
      <c r="AO16" s="138"/>
      <c r="AP16" s="138"/>
      <c r="AQ16" s="139"/>
      <c r="AR16" s="140">
        <f t="shared" si="22"/>
      </c>
    </row>
    <row r="17">
      <c r="A17" s="128"/>
      <c r="B17" s="129" t="s">
        <v>123</v>
      </c>
      <c r="C17" s="130" t="s">
        <v>124</v>
      </c>
      <c r="D17" s="129" t="s">
        <v>138</v>
      </c>
      <c r="E17" s="129" t="s">
        <v>141</v>
      </c>
      <c r="F17" s="131">
        <f t="shared" si="28"/>
      </c>
      <c r="G17" s="149"/>
      <c r="H17" s="149"/>
      <c r="I17" s="129"/>
      <c r="J17" s="129"/>
      <c r="K17" s="132"/>
      <c r="L17" s="133">
        <f t="shared" si="0"/>
      </c>
      <c r="M17" s="134">
        <f t="shared" si="3"/>
      </c>
      <c r="N17" s="135">
        <f t="shared" si="6"/>
      </c>
      <c r="O17" s="135">
        <f t="shared" si="9"/>
      </c>
      <c r="P17" s="135">
        <f t="shared" si="14"/>
      </c>
      <c r="Q17" s="135">
        <f t="shared" si="17"/>
      </c>
      <c r="R17" s="135">
        <f t="shared" si="23"/>
      </c>
      <c r="S17" s="135">
        <f t="shared" si="1"/>
      </c>
      <c r="T17" s="135">
        <f t="shared" si="4"/>
      </c>
      <c r="U17" s="133">
        <f t="shared" si="7"/>
      </c>
      <c r="V17" s="133">
        <f t="shared" si="10"/>
      </c>
      <c r="W17" s="133">
        <f t="shared" si="11"/>
      </c>
      <c r="X17" s="133">
        <f t="shared" si="12"/>
      </c>
      <c r="Y17" s="133">
        <f t="shared" si="15"/>
      </c>
      <c r="Z17" s="133">
        <f t="shared" si="18"/>
      </c>
      <c r="AA17" s="134">
        <f t="shared" si="24"/>
      </c>
      <c r="AB17" s="134">
        <f t="shared" si="29"/>
      </c>
      <c r="AC17" s="134">
        <f t="shared" si="2"/>
      </c>
      <c r="AD17" s="133">
        <f t="shared" si="5"/>
      </c>
      <c r="AE17" s="134">
        <f t="shared" si="8"/>
      </c>
      <c r="AF17" s="133">
        <f t="shared" si="13"/>
      </c>
      <c r="AG17" s="133">
        <f t="shared" si="16"/>
      </c>
      <c r="AH17" s="136"/>
      <c r="AI17" s="138"/>
      <c r="AJ17" s="138"/>
      <c r="AK17" s="138"/>
      <c r="AL17" s="139"/>
      <c r="AM17" s="139"/>
      <c r="AN17" s="138"/>
      <c r="AO17" s="138"/>
      <c r="AP17" s="138"/>
      <c r="AQ17" s="139"/>
      <c r="AR17" s="140">
        <f t="shared" si="22"/>
      </c>
    </row>
    <row r="18">
      <c r="A18" s="128"/>
      <c r="B18" s="143" t="s">
        <v>130</v>
      </c>
      <c r="C18" s="143"/>
      <c r="D18" s="143"/>
      <c r="E18" s="143"/>
      <c r="F18" s="144">
        <f>SUM(F15:F17)</f>
      </c>
      <c r="G18" s="144">
        <f>SUM(G15:G17)</f>
      </c>
      <c r="H18" s="144">
        <f>SUM(H15:H17)</f>
      </c>
      <c r="I18" s="143">
        <f>SUM(I15:I17)</f>
      </c>
      <c r="J18" s="143">
        <f>SUM(J15:J17)</f>
      </c>
      <c r="K18" s="144">
        <f>SUM(K15:K17)</f>
      </c>
      <c r="L18" s="145">
        <f t="shared" si="0"/>
      </c>
      <c r="M18" s="146">
        <f t="shared" si="3"/>
      </c>
      <c r="N18" s="144">
        <f t="shared" si="6"/>
      </c>
      <c r="O18" s="144">
        <f t="shared" si="9"/>
      </c>
      <c r="P18" s="144">
        <f t="shared" si="14"/>
      </c>
      <c r="Q18" s="144">
        <f t="shared" si="17"/>
      </c>
      <c r="R18" s="144">
        <f t="shared" si="23"/>
      </c>
      <c r="S18" s="144">
        <f t="shared" si="1"/>
      </c>
      <c r="T18" s="144">
        <f t="shared" si="4"/>
      </c>
      <c r="U18" s="145">
        <f t="shared" si="7"/>
      </c>
      <c r="V18" s="145">
        <f t="shared" si="10"/>
      </c>
      <c r="W18" s="145">
        <f t="shared" si="11"/>
      </c>
      <c r="X18" s="145">
        <f t="shared" si="12"/>
      </c>
      <c r="Y18" s="145">
        <f t="shared" si="15"/>
      </c>
      <c r="Z18" s="145">
        <f t="shared" si="18"/>
      </c>
      <c r="AA18" s="146">
        <f t="shared" si="24"/>
      </c>
      <c r="AB18" s="146">
        <f t="shared" si="29"/>
      </c>
      <c r="AC18" s="146">
        <f t="shared" si="2"/>
      </c>
      <c r="AD18" s="145">
        <f t="shared" si="5"/>
      </c>
      <c r="AE18" s="146">
        <f t="shared" si="8"/>
      </c>
      <c r="AF18" s="145">
        <f t="shared" si="13"/>
      </c>
      <c r="AG18" s="145">
        <f t="shared" si="16"/>
      </c>
      <c r="AH18" s="147">
        <f>SUM(AH15:AH17)</f>
      </c>
      <c r="AI18" s="147">
        <f>SUM(AI15:AI17)</f>
      </c>
      <c r="AJ18" s="147">
        <f>SUM(AJ15:AJ17)</f>
      </c>
      <c r="AK18" s="147">
        <f>SUM(AK15:AK17)</f>
      </c>
      <c r="AL18" s="147">
        <f>SUM(AL15:AL17)</f>
      </c>
      <c r="AM18" s="147">
        <f>SUM(AM15:AM17)</f>
      </c>
      <c r="AN18" s="147">
        <f>SUM(AN15:AN17)</f>
      </c>
      <c r="AO18" s="147">
        <f>SUM(AO15:AO17)</f>
      </c>
      <c r="AP18" s="147">
        <f>SUM(AP15:AP17)</f>
      </c>
      <c r="AQ18" s="147">
        <f>SUM(AQ15:AQ17)</f>
      </c>
      <c r="AR18" s="148">
        <f>SUM(AR15:AR17)</f>
      </c>
    </row>
    <row r="19">
      <c r="A19" s="128"/>
      <c r="B19" s="150" t="s">
        <v>142</v>
      </c>
      <c r="C19" s="150"/>
      <c r="D19" s="150"/>
      <c r="E19" s="150"/>
      <c r="F19" s="151">
        <f>F11+F7+F18+F14</f>
      </c>
      <c r="G19" s="151">
        <f>G11+G7+G18+G14</f>
      </c>
      <c r="H19" s="151">
        <f>H11+H7+H18+H14</f>
      </c>
      <c r="I19" s="151">
        <f>I11+I7+I18+I14</f>
      </c>
      <c r="J19" s="151">
        <f>J11+J7+J18+J14</f>
      </c>
      <c r="K19" s="151">
        <f>K11+K7+K18+K14</f>
      </c>
      <c r="L19" s="152">
        <f t="shared" si="0"/>
      </c>
      <c r="M19" s="153">
        <f t="shared" si="3"/>
      </c>
      <c r="N19" s="151">
        <f t="shared" si="6"/>
      </c>
      <c r="O19" s="151">
        <f t="shared" si="9"/>
      </c>
      <c r="P19" s="151">
        <f t="shared" si="14"/>
      </c>
      <c r="Q19" s="151">
        <f t="shared" si="17"/>
      </c>
      <c r="R19" s="151">
        <f t="shared" si="23"/>
      </c>
      <c r="S19" s="151">
        <f t="shared" si="1"/>
      </c>
      <c r="T19" s="151">
        <f t="shared" si="4"/>
      </c>
      <c r="U19" s="152">
        <f t="shared" si="7"/>
      </c>
      <c r="V19" s="152">
        <f t="shared" si="10"/>
      </c>
      <c r="W19" s="152">
        <f t="shared" si="11"/>
      </c>
      <c r="X19" s="152">
        <f t="shared" si="12"/>
      </c>
      <c r="Y19" s="152">
        <f t="shared" si="15"/>
      </c>
      <c r="Z19" s="152">
        <f t="shared" si="18"/>
      </c>
      <c r="AA19" s="153">
        <f t="shared" si="24"/>
      </c>
      <c r="AB19" s="153">
        <f t="shared" si="29"/>
      </c>
      <c r="AC19" s="153">
        <f t="shared" si="2"/>
      </c>
      <c r="AD19" s="152">
        <f t="shared" si="5"/>
      </c>
      <c r="AE19" s="153">
        <f t="shared" si="8"/>
      </c>
      <c r="AF19" s="152">
        <f t="shared" si="13"/>
      </c>
      <c r="AG19" s="152">
        <f t="shared" si="16"/>
      </c>
      <c r="AH19" s="148">
        <f>AH11+AH7+AH18+AH14</f>
      </c>
      <c r="AI19" s="148">
        <f>AI11+AI7+AI18+AI14</f>
      </c>
      <c r="AJ19" s="148">
        <f>AJ11+AJ7+AJ18+AJ14</f>
      </c>
      <c r="AK19" s="148">
        <f>AK11+AK7+AK18+AK14</f>
      </c>
      <c r="AL19" s="148">
        <f>AL11+AL7+AL18+AL14</f>
      </c>
      <c r="AM19" s="148">
        <f>AM11+AM7+AM18+AM14</f>
      </c>
      <c r="AN19" s="148">
        <f>AN11+AN7+AN18+AN14</f>
      </c>
      <c r="AO19" s="148">
        <f>AO11+AO7+AO18+AO14</f>
      </c>
      <c r="AP19" s="148">
        <f>AP11+AP7+AP18+AP14</f>
      </c>
      <c r="AQ19" s="148">
        <f>AQ11+AQ7+AQ18+AQ14</f>
      </c>
      <c r="AR19" s="148">
        <f>AR11+AR7+AR18+AR14</f>
      </c>
    </row>
    <row r="20">
      <c r="A20" s="154"/>
      <c r="B20" s="154"/>
      <c r="C20" s="154"/>
      <c r="D20" s="154"/>
      <c r="E20" s="154"/>
      <c r="F20" s="154"/>
      <c r="G20" s="155"/>
      <c r="H20" s="155"/>
      <c r="I20" s="154">
        <f>I21-I19</f>
      </c>
      <c r="J20" s="154">
        <f>J21-J19</f>
      </c>
      <c r="K20" s="154">
        <f>K21-K19</f>
      </c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/>
      <c r="AC20" s="154"/>
      <c r="AD20" s="154"/>
      <c r="AE20" s="154"/>
      <c r="AF20" s="154"/>
      <c r="AG20" s="154"/>
      <c r="AH20" s="154">
        <f>AH21-AH19</f>
      </c>
      <c r="AI20" s="154">
        <f>AI21-AI19</f>
      </c>
      <c r="AJ20" s="154">
        <f>AJ21-AJ19</f>
      </c>
      <c r="AK20" s="154">
        <f>AK21-AK19</f>
      </c>
      <c r="AL20" s="154">
        <f>AL21-AL19</f>
      </c>
      <c r="AM20" s="154">
        <f>AM21-AM19</f>
      </c>
      <c r="AN20" s="154">
        <f>AN21-AN19</f>
      </c>
      <c r="AO20" s="154">
        <f>AO21-AO19</f>
      </c>
      <c r="AP20" s="154">
        <f>AP21-AP19</f>
      </c>
      <c r="AQ20" s="154"/>
      <c r="AR20" s="154"/>
    </row>
    <row r="21">
      <c r="A21" s="154"/>
      <c r="B21" s="154"/>
      <c r="C21" s="154"/>
      <c r="D21" s="154"/>
      <c r="E21" s="154"/>
      <c r="F21" s="154"/>
      <c r="G21" s="156"/>
      <c r="H21" s="156"/>
      <c r="I21" s="157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  <c r="Z21" s="154"/>
      <c r="AA21" s="154"/>
      <c r="AB21" s="154"/>
      <c r="AC21" s="154"/>
      <c r="AD21" s="154"/>
      <c r="AE21" s="154"/>
      <c r="AF21" s="154"/>
      <c r="AG21" s="154"/>
      <c r="AH21" s="154"/>
      <c r="AI21" s="154"/>
      <c r="AJ21" s="154"/>
      <c r="AK21" s="154"/>
      <c r="AL21" s="154"/>
      <c r="AM21" s="154"/>
      <c r="AN21" s="154"/>
      <c r="AO21" s="154"/>
      <c r="AP21" s="154"/>
      <c r="AQ21" s="154"/>
      <c r="AR21" s="154"/>
    </row>
    <row r="22">
      <c r="G22" s="158">
        <f>G21+G20</f>
      </c>
      <c r="H22" s="158">
        <f>H21+H20</f>
      </c>
    </row>
    <row r="23">
      <c r="G23" s="158">
        <f>G24-G21</f>
      </c>
      <c r="H23" s="158">
        <f>H24-H21</f>
      </c>
    </row>
    <row r="24">
      <c r="G24" s="156"/>
      <c r="H24" s="156"/>
    </row>
  </sheetData>
  <mergeCells>
    <mergeCell ref="AH1:AR1"/>
    <mergeCell ref="F1:P1"/>
    <mergeCell ref="Q1:AB1"/>
    <mergeCell ref="AC1:AG1"/>
    <mergeCell ref="A1:E1"/>
    <mergeCell ref="A3:A19"/>
    <mergeCell ref="B7:E7"/>
    <mergeCell ref="B11:E11"/>
    <mergeCell ref="B14:E14"/>
    <mergeCell ref="B18:E18"/>
    <mergeCell ref="B19:E19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5" min="5" style="0" width="11.211267605633802"/>
    <col collapsed="false" customWidth="true" hidden="false" max="2" min="2" style="0" width="11.211267605633802"/>
    <col collapsed="false" customWidth="true" hidden="false" max="3" min="3" style="0" width="11.211267605633802"/>
    <col collapsed="false" customWidth="true" hidden="false" max="4" min="4" style="0" width="11.211267605633802"/>
  </cols>
  <sheetData>
    <row r="1">
      <c r="A1" s="159"/>
      <c r="B1" s="159"/>
      <c r="C1" s="159"/>
      <c r="D1" s="159"/>
      <c r="E1" s="159"/>
      <c r="F1" s="160" t="s">
        <v>143</v>
      </c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1" t="s">
        <v>144</v>
      </c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2" t="s">
        <v>145</v>
      </c>
      <c r="AD1" s="162"/>
      <c r="AE1" s="162"/>
      <c r="AF1" s="162"/>
      <c r="AG1" s="162"/>
      <c r="AH1" s="163" t="s">
        <v>146</v>
      </c>
      <c r="AI1" s="163"/>
      <c r="AJ1" s="163"/>
      <c r="AK1" s="163"/>
      <c r="AL1" s="163"/>
      <c r="AM1" s="163"/>
      <c r="AN1" s="163"/>
      <c r="AO1" s="163"/>
      <c r="AP1" s="163"/>
      <c r="AQ1" s="163"/>
      <c r="AR1" s="163"/>
    </row>
    <row r="2">
      <c r="A2" s="164" t="s">
        <v>147</v>
      </c>
      <c r="B2" s="165" t="s">
        <v>148</v>
      </c>
      <c r="C2" s="165" t="s">
        <v>149</v>
      </c>
      <c r="D2" s="166" t="s">
        <v>150</v>
      </c>
      <c r="E2" s="167" t="s">
        <v>151</v>
      </c>
      <c r="F2" s="168" t="s">
        <v>152</v>
      </c>
      <c r="G2" s="169" t="s">
        <v>153</v>
      </c>
      <c r="H2" s="170" t="s">
        <v>154</v>
      </c>
      <c r="I2" s="171" t="s">
        <v>155</v>
      </c>
      <c r="J2" s="171" t="s">
        <v>156</v>
      </c>
      <c r="K2" s="170" t="s">
        <v>157</v>
      </c>
      <c r="L2" s="172" t="s">
        <v>158</v>
      </c>
      <c r="M2" s="173" t="s">
        <v>159</v>
      </c>
      <c r="N2" s="174" t="s">
        <v>160</v>
      </c>
      <c r="O2" s="174" t="s">
        <v>161</v>
      </c>
      <c r="P2" s="175" t="s">
        <v>162</v>
      </c>
      <c r="Q2" s="161" t="s">
        <v>163</v>
      </c>
      <c r="R2" s="176" t="s">
        <v>164</v>
      </c>
      <c r="S2" s="176" t="s">
        <v>165</v>
      </c>
      <c r="T2" s="176" t="s">
        <v>166</v>
      </c>
      <c r="U2" s="177" t="s">
        <v>167</v>
      </c>
      <c r="V2" s="177" t="s">
        <v>168</v>
      </c>
      <c r="W2" s="177" t="s">
        <v>169</v>
      </c>
      <c r="X2" s="177" t="s">
        <v>170</v>
      </c>
      <c r="Y2" s="177" t="s">
        <v>171</v>
      </c>
      <c r="Z2" s="177" t="s">
        <v>172</v>
      </c>
      <c r="AA2" s="178" t="s">
        <v>173</v>
      </c>
      <c r="AB2" s="178" t="s">
        <v>174</v>
      </c>
      <c r="AC2" s="162" t="s">
        <v>175</v>
      </c>
      <c r="AD2" s="179" t="s">
        <v>176</v>
      </c>
      <c r="AE2" s="162" t="s">
        <v>177</v>
      </c>
      <c r="AF2" s="179" t="s">
        <v>178</v>
      </c>
      <c r="AG2" s="179" t="s">
        <v>179</v>
      </c>
      <c r="AH2" s="180" t="s">
        <v>180</v>
      </c>
      <c r="AI2" s="180" t="s">
        <v>181</v>
      </c>
      <c r="AJ2" s="180" t="s">
        <v>182</v>
      </c>
      <c r="AK2" s="180" t="s">
        <v>183</v>
      </c>
      <c r="AL2" s="180" t="s">
        <v>184</v>
      </c>
      <c r="AM2" s="180" t="s">
        <v>185</v>
      </c>
      <c r="AN2" s="180" t="s">
        <v>186</v>
      </c>
      <c r="AO2" s="180" t="s">
        <v>187</v>
      </c>
      <c r="AP2" s="180" t="s">
        <v>188</v>
      </c>
      <c r="AQ2" s="180" t="s">
        <v>189</v>
      </c>
      <c r="AR2" s="181" t="s">
        <v>190</v>
      </c>
    </row>
    <row r="3">
      <c r="A3" s="182">
        <v>46266</v>
      </c>
      <c r="B3" s="183" t="s">
        <v>191</v>
      </c>
      <c r="C3" s="184" t="s">
        <v>192</v>
      </c>
      <c r="D3" s="183" t="s">
        <v>193</v>
      </c>
      <c r="E3" s="183" t="s">
        <v>194</v>
      </c>
      <c r="F3" s="185">
        <f t="shared" ref="F3:F5" si="75">H3+G3</f>
      </c>
      <c r="G3" s="186">
        <v>3249.88</v>
      </c>
      <c r="H3" s="186">
        <v>408.15</v>
      </c>
      <c r="I3" s="187">
        <v>5</v>
      </c>
      <c r="J3" s="187">
        <v>3</v>
      </c>
      <c r="K3" s="188">
        <v>1810.8000000000002</v>
      </c>
      <c r="L3" s="189">
        <f t="shared" ref="L3:L190" si="188">AQ3/J3</f>
      </c>
      <c r="M3" s="190">
        <f t="shared" ref="M3:M190" si="410">K3/J3</f>
      </c>
      <c r="N3" s="191">
        <f t="shared" ref="N3:N190" si="0">F3/J3</f>
      </c>
      <c r="O3" s="191">
        <f t="shared" ref="O3:O190" si="293">K3/F3</f>
      </c>
      <c r="P3" s="191">
        <f t="shared" ref="P3:P190" si="338">K3/((300*AR3)+F3)</f>
      </c>
      <c r="Q3" s="191">
        <f t="shared" ref="Q3:Q190" si="233">F3/AJ3</f>
      </c>
      <c r="R3" s="191">
        <f t="shared" ref="R3:R190" si="263">F3/AK3</f>
      </c>
      <c r="S3" s="191">
        <f t="shared" ref="S3:S190" si="158">F3/AL3</f>
      </c>
      <c r="T3" s="191">
        <f t="shared" ref="T3:T190" si="203">F3/AM3</f>
      </c>
      <c r="U3" s="189">
        <f t="shared" ref="U3:U190" si="425">AI3/AJ3</f>
      </c>
      <c r="V3" s="189">
        <f t="shared" ref="V3:V190" si="15">AK3/AJ3</f>
      </c>
      <c r="W3" s="189">
        <f t="shared" ref="W3:W190" si="30">AL3/AK3</f>
      </c>
      <c r="X3" s="189">
        <f t="shared" ref="X3:X190" si="45">AM3/AL3</f>
      </c>
      <c r="Y3" s="189">
        <f t="shared" ref="Y3:Y190" si="308">AI3/AH3</f>
      </c>
      <c r="Z3" s="189">
        <f t="shared" ref="Z3:Z190" si="353">AM3/AI3</f>
      </c>
      <c r="AA3" s="190">
        <f t="shared" ref="AA3:AA190" si="248">F3/AH3*1000</f>
      </c>
      <c r="AB3" s="190">
        <f t="shared" ref="AB3:AB190" si="278">F3/AI3</f>
      </c>
      <c r="AC3" s="190">
        <f t="shared" ref="AC3:AC190" si="173">F3/AN3</f>
      </c>
      <c r="AD3" s="189">
        <f t="shared" ref="AD3:AD190" si="218">AN3/AJ3</f>
      </c>
      <c r="AE3" s="190">
        <f t="shared" ref="AE3:AE190" si="440">F3/AO3</f>
      </c>
      <c r="AF3" s="189">
        <f t="shared" ref="AF3:AF190" si="60">AO3/AJ3</f>
      </c>
      <c r="AG3" s="189">
        <f t="shared" ref="AG3:AG190" si="323">AP3/AJ3</f>
      </c>
      <c r="AH3" s="192">
        <v>24658</v>
      </c>
      <c r="AI3" s="193">
        <v>402</v>
      </c>
      <c r="AJ3" s="193">
        <v>389</v>
      </c>
      <c r="AK3" s="192">
        <v>126</v>
      </c>
      <c r="AL3" s="192">
        <v>5</v>
      </c>
      <c r="AM3" s="192">
        <v>3</v>
      </c>
      <c r="AN3" s="192">
        <v>71</v>
      </c>
      <c r="AO3" s="192">
        <v>89</v>
      </c>
      <c r="AP3" s="187">
        <v>2</v>
      </c>
      <c r="AQ3" s="187">
        <v>0</v>
      </c>
      <c r="AR3" s="194">
        <v>1</v>
      </c>
    </row>
    <row r="4">
      <c r="A4" s="182"/>
      <c r="B4" s="183" t="s">
        <v>191</v>
      </c>
      <c r="C4" s="184" t="s">
        <v>192</v>
      </c>
      <c r="D4" s="183" t="s">
        <v>193</v>
      </c>
      <c r="E4" s="183" t="s">
        <v>195</v>
      </c>
      <c r="F4" s="185">
        <f t="shared" si="75"/>
      </c>
      <c r="G4" s="195">
        <v>1808.26</v>
      </c>
      <c r="H4" s="186">
        <v>205.4</v>
      </c>
      <c r="I4" s="192">
        <v>4</v>
      </c>
      <c r="J4" s="192">
        <v>3</v>
      </c>
      <c r="K4" s="196">
        <v>2408.4000000000005</v>
      </c>
      <c r="L4" s="189">
        <f t="shared" si="188"/>
      </c>
      <c r="M4" s="190">
        <f t="shared" si="410"/>
      </c>
      <c r="N4" s="191">
        <f t="shared" si="0"/>
      </c>
      <c r="O4" s="191">
        <f t="shared" si="293"/>
      </c>
      <c r="P4" s="191">
        <f t="shared" si="338"/>
      </c>
      <c r="Q4" s="191">
        <f t="shared" si="233"/>
      </c>
      <c r="R4" s="191">
        <f t="shared" si="263"/>
      </c>
      <c r="S4" s="191">
        <f t="shared" si="158"/>
      </c>
      <c r="T4" s="191">
        <f t="shared" si="203"/>
      </c>
      <c r="U4" s="189">
        <f t="shared" si="425"/>
      </c>
      <c r="V4" s="189">
        <f t="shared" si="15"/>
      </c>
      <c r="W4" s="189">
        <f t="shared" si="30"/>
      </c>
      <c r="X4" s="189">
        <f t="shared" si="45"/>
      </c>
      <c r="Y4" s="189">
        <f t="shared" si="308"/>
      </c>
      <c r="Z4" s="189">
        <f t="shared" si="353"/>
      </c>
      <c r="AA4" s="190">
        <f t="shared" si="248"/>
      </c>
      <c r="AB4" s="190">
        <f t="shared" si="278"/>
      </c>
      <c r="AC4" s="190">
        <f t="shared" si="173"/>
      </c>
      <c r="AD4" s="189">
        <f t="shared" si="218"/>
      </c>
      <c r="AE4" s="190">
        <f t="shared" si="440"/>
      </c>
      <c r="AF4" s="189">
        <f t="shared" si="60"/>
      </c>
      <c r="AG4" s="189">
        <f t="shared" si="323"/>
      </c>
      <c r="AH4" s="192">
        <v>15314</v>
      </c>
      <c r="AI4" s="192">
        <v>271</v>
      </c>
      <c r="AJ4" s="192">
        <v>257</v>
      </c>
      <c r="AK4" s="192">
        <v>84</v>
      </c>
      <c r="AL4" s="192">
        <v>4</v>
      </c>
      <c r="AM4" s="192">
        <v>3</v>
      </c>
      <c r="AN4" s="192">
        <v>57</v>
      </c>
      <c r="AO4" s="192">
        <v>114</v>
      </c>
      <c r="AP4" s="187">
        <v>3</v>
      </c>
      <c r="AQ4" s="187">
        <v>0</v>
      </c>
      <c r="AR4" s="194">
        <v>1</v>
      </c>
    </row>
    <row r="5">
      <c r="A5" s="182"/>
      <c r="B5" s="183" t="s">
        <v>191</v>
      </c>
      <c r="C5" s="184" t="s">
        <v>192</v>
      </c>
      <c r="D5" s="183" t="s">
        <v>193</v>
      </c>
      <c r="E5" s="183" t="s">
        <v>196</v>
      </c>
      <c r="F5" s="185">
        <f t="shared" si="75"/>
      </c>
      <c r="G5" s="186">
        <v>2992.22</v>
      </c>
      <c r="H5" s="186">
        <v>237.03</v>
      </c>
      <c r="I5" s="192">
        <v>8</v>
      </c>
      <c r="J5" s="192">
        <v>7</v>
      </c>
      <c r="K5" s="196">
        <v>4649.799999999999</v>
      </c>
      <c r="L5" s="189">
        <f t="shared" si="188"/>
      </c>
      <c r="M5" s="190">
        <f t="shared" si="410"/>
      </c>
      <c r="N5" s="191">
        <f t="shared" si="0"/>
      </c>
      <c r="O5" s="191">
        <f t="shared" si="293"/>
      </c>
      <c r="P5" s="191">
        <f t="shared" si="338"/>
      </c>
      <c r="Q5" s="191">
        <f t="shared" si="233"/>
      </c>
      <c r="R5" s="191">
        <f t="shared" si="263"/>
      </c>
      <c r="S5" s="191">
        <f t="shared" si="158"/>
      </c>
      <c r="T5" s="191">
        <f t="shared" si="203"/>
      </c>
      <c r="U5" s="189">
        <f t="shared" si="425"/>
      </c>
      <c r="V5" s="189">
        <f t="shared" si="15"/>
      </c>
      <c r="W5" s="189">
        <f t="shared" si="30"/>
      </c>
      <c r="X5" s="189">
        <f t="shared" si="45"/>
      </c>
      <c r="Y5" s="189">
        <f t="shared" si="308"/>
      </c>
      <c r="Z5" s="189">
        <f t="shared" si="353"/>
      </c>
      <c r="AA5" s="190">
        <f t="shared" si="248"/>
      </c>
      <c r="AB5" s="190">
        <f t="shared" si="278"/>
      </c>
      <c r="AC5" s="190">
        <f t="shared" si="173"/>
      </c>
      <c r="AD5" s="189">
        <f t="shared" si="218"/>
      </c>
      <c r="AE5" s="190">
        <f t="shared" si="440"/>
      </c>
      <c r="AF5" s="189">
        <f t="shared" si="60"/>
      </c>
      <c r="AG5" s="189">
        <f t="shared" si="323"/>
      </c>
      <c r="AH5" s="192">
        <v>26373</v>
      </c>
      <c r="AI5" s="192">
        <v>380</v>
      </c>
      <c r="AJ5" s="192">
        <v>357</v>
      </c>
      <c r="AK5" s="192">
        <v>110</v>
      </c>
      <c r="AL5" s="192">
        <v>6</v>
      </c>
      <c r="AM5" s="192">
        <v>5</v>
      </c>
      <c r="AN5" s="192">
        <v>96</v>
      </c>
      <c r="AO5" s="192">
        <v>147</v>
      </c>
      <c r="AP5" s="192">
        <v>7</v>
      </c>
      <c r="AQ5" s="187">
        <v>0</v>
      </c>
      <c r="AR5" s="194">
        <v>1</v>
      </c>
    </row>
    <row r="6">
      <c r="A6" s="182"/>
      <c r="B6" s="197" t="s">
        <v>197</v>
      </c>
      <c r="C6" s="197"/>
      <c r="D6" s="197"/>
      <c r="E6" s="197"/>
      <c r="F6" s="198">
        <f>SUM(F3:F5)</f>
      </c>
      <c r="G6" s="198">
        <f>SUM(G3:G5)</f>
      </c>
      <c r="H6" s="198">
        <f>SUM(H3:H5)</f>
      </c>
      <c r="I6" s="199">
        <f>SUM(I3:I5)</f>
      </c>
      <c r="J6" s="199">
        <f>SUM(J3:J5)</f>
      </c>
      <c r="K6" s="198">
        <f>SUM(K3:K5)</f>
      </c>
      <c r="L6" s="200">
        <f t="shared" si="188"/>
      </c>
      <c r="M6" s="201">
        <f t="shared" si="410"/>
      </c>
      <c r="N6" s="202">
        <f t="shared" si="0"/>
      </c>
      <c r="O6" s="202">
        <f t="shared" si="293"/>
      </c>
      <c r="P6" s="202">
        <f t="shared" si="338"/>
      </c>
      <c r="Q6" s="202">
        <f t="shared" si="233"/>
      </c>
      <c r="R6" s="202">
        <f t="shared" si="263"/>
      </c>
      <c r="S6" s="202">
        <f t="shared" si="158"/>
      </c>
      <c r="T6" s="202">
        <f t="shared" si="203"/>
      </c>
      <c r="U6" s="200">
        <f t="shared" si="425"/>
      </c>
      <c r="V6" s="200">
        <f t="shared" si="15"/>
      </c>
      <c r="W6" s="200">
        <f t="shared" si="30"/>
      </c>
      <c r="X6" s="200">
        <f t="shared" si="45"/>
      </c>
      <c r="Y6" s="200">
        <f t="shared" si="308"/>
      </c>
      <c r="Z6" s="200">
        <f t="shared" si="353"/>
      </c>
      <c r="AA6" s="201">
        <f t="shared" si="248"/>
      </c>
      <c r="AB6" s="201">
        <f t="shared" si="278"/>
      </c>
      <c r="AC6" s="201">
        <f t="shared" si="173"/>
      </c>
      <c r="AD6" s="200">
        <f t="shared" si="218"/>
      </c>
      <c r="AE6" s="201">
        <f t="shared" si="440"/>
      </c>
      <c r="AF6" s="200">
        <f t="shared" si="60"/>
      </c>
      <c r="AG6" s="200">
        <f t="shared" si="323"/>
      </c>
      <c r="AH6" s="199">
        <f>SUM(AH3:AH5)</f>
      </c>
      <c r="AI6" s="199">
        <f>SUM(AI3:AI5)</f>
      </c>
      <c r="AJ6" s="199">
        <f>SUM(AJ3:AJ5)</f>
      </c>
      <c r="AK6" s="199">
        <f>SUM(AK3:AK5)</f>
      </c>
      <c r="AL6" s="199">
        <f>SUM(AL3:AL5)</f>
      </c>
      <c r="AM6" s="199">
        <f>SUM(AM3:AM5)</f>
      </c>
      <c r="AN6" s="199">
        <f>SUM(AN3:AN5)</f>
      </c>
      <c r="AO6" s="199">
        <f>SUM(AO3:AO5)</f>
      </c>
      <c r="AP6" s="199">
        <f>SUM(AP3:AP5)</f>
      </c>
      <c r="AQ6" s="199">
        <f>SUM(AQ3:AQ5)</f>
      </c>
      <c r="AR6" s="203">
        <f>SUM(AR3:AR5)</f>
      </c>
    </row>
    <row r="7">
      <c r="A7" s="182"/>
      <c r="B7" s="183" t="s">
        <v>191</v>
      </c>
      <c r="C7" s="184" t="s">
        <v>192</v>
      </c>
      <c r="D7" s="184" t="s">
        <v>198</v>
      </c>
      <c r="E7" s="183" t="s">
        <v>199</v>
      </c>
      <c r="F7" s="185">
        <f t="shared" ref="F7:F8" si="76">H7+G7</f>
      </c>
      <c r="G7" s="186">
        <v>1564.3799999999999</v>
      </c>
      <c r="H7" s="186">
        <v>142.45999999999998</v>
      </c>
      <c r="I7" s="192">
        <v>3</v>
      </c>
      <c r="J7" s="192">
        <v>4</v>
      </c>
      <c r="K7" s="196">
        <v>3666</v>
      </c>
      <c r="L7" s="189">
        <f t="shared" si="188"/>
      </c>
      <c r="M7" s="190">
        <f t="shared" si="410"/>
      </c>
      <c r="N7" s="191">
        <f t="shared" si="0"/>
      </c>
      <c r="O7" s="191">
        <f t="shared" si="293"/>
      </c>
      <c r="P7" s="191">
        <f t="shared" si="338"/>
      </c>
      <c r="Q7" s="191">
        <f t="shared" si="233"/>
      </c>
      <c r="R7" s="191">
        <f t="shared" si="263"/>
      </c>
      <c r="S7" s="191">
        <f t="shared" si="158"/>
      </c>
      <c r="T7" s="191">
        <f t="shared" si="203"/>
      </c>
      <c r="U7" s="189">
        <f t="shared" si="425"/>
      </c>
      <c r="V7" s="189">
        <f t="shared" si="15"/>
      </c>
      <c r="W7" s="189">
        <f t="shared" si="30"/>
      </c>
      <c r="X7" s="189">
        <f t="shared" si="45"/>
      </c>
      <c r="Y7" s="189">
        <f t="shared" si="308"/>
      </c>
      <c r="Z7" s="189">
        <f t="shared" si="353"/>
      </c>
      <c r="AA7" s="190">
        <f t="shared" si="248"/>
      </c>
      <c r="AB7" s="190">
        <f t="shared" si="278"/>
      </c>
      <c r="AC7" s="190">
        <f t="shared" si="173"/>
      </c>
      <c r="AD7" s="189">
        <f t="shared" si="218"/>
      </c>
      <c r="AE7" s="190">
        <f t="shared" si="440"/>
      </c>
      <c r="AF7" s="189">
        <f t="shared" si="60"/>
      </c>
      <c r="AG7" s="189">
        <f t="shared" si="323"/>
      </c>
      <c r="AH7" s="192">
        <v>18313</v>
      </c>
      <c r="AI7" s="192">
        <v>297</v>
      </c>
      <c r="AJ7" s="192">
        <v>289</v>
      </c>
      <c r="AK7" s="192">
        <v>79</v>
      </c>
      <c r="AL7" s="192">
        <v>5</v>
      </c>
      <c r="AM7" s="192">
        <v>4</v>
      </c>
      <c r="AN7" s="192">
        <v>59</v>
      </c>
      <c r="AO7" s="192">
        <v>82</v>
      </c>
      <c r="AP7" s="192">
        <v>2</v>
      </c>
      <c r="AQ7" s="187">
        <v>1</v>
      </c>
      <c r="AR7" s="194">
        <v>1</v>
      </c>
    </row>
    <row r="8">
      <c r="A8" s="182"/>
      <c r="B8" s="183" t="s">
        <v>191</v>
      </c>
      <c r="C8" s="184" t="s">
        <v>192</v>
      </c>
      <c r="D8" s="184" t="s">
        <v>198</v>
      </c>
      <c r="E8" s="183" t="s">
        <v>200</v>
      </c>
      <c r="F8" s="185">
        <f t="shared" si="76"/>
      </c>
      <c r="G8" s="186">
        <v>1640.53</v>
      </c>
      <c r="H8" s="186">
        <v>189.89</v>
      </c>
      <c r="I8" s="192">
        <v>1</v>
      </c>
      <c r="J8" s="192">
        <v>1</v>
      </c>
      <c r="K8" s="196">
        <v>799</v>
      </c>
      <c r="L8" s="189">
        <f t="shared" si="188"/>
      </c>
      <c r="M8" s="190">
        <f t="shared" si="410"/>
      </c>
      <c r="N8" s="191">
        <f t="shared" si="0"/>
      </c>
      <c r="O8" s="191">
        <f t="shared" si="293"/>
      </c>
      <c r="P8" s="191">
        <f t="shared" si="338"/>
      </c>
      <c r="Q8" s="191">
        <f t="shared" si="233"/>
      </c>
      <c r="R8" s="191">
        <f t="shared" si="263"/>
      </c>
      <c r="S8" s="191">
        <f t="shared" si="158"/>
      </c>
      <c r="T8" s="191">
        <f t="shared" si="203"/>
      </c>
      <c r="U8" s="189">
        <f t="shared" si="425"/>
      </c>
      <c r="V8" s="189">
        <f t="shared" si="15"/>
      </c>
      <c r="W8" s="189">
        <f t="shared" si="30"/>
      </c>
      <c r="X8" s="189">
        <f t="shared" si="45"/>
      </c>
      <c r="Y8" s="189">
        <f t="shared" si="308"/>
      </c>
      <c r="Z8" s="189">
        <f t="shared" si="353"/>
      </c>
      <c r="AA8" s="190">
        <f t="shared" si="248"/>
      </c>
      <c r="AB8" s="190">
        <f t="shared" si="278"/>
      </c>
      <c r="AC8" s="190">
        <f t="shared" si="173"/>
      </c>
      <c r="AD8" s="189">
        <f t="shared" si="218"/>
      </c>
      <c r="AE8" s="190">
        <f t="shared" si="440"/>
      </c>
      <c r="AF8" s="189">
        <f t="shared" si="60"/>
      </c>
      <c r="AG8" s="189">
        <f t="shared" si="323"/>
      </c>
      <c r="AH8" s="192">
        <v>16793</v>
      </c>
      <c r="AI8" s="192">
        <v>287</v>
      </c>
      <c r="AJ8" s="192">
        <v>259</v>
      </c>
      <c r="AK8" s="192">
        <v>84</v>
      </c>
      <c r="AL8" s="192">
        <v>1</v>
      </c>
      <c r="AM8" s="192">
        <v>1</v>
      </c>
      <c r="AN8" s="192">
        <v>59</v>
      </c>
      <c r="AO8" s="192">
        <v>34</v>
      </c>
      <c r="AP8" s="192">
        <v>2</v>
      </c>
      <c r="AQ8" s="187">
        <v>0</v>
      </c>
      <c r="AR8" s="194">
        <v>1</v>
      </c>
    </row>
    <row r="9">
      <c r="A9" s="182"/>
      <c r="B9" s="197" t="s">
        <v>197</v>
      </c>
      <c r="C9" s="197"/>
      <c r="D9" s="197"/>
      <c r="E9" s="197"/>
      <c r="F9" s="198">
        <f>SUM(F7:F8)</f>
      </c>
      <c r="G9" s="198">
        <f>SUM(G7:G8)</f>
      </c>
      <c r="H9" s="198">
        <f>SUM(H7:H8)</f>
      </c>
      <c r="I9" s="199">
        <f>SUM(I7:I8)</f>
      </c>
      <c r="J9" s="199">
        <f>SUM(J7:J8)</f>
      </c>
      <c r="K9" s="198">
        <f>SUM(K7:K8)</f>
      </c>
      <c r="L9" s="200">
        <f t="shared" si="188"/>
      </c>
      <c r="M9" s="201">
        <f t="shared" si="410"/>
      </c>
      <c r="N9" s="202">
        <f t="shared" si="0"/>
      </c>
      <c r="O9" s="202">
        <f t="shared" si="293"/>
      </c>
      <c r="P9" s="202">
        <f t="shared" si="338"/>
      </c>
      <c r="Q9" s="202">
        <f t="shared" si="233"/>
      </c>
      <c r="R9" s="202">
        <f t="shared" si="263"/>
      </c>
      <c r="S9" s="202">
        <f t="shared" si="158"/>
      </c>
      <c r="T9" s="202">
        <f t="shared" si="203"/>
      </c>
      <c r="U9" s="200">
        <f t="shared" si="425"/>
      </c>
      <c r="V9" s="200">
        <f t="shared" si="15"/>
      </c>
      <c r="W9" s="200">
        <f t="shared" si="30"/>
      </c>
      <c r="X9" s="200">
        <f t="shared" si="45"/>
      </c>
      <c r="Y9" s="200">
        <f t="shared" si="308"/>
      </c>
      <c r="Z9" s="200">
        <f t="shared" si="353"/>
      </c>
      <c r="AA9" s="201">
        <f t="shared" si="248"/>
      </c>
      <c r="AB9" s="201">
        <f t="shared" si="278"/>
      </c>
      <c r="AC9" s="201">
        <f t="shared" si="173"/>
      </c>
      <c r="AD9" s="200">
        <f t="shared" si="218"/>
      </c>
      <c r="AE9" s="201">
        <f t="shared" si="440"/>
      </c>
      <c r="AF9" s="200">
        <f t="shared" si="60"/>
      </c>
      <c r="AG9" s="200">
        <f t="shared" si="323"/>
      </c>
      <c r="AH9" s="199">
        <f>SUM(AH7:AH8)</f>
      </c>
      <c r="AI9" s="199">
        <f>SUM(AI7:AI8)</f>
      </c>
      <c r="AJ9" s="199">
        <f>SUM(AJ7:AJ8)</f>
      </c>
      <c r="AK9" s="199">
        <f>SUM(AK7:AK8)</f>
      </c>
      <c r="AL9" s="199">
        <f>SUM(AL7:AL8)</f>
      </c>
      <c r="AM9" s="199">
        <f>SUM(AM7:AM8)</f>
      </c>
      <c r="AN9" s="199">
        <f>SUM(AN7:AN8)</f>
      </c>
      <c r="AO9" s="199">
        <f>SUM(AO7:AO8)</f>
      </c>
      <c r="AP9" s="199">
        <f>SUM(AP7:AP8)</f>
      </c>
      <c r="AQ9" s="199">
        <f>SUM(AQ7:AQ8)</f>
      </c>
      <c r="AR9" s="203">
        <f>SUM(AR7:AR8)</f>
      </c>
    </row>
    <row r="10">
      <c r="A10" s="182"/>
      <c r="B10" s="183" t="s">
        <v>191</v>
      </c>
      <c r="C10" s="184" t="s">
        <v>192</v>
      </c>
      <c r="D10" s="183" t="s">
        <v>201</v>
      </c>
      <c r="E10" s="184" t="s">
        <v>202</v>
      </c>
      <c r="F10" s="185">
        <f t="shared" ref="F10:F12" si="77">H10+G10</f>
      </c>
      <c r="G10" s="186">
        <v>2062.64</v>
      </c>
      <c r="H10" s="186">
        <v>120.55</v>
      </c>
      <c r="I10" s="187">
        <v>5</v>
      </c>
      <c r="J10" s="187">
        <v>7</v>
      </c>
      <c r="K10" s="188">
        <v>5329.5999999999985</v>
      </c>
      <c r="L10" s="189">
        <f t="shared" si="188"/>
      </c>
      <c r="M10" s="190">
        <f t="shared" si="410"/>
      </c>
      <c r="N10" s="191">
        <f t="shared" si="0"/>
      </c>
      <c r="O10" s="191">
        <f t="shared" si="293"/>
      </c>
      <c r="P10" s="191">
        <f t="shared" si="338"/>
      </c>
      <c r="Q10" s="191">
        <f t="shared" si="233"/>
      </c>
      <c r="R10" s="191">
        <f t="shared" si="263"/>
      </c>
      <c r="S10" s="191">
        <f t="shared" si="158"/>
      </c>
      <c r="T10" s="191">
        <f t="shared" si="203"/>
      </c>
      <c r="U10" s="189">
        <f t="shared" si="425"/>
      </c>
      <c r="V10" s="189">
        <f t="shared" si="15"/>
      </c>
      <c r="W10" s="189">
        <f t="shared" si="30"/>
      </c>
      <c r="X10" s="189">
        <f t="shared" si="45"/>
      </c>
      <c r="Y10" s="189">
        <f t="shared" si="308"/>
      </c>
      <c r="Z10" s="189">
        <f t="shared" si="353"/>
      </c>
      <c r="AA10" s="190">
        <f t="shared" si="248"/>
      </c>
      <c r="AB10" s="190">
        <f t="shared" si="278"/>
      </c>
      <c r="AC10" s="190">
        <f t="shared" si="173"/>
      </c>
      <c r="AD10" s="189">
        <f t="shared" si="218"/>
      </c>
      <c r="AE10" s="190">
        <f t="shared" si="440"/>
      </c>
      <c r="AF10" s="189">
        <f t="shared" si="60"/>
      </c>
      <c r="AG10" s="189">
        <f t="shared" si="323"/>
      </c>
      <c r="AH10" s="192">
        <v>21445</v>
      </c>
      <c r="AI10" s="192">
        <v>291</v>
      </c>
      <c r="AJ10" s="192">
        <v>282</v>
      </c>
      <c r="AK10" s="192">
        <v>93</v>
      </c>
      <c r="AL10" s="192">
        <v>5</v>
      </c>
      <c r="AM10" s="192">
        <v>5</v>
      </c>
      <c r="AN10" s="192">
        <v>62</v>
      </c>
      <c r="AO10" s="192">
        <v>83</v>
      </c>
      <c r="AP10" s="192">
        <v>3</v>
      </c>
      <c r="AQ10" s="187">
        <v>2</v>
      </c>
      <c r="AR10" s="194">
        <v>1</v>
      </c>
    </row>
    <row r="11">
      <c r="A11" s="182"/>
      <c r="B11" s="183" t="s">
        <v>191</v>
      </c>
      <c r="C11" s="184" t="s">
        <v>192</v>
      </c>
      <c r="D11" s="183" t="s">
        <v>201</v>
      </c>
      <c r="E11" s="184" t="s">
        <v>203</v>
      </c>
      <c r="F11" s="185">
        <f t="shared" si="77"/>
      </c>
      <c r="G11" s="204">
        <v>1856.72</v>
      </c>
      <c r="H11" s="186">
        <v>240.19</v>
      </c>
      <c r="I11" s="192">
        <v>7</v>
      </c>
      <c r="J11" s="192">
        <v>4</v>
      </c>
      <c r="K11" s="196">
        <v>2704.2000000000007</v>
      </c>
      <c r="L11" s="189">
        <f t="shared" si="188"/>
      </c>
      <c r="M11" s="190">
        <f t="shared" si="410"/>
      </c>
      <c r="N11" s="191">
        <f t="shared" si="0"/>
      </c>
      <c r="O11" s="191">
        <f t="shared" si="293"/>
      </c>
      <c r="P11" s="191">
        <f t="shared" si="338"/>
      </c>
      <c r="Q11" s="191">
        <f t="shared" si="233"/>
      </c>
      <c r="R11" s="191">
        <f t="shared" si="263"/>
      </c>
      <c r="S11" s="191">
        <f t="shared" si="158"/>
      </c>
      <c r="T11" s="191">
        <f t="shared" si="203"/>
      </c>
      <c r="U11" s="189">
        <f t="shared" si="425"/>
      </c>
      <c r="V11" s="189">
        <f t="shared" si="15"/>
      </c>
      <c r="W11" s="189">
        <f t="shared" si="30"/>
      </c>
      <c r="X11" s="189">
        <f t="shared" si="45"/>
      </c>
      <c r="Y11" s="189">
        <f t="shared" si="308"/>
      </c>
      <c r="Z11" s="189">
        <f t="shared" si="353"/>
      </c>
      <c r="AA11" s="190">
        <f t="shared" si="248"/>
      </c>
      <c r="AB11" s="190">
        <f t="shared" si="278"/>
      </c>
      <c r="AC11" s="190">
        <f t="shared" si="173"/>
      </c>
      <c r="AD11" s="189">
        <f t="shared" si="218"/>
      </c>
      <c r="AE11" s="190">
        <f t="shared" si="440"/>
      </c>
      <c r="AF11" s="189">
        <f t="shared" si="60"/>
      </c>
      <c r="AG11" s="189">
        <f t="shared" si="323"/>
      </c>
      <c r="AH11" s="192">
        <v>19577</v>
      </c>
      <c r="AI11" s="192">
        <v>266</v>
      </c>
      <c r="AJ11" s="192">
        <v>257</v>
      </c>
      <c r="AK11" s="192">
        <v>79</v>
      </c>
      <c r="AL11" s="192">
        <v>6</v>
      </c>
      <c r="AM11" s="192">
        <v>3</v>
      </c>
      <c r="AN11" s="192">
        <v>54</v>
      </c>
      <c r="AO11" s="192">
        <v>46</v>
      </c>
      <c r="AP11" s="192">
        <v>3</v>
      </c>
      <c r="AQ11" s="187">
        <v>1</v>
      </c>
      <c r="AR11" s="194">
        <v>1</v>
      </c>
    </row>
    <row r="12">
      <c r="A12" s="182"/>
      <c r="B12" s="183" t="s">
        <v>191</v>
      </c>
      <c r="C12" s="184" t="s">
        <v>192</v>
      </c>
      <c r="D12" s="183" t="s">
        <v>201</v>
      </c>
      <c r="E12" s="183" t="s">
        <v>204</v>
      </c>
      <c r="F12" s="185">
        <f t="shared" si="77"/>
      </c>
      <c r="G12" s="204">
        <v>2324.72</v>
      </c>
      <c r="H12" s="186">
        <v>232.03</v>
      </c>
      <c r="I12" s="192">
        <v>3</v>
      </c>
      <c r="J12" s="192">
        <v>3</v>
      </c>
      <c r="K12" s="196">
        <v>2231.7999999999993</v>
      </c>
      <c r="L12" s="189">
        <f t="shared" si="188"/>
      </c>
      <c r="M12" s="190">
        <f t="shared" si="410"/>
      </c>
      <c r="N12" s="191">
        <f t="shared" si="0"/>
      </c>
      <c r="O12" s="191">
        <f t="shared" si="293"/>
      </c>
      <c r="P12" s="191">
        <f t="shared" si="338"/>
      </c>
      <c r="Q12" s="191">
        <f t="shared" si="233"/>
      </c>
      <c r="R12" s="191">
        <f t="shared" si="263"/>
      </c>
      <c r="S12" s="191">
        <f t="shared" si="158"/>
      </c>
      <c r="T12" s="191">
        <f t="shared" si="203"/>
      </c>
      <c r="U12" s="189">
        <f t="shared" si="425"/>
      </c>
      <c r="V12" s="189">
        <f t="shared" si="15"/>
      </c>
      <c r="W12" s="189">
        <f t="shared" si="30"/>
      </c>
      <c r="X12" s="189">
        <f t="shared" si="45"/>
      </c>
      <c r="Y12" s="189">
        <f t="shared" si="308"/>
      </c>
      <c r="Z12" s="189">
        <f t="shared" si="353"/>
      </c>
      <c r="AA12" s="190">
        <f t="shared" si="248"/>
      </c>
      <c r="AB12" s="190">
        <f t="shared" si="278"/>
      </c>
      <c r="AC12" s="190">
        <f t="shared" si="173"/>
      </c>
      <c r="AD12" s="189">
        <f t="shared" si="218"/>
      </c>
      <c r="AE12" s="190">
        <f t="shared" si="440"/>
      </c>
      <c r="AF12" s="189">
        <f t="shared" si="60"/>
      </c>
      <c r="AG12" s="189">
        <f t="shared" si="323"/>
      </c>
      <c r="AH12" s="192">
        <v>18024</v>
      </c>
      <c r="AI12" s="192">
        <v>293</v>
      </c>
      <c r="AJ12" s="192">
        <v>293</v>
      </c>
      <c r="AK12" s="192">
        <v>82</v>
      </c>
      <c r="AL12" s="192">
        <v>3</v>
      </c>
      <c r="AM12" s="192">
        <v>3</v>
      </c>
      <c r="AN12" s="192">
        <v>56</v>
      </c>
      <c r="AO12" s="192">
        <v>41</v>
      </c>
      <c r="AP12" s="192">
        <v>3</v>
      </c>
      <c r="AQ12" s="187">
        <v>0</v>
      </c>
      <c r="AR12" s="194">
        <v>1</v>
      </c>
    </row>
    <row r="13">
      <c r="A13" s="182"/>
      <c r="B13" s="197" t="s">
        <v>197</v>
      </c>
      <c r="C13" s="197"/>
      <c r="D13" s="197"/>
      <c r="E13" s="197"/>
      <c r="F13" s="198">
        <f>SUM(F10:F12)</f>
      </c>
      <c r="G13" s="198">
        <f>SUM(G10:G12)</f>
      </c>
      <c r="H13" s="198">
        <f>SUM(H10:H12)</f>
      </c>
      <c r="I13" s="199">
        <f>SUM(I10:I12)</f>
      </c>
      <c r="J13" s="199">
        <f>SUM(J10:J12)</f>
      </c>
      <c r="K13" s="198">
        <f>SUM(K10:K12)</f>
      </c>
      <c r="L13" s="200">
        <f t="shared" si="188"/>
      </c>
      <c r="M13" s="201">
        <f t="shared" si="410"/>
      </c>
      <c r="N13" s="202">
        <f t="shared" si="0"/>
      </c>
      <c r="O13" s="202">
        <f t="shared" si="293"/>
      </c>
      <c r="P13" s="202">
        <f t="shared" si="338"/>
      </c>
      <c r="Q13" s="202">
        <f t="shared" si="233"/>
      </c>
      <c r="R13" s="202">
        <f t="shared" si="263"/>
      </c>
      <c r="S13" s="202">
        <f t="shared" si="158"/>
      </c>
      <c r="T13" s="202">
        <f t="shared" si="203"/>
      </c>
      <c r="U13" s="200">
        <f t="shared" si="425"/>
      </c>
      <c r="V13" s="200">
        <f t="shared" si="15"/>
      </c>
      <c r="W13" s="200">
        <f t="shared" si="30"/>
      </c>
      <c r="X13" s="200">
        <f t="shared" si="45"/>
      </c>
      <c r="Y13" s="200">
        <f t="shared" si="308"/>
      </c>
      <c r="Z13" s="200">
        <f t="shared" si="353"/>
      </c>
      <c r="AA13" s="201">
        <f t="shared" si="248"/>
      </c>
      <c r="AB13" s="201">
        <f t="shared" si="278"/>
      </c>
      <c r="AC13" s="201">
        <f t="shared" si="173"/>
      </c>
      <c r="AD13" s="200">
        <f t="shared" si="218"/>
      </c>
      <c r="AE13" s="201">
        <f t="shared" si="440"/>
      </c>
      <c r="AF13" s="200">
        <f t="shared" si="60"/>
      </c>
      <c r="AG13" s="200">
        <f t="shared" si="323"/>
      </c>
      <c r="AH13" s="199">
        <f>SUM(AH10:AH12)</f>
      </c>
      <c r="AI13" s="199">
        <f>SUM(AI10:AI12)</f>
      </c>
      <c r="AJ13" s="199">
        <f>SUM(AJ10:AJ12)</f>
      </c>
      <c r="AK13" s="199">
        <f>SUM(AK10:AK12)</f>
      </c>
      <c r="AL13" s="199">
        <f>SUM(AL10:AL12)</f>
      </c>
      <c r="AM13" s="199">
        <f>SUM(AM10:AM12)</f>
      </c>
      <c r="AN13" s="199">
        <f>SUM(AN10:AN12)</f>
      </c>
      <c r="AO13" s="199">
        <f>SUM(AO10:AO12)</f>
      </c>
      <c r="AP13" s="199">
        <f>SUM(AP10:AP12)</f>
      </c>
      <c r="AQ13" s="199">
        <f>SUM(AQ10:AQ12)</f>
      </c>
      <c r="AR13" s="203">
        <f>SUM(AR10:AR12)</f>
      </c>
    </row>
    <row r="14">
      <c r="A14" s="182"/>
      <c r="B14" s="205" t="s">
        <v>205</v>
      </c>
      <c r="C14" s="205"/>
      <c r="D14" s="205"/>
      <c r="E14" s="205"/>
      <c r="F14" s="206">
        <f t="shared" ref="F14:F17" si="78">H14+G14</f>
      </c>
      <c r="G14" s="206">
        <f>G6+G13+G9</f>
      </c>
      <c r="H14" s="206">
        <f>H6+H13+H9</f>
      </c>
      <c r="I14" s="206">
        <f>I6+I13+I9</f>
      </c>
      <c r="J14" s="206">
        <f>J6+J13+J9</f>
      </c>
      <c r="K14" s="206">
        <f>K6+K13+K9</f>
      </c>
      <c r="L14" s="207">
        <f t="shared" si="188"/>
      </c>
      <c r="M14" s="208">
        <f t="shared" si="410"/>
      </c>
      <c r="N14" s="209">
        <f t="shared" si="0"/>
      </c>
      <c r="O14" s="209">
        <f t="shared" si="293"/>
      </c>
      <c r="P14" s="209">
        <f t="shared" si="338"/>
      </c>
      <c r="Q14" s="209">
        <f t="shared" si="233"/>
      </c>
      <c r="R14" s="209">
        <f t="shared" si="263"/>
      </c>
      <c r="S14" s="209">
        <f t="shared" si="158"/>
      </c>
      <c r="T14" s="209">
        <f t="shared" si="203"/>
      </c>
      <c r="U14" s="207">
        <f t="shared" si="425"/>
      </c>
      <c r="V14" s="207">
        <f t="shared" si="15"/>
      </c>
      <c r="W14" s="207">
        <f t="shared" si="30"/>
      </c>
      <c r="X14" s="207">
        <f t="shared" si="45"/>
      </c>
      <c r="Y14" s="207">
        <f t="shared" si="308"/>
      </c>
      <c r="Z14" s="207">
        <f t="shared" si="353"/>
      </c>
      <c r="AA14" s="208">
        <f t="shared" si="248"/>
      </c>
      <c r="AB14" s="208">
        <f t="shared" si="278"/>
      </c>
      <c r="AC14" s="208">
        <f t="shared" si="173"/>
      </c>
      <c r="AD14" s="207">
        <f t="shared" si="218"/>
      </c>
      <c r="AE14" s="208">
        <f t="shared" si="440"/>
      </c>
      <c r="AF14" s="207">
        <f t="shared" si="60"/>
      </c>
      <c r="AG14" s="207">
        <f t="shared" si="323"/>
      </c>
      <c r="AH14" s="210">
        <f>AH6+AH13+AH9</f>
      </c>
      <c r="AI14" s="210">
        <f>AI6+AI13+AI9</f>
      </c>
      <c r="AJ14" s="210">
        <f>AJ6+AJ13+AJ9</f>
      </c>
      <c r="AK14" s="210">
        <f>AK6+AK13+AK9</f>
      </c>
      <c r="AL14" s="210">
        <f>AL6+AL13+AL9</f>
      </c>
      <c r="AM14" s="210">
        <f>AM6+AM13+AM9</f>
      </c>
      <c r="AN14" s="210">
        <f>AN6+AN13+AN9</f>
      </c>
      <c r="AO14" s="210">
        <f>AO6+AO13+AO9</f>
      </c>
      <c r="AP14" s="210">
        <f>AP6+AP13+AP9</f>
      </c>
      <c r="AQ14" s="210">
        <f>AQ6+AQ13+AQ9</f>
      </c>
      <c r="AR14" s="203">
        <f>AR6+AR13+AR9</f>
      </c>
    </row>
    <row r="15">
      <c r="A15" s="182">
        <v>46267</v>
      </c>
      <c r="B15" s="183" t="s">
        <v>191</v>
      </c>
      <c r="C15" s="184" t="s">
        <v>192</v>
      </c>
      <c r="D15" s="184" t="s">
        <v>198</v>
      </c>
      <c r="E15" s="183" t="s">
        <v>194</v>
      </c>
      <c r="F15" s="185">
        <f t="shared" si="78"/>
      </c>
      <c r="G15" s="186">
        <v>1716.26</v>
      </c>
      <c r="H15" s="186">
        <v>199.46</v>
      </c>
      <c r="I15" s="187">
        <v>0</v>
      </c>
      <c r="J15" s="187">
        <v>0</v>
      </c>
      <c r="K15" s="188">
        <v>0</v>
      </c>
      <c r="L15" s="189">
        <f t="shared" si="188"/>
      </c>
      <c r="M15" s="190">
        <f t="shared" si="410"/>
      </c>
      <c r="N15" s="191">
        <f t="shared" si="0"/>
      </c>
      <c r="O15" s="191">
        <f t="shared" si="293"/>
      </c>
      <c r="P15" s="191">
        <f t="shared" si="338"/>
      </c>
      <c r="Q15" s="191">
        <f t="shared" si="233"/>
      </c>
      <c r="R15" s="191">
        <f t="shared" si="263"/>
      </c>
      <c r="S15" s="191">
        <f t="shared" si="158"/>
      </c>
      <c r="T15" s="191">
        <f t="shared" si="203"/>
      </c>
      <c r="U15" s="189">
        <f t="shared" si="425"/>
      </c>
      <c r="V15" s="189">
        <f t="shared" si="15"/>
      </c>
      <c r="W15" s="189">
        <f t="shared" si="30"/>
      </c>
      <c r="X15" s="189">
        <f t="shared" si="45"/>
      </c>
      <c r="Y15" s="189">
        <f t="shared" si="308"/>
      </c>
      <c r="Z15" s="189">
        <f t="shared" si="353"/>
      </c>
      <c r="AA15" s="190">
        <f t="shared" si="248"/>
      </c>
      <c r="AB15" s="190">
        <f t="shared" si="278"/>
      </c>
      <c r="AC15" s="190">
        <f t="shared" si="173"/>
      </c>
      <c r="AD15" s="189">
        <f t="shared" si="218"/>
      </c>
      <c r="AE15" s="190">
        <f t="shared" si="440"/>
      </c>
      <c r="AF15" s="189">
        <f t="shared" si="60"/>
      </c>
      <c r="AG15" s="189">
        <f t="shared" si="323"/>
      </c>
      <c r="AH15" s="192">
        <v>13311</v>
      </c>
      <c r="AI15" s="193">
        <v>206</v>
      </c>
      <c r="AJ15" s="193">
        <v>198</v>
      </c>
      <c r="AK15" s="192">
        <v>68</v>
      </c>
      <c r="AL15" s="192">
        <v>0</v>
      </c>
      <c r="AM15" s="192">
        <v>0</v>
      </c>
      <c r="AN15" s="192">
        <v>46</v>
      </c>
      <c r="AO15" s="192">
        <v>36</v>
      </c>
      <c r="AP15" s="187">
        <v>3</v>
      </c>
      <c r="AQ15" s="187">
        <v>0</v>
      </c>
      <c r="AR15" s="194">
        <v>1</v>
      </c>
    </row>
    <row r="16">
      <c r="A16" s="182"/>
      <c r="B16" s="183" t="s">
        <v>191</v>
      </c>
      <c r="C16" s="184" t="s">
        <v>192</v>
      </c>
      <c r="D16" s="184" t="s">
        <v>198</v>
      </c>
      <c r="E16" s="183" t="s">
        <v>195</v>
      </c>
      <c r="F16" s="185">
        <f t="shared" si="78"/>
      </c>
      <c r="G16" s="195">
        <v>2291.91</v>
      </c>
      <c r="H16" s="186">
        <v>241.87</v>
      </c>
      <c r="I16" s="187">
        <v>2</v>
      </c>
      <c r="J16" s="187">
        <v>2</v>
      </c>
      <c r="K16" s="196">
        <v>948</v>
      </c>
      <c r="L16" s="189">
        <f t="shared" si="188"/>
      </c>
      <c r="M16" s="190">
        <f t="shared" si="410"/>
      </c>
      <c r="N16" s="191">
        <f t="shared" si="0"/>
      </c>
      <c r="O16" s="191">
        <f t="shared" si="293"/>
      </c>
      <c r="P16" s="191">
        <f t="shared" si="338"/>
      </c>
      <c r="Q16" s="191">
        <f t="shared" si="233"/>
      </c>
      <c r="R16" s="191">
        <f t="shared" si="263"/>
      </c>
      <c r="S16" s="191">
        <f t="shared" si="158"/>
      </c>
      <c r="T16" s="191">
        <f t="shared" si="203"/>
      </c>
      <c r="U16" s="189">
        <f t="shared" si="425"/>
      </c>
      <c r="V16" s="189">
        <f t="shared" si="15"/>
      </c>
      <c r="W16" s="189">
        <f t="shared" si="30"/>
      </c>
      <c r="X16" s="189">
        <f t="shared" si="45"/>
      </c>
      <c r="Y16" s="189">
        <f t="shared" si="308"/>
      </c>
      <c r="Z16" s="189">
        <f t="shared" si="353"/>
      </c>
      <c r="AA16" s="190">
        <f t="shared" si="248"/>
      </c>
      <c r="AB16" s="190">
        <f t="shared" si="278"/>
      </c>
      <c r="AC16" s="190">
        <f t="shared" si="173"/>
      </c>
      <c r="AD16" s="189">
        <f t="shared" si="218"/>
      </c>
      <c r="AE16" s="190">
        <f t="shared" si="440"/>
      </c>
      <c r="AF16" s="189">
        <f t="shared" si="60"/>
      </c>
      <c r="AG16" s="189">
        <f t="shared" si="323"/>
      </c>
      <c r="AH16" s="192">
        <v>17479</v>
      </c>
      <c r="AI16" s="192">
        <v>321</v>
      </c>
      <c r="AJ16" s="192">
        <v>292</v>
      </c>
      <c r="AK16" s="192">
        <v>93</v>
      </c>
      <c r="AL16" s="192">
        <v>2</v>
      </c>
      <c r="AM16" s="192">
        <v>2</v>
      </c>
      <c r="AN16" s="192">
        <v>64</v>
      </c>
      <c r="AO16" s="192">
        <v>59</v>
      </c>
      <c r="AP16" s="187">
        <v>5</v>
      </c>
      <c r="AQ16" s="187">
        <v>0</v>
      </c>
      <c r="AR16" s="194">
        <v>1</v>
      </c>
    </row>
    <row r="17">
      <c r="A17" s="182"/>
      <c r="B17" s="183" t="s">
        <v>191</v>
      </c>
      <c r="C17" s="184" t="s">
        <v>192</v>
      </c>
      <c r="D17" s="184" t="s">
        <v>198</v>
      </c>
      <c r="E17" s="183" t="s">
        <v>196</v>
      </c>
      <c r="F17" s="185">
        <f t="shared" si="78"/>
      </c>
      <c r="G17" s="186">
        <v>1719.17</v>
      </c>
      <c r="H17" s="186">
        <v>220.46</v>
      </c>
      <c r="I17" s="187">
        <v>3</v>
      </c>
      <c r="J17" s="187">
        <v>5</v>
      </c>
      <c r="K17" s="196">
        <v>2505</v>
      </c>
      <c r="L17" s="189">
        <f t="shared" si="188"/>
      </c>
      <c r="M17" s="190">
        <f t="shared" si="410"/>
      </c>
      <c r="N17" s="191">
        <f t="shared" si="0"/>
      </c>
      <c r="O17" s="191">
        <f t="shared" si="293"/>
      </c>
      <c r="P17" s="191">
        <f t="shared" si="338"/>
      </c>
      <c r="Q17" s="191">
        <f t="shared" si="233"/>
      </c>
      <c r="R17" s="191">
        <f t="shared" si="263"/>
      </c>
      <c r="S17" s="191">
        <f t="shared" si="158"/>
      </c>
      <c r="T17" s="191">
        <f t="shared" si="203"/>
      </c>
      <c r="U17" s="189">
        <f t="shared" si="425"/>
      </c>
      <c r="V17" s="189">
        <f t="shared" si="15"/>
      </c>
      <c r="W17" s="189">
        <f t="shared" si="30"/>
      </c>
      <c r="X17" s="189">
        <f t="shared" si="45"/>
      </c>
      <c r="Y17" s="189">
        <f t="shared" si="308"/>
      </c>
      <c r="Z17" s="189">
        <f t="shared" si="353"/>
      </c>
      <c r="AA17" s="190">
        <f t="shared" si="248"/>
      </c>
      <c r="AB17" s="190">
        <f t="shared" si="278"/>
      </c>
      <c r="AC17" s="190">
        <f t="shared" si="173"/>
      </c>
      <c r="AD17" s="189">
        <f t="shared" si="218"/>
      </c>
      <c r="AE17" s="190">
        <f t="shared" si="440"/>
      </c>
      <c r="AF17" s="189">
        <f t="shared" si="60"/>
      </c>
      <c r="AG17" s="189">
        <f t="shared" si="323"/>
      </c>
      <c r="AH17" s="192">
        <v>11883</v>
      </c>
      <c r="AI17" s="192">
        <v>287</v>
      </c>
      <c r="AJ17" s="192">
        <v>271</v>
      </c>
      <c r="AK17" s="192">
        <v>65</v>
      </c>
      <c r="AL17" s="192">
        <v>3</v>
      </c>
      <c r="AM17" s="192">
        <v>3</v>
      </c>
      <c r="AN17" s="192">
        <v>40</v>
      </c>
      <c r="AO17" s="192">
        <v>51</v>
      </c>
      <c r="AP17" s="192">
        <v>3</v>
      </c>
      <c r="AQ17" s="187">
        <v>2</v>
      </c>
      <c r="AR17" s="194">
        <v>1</v>
      </c>
    </row>
    <row r="18">
      <c r="A18" s="182"/>
      <c r="B18" s="197" t="s">
        <v>197</v>
      </c>
      <c r="C18" s="197"/>
      <c r="D18" s="197"/>
      <c r="E18" s="197"/>
      <c r="F18" s="198">
        <f>SUM(F15:F17)</f>
      </c>
      <c r="G18" s="198">
        <f>SUM(G15:G17)</f>
      </c>
      <c r="H18" s="198">
        <f>SUM(H15:H17)</f>
      </c>
      <c r="I18" s="199">
        <f>SUM(I15:I17)</f>
      </c>
      <c r="J18" s="199">
        <f>SUM(J15:J17)</f>
      </c>
      <c r="K18" s="198">
        <f>SUM(K15:K17)</f>
      </c>
      <c r="L18" s="200">
        <f t="shared" si="188"/>
      </c>
      <c r="M18" s="201">
        <f t="shared" si="410"/>
      </c>
      <c r="N18" s="202">
        <f t="shared" si="0"/>
      </c>
      <c r="O18" s="202">
        <f t="shared" si="293"/>
      </c>
      <c r="P18" s="202">
        <f t="shared" si="338"/>
      </c>
      <c r="Q18" s="202">
        <f t="shared" si="233"/>
      </c>
      <c r="R18" s="202">
        <f t="shared" si="263"/>
      </c>
      <c r="S18" s="202">
        <f t="shared" si="158"/>
      </c>
      <c r="T18" s="202">
        <f t="shared" si="203"/>
      </c>
      <c r="U18" s="200">
        <f t="shared" si="425"/>
      </c>
      <c r="V18" s="200">
        <f t="shared" si="15"/>
      </c>
      <c r="W18" s="200">
        <f t="shared" si="30"/>
      </c>
      <c r="X18" s="200">
        <f t="shared" si="45"/>
      </c>
      <c r="Y18" s="200">
        <f t="shared" si="308"/>
      </c>
      <c r="Z18" s="200">
        <f t="shared" si="353"/>
      </c>
      <c r="AA18" s="201">
        <f t="shared" si="248"/>
      </c>
      <c r="AB18" s="201">
        <f t="shared" si="278"/>
      </c>
      <c r="AC18" s="201">
        <f t="shared" si="173"/>
      </c>
      <c r="AD18" s="200">
        <f t="shared" si="218"/>
      </c>
      <c r="AE18" s="201">
        <f t="shared" si="440"/>
      </c>
      <c r="AF18" s="200">
        <f t="shared" si="60"/>
      </c>
      <c r="AG18" s="200">
        <f t="shared" si="323"/>
      </c>
      <c r="AH18" s="199">
        <f>SUM(AH15:AH17)</f>
      </c>
      <c r="AI18" s="199">
        <f>SUM(AI15:AI17)</f>
      </c>
      <c r="AJ18" s="199">
        <f>SUM(AJ15:AJ17)</f>
      </c>
      <c r="AK18" s="199">
        <f>SUM(AK15:AK17)</f>
      </c>
      <c r="AL18" s="199">
        <f>SUM(AL15:AL17)</f>
      </c>
      <c r="AM18" s="199">
        <f>SUM(AM15:AM17)</f>
      </c>
      <c r="AN18" s="199">
        <f>SUM(AN15:AN17)</f>
      </c>
      <c r="AO18" s="199">
        <f>SUM(AO15:AO17)</f>
      </c>
      <c r="AP18" s="199">
        <f>SUM(AP15:AP17)</f>
      </c>
      <c r="AQ18" s="199">
        <f>SUM(AQ15:AQ17)</f>
      </c>
      <c r="AR18" s="203">
        <f>SUM(AR15:AR17)</f>
      </c>
    </row>
    <row r="19">
      <c r="A19" s="182"/>
      <c r="B19" s="183" t="s">
        <v>191</v>
      </c>
      <c r="C19" s="184" t="s">
        <v>192</v>
      </c>
      <c r="D19" s="183" t="s">
        <v>206</v>
      </c>
      <c r="E19" s="183" t="s">
        <v>199</v>
      </c>
      <c r="F19" s="185">
        <f t="shared" ref="F19:F20" si="79">H19+G19</f>
      </c>
      <c r="G19" s="186">
        <v>1359.2</v>
      </c>
      <c r="H19" s="186">
        <v>245.77</v>
      </c>
      <c r="I19" s="187">
        <v>1</v>
      </c>
      <c r="J19" s="187">
        <v>1</v>
      </c>
      <c r="K19" s="196">
        <v>862.8000000000002</v>
      </c>
      <c r="L19" s="189">
        <f t="shared" si="188"/>
      </c>
      <c r="M19" s="190">
        <f t="shared" si="410"/>
      </c>
      <c r="N19" s="191">
        <f t="shared" si="0"/>
      </c>
      <c r="O19" s="191">
        <f t="shared" si="293"/>
      </c>
      <c r="P19" s="191">
        <f t="shared" si="338"/>
      </c>
      <c r="Q19" s="191">
        <f t="shared" si="233"/>
      </c>
      <c r="R19" s="191">
        <f t="shared" si="263"/>
      </c>
      <c r="S19" s="191">
        <f t="shared" si="158"/>
      </c>
      <c r="T19" s="191">
        <f t="shared" si="203"/>
      </c>
      <c r="U19" s="189">
        <f t="shared" si="425"/>
      </c>
      <c r="V19" s="189">
        <f t="shared" si="15"/>
      </c>
      <c r="W19" s="189">
        <f t="shared" si="30"/>
      </c>
      <c r="X19" s="189">
        <f t="shared" si="45"/>
      </c>
      <c r="Y19" s="189">
        <f t="shared" si="308"/>
      </c>
      <c r="Z19" s="189">
        <f t="shared" si="353"/>
      </c>
      <c r="AA19" s="190">
        <f t="shared" si="248"/>
      </c>
      <c r="AB19" s="190">
        <f t="shared" si="278"/>
      </c>
      <c r="AC19" s="190">
        <f t="shared" si="173"/>
      </c>
      <c r="AD19" s="189">
        <f t="shared" si="218"/>
      </c>
      <c r="AE19" s="190">
        <f t="shared" si="440"/>
      </c>
      <c r="AF19" s="189">
        <f t="shared" si="60"/>
      </c>
      <c r="AG19" s="189">
        <f t="shared" si="323"/>
      </c>
      <c r="AH19" s="192">
        <v>8816</v>
      </c>
      <c r="AI19" s="192">
        <v>218</v>
      </c>
      <c r="AJ19" s="192">
        <v>212</v>
      </c>
      <c r="AK19" s="192">
        <v>67</v>
      </c>
      <c r="AL19" s="192">
        <v>1</v>
      </c>
      <c r="AM19" s="192">
        <v>1</v>
      </c>
      <c r="AN19" s="192">
        <v>40</v>
      </c>
      <c r="AO19" s="192">
        <v>59</v>
      </c>
      <c r="AP19" s="192">
        <v>6</v>
      </c>
      <c r="AQ19" s="187">
        <v>0</v>
      </c>
      <c r="AR19" s="194">
        <v>1</v>
      </c>
    </row>
    <row r="20">
      <c r="A20" s="182"/>
      <c r="B20" s="183" t="s">
        <v>191</v>
      </c>
      <c r="C20" s="184" t="s">
        <v>192</v>
      </c>
      <c r="D20" s="183" t="s">
        <v>206</v>
      </c>
      <c r="E20" s="183" t="s">
        <v>200</v>
      </c>
      <c r="F20" s="185">
        <f t="shared" si="79"/>
      </c>
      <c r="G20" s="186">
        <v>2011.76</v>
      </c>
      <c r="H20" s="186">
        <v>421.31</v>
      </c>
      <c r="I20" s="192">
        <v>4</v>
      </c>
      <c r="J20" s="192">
        <v>5</v>
      </c>
      <c r="K20" s="196">
        <v>3070.5999999999995</v>
      </c>
      <c r="L20" s="189">
        <f t="shared" si="188"/>
      </c>
      <c r="M20" s="190">
        <f t="shared" si="410"/>
      </c>
      <c r="N20" s="191">
        <f t="shared" si="0"/>
      </c>
      <c r="O20" s="191">
        <f t="shared" si="293"/>
      </c>
      <c r="P20" s="191">
        <f t="shared" si="338"/>
      </c>
      <c r="Q20" s="191">
        <f t="shared" si="233"/>
      </c>
      <c r="R20" s="191">
        <f t="shared" si="263"/>
      </c>
      <c r="S20" s="191">
        <f t="shared" si="158"/>
      </c>
      <c r="T20" s="191">
        <f t="shared" si="203"/>
      </c>
      <c r="U20" s="189">
        <f t="shared" si="425"/>
      </c>
      <c r="V20" s="189">
        <f t="shared" si="15"/>
      </c>
      <c r="W20" s="189">
        <f t="shared" si="30"/>
      </c>
      <c r="X20" s="189">
        <f t="shared" si="45"/>
      </c>
      <c r="Y20" s="189">
        <f t="shared" si="308"/>
      </c>
      <c r="Z20" s="189">
        <f t="shared" si="353"/>
      </c>
      <c r="AA20" s="190">
        <f t="shared" si="248"/>
      </c>
      <c r="AB20" s="190">
        <f t="shared" si="278"/>
      </c>
      <c r="AC20" s="190">
        <f t="shared" si="173"/>
      </c>
      <c r="AD20" s="189">
        <f t="shared" si="218"/>
      </c>
      <c r="AE20" s="190">
        <f t="shared" si="440"/>
      </c>
      <c r="AF20" s="189">
        <f t="shared" si="60"/>
      </c>
      <c r="AG20" s="189">
        <f t="shared" si="323"/>
      </c>
      <c r="AH20" s="192">
        <v>16392</v>
      </c>
      <c r="AI20" s="192">
        <v>432</v>
      </c>
      <c r="AJ20" s="192">
        <v>417</v>
      </c>
      <c r="AK20" s="192">
        <v>95</v>
      </c>
      <c r="AL20" s="192">
        <v>4</v>
      </c>
      <c r="AM20" s="192">
        <v>4</v>
      </c>
      <c r="AN20" s="192">
        <v>77</v>
      </c>
      <c r="AO20" s="192">
        <v>72</v>
      </c>
      <c r="AP20" s="192">
        <v>5</v>
      </c>
      <c r="AQ20" s="187">
        <v>1</v>
      </c>
      <c r="AR20" s="194">
        <v>1</v>
      </c>
    </row>
    <row r="21">
      <c r="A21" s="182"/>
      <c r="B21" s="197" t="s">
        <v>197</v>
      </c>
      <c r="C21" s="197"/>
      <c r="D21" s="197"/>
      <c r="E21" s="197"/>
      <c r="F21" s="198">
        <f>SUM(F19:F20)</f>
      </c>
      <c r="G21" s="198">
        <f>SUM(G19:G20)</f>
      </c>
      <c r="H21" s="198">
        <f>SUM(H19:H20)</f>
      </c>
      <c r="I21" s="199">
        <f>SUM(I19:I20)</f>
      </c>
      <c r="J21" s="199">
        <f>SUM(J19:J20)</f>
      </c>
      <c r="K21" s="198">
        <f>SUM(K19:K20)</f>
      </c>
      <c r="L21" s="200">
        <f t="shared" si="188"/>
      </c>
      <c r="M21" s="201">
        <f t="shared" si="410"/>
      </c>
      <c r="N21" s="202">
        <f t="shared" si="0"/>
      </c>
      <c r="O21" s="202">
        <f t="shared" si="293"/>
      </c>
      <c r="P21" s="202">
        <f t="shared" si="338"/>
      </c>
      <c r="Q21" s="202">
        <f t="shared" si="233"/>
      </c>
      <c r="R21" s="202">
        <f t="shared" si="263"/>
      </c>
      <c r="S21" s="202">
        <f t="shared" si="158"/>
      </c>
      <c r="T21" s="202">
        <f t="shared" si="203"/>
      </c>
      <c r="U21" s="200">
        <f t="shared" si="425"/>
      </c>
      <c r="V21" s="200">
        <f t="shared" si="15"/>
      </c>
      <c r="W21" s="200">
        <f t="shared" si="30"/>
      </c>
      <c r="X21" s="200">
        <f t="shared" si="45"/>
      </c>
      <c r="Y21" s="200">
        <f t="shared" si="308"/>
      </c>
      <c r="Z21" s="200">
        <f t="shared" si="353"/>
      </c>
      <c r="AA21" s="201">
        <f t="shared" si="248"/>
      </c>
      <c r="AB21" s="201">
        <f t="shared" si="278"/>
      </c>
      <c r="AC21" s="201">
        <f t="shared" si="173"/>
      </c>
      <c r="AD21" s="200">
        <f t="shared" si="218"/>
      </c>
      <c r="AE21" s="201">
        <f t="shared" si="440"/>
      </c>
      <c r="AF21" s="200">
        <f t="shared" si="60"/>
      </c>
      <c r="AG21" s="200">
        <f t="shared" si="323"/>
      </c>
      <c r="AH21" s="199">
        <f>SUM(AH19:AH20)</f>
      </c>
      <c r="AI21" s="199">
        <f>SUM(AI19:AI20)</f>
      </c>
      <c r="AJ21" s="199">
        <f>SUM(AJ19:AJ20)</f>
      </c>
      <c r="AK21" s="199">
        <f>SUM(AK19:AK20)</f>
      </c>
      <c r="AL21" s="199">
        <f>SUM(AL19:AL20)</f>
      </c>
      <c r="AM21" s="199">
        <f>SUM(AM19:AM20)</f>
      </c>
      <c r="AN21" s="199">
        <f>SUM(AN19:AN20)</f>
      </c>
      <c r="AO21" s="199">
        <f>SUM(AO19:AO20)</f>
      </c>
      <c r="AP21" s="199">
        <f>SUM(AP19:AP20)</f>
      </c>
      <c r="AQ21" s="199">
        <f>SUM(AQ19:AQ20)</f>
      </c>
      <c r="AR21" s="203">
        <f>SUM(AR19:AR20)</f>
      </c>
    </row>
    <row r="22">
      <c r="A22" s="182"/>
      <c r="B22" s="183" t="s">
        <v>191</v>
      </c>
      <c r="C22" s="184" t="s">
        <v>192</v>
      </c>
      <c r="D22" s="183" t="s">
        <v>201</v>
      </c>
      <c r="E22" s="184" t="s">
        <v>202</v>
      </c>
      <c r="F22" s="185">
        <f t="shared" ref="F22:F24" si="80">H22+G22</f>
      </c>
      <c r="G22" s="186">
        <v>1970.4</v>
      </c>
      <c r="H22" s="186">
        <v>465.85</v>
      </c>
      <c r="I22" s="187">
        <v>5</v>
      </c>
      <c r="J22" s="187">
        <v>4</v>
      </c>
      <c r="K22" s="188">
        <v>3166.7999999999993</v>
      </c>
      <c r="L22" s="189">
        <f t="shared" si="188"/>
      </c>
      <c r="M22" s="190">
        <f t="shared" si="410"/>
      </c>
      <c r="N22" s="191">
        <f t="shared" si="0"/>
      </c>
      <c r="O22" s="191">
        <f t="shared" si="293"/>
      </c>
      <c r="P22" s="191">
        <f t="shared" si="338"/>
      </c>
      <c r="Q22" s="191">
        <f t="shared" si="233"/>
      </c>
      <c r="R22" s="191">
        <f t="shared" si="263"/>
      </c>
      <c r="S22" s="191">
        <f t="shared" si="158"/>
      </c>
      <c r="T22" s="191">
        <f t="shared" si="203"/>
      </c>
      <c r="U22" s="189">
        <f t="shared" si="425"/>
      </c>
      <c r="V22" s="189">
        <f t="shared" si="15"/>
      </c>
      <c r="W22" s="189">
        <f t="shared" si="30"/>
      </c>
      <c r="X22" s="189">
        <f t="shared" si="45"/>
      </c>
      <c r="Y22" s="189">
        <f t="shared" si="308"/>
      </c>
      <c r="Z22" s="189">
        <f t="shared" si="353"/>
      </c>
      <c r="AA22" s="190">
        <f t="shared" si="248"/>
      </c>
      <c r="AB22" s="190">
        <f t="shared" si="278"/>
      </c>
      <c r="AC22" s="190">
        <f t="shared" si="173"/>
      </c>
      <c r="AD22" s="189">
        <f t="shared" si="218"/>
      </c>
      <c r="AE22" s="190">
        <f t="shared" si="440"/>
      </c>
      <c r="AF22" s="189">
        <f t="shared" si="60"/>
      </c>
      <c r="AG22" s="189">
        <f t="shared" si="323"/>
      </c>
      <c r="AH22" s="192">
        <v>14009</v>
      </c>
      <c r="AI22" s="192">
        <v>448</v>
      </c>
      <c r="AJ22" s="192">
        <v>458</v>
      </c>
      <c r="AK22" s="192">
        <v>101</v>
      </c>
      <c r="AL22" s="192">
        <v>5</v>
      </c>
      <c r="AM22" s="192">
        <v>3</v>
      </c>
      <c r="AN22" s="192">
        <v>73</v>
      </c>
      <c r="AO22" s="192">
        <v>95</v>
      </c>
      <c r="AP22" s="192">
        <v>2</v>
      </c>
      <c r="AQ22" s="187">
        <v>0</v>
      </c>
      <c r="AR22" s="194">
        <v>1</v>
      </c>
    </row>
    <row r="23">
      <c r="A23" s="182"/>
      <c r="B23" s="183" t="s">
        <v>191</v>
      </c>
      <c r="C23" s="184" t="s">
        <v>192</v>
      </c>
      <c r="D23" s="183" t="s">
        <v>201</v>
      </c>
      <c r="E23" s="184" t="s">
        <v>203</v>
      </c>
      <c r="F23" s="185">
        <f t="shared" si="80"/>
      </c>
      <c r="G23" s="204">
        <v>3267.9</v>
      </c>
      <c r="H23" s="186">
        <v>465.59</v>
      </c>
      <c r="I23" s="192">
        <v>10</v>
      </c>
      <c r="J23" s="192">
        <v>11</v>
      </c>
      <c r="K23" s="196">
        <v>6371.200000000003</v>
      </c>
      <c r="L23" s="189">
        <f t="shared" si="188"/>
      </c>
      <c r="M23" s="190">
        <f t="shared" si="410"/>
      </c>
      <c r="N23" s="191">
        <f t="shared" si="0"/>
      </c>
      <c r="O23" s="191">
        <f t="shared" si="293"/>
      </c>
      <c r="P23" s="191">
        <f t="shared" si="338"/>
      </c>
      <c r="Q23" s="191">
        <f t="shared" si="233"/>
      </c>
      <c r="R23" s="191">
        <f t="shared" si="263"/>
      </c>
      <c r="S23" s="191">
        <f t="shared" si="158"/>
      </c>
      <c r="T23" s="191">
        <f t="shared" si="203"/>
      </c>
      <c r="U23" s="189">
        <f t="shared" si="425"/>
      </c>
      <c r="V23" s="189">
        <f t="shared" si="15"/>
      </c>
      <c r="W23" s="189">
        <f t="shared" si="30"/>
      </c>
      <c r="X23" s="189">
        <f t="shared" si="45"/>
      </c>
      <c r="Y23" s="189">
        <f t="shared" si="308"/>
      </c>
      <c r="Z23" s="189">
        <f t="shared" si="353"/>
      </c>
      <c r="AA23" s="190">
        <f t="shared" si="248"/>
      </c>
      <c r="AB23" s="190">
        <f t="shared" si="278"/>
      </c>
      <c r="AC23" s="190">
        <f t="shared" si="173"/>
      </c>
      <c r="AD23" s="189">
        <f t="shared" si="218"/>
      </c>
      <c r="AE23" s="190">
        <f t="shared" si="440"/>
      </c>
      <c r="AF23" s="189">
        <f t="shared" si="60"/>
      </c>
      <c r="AG23" s="189">
        <f t="shared" si="323"/>
      </c>
      <c r="AH23" s="192">
        <v>25202</v>
      </c>
      <c r="AI23" s="192">
        <v>638</v>
      </c>
      <c r="AJ23" s="192">
        <v>642</v>
      </c>
      <c r="AK23" s="192">
        <v>142</v>
      </c>
      <c r="AL23" s="192">
        <v>11</v>
      </c>
      <c r="AM23" s="192">
        <v>10</v>
      </c>
      <c r="AN23" s="192">
        <v>104</v>
      </c>
      <c r="AO23" s="192">
        <v>77</v>
      </c>
      <c r="AP23" s="192">
        <v>9</v>
      </c>
      <c r="AQ23" s="187">
        <v>2</v>
      </c>
      <c r="AR23" s="194">
        <v>1</v>
      </c>
    </row>
    <row r="24">
      <c r="A24" s="182"/>
      <c r="B24" s="183" t="s">
        <v>191</v>
      </c>
      <c r="C24" s="184" t="s">
        <v>192</v>
      </c>
      <c r="D24" s="183" t="s">
        <v>201</v>
      </c>
      <c r="E24" s="183" t="s">
        <v>204</v>
      </c>
      <c r="F24" s="185">
        <f t="shared" si="80"/>
      </c>
      <c r="G24" s="204">
        <v>2644.71</v>
      </c>
      <c r="H24" s="186">
        <v>284.14</v>
      </c>
      <c r="I24" s="192">
        <v>7</v>
      </c>
      <c r="J24" s="192">
        <v>6</v>
      </c>
      <c r="K24" s="196">
        <v>3747.4000000000015</v>
      </c>
      <c r="L24" s="189">
        <f t="shared" si="188"/>
      </c>
      <c r="M24" s="190">
        <f t="shared" si="410"/>
      </c>
      <c r="N24" s="191">
        <f t="shared" si="0"/>
      </c>
      <c r="O24" s="191">
        <f t="shared" si="293"/>
      </c>
      <c r="P24" s="191">
        <f t="shared" si="338"/>
      </c>
      <c r="Q24" s="191">
        <f t="shared" si="233"/>
      </c>
      <c r="R24" s="191">
        <f t="shared" si="263"/>
      </c>
      <c r="S24" s="191">
        <f t="shared" si="158"/>
      </c>
      <c r="T24" s="191">
        <f t="shared" si="203"/>
      </c>
      <c r="U24" s="189">
        <f t="shared" si="425"/>
      </c>
      <c r="V24" s="189">
        <f t="shared" si="15"/>
      </c>
      <c r="W24" s="189">
        <f t="shared" si="30"/>
      </c>
      <c r="X24" s="189">
        <f t="shared" si="45"/>
      </c>
      <c r="Y24" s="189">
        <f t="shared" si="308"/>
      </c>
      <c r="Z24" s="189">
        <f t="shared" si="353"/>
      </c>
      <c r="AA24" s="190">
        <f t="shared" si="248"/>
      </c>
      <c r="AB24" s="190">
        <f t="shared" si="278"/>
      </c>
      <c r="AC24" s="190">
        <f t="shared" si="173"/>
      </c>
      <c r="AD24" s="189">
        <f t="shared" si="218"/>
      </c>
      <c r="AE24" s="190">
        <f t="shared" si="440"/>
      </c>
      <c r="AF24" s="189">
        <f t="shared" si="60"/>
      </c>
      <c r="AG24" s="189">
        <f t="shared" si="323"/>
      </c>
      <c r="AH24" s="192">
        <v>23084</v>
      </c>
      <c r="AI24" s="192">
        <v>403</v>
      </c>
      <c r="AJ24" s="192">
        <v>403</v>
      </c>
      <c r="AK24" s="192">
        <v>108</v>
      </c>
      <c r="AL24" s="192">
        <v>6</v>
      </c>
      <c r="AM24" s="192">
        <v>5</v>
      </c>
      <c r="AN24" s="192">
        <v>77</v>
      </c>
      <c r="AO24" s="192">
        <v>47</v>
      </c>
      <c r="AP24" s="192">
        <v>7</v>
      </c>
      <c r="AQ24" s="187">
        <v>1</v>
      </c>
      <c r="AR24" s="194">
        <v>1</v>
      </c>
    </row>
    <row r="25">
      <c r="A25" s="182"/>
      <c r="B25" s="197" t="s">
        <v>197</v>
      </c>
      <c r="C25" s="197"/>
      <c r="D25" s="197"/>
      <c r="E25" s="197"/>
      <c r="F25" s="198">
        <f>SUM(F22:F24)</f>
      </c>
      <c r="G25" s="198">
        <f>SUM(G22:G24)</f>
      </c>
      <c r="H25" s="198">
        <f>SUM(H22:H24)</f>
      </c>
      <c r="I25" s="199">
        <f>SUM(I22:I24)</f>
      </c>
      <c r="J25" s="199">
        <f>SUM(J22:J24)</f>
      </c>
      <c r="K25" s="198">
        <f>SUM(K22:K24)</f>
      </c>
      <c r="L25" s="200">
        <f t="shared" si="188"/>
      </c>
      <c r="M25" s="201">
        <f t="shared" si="410"/>
      </c>
      <c r="N25" s="202">
        <f t="shared" si="0"/>
      </c>
      <c r="O25" s="202">
        <f t="shared" si="293"/>
      </c>
      <c r="P25" s="202">
        <f t="shared" si="338"/>
      </c>
      <c r="Q25" s="202">
        <f t="shared" si="233"/>
      </c>
      <c r="R25" s="202">
        <f t="shared" si="263"/>
      </c>
      <c r="S25" s="202">
        <f t="shared" si="158"/>
      </c>
      <c r="T25" s="202">
        <f t="shared" si="203"/>
      </c>
      <c r="U25" s="200">
        <f t="shared" si="425"/>
      </c>
      <c r="V25" s="200">
        <f t="shared" si="15"/>
      </c>
      <c r="W25" s="200">
        <f t="shared" si="30"/>
      </c>
      <c r="X25" s="200">
        <f t="shared" si="45"/>
      </c>
      <c r="Y25" s="200">
        <f t="shared" si="308"/>
      </c>
      <c r="Z25" s="200">
        <f t="shared" si="353"/>
      </c>
      <c r="AA25" s="201">
        <f t="shared" si="248"/>
      </c>
      <c r="AB25" s="201">
        <f t="shared" si="278"/>
      </c>
      <c r="AC25" s="201">
        <f t="shared" si="173"/>
      </c>
      <c r="AD25" s="200">
        <f t="shared" si="218"/>
      </c>
      <c r="AE25" s="201">
        <f t="shared" si="440"/>
      </c>
      <c r="AF25" s="200">
        <f t="shared" si="60"/>
      </c>
      <c r="AG25" s="200">
        <f t="shared" si="323"/>
      </c>
      <c r="AH25" s="199">
        <f>SUM(AH22:AH24)</f>
      </c>
      <c r="AI25" s="199">
        <f>SUM(AI22:AI24)</f>
      </c>
      <c r="AJ25" s="199">
        <f>SUM(AJ22:AJ24)</f>
      </c>
      <c r="AK25" s="199">
        <f>SUM(AK22:AK24)</f>
      </c>
      <c r="AL25" s="199">
        <f>SUM(AL22:AL24)</f>
      </c>
      <c r="AM25" s="199">
        <f>SUM(AM22:AM24)</f>
      </c>
      <c r="AN25" s="199">
        <f>SUM(AN22:AN24)</f>
      </c>
      <c r="AO25" s="199">
        <f>SUM(AO22:AO24)</f>
      </c>
      <c r="AP25" s="199">
        <f>SUM(AP22:AP24)</f>
      </c>
      <c r="AQ25" s="199">
        <f>SUM(AQ22:AQ24)</f>
      </c>
      <c r="AR25" s="203">
        <f>SUM(AR22:AR24)</f>
      </c>
    </row>
    <row r="26">
      <c r="A26" s="182"/>
      <c r="B26" s="205" t="s">
        <v>205</v>
      </c>
      <c r="C26" s="205"/>
      <c r="D26" s="205"/>
      <c r="E26" s="205"/>
      <c r="F26" s="206">
        <f t="shared" ref="F26:F29" si="81">H26+G26</f>
      </c>
      <c r="G26" s="206">
        <f>G18+G25+G21</f>
      </c>
      <c r="H26" s="206">
        <f>H18+H25+H21</f>
      </c>
      <c r="I26" s="206">
        <f>I18+I25+I21</f>
      </c>
      <c r="J26" s="206">
        <f>J18+J25+J21</f>
      </c>
      <c r="K26" s="206">
        <f>K18+K25+K21</f>
      </c>
      <c r="L26" s="207">
        <f t="shared" si="188"/>
      </c>
      <c r="M26" s="208">
        <f t="shared" si="410"/>
      </c>
      <c r="N26" s="209">
        <f t="shared" si="0"/>
      </c>
      <c r="O26" s="209">
        <f t="shared" si="293"/>
      </c>
      <c r="P26" s="209">
        <f t="shared" si="338"/>
      </c>
      <c r="Q26" s="209">
        <f t="shared" si="233"/>
      </c>
      <c r="R26" s="209">
        <f t="shared" si="263"/>
      </c>
      <c r="S26" s="209">
        <f t="shared" si="158"/>
      </c>
      <c r="T26" s="209">
        <f t="shared" si="203"/>
      </c>
      <c r="U26" s="207">
        <f t="shared" si="425"/>
      </c>
      <c r="V26" s="207">
        <f t="shared" si="15"/>
      </c>
      <c r="W26" s="207">
        <f t="shared" si="30"/>
      </c>
      <c r="X26" s="207">
        <f t="shared" si="45"/>
      </c>
      <c r="Y26" s="207">
        <f t="shared" si="308"/>
      </c>
      <c r="Z26" s="207">
        <f t="shared" si="353"/>
      </c>
      <c r="AA26" s="208">
        <f t="shared" si="248"/>
      </c>
      <c r="AB26" s="208">
        <f t="shared" si="278"/>
      </c>
      <c r="AC26" s="208">
        <f t="shared" si="173"/>
      </c>
      <c r="AD26" s="207">
        <f t="shared" si="218"/>
      </c>
      <c r="AE26" s="208">
        <f t="shared" si="440"/>
      </c>
      <c r="AF26" s="207">
        <f t="shared" si="60"/>
      </c>
      <c r="AG26" s="207">
        <f t="shared" si="323"/>
      </c>
      <c r="AH26" s="210">
        <f>AH18+AH25+AH21</f>
      </c>
      <c r="AI26" s="210">
        <f>AI18+AI25+AI21</f>
      </c>
      <c r="AJ26" s="210">
        <f>AJ18+AJ25+AJ21</f>
      </c>
      <c r="AK26" s="210">
        <f>AK18+AK25+AK21</f>
      </c>
      <c r="AL26" s="210">
        <f>AL18+AL25+AL21</f>
      </c>
      <c r="AM26" s="210">
        <f>AM18+AM25+AM21</f>
      </c>
      <c r="AN26" s="210">
        <f>AN18+AN25+AN21</f>
      </c>
      <c r="AO26" s="210">
        <f>AO18+AO25+AO21</f>
      </c>
      <c r="AP26" s="210">
        <f>AP18+AP25+AP21</f>
      </c>
      <c r="AQ26" s="210">
        <f>AQ18+AQ25+AQ21</f>
      </c>
      <c r="AR26" s="203">
        <f>AR18+AR25+AR21</f>
      </c>
    </row>
    <row r="27">
      <c r="A27" s="182">
        <v>46268</v>
      </c>
      <c r="B27" s="183" t="s">
        <v>191</v>
      </c>
      <c r="C27" s="184" t="s">
        <v>192</v>
      </c>
      <c r="D27" s="183" t="s">
        <v>206</v>
      </c>
      <c r="E27" s="183" t="s">
        <v>194</v>
      </c>
      <c r="F27" s="185">
        <f t="shared" si="81"/>
      </c>
      <c r="G27" s="186">
        <v>3152.25</v>
      </c>
      <c r="H27" s="186">
        <v>346.76</v>
      </c>
      <c r="I27" s="187">
        <v>6</v>
      </c>
      <c r="J27" s="187">
        <v>4</v>
      </c>
      <c r="K27" s="188">
        <v>2278.6000000000004</v>
      </c>
      <c r="L27" s="189">
        <f t="shared" si="188"/>
      </c>
      <c r="M27" s="190">
        <f t="shared" si="410"/>
      </c>
      <c r="N27" s="191">
        <f t="shared" si="0"/>
      </c>
      <c r="O27" s="191">
        <f t="shared" si="293"/>
      </c>
      <c r="P27" s="191">
        <f t="shared" si="338"/>
      </c>
      <c r="Q27" s="191">
        <f t="shared" si="233"/>
      </c>
      <c r="R27" s="191">
        <f t="shared" si="263"/>
      </c>
      <c r="S27" s="191">
        <f t="shared" si="158"/>
      </c>
      <c r="T27" s="191">
        <f t="shared" si="203"/>
      </c>
      <c r="U27" s="189">
        <f t="shared" si="425"/>
      </c>
      <c r="V27" s="189">
        <f t="shared" si="15"/>
      </c>
      <c r="W27" s="189">
        <f t="shared" si="30"/>
      </c>
      <c r="X27" s="189">
        <f t="shared" si="45"/>
      </c>
      <c r="Y27" s="189">
        <f t="shared" si="308"/>
      </c>
      <c r="Z27" s="189">
        <f t="shared" si="353"/>
      </c>
      <c r="AA27" s="190">
        <f t="shared" si="248"/>
      </c>
      <c r="AB27" s="190">
        <f t="shared" si="278"/>
      </c>
      <c r="AC27" s="190">
        <f t="shared" si="173"/>
      </c>
      <c r="AD27" s="189">
        <f t="shared" si="218"/>
      </c>
      <c r="AE27" s="190">
        <f t="shared" si="440"/>
      </c>
      <c r="AF27" s="189">
        <f t="shared" si="60"/>
      </c>
      <c r="AG27" s="189">
        <f t="shared" si="323"/>
      </c>
      <c r="AH27" s="192">
        <v>26967</v>
      </c>
      <c r="AI27" s="193">
        <v>452</v>
      </c>
      <c r="AJ27" s="193">
        <v>433</v>
      </c>
      <c r="AK27" s="192">
        <v>115</v>
      </c>
      <c r="AL27" s="192">
        <v>6</v>
      </c>
      <c r="AM27" s="192">
        <v>4</v>
      </c>
      <c r="AN27" s="192">
        <v>73</v>
      </c>
      <c r="AO27" s="192">
        <v>80</v>
      </c>
      <c r="AP27" s="187">
        <v>6</v>
      </c>
      <c r="AQ27" s="187">
        <v>0</v>
      </c>
      <c r="AR27" s="194">
        <v>1</v>
      </c>
    </row>
    <row r="28">
      <c r="A28" s="182"/>
      <c r="B28" s="183" t="s">
        <v>191</v>
      </c>
      <c r="C28" s="184" t="s">
        <v>192</v>
      </c>
      <c r="D28" s="183" t="s">
        <v>206</v>
      </c>
      <c r="E28" s="183" t="s">
        <v>195</v>
      </c>
      <c r="F28" s="185">
        <f t="shared" si="81"/>
      </c>
      <c r="G28" s="195">
        <v>2132.8</v>
      </c>
      <c r="H28" s="186">
        <v>214.03</v>
      </c>
      <c r="I28" s="187">
        <v>3</v>
      </c>
      <c r="J28" s="187">
        <v>3</v>
      </c>
      <c r="K28" s="196">
        <v>2205.2</v>
      </c>
      <c r="L28" s="189">
        <f t="shared" si="188"/>
      </c>
      <c r="M28" s="190">
        <f t="shared" si="410"/>
      </c>
      <c r="N28" s="191">
        <f t="shared" si="0"/>
      </c>
      <c r="O28" s="191">
        <f t="shared" si="293"/>
      </c>
      <c r="P28" s="191">
        <f t="shared" si="338"/>
      </c>
      <c r="Q28" s="191">
        <f t="shared" si="233"/>
      </c>
      <c r="R28" s="191">
        <f t="shared" si="263"/>
      </c>
      <c r="S28" s="191">
        <f t="shared" si="158"/>
      </c>
      <c r="T28" s="191">
        <f t="shared" si="203"/>
      </c>
      <c r="U28" s="189">
        <f t="shared" si="425"/>
      </c>
      <c r="V28" s="189">
        <f t="shared" si="15"/>
      </c>
      <c r="W28" s="189">
        <f t="shared" si="30"/>
      </c>
      <c r="X28" s="189">
        <f t="shared" si="45"/>
      </c>
      <c r="Y28" s="189">
        <f t="shared" si="308"/>
      </c>
      <c r="Z28" s="189">
        <f t="shared" si="353"/>
      </c>
      <c r="AA28" s="190">
        <f t="shared" si="248"/>
      </c>
      <c r="AB28" s="190">
        <f t="shared" si="278"/>
      </c>
      <c r="AC28" s="190">
        <f t="shared" si="173"/>
      </c>
      <c r="AD28" s="189">
        <f t="shared" si="218"/>
      </c>
      <c r="AE28" s="190">
        <f t="shared" si="440"/>
      </c>
      <c r="AF28" s="189">
        <f t="shared" si="60"/>
      </c>
      <c r="AG28" s="189">
        <f t="shared" si="323"/>
      </c>
      <c r="AH28" s="192">
        <v>14881</v>
      </c>
      <c r="AI28" s="192">
        <v>280</v>
      </c>
      <c r="AJ28" s="192">
        <v>273</v>
      </c>
      <c r="AK28" s="192">
        <v>53</v>
      </c>
      <c r="AL28" s="192">
        <v>1</v>
      </c>
      <c r="AM28" s="192">
        <v>1</v>
      </c>
      <c r="AN28" s="192">
        <v>42</v>
      </c>
      <c r="AO28" s="192">
        <v>43</v>
      </c>
      <c r="AP28" s="187">
        <v>2</v>
      </c>
      <c r="AQ28" s="187">
        <v>0</v>
      </c>
      <c r="AR28" s="194">
        <v>1</v>
      </c>
    </row>
    <row r="29">
      <c r="A29" s="182"/>
      <c r="B29" s="183" t="s">
        <v>191</v>
      </c>
      <c r="C29" s="184" t="s">
        <v>192</v>
      </c>
      <c r="D29" s="183" t="s">
        <v>206</v>
      </c>
      <c r="E29" s="183" t="s">
        <v>196</v>
      </c>
      <c r="F29" s="185">
        <f t="shared" si="81"/>
      </c>
      <c r="G29" s="186">
        <v>1204.47</v>
      </c>
      <c r="H29" s="186">
        <v>423.62</v>
      </c>
      <c r="I29" s="187">
        <v>2</v>
      </c>
      <c r="J29" s="187">
        <v>2</v>
      </c>
      <c r="K29" s="196">
        <v>842.9999999999991</v>
      </c>
      <c r="L29" s="189">
        <f t="shared" si="188"/>
      </c>
      <c r="M29" s="190">
        <f t="shared" si="410"/>
      </c>
      <c r="N29" s="191">
        <f t="shared" si="0"/>
      </c>
      <c r="O29" s="191">
        <f t="shared" si="293"/>
      </c>
      <c r="P29" s="191">
        <f t="shared" si="338"/>
      </c>
      <c r="Q29" s="191">
        <f t="shared" si="233"/>
      </c>
      <c r="R29" s="191">
        <f t="shared" si="263"/>
      </c>
      <c r="S29" s="191">
        <f t="shared" si="158"/>
      </c>
      <c r="T29" s="191">
        <f t="shared" si="203"/>
      </c>
      <c r="U29" s="189">
        <f t="shared" si="425"/>
      </c>
      <c r="V29" s="189">
        <f t="shared" si="15"/>
      </c>
      <c r="W29" s="189">
        <f t="shared" si="30"/>
      </c>
      <c r="X29" s="189">
        <f t="shared" si="45"/>
      </c>
      <c r="Y29" s="189">
        <f t="shared" si="308"/>
      </c>
      <c r="Z29" s="189">
        <f t="shared" si="353"/>
      </c>
      <c r="AA29" s="190">
        <f t="shared" si="248"/>
      </c>
      <c r="AB29" s="190">
        <f t="shared" si="278"/>
      </c>
      <c r="AC29" s="190">
        <f t="shared" si="173"/>
      </c>
      <c r="AD29" s="189">
        <f t="shared" si="218"/>
      </c>
      <c r="AE29" s="190">
        <f t="shared" si="440"/>
      </c>
      <c r="AF29" s="189">
        <f t="shared" si="60"/>
      </c>
      <c r="AG29" s="189">
        <f t="shared" si="323"/>
      </c>
      <c r="AH29" s="192">
        <v>14627</v>
      </c>
      <c r="AI29" s="192">
        <v>469</v>
      </c>
      <c r="AJ29" s="192">
        <v>490</v>
      </c>
      <c r="AK29" s="192">
        <v>89</v>
      </c>
      <c r="AL29" s="192">
        <v>4</v>
      </c>
      <c r="AM29" s="192">
        <v>3</v>
      </c>
      <c r="AN29" s="192">
        <v>63</v>
      </c>
      <c r="AO29" s="192">
        <v>91</v>
      </c>
      <c r="AP29" s="192">
        <v>6</v>
      </c>
      <c r="AQ29" s="187">
        <v>0</v>
      </c>
      <c r="AR29" s="194">
        <v>1</v>
      </c>
    </row>
    <row r="30">
      <c r="A30" s="182"/>
      <c r="B30" s="197" t="s">
        <v>197</v>
      </c>
      <c r="C30" s="197"/>
      <c r="D30" s="197"/>
      <c r="E30" s="197"/>
      <c r="F30" s="198">
        <f>SUM(F27:F29)</f>
      </c>
      <c r="G30" s="198">
        <f>SUM(G27:G29)</f>
      </c>
      <c r="H30" s="198">
        <f>SUM(H27:H29)</f>
      </c>
      <c r="I30" s="199">
        <f>SUM(I27:I29)</f>
      </c>
      <c r="J30" s="199">
        <f>SUM(J27:J29)</f>
      </c>
      <c r="K30" s="198">
        <f>SUM(K27:K29)</f>
      </c>
      <c r="L30" s="200">
        <f t="shared" si="188"/>
      </c>
      <c r="M30" s="201">
        <f t="shared" si="410"/>
      </c>
      <c r="N30" s="202">
        <f t="shared" si="0"/>
      </c>
      <c r="O30" s="202">
        <f t="shared" si="293"/>
      </c>
      <c r="P30" s="202">
        <f t="shared" si="338"/>
      </c>
      <c r="Q30" s="202">
        <f t="shared" si="233"/>
      </c>
      <c r="R30" s="202">
        <f t="shared" si="263"/>
      </c>
      <c r="S30" s="202">
        <f t="shared" si="158"/>
      </c>
      <c r="T30" s="202">
        <f t="shared" si="203"/>
      </c>
      <c r="U30" s="200">
        <f t="shared" si="425"/>
      </c>
      <c r="V30" s="200">
        <f t="shared" si="15"/>
      </c>
      <c r="W30" s="200">
        <f t="shared" si="30"/>
      </c>
      <c r="X30" s="200">
        <f t="shared" si="45"/>
      </c>
      <c r="Y30" s="200">
        <f t="shared" si="308"/>
      </c>
      <c r="Z30" s="200">
        <f t="shared" si="353"/>
      </c>
      <c r="AA30" s="201">
        <f t="shared" si="248"/>
      </c>
      <c r="AB30" s="201">
        <f t="shared" si="278"/>
      </c>
      <c r="AC30" s="201">
        <f t="shared" si="173"/>
      </c>
      <c r="AD30" s="200">
        <f t="shared" si="218"/>
      </c>
      <c r="AE30" s="201">
        <f t="shared" si="440"/>
      </c>
      <c r="AF30" s="200">
        <f t="shared" si="60"/>
      </c>
      <c r="AG30" s="200">
        <f t="shared" si="323"/>
      </c>
      <c r="AH30" s="199">
        <f>SUM(AH27:AH29)</f>
      </c>
      <c r="AI30" s="199">
        <f>SUM(AI27:AI29)</f>
      </c>
      <c r="AJ30" s="199">
        <f>SUM(AJ27:AJ29)</f>
      </c>
      <c r="AK30" s="199">
        <f>SUM(AK27:AK29)</f>
      </c>
      <c r="AL30" s="199">
        <f>SUM(AL27:AL29)</f>
      </c>
      <c r="AM30" s="199">
        <f>SUM(AM27:AM29)</f>
      </c>
      <c r="AN30" s="199">
        <f>SUM(AN27:AN29)</f>
      </c>
      <c r="AO30" s="199">
        <f>SUM(AO27:AO29)</f>
      </c>
      <c r="AP30" s="199">
        <f>SUM(AP27:AP29)</f>
      </c>
      <c r="AQ30" s="199">
        <f>SUM(AQ27:AQ29)</f>
      </c>
      <c r="AR30" s="203">
        <f>SUM(AR27:AR29)</f>
      </c>
    </row>
    <row r="31">
      <c r="A31" s="182"/>
      <c r="B31" s="183" t="s">
        <v>191</v>
      </c>
      <c r="C31" s="184" t="s">
        <v>192</v>
      </c>
      <c r="D31" s="183" t="s">
        <v>193</v>
      </c>
      <c r="E31" s="183" t="s">
        <v>199</v>
      </c>
      <c r="F31" s="185">
        <f t="shared" ref="F31:F32" si="82">H31+G31</f>
      </c>
      <c r="G31" s="186">
        <v>1353.6</v>
      </c>
      <c r="H31" s="186">
        <v>530.11</v>
      </c>
      <c r="I31" s="187">
        <v>2</v>
      </c>
      <c r="J31" s="187">
        <v>2</v>
      </c>
      <c r="K31" s="196">
        <v>1369</v>
      </c>
      <c r="L31" s="189">
        <f t="shared" si="188"/>
      </c>
      <c r="M31" s="190">
        <f t="shared" si="410"/>
      </c>
      <c r="N31" s="191">
        <f t="shared" si="0"/>
      </c>
      <c r="O31" s="191">
        <f t="shared" si="293"/>
      </c>
      <c r="P31" s="191">
        <f t="shared" si="338"/>
      </c>
      <c r="Q31" s="191">
        <f t="shared" si="233"/>
      </c>
      <c r="R31" s="191">
        <f t="shared" si="263"/>
      </c>
      <c r="S31" s="191">
        <f t="shared" si="158"/>
      </c>
      <c r="T31" s="191">
        <f t="shared" si="203"/>
      </c>
      <c r="U31" s="189">
        <f t="shared" si="425"/>
      </c>
      <c r="V31" s="189">
        <f t="shared" si="15"/>
      </c>
      <c r="W31" s="189">
        <f t="shared" si="30"/>
      </c>
      <c r="X31" s="189">
        <f t="shared" si="45"/>
      </c>
      <c r="Y31" s="189">
        <f t="shared" si="308"/>
      </c>
      <c r="Z31" s="189">
        <f t="shared" si="353"/>
      </c>
      <c r="AA31" s="190">
        <f t="shared" si="248"/>
      </c>
      <c r="AB31" s="190">
        <f t="shared" si="278"/>
      </c>
      <c r="AC31" s="190">
        <f t="shared" si="173"/>
      </c>
      <c r="AD31" s="189">
        <f t="shared" si="218"/>
      </c>
      <c r="AE31" s="190">
        <f t="shared" si="440"/>
      </c>
      <c r="AF31" s="189">
        <f t="shared" si="60"/>
      </c>
      <c r="AG31" s="189">
        <f t="shared" si="323"/>
      </c>
      <c r="AH31" s="192">
        <v>12516</v>
      </c>
      <c r="AI31" s="192">
        <v>404</v>
      </c>
      <c r="AJ31" s="192">
        <v>424</v>
      </c>
      <c r="AK31" s="192">
        <v>64</v>
      </c>
      <c r="AL31" s="192">
        <v>1</v>
      </c>
      <c r="AM31" s="192">
        <v>2</v>
      </c>
      <c r="AN31" s="192">
        <v>55</v>
      </c>
      <c r="AO31" s="192">
        <v>53</v>
      </c>
      <c r="AP31" s="192">
        <v>7</v>
      </c>
      <c r="AQ31" s="187">
        <v>0</v>
      </c>
      <c r="AR31" s="194">
        <v>1</v>
      </c>
    </row>
    <row r="32">
      <c r="A32" s="182"/>
      <c r="B32" s="183" t="s">
        <v>191</v>
      </c>
      <c r="C32" s="184" t="s">
        <v>192</v>
      </c>
      <c r="D32" s="183" t="s">
        <v>193</v>
      </c>
      <c r="E32" s="183" t="s">
        <v>200</v>
      </c>
      <c r="F32" s="185">
        <f t="shared" si="82"/>
      </c>
      <c r="G32" s="186">
        <v>2039.83</v>
      </c>
      <c r="H32" s="186">
        <v>411.37</v>
      </c>
      <c r="I32" s="192">
        <v>4</v>
      </c>
      <c r="J32" s="192">
        <v>5</v>
      </c>
      <c r="K32" s="196">
        <v>2609.7999999999993</v>
      </c>
      <c r="L32" s="189">
        <f t="shared" si="188"/>
      </c>
      <c r="M32" s="190">
        <f t="shared" si="410"/>
      </c>
      <c r="N32" s="191">
        <f t="shared" si="0"/>
      </c>
      <c r="O32" s="191">
        <f t="shared" si="293"/>
      </c>
      <c r="P32" s="191">
        <f t="shared" si="338"/>
      </c>
      <c r="Q32" s="191">
        <f t="shared" si="233"/>
      </c>
      <c r="R32" s="191">
        <f t="shared" si="263"/>
      </c>
      <c r="S32" s="191">
        <f t="shared" si="158"/>
      </c>
      <c r="T32" s="191">
        <f t="shared" si="203"/>
      </c>
      <c r="U32" s="189">
        <f t="shared" si="425"/>
      </c>
      <c r="V32" s="189">
        <f t="shared" si="15"/>
      </c>
      <c r="W32" s="189">
        <f t="shared" si="30"/>
      </c>
      <c r="X32" s="189">
        <f t="shared" si="45"/>
      </c>
      <c r="Y32" s="189">
        <f t="shared" si="308"/>
      </c>
      <c r="Z32" s="189">
        <f t="shared" si="353"/>
      </c>
      <c r="AA32" s="190">
        <f t="shared" si="248"/>
      </c>
      <c r="AB32" s="190">
        <f t="shared" si="278"/>
      </c>
      <c r="AC32" s="190">
        <f t="shared" si="173"/>
      </c>
      <c r="AD32" s="189">
        <f t="shared" si="218"/>
      </c>
      <c r="AE32" s="190">
        <f t="shared" si="440"/>
      </c>
      <c r="AF32" s="189">
        <f t="shared" si="60"/>
      </c>
      <c r="AG32" s="189">
        <f t="shared" si="323"/>
      </c>
      <c r="AH32" s="192">
        <v>19781</v>
      </c>
      <c r="AI32" s="192">
        <v>409</v>
      </c>
      <c r="AJ32" s="192">
        <v>408</v>
      </c>
      <c r="AK32" s="192">
        <v>95</v>
      </c>
      <c r="AL32" s="192">
        <v>3</v>
      </c>
      <c r="AM32" s="192">
        <v>3</v>
      </c>
      <c r="AN32" s="192">
        <v>69</v>
      </c>
      <c r="AO32" s="192">
        <v>90</v>
      </c>
      <c r="AP32" s="192">
        <v>3</v>
      </c>
      <c r="AQ32" s="187">
        <v>1</v>
      </c>
      <c r="AR32" s="194">
        <v>1</v>
      </c>
    </row>
    <row r="33">
      <c r="A33" s="182"/>
      <c r="B33" s="197" t="s">
        <v>197</v>
      </c>
      <c r="C33" s="197"/>
      <c r="D33" s="197"/>
      <c r="E33" s="197"/>
      <c r="F33" s="198">
        <f>SUM(F31:F32)</f>
      </c>
      <c r="G33" s="198">
        <f>SUM(G31:G32)</f>
      </c>
      <c r="H33" s="198">
        <f>SUM(H31:H32)</f>
      </c>
      <c r="I33" s="199">
        <f>SUM(I31:I32)</f>
      </c>
      <c r="J33" s="199">
        <f>SUM(J31:J32)</f>
      </c>
      <c r="K33" s="198">
        <f>SUM(K31:K32)</f>
      </c>
      <c r="L33" s="200">
        <f t="shared" si="188"/>
      </c>
      <c r="M33" s="201">
        <f t="shared" si="410"/>
      </c>
      <c r="N33" s="202">
        <f t="shared" si="0"/>
      </c>
      <c r="O33" s="202">
        <f t="shared" si="293"/>
      </c>
      <c r="P33" s="202">
        <f t="shared" si="338"/>
      </c>
      <c r="Q33" s="202">
        <f t="shared" si="233"/>
      </c>
      <c r="R33" s="202">
        <f t="shared" si="263"/>
      </c>
      <c r="S33" s="202">
        <f t="shared" si="158"/>
      </c>
      <c r="T33" s="202">
        <f t="shared" si="203"/>
      </c>
      <c r="U33" s="200">
        <f t="shared" si="425"/>
      </c>
      <c r="V33" s="200">
        <f t="shared" si="15"/>
      </c>
      <c r="W33" s="200">
        <f t="shared" si="30"/>
      </c>
      <c r="X33" s="200">
        <f t="shared" si="45"/>
      </c>
      <c r="Y33" s="200">
        <f t="shared" si="308"/>
      </c>
      <c r="Z33" s="200">
        <f t="shared" si="353"/>
      </c>
      <c r="AA33" s="201">
        <f t="shared" si="248"/>
      </c>
      <c r="AB33" s="201">
        <f t="shared" si="278"/>
      </c>
      <c r="AC33" s="201">
        <f t="shared" si="173"/>
      </c>
      <c r="AD33" s="200">
        <f t="shared" si="218"/>
      </c>
      <c r="AE33" s="201">
        <f t="shared" si="440"/>
      </c>
      <c r="AF33" s="200">
        <f t="shared" si="60"/>
      </c>
      <c r="AG33" s="200">
        <f t="shared" si="323"/>
      </c>
      <c r="AH33" s="199">
        <f>SUM(AH31:AH32)</f>
      </c>
      <c r="AI33" s="199">
        <f>SUM(AI31:AI32)</f>
      </c>
      <c r="AJ33" s="199">
        <f>SUM(AJ31:AJ32)</f>
      </c>
      <c r="AK33" s="199">
        <f>SUM(AK31:AK32)</f>
      </c>
      <c r="AL33" s="199">
        <f>SUM(AL31:AL32)</f>
      </c>
      <c r="AM33" s="199">
        <f>SUM(AM31:AM32)</f>
      </c>
      <c r="AN33" s="199">
        <f>SUM(AN31:AN32)</f>
      </c>
      <c r="AO33" s="199">
        <f>SUM(AO31:AO32)</f>
      </c>
      <c r="AP33" s="199">
        <f>SUM(AP31:AP32)</f>
      </c>
      <c r="AQ33" s="199">
        <f>SUM(AQ31:AQ32)</f>
      </c>
      <c r="AR33" s="203">
        <f>SUM(AR31:AR32)</f>
      </c>
    </row>
    <row r="34">
      <c r="A34" s="182"/>
      <c r="B34" s="183" t="s">
        <v>191</v>
      </c>
      <c r="C34" s="184" t="s">
        <v>192</v>
      </c>
      <c r="D34" s="183" t="s">
        <v>201</v>
      </c>
      <c r="E34" s="184" t="s">
        <v>202</v>
      </c>
      <c r="F34" s="185">
        <f t="shared" ref="F34:F36" si="83">H34+G34</f>
      </c>
      <c r="G34" s="186">
        <v>2653.74</v>
      </c>
      <c r="H34" s="186">
        <v>255.47000000000003</v>
      </c>
      <c r="I34" s="187">
        <v>6</v>
      </c>
      <c r="J34" s="187">
        <v>8</v>
      </c>
      <c r="K34" s="188">
        <v>4754.200000000001</v>
      </c>
      <c r="L34" s="189">
        <f t="shared" si="188"/>
      </c>
      <c r="M34" s="190">
        <f t="shared" si="410"/>
      </c>
      <c r="N34" s="191">
        <f t="shared" si="0"/>
      </c>
      <c r="O34" s="191">
        <f t="shared" si="293"/>
      </c>
      <c r="P34" s="191">
        <f t="shared" si="338"/>
      </c>
      <c r="Q34" s="191">
        <f t="shared" si="233"/>
      </c>
      <c r="R34" s="191">
        <f t="shared" si="263"/>
      </c>
      <c r="S34" s="191">
        <f t="shared" si="158"/>
      </c>
      <c r="T34" s="191">
        <f t="shared" si="203"/>
      </c>
      <c r="U34" s="189">
        <f t="shared" si="425"/>
      </c>
      <c r="V34" s="189">
        <f t="shared" si="15"/>
      </c>
      <c r="W34" s="189">
        <f t="shared" si="30"/>
      </c>
      <c r="X34" s="189">
        <f t="shared" si="45"/>
      </c>
      <c r="Y34" s="189">
        <f t="shared" si="308"/>
      </c>
      <c r="Z34" s="189">
        <f t="shared" si="353"/>
      </c>
      <c r="AA34" s="190">
        <f t="shared" si="248"/>
      </c>
      <c r="AB34" s="190">
        <f t="shared" si="278"/>
      </c>
      <c r="AC34" s="190">
        <f t="shared" si="173"/>
      </c>
      <c r="AD34" s="189">
        <f t="shared" si="218"/>
      </c>
      <c r="AE34" s="190">
        <f t="shared" si="440"/>
      </c>
      <c r="AF34" s="189">
        <f t="shared" si="60"/>
      </c>
      <c r="AG34" s="189">
        <f t="shared" si="323"/>
      </c>
      <c r="AH34" s="192">
        <v>26466</v>
      </c>
      <c r="AI34" s="192">
        <v>468</v>
      </c>
      <c r="AJ34" s="192">
        <v>453</v>
      </c>
      <c r="AK34" s="192">
        <v>144</v>
      </c>
      <c r="AL34" s="192">
        <v>7</v>
      </c>
      <c r="AM34" s="192">
        <v>7</v>
      </c>
      <c r="AN34" s="192">
        <v>90</v>
      </c>
      <c r="AO34" s="192">
        <v>91</v>
      </c>
      <c r="AP34" s="192">
        <v>4</v>
      </c>
      <c r="AQ34" s="187">
        <v>2</v>
      </c>
      <c r="AR34" s="194">
        <v>1</v>
      </c>
    </row>
    <row r="35">
      <c r="A35" s="182"/>
      <c r="B35" s="183" t="s">
        <v>191</v>
      </c>
      <c r="C35" s="184" t="s">
        <v>192</v>
      </c>
      <c r="D35" s="183" t="s">
        <v>201</v>
      </c>
      <c r="E35" s="184" t="s">
        <v>203</v>
      </c>
      <c r="F35" s="185">
        <f t="shared" si="83"/>
      </c>
      <c r="G35" s="204">
        <v>4068.69</v>
      </c>
      <c r="H35" s="186">
        <v>255.27</v>
      </c>
      <c r="I35" s="192">
        <v>14</v>
      </c>
      <c r="J35" s="192">
        <v>11</v>
      </c>
      <c r="K35" s="196">
        <v>7034.399999999998</v>
      </c>
      <c r="L35" s="189">
        <f t="shared" si="188"/>
      </c>
      <c r="M35" s="190">
        <f t="shared" si="410"/>
      </c>
      <c r="N35" s="191">
        <f t="shared" si="0"/>
      </c>
      <c r="O35" s="191">
        <f t="shared" si="293"/>
      </c>
      <c r="P35" s="191">
        <f t="shared" si="338"/>
      </c>
      <c r="Q35" s="191">
        <f t="shared" si="233"/>
      </c>
      <c r="R35" s="191">
        <f t="shared" si="263"/>
      </c>
      <c r="S35" s="191">
        <f t="shared" si="158"/>
      </c>
      <c r="T35" s="191">
        <f t="shared" si="203"/>
      </c>
      <c r="U35" s="189">
        <f t="shared" si="425"/>
      </c>
      <c r="V35" s="189">
        <f t="shared" si="15"/>
      </c>
      <c r="W35" s="189">
        <f t="shared" si="30"/>
      </c>
      <c r="X35" s="189">
        <f t="shared" si="45"/>
      </c>
      <c r="Y35" s="189">
        <f t="shared" si="308"/>
      </c>
      <c r="Z35" s="189">
        <f t="shared" si="353"/>
      </c>
      <c r="AA35" s="190">
        <f t="shared" si="248"/>
      </c>
      <c r="AB35" s="190">
        <f t="shared" si="278"/>
      </c>
      <c r="AC35" s="190">
        <f t="shared" si="173"/>
      </c>
      <c r="AD35" s="189">
        <f t="shared" si="218"/>
      </c>
      <c r="AE35" s="190">
        <f t="shared" si="440"/>
      </c>
      <c r="AF35" s="189">
        <f t="shared" si="60"/>
      </c>
      <c r="AG35" s="189">
        <f t="shared" si="323"/>
      </c>
      <c r="AH35" s="192">
        <v>36243</v>
      </c>
      <c r="AI35" s="192">
        <v>510</v>
      </c>
      <c r="AJ35" s="192">
        <v>495</v>
      </c>
      <c r="AK35" s="192">
        <v>176</v>
      </c>
      <c r="AL35" s="192">
        <v>12</v>
      </c>
      <c r="AM35" s="192">
        <v>7</v>
      </c>
      <c r="AN35" s="192">
        <v>120</v>
      </c>
      <c r="AO35" s="192">
        <v>110</v>
      </c>
      <c r="AP35" s="192">
        <v>8</v>
      </c>
      <c r="AQ35" s="187">
        <v>3</v>
      </c>
      <c r="AR35" s="194">
        <v>1</v>
      </c>
    </row>
    <row r="36">
      <c r="A36" s="182"/>
      <c r="B36" s="183" t="s">
        <v>191</v>
      </c>
      <c r="C36" s="184" t="s">
        <v>192</v>
      </c>
      <c r="D36" s="183" t="s">
        <v>201</v>
      </c>
      <c r="E36" s="183" t="s">
        <v>204</v>
      </c>
      <c r="F36" s="185">
        <f t="shared" si="83"/>
      </c>
      <c r="G36" s="204">
        <v>1747.19</v>
      </c>
      <c r="H36" s="186">
        <v>601.33</v>
      </c>
      <c r="I36" s="192">
        <v>7</v>
      </c>
      <c r="J36" s="192">
        <v>9</v>
      </c>
      <c r="K36" s="196">
        <v>5559.000000000004</v>
      </c>
      <c r="L36" s="189">
        <f t="shared" si="188"/>
      </c>
      <c r="M36" s="190">
        <f t="shared" si="410"/>
      </c>
      <c r="N36" s="191">
        <f t="shared" si="0"/>
      </c>
      <c r="O36" s="191">
        <f t="shared" si="293"/>
      </c>
      <c r="P36" s="191">
        <f t="shared" si="338"/>
      </c>
      <c r="Q36" s="191">
        <f t="shared" si="233"/>
      </c>
      <c r="R36" s="191">
        <f t="shared" si="263"/>
      </c>
      <c r="S36" s="191">
        <f t="shared" si="158"/>
      </c>
      <c r="T36" s="191">
        <f t="shared" si="203"/>
      </c>
      <c r="U36" s="189">
        <f t="shared" si="425"/>
      </c>
      <c r="V36" s="189">
        <f t="shared" si="15"/>
      </c>
      <c r="W36" s="189">
        <f t="shared" si="30"/>
      </c>
      <c r="X36" s="189">
        <f t="shared" si="45"/>
      </c>
      <c r="Y36" s="189">
        <f t="shared" si="308"/>
      </c>
      <c r="Z36" s="189">
        <f t="shared" si="353"/>
      </c>
      <c r="AA36" s="190">
        <f t="shared" si="248"/>
      </c>
      <c r="AB36" s="190">
        <f t="shared" si="278"/>
      </c>
      <c r="AC36" s="190">
        <f t="shared" si="173"/>
      </c>
      <c r="AD36" s="189">
        <f t="shared" si="218"/>
      </c>
      <c r="AE36" s="190">
        <f t="shared" si="440"/>
      </c>
      <c r="AF36" s="189">
        <f t="shared" si="60"/>
      </c>
      <c r="AG36" s="189">
        <f t="shared" si="323"/>
      </c>
      <c r="AH36" s="192">
        <v>17081</v>
      </c>
      <c r="AI36" s="192">
        <v>339</v>
      </c>
      <c r="AJ36" s="192">
        <v>358</v>
      </c>
      <c r="AK36" s="192">
        <v>78</v>
      </c>
      <c r="AL36" s="192">
        <v>8</v>
      </c>
      <c r="AM36" s="192">
        <v>8</v>
      </c>
      <c r="AN36" s="192">
        <v>67</v>
      </c>
      <c r="AO36" s="192">
        <v>70</v>
      </c>
      <c r="AP36" s="192">
        <v>4</v>
      </c>
      <c r="AQ36" s="187">
        <v>1</v>
      </c>
      <c r="AR36" s="194">
        <v>1</v>
      </c>
    </row>
    <row r="37">
      <c r="A37" s="182"/>
      <c r="B37" s="197" t="s">
        <v>197</v>
      </c>
      <c r="C37" s="197"/>
      <c r="D37" s="197"/>
      <c r="E37" s="197"/>
      <c r="F37" s="198">
        <f>SUM(F34:F36)</f>
      </c>
      <c r="G37" s="198">
        <f>SUM(G34:G36)</f>
      </c>
      <c r="H37" s="198">
        <f>SUM(H34:H36)</f>
      </c>
      <c r="I37" s="199">
        <f>SUM(I34:I36)</f>
      </c>
      <c r="J37" s="199">
        <f>SUM(J34:J36)</f>
      </c>
      <c r="K37" s="198">
        <f>SUM(K34:K36)</f>
      </c>
      <c r="L37" s="200">
        <f t="shared" si="188"/>
      </c>
      <c r="M37" s="201">
        <f t="shared" si="410"/>
      </c>
      <c r="N37" s="202">
        <f t="shared" si="0"/>
      </c>
      <c r="O37" s="202">
        <f t="shared" si="293"/>
      </c>
      <c r="P37" s="202">
        <f t="shared" si="338"/>
      </c>
      <c r="Q37" s="202">
        <f t="shared" si="233"/>
      </c>
      <c r="R37" s="202">
        <f t="shared" si="263"/>
      </c>
      <c r="S37" s="202">
        <f t="shared" si="158"/>
      </c>
      <c r="T37" s="202">
        <f t="shared" si="203"/>
      </c>
      <c r="U37" s="200">
        <f t="shared" si="425"/>
      </c>
      <c r="V37" s="200">
        <f t="shared" si="15"/>
      </c>
      <c r="W37" s="200">
        <f t="shared" si="30"/>
      </c>
      <c r="X37" s="200">
        <f t="shared" si="45"/>
      </c>
      <c r="Y37" s="200">
        <f t="shared" si="308"/>
      </c>
      <c r="Z37" s="200">
        <f t="shared" si="353"/>
      </c>
      <c r="AA37" s="201">
        <f t="shared" si="248"/>
      </c>
      <c r="AB37" s="201">
        <f t="shared" si="278"/>
      </c>
      <c r="AC37" s="201">
        <f t="shared" si="173"/>
      </c>
      <c r="AD37" s="200">
        <f t="shared" si="218"/>
      </c>
      <c r="AE37" s="201">
        <f t="shared" si="440"/>
      </c>
      <c r="AF37" s="200">
        <f t="shared" si="60"/>
      </c>
      <c r="AG37" s="200">
        <f t="shared" si="323"/>
      </c>
      <c r="AH37" s="199">
        <f>SUM(AH34:AH36)</f>
      </c>
      <c r="AI37" s="199">
        <f>SUM(AI34:AI36)</f>
      </c>
      <c r="AJ37" s="199">
        <f>SUM(AJ34:AJ36)</f>
      </c>
      <c r="AK37" s="199">
        <f>SUM(AK34:AK36)</f>
      </c>
      <c r="AL37" s="199">
        <f>SUM(AL34:AL36)</f>
      </c>
      <c r="AM37" s="199">
        <f>SUM(AM34:AM36)</f>
      </c>
      <c r="AN37" s="199">
        <f>SUM(AN34:AN36)</f>
      </c>
      <c r="AO37" s="199">
        <f>SUM(AO34:AO36)</f>
      </c>
      <c r="AP37" s="199">
        <f>SUM(AP34:AP36)</f>
      </c>
      <c r="AQ37" s="199">
        <f>SUM(AQ34:AQ36)</f>
      </c>
      <c r="AR37" s="203">
        <f>SUM(AR34:AR36)</f>
      </c>
    </row>
    <row r="38">
      <c r="A38" s="182"/>
      <c r="B38" s="205" t="s">
        <v>205</v>
      </c>
      <c r="C38" s="205"/>
      <c r="D38" s="205"/>
      <c r="E38" s="205"/>
      <c r="F38" s="206">
        <f t="shared" ref="F38:F42" si="84">H38+G38</f>
      </c>
      <c r="G38" s="206">
        <f>G30+G37+G33</f>
      </c>
      <c r="H38" s="206">
        <f>H30+H37+H33</f>
      </c>
      <c r="I38" s="206">
        <f>I30+I37+I33</f>
      </c>
      <c r="J38" s="206">
        <f>J30+J37+J33</f>
      </c>
      <c r="K38" s="206">
        <f>K30+K37+K33</f>
      </c>
      <c r="L38" s="207">
        <f t="shared" si="188"/>
      </c>
      <c r="M38" s="208">
        <f t="shared" si="410"/>
      </c>
      <c r="N38" s="209">
        <f t="shared" si="0"/>
      </c>
      <c r="O38" s="209">
        <f t="shared" si="293"/>
      </c>
      <c r="P38" s="209">
        <f t="shared" si="338"/>
      </c>
      <c r="Q38" s="209">
        <f t="shared" si="233"/>
      </c>
      <c r="R38" s="209">
        <f t="shared" si="263"/>
      </c>
      <c r="S38" s="209">
        <f t="shared" si="158"/>
      </c>
      <c r="T38" s="209">
        <f t="shared" si="203"/>
      </c>
      <c r="U38" s="207">
        <f t="shared" si="425"/>
      </c>
      <c r="V38" s="207">
        <f t="shared" si="15"/>
      </c>
      <c r="W38" s="207">
        <f t="shared" si="30"/>
      </c>
      <c r="X38" s="207">
        <f t="shared" si="45"/>
      </c>
      <c r="Y38" s="207">
        <f t="shared" si="308"/>
      </c>
      <c r="Z38" s="207">
        <f t="shared" si="353"/>
      </c>
      <c r="AA38" s="208">
        <f t="shared" si="248"/>
      </c>
      <c r="AB38" s="208">
        <f t="shared" si="278"/>
      </c>
      <c r="AC38" s="208">
        <f t="shared" si="173"/>
      </c>
      <c r="AD38" s="207">
        <f t="shared" si="218"/>
      </c>
      <c r="AE38" s="208">
        <f t="shared" si="440"/>
      </c>
      <c r="AF38" s="207">
        <f t="shared" si="60"/>
      </c>
      <c r="AG38" s="207">
        <f t="shared" si="323"/>
      </c>
      <c r="AH38" s="210">
        <f>AH30+AH37+AH33</f>
      </c>
      <c r="AI38" s="210">
        <f>AI30+AI37+AI33</f>
      </c>
      <c r="AJ38" s="210">
        <f>AJ30+AJ37+AJ33</f>
      </c>
      <c r="AK38" s="210">
        <f>AK30+AK37+AK33</f>
      </c>
      <c r="AL38" s="210">
        <f>AL30+AL37+AL33</f>
      </c>
      <c r="AM38" s="210">
        <f>AM30+AM37+AM33</f>
      </c>
      <c r="AN38" s="210">
        <f>AN30+AN37+AN33</f>
      </c>
      <c r="AO38" s="210">
        <f>AO30+AO37+AO33</f>
      </c>
      <c r="AP38" s="210">
        <f>AP30+AP37+AP33</f>
      </c>
      <c r="AQ38" s="210">
        <f>AQ30+AQ37+AQ33</f>
      </c>
      <c r="AR38" s="203">
        <f>AR30+AR37+AR33</f>
      </c>
    </row>
    <row r="39">
      <c r="A39" s="182">
        <v>46269</v>
      </c>
      <c r="B39" s="183" t="s">
        <v>191</v>
      </c>
      <c r="C39" s="184" t="s">
        <v>192</v>
      </c>
      <c r="D39" s="183" t="s">
        <v>201</v>
      </c>
      <c r="E39" s="183" t="s">
        <v>194</v>
      </c>
      <c r="F39" s="185">
        <f t="shared" si="84"/>
      </c>
      <c r="G39" s="186">
        <v>3838.17</v>
      </c>
      <c r="H39" s="186">
        <v>410.92</v>
      </c>
      <c r="I39" s="187">
        <v>5</v>
      </c>
      <c r="J39" s="187">
        <v>6</v>
      </c>
      <c r="K39" s="188">
        <v>4540.4</v>
      </c>
      <c r="L39" s="189">
        <f t="shared" si="188"/>
      </c>
      <c r="M39" s="190">
        <f t="shared" si="410"/>
      </c>
      <c r="N39" s="191">
        <f t="shared" si="0"/>
      </c>
      <c r="O39" s="191">
        <f t="shared" si="293"/>
      </c>
      <c r="P39" s="191">
        <f t="shared" si="338"/>
      </c>
      <c r="Q39" s="191">
        <f t="shared" si="233"/>
      </c>
      <c r="R39" s="191">
        <f t="shared" si="263"/>
      </c>
      <c r="S39" s="191">
        <f t="shared" si="158"/>
      </c>
      <c r="T39" s="191">
        <f t="shared" si="203"/>
      </c>
      <c r="U39" s="189">
        <f t="shared" si="425"/>
      </c>
      <c r="V39" s="189">
        <f t="shared" si="15"/>
      </c>
      <c r="W39" s="189">
        <f t="shared" si="30"/>
      </c>
      <c r="X39" s="189">
        <f t="shared" si="45"/>
      </c>
      <c r="Y39" s="189">
        <f t="shared" si="308"/>
      </c>
      <c r="Z39" s="189">
        <f t="shared" si="353"/>
      </c>
      <c r="AA39" s="190">
        <f t="shared" si="248"/>
      </c>
      <c r="AB39" s="190">
        <f t="shared" si="278"/>
      </c>
      <c r="AC39" s="190">
        <f t="shared" si="173"/>
      </c>
      <c r="AD39" s="189">
        <f t="shared" si="218"/>
      </c>
      <c r="AE39" s="190">
        <f t="shared" si="440"/>
      </c>
      <c r="AF39" s="189">
        <f t="shared" si="60"/>
      </c>
      <c r="AG39" s="189">
        <f t="shared" si="323"/>
      </c>
      <c r="AH39" s="192">
        <v>30898</v>
      </c>
      <c r="AI39" s="193">
        <v>450</v>
      </c>
      <c r="AJ39" s="193">
        <v>449</v>
      </c>
      <c r="AK39" s="192">
        <v>141</v>
      </c>
      <c r="AL39" s="192">
        <v>5</v>
      </c>
      <c r="AM39" s="192">
        <v>5</v>
      </c>
      <c r="AN39" s="192">
        <v>93</v>
      </c>
      <c r="AO39" s="192">
        <v>39</v>
      </c>
      <c r="AP39" s="187">
        <v>6</v>
      </c>
      <c r="AQ39" s="187">
        <v>1</v>
      </c>
      <c r="AR39" s="194">
        <v>1</v>
      </c>
    </row>
    <row r="40">
      <c r="A40" s="182"/>
      <c r="B40" s="183" t="s">
        <v>191</v>
      </c>
      <c r="C40" s="184" t="s">
        <v>192</v>
      </c>
      <c r="D40" s="183" t="s">
        <v>201</v>
      </c>
      <c r="E40" s="183" t="s">
        <v>195</v>
      </c>
      <c r="F40" s="185">
        <f t="shared" si="84"/>
      </c>
      <c r="G40" s="195">
        <v>1848.61</v>
      </c>
      <c r="H40" s="186">
        <v>227.76</v>
      </c>
      <c r="I40" s="187">
        <v>2</v>
      </c>
      <c r="J40" s="187">
        <v>3</v>
      </c>
      <c r="K40" s="196">
        <v>2263</v>
      </c>
      <c r="L40" s="189">
        <f t="shared" si="188"/>
      </c>
      <c r="M40" s="190">
        <f t="shared" si="410"/>
      </c>
      <c r="N40" s="191">
        <f t="shared" si="0"/>
      </c>
      <c r="O40" s="191">
        <f t="shared" si="293"/>
      </c>
      <c r="P40" s="191">
        <f t="shared" si="338"/>
      </c>
      <c r="Q40" s="191">
        <f t="shared" si="233"/>
      </c>
      <c r="R40" s="191">
        <f t="shared" si="263"/>
      </c>
      <c r="S40" s="191">
        <f t="shared" si="158"/>
      </c>
      <c r="T40" s="191">
        <f t="shared" si="203"/>
      </c>
      <c r="U40" s="189">
        <f t="shared" si="425"/>
      </c>
      <c r="V40" s="189">
        <f t="shared" si="15"/>
      </c>
      <c r="W40" s="189">
        <f t="shared" si="30"/>
      </c>
      <c r="X40" s="189">
        <f t="shared" si="45"/>
      </c>
      <c r="Y40" s="189">
        <f t="shared" si="308"/>
      </c>
      <c r="Z40" s="189">
        <f t="shared" si="353"/>
      </c>
      <c r="AA40" s="190">
        <f t="shared" si="248"/>
      </c>
      <c r="AB40" s="190">
        <f t="shared" si="278"/>
      </c>
      <c r="AC40" s="190">
        <f t="shared" si="173"/>
      </c>
      <c r="AD40" s="189">
        <f t="shared" si="218"/>
      </c>
      <c r="AE40" s="190">
        <f t="shared" si="440"/>
      </c>
      <c r="AF40" s="189">
        <f t="shared" si="60"/>
      </c>
      <c r="AG40" s="189">
        <f t="shared" si="323"/>
      </c>
      <c r="AH40" s="192">
        <v>12552</v>
      </c>
      <c r="AI40" s="192">
        <v>266</v>
      </c>
      <c r="AJ40" s="192">
        <v>272</v>
      </c>
      <c r="AK40" s="192">
        <v>69</v>
      </c>
      <c r="AL40" s="192">
        <v>2</v>
      </c>
      <c r="AM40" s="192">
        <v>2</v>
      </c>
      <c r="AN40" s="192">
        <v>44</v>
      </c>
      <c r="AO40" s="192">
        <v>74</v>
      </c>
      <c r="AP40" s="187">
        <v>6</v>
      </c>
      <c r="AQ40" s="187">
        <v>1</v>
      </c>
      <c r="AR40" s="194">
        <v>1</v>
      </c>
    </row>
    <row customHeight="true" ht="16.071428571428573" r="41">
      <c r="A41" s="182"/>
      <c r="B41" s="183" t="s">
        <v>191</v>
      </c>
      <c r="C41" s="184" t="s">
        <v>192</v>
      </c>
      <c r="D41" s="183" t="s">
        <v>201</v>
      </c>
      <c r="E41" s="183" t="s">
        <v>196</v>
      </c>
      <c r="F41" s="185">
        <f t="shared" si="84"/>
      </c>
      <c r="G41" s="195">
        <v>1972.32</v>
      </c>
      <c r="H41" s="186">
        <v>240.66</v>
      </c>
      <c r="I41" s="187">
        <v>6</v>
      </c>
      <c r="J41" s="187">
        <v>4</v>
      </c>
      <c r="K41" s="196">
        <v>2389.199999999999</v>
      </c>
      <c r="L41" s="189">
        <f t="shared" si="188"/>
      </c>
      <c r="M41" s="190">
        <f t="shared" si="410"/>
      </c>
      <c r="N41" s="191">
        <f t="shared" si="0"/>
      </c>
      <c r="O41" s="191">
        <f t="shared" si="293"/>
      </c>
      <c r="P41" s="191">
        <f t="shared" si="338"/>
      </c>
      <c r="Q41" s="191">
        <f t="shared" si="233"/>
      </c>
      <c r="R41" s="191">
        <f t="shared" si="263"/>
      </c>
      <c r="S41" s="191">
        <f t="shared" si="158"/>
      </c>
      <c r="T41" s="191">
        <f t="shared" si="203"/>
      </c>
      <c r="U41" s="189">
        <f t="shared" si="425"/>
      </c>
      <c r="V41" s="189">
        <f t="shared" si="15"/>
      </c>
      <c r="W41" s="189">
        <f t="shared" si="30"/>
      </c>
      <c r="X41" s="189">
        <f t="shared" si="45"/>
      </c>
      <c r="Y41" s="189">
        <f t="shared" si="308"/>
      </c>
      <c r="Z41" s="189">
        <f t="shared" si="353"/>
      </c>
      <c r="AA41" s="190">
        <f t="shared" si="248"/>
      </c>
      <c r="AB41" s="190">
        <f t="shared" si="278"/>
      </c>
      <c r="AC41" s="190">
        <f t="shared" si="173"/>
      </c>
      <c r="AD41" s="189">
        <f t="shared" si="218"/>
      </c>
      <c r="AE41" s="190">
        <f t="shared" si="440"/>
      </c>
      <c r="AF41" s="189">
        <f t="shared" si="60"/>
      </c>
      <c r="AG41" s="189">
        <f t="shared" si="323"/>
      </c>
      <c r="AH41" s="192">
        <v>16408</v>
      </c>
      <c r="AI41" s="192">
        <v>283</v>
      </c>
      <c r="AJ41" s="192">
        <v>284</v>
      </c>
      <c r="AK41" s="192">
        <v>72</v>
      </c>
      <c r="AL41" s="192">
        <v>7</v>
      </c>
      <c r="AM41" s="192">
        <v>5</v>
      </c>
      <c r="AN41" s="192">
        <v>43</v>
      </c>
      <c r="AO41" s="192">
        <v>42</v>
      </c>
      <c r="AP41" s="187">
        <v>3</v>
      </c>
      <c r="AQ41" s="187">
        <v>0</v>
      </c>
      <c r="AR41" s="194">
        <v>1</v>
      </c>
    </row>
    <row r="42">
      <c r="A42" s="182"/>
      <c r="B42" s="183" t="s">
        <v>191</v>
      </c>
      <c r="C42" s="184" t="s">
        <v>192</v>
      </c>
      <c r="D42" s="183" t="s">
        <v>201</v>
      </c>
      <c r="E42" s="183" t="s">
        <v>199</v>
      </c>
      <c r="F42" s="185">
        <f t="shared" si="84"/>
      </c>
      <c r="G42" s="186">
        <v>1461.69</v>
      </c>
      <c r="H42" s="186">
        <v>441.12</v>
      </c>
      <c r="I42" s="187">
        <v>5</v>
      </c>
      <c r="J42" s="187">
        <v>5</v>
      </c>
      <c r="K42" s="196">
        <v>3286.4000000000015</v>
      </c>
      <c r="L42" s="189">
        <f t="shared" si="188"/>
      </c>
      <c r="M42" s="190">
        <f t="shared" si="410"/>
      </c>
      <c r="N42" s="191">
        <f t="shared" si="0"/>
      </c>
      <c r="O42" s="191">
        <f t="shared" si="293"/>
      </c>
      <c r="P42" s="191">
        <f t="shared" si="338"/>
      </c>
      <c r="Q42" s="191">
        <f t="shared" si="233"/>
      </c>
      <c r="R42" s="191">
        <f t="shared" si="263"/>
      </c>
      <c r="S42" s="191">
        <f t="shared" si="158"/>
      </c>
      <c r="T42" s="191">
        <f t="shared" si="203"/>
      </c>
      <c r="U42" s="189">
        <f t="shared" si="425"/>
      </c>
      <c r="V42" s="189">
        <f t="shared" si="15"/>
      </c>
      <c r="W42" s="189">
        <f t="shared" si="30"/>
      </c>
      <c r="X42" s="189">
        <f t="shared" si="45"/>
      </c>
      <c r="Y42" s="189">
        <f t="shared" si="308"/>
      </c>
      <c r="Z42" s="189">
        <f t="shared" si="353"/>
      </c>
      <c r="AA42" s="190">
        <f t="shared" si="248"/>
      </c>
      <c r="AB42" s="190">
        <f t="shared" si="278"/>
      </c>
      <c r="AC42" s="190">
        <f t="shared" si="173"/>
      </c>
      <c r="AD42" s="189">
        <f t="shared" si="218"/>
      </c>
      <c r="AE42" s="190">
        <f t="shared" si="440"/>
      </c>
      <c r="AF42" s="189">
        <f t="shared" si="60"/>
      </c>
      <c r="AG42" s="189">
        <f t="shared" si="323"/>
      </c>
      <c r="AH42" s="192">
        <v>15105</v>
      </c>
      <c r="AI42" s="192">
        <v>375</v>
      </c>
      <c r="AJ42" s="192">
        <v>409</v>
      </c>
      <c r="AK42" s="192">
        <v>70</v>
      </c>
      <c r="AL42" s="192">
        <v>3</v>
      </c>
      <c r="AM42" s="192">
        <v>3</v>
      </c>
      <c r="AN42" s="192">
        <v>52</v>
      </c>
      <c r="AO42" s="192">
        <v>71</v>
      </c>
      <c r="AP42" s="192">
        <v>3</v>
      </c>
      <c r="AQ42" s="187">
        <v>0</v>
      </c>
      <c r="AR42" s="194">
        <v>1</v>
      </c>
    </row>
    <row r="43">
      <c r="A43" s="182"/>
      <c r="B43" s="197" t="s">
        <v>197</v>
      </c>
      <c r="C43" s="197"/>
      <c r="D43" s="197"/>
      <c r="E43" s="197"/>
      <c r="F43" s="198">
        <f>SUM(F39:F42)</f>
      </c>
      <c r="G43" s="198">
        <f>SUM(G39:G42)</f>
      </c>
      <c r="H43" s="198">
        <f>SUM(H39:H42)</f>
      </c>
      <c r="I43" s="199">
        <f>SUM(I39:I42)</f>
      </c>
      <c r="J43" s="199">
        <f>SUM(J39:J42)</f>
      </c>
      <c r="K43" s="198">
        <f>SUM(K39:K42)</f>
      </c>
      <c r="L43" s="200">
        <f t="shared" si="188"/>
      </c>
      <c r="M43" s="201">
        <f t="shared" si="410"/>
      </c>
      <c r="N43" s="202">
        <f t="shared" si="0"/>
      </c>
      <c r="O43" s="202">
        <f t="shared" si="293"/>
      </c>
      <c r="P43" s="202">
        <f t="shared" si="338"/>
      </c>
      <c r="Q43" s="202">
        <f t="shared" si="233"/>
      </c>
      <c r="R43" s="202">
        <f t="shared" si="263"/>
      </c>
      <c r="S43" s="202">
        <f t="shared" si="158"/>
      </c>
      <c r="T43" s="202">
        <f t="shared" si="203"/>
      </c>
      <c r="U43" s="200">
        <f t="shared" si="425"/>
      </c>
      <c r="V43" s="200">
        <f t="shared" si="15"/>
      </c>
      <c r="W43" s="200">
        <f t="shared" si="30"/>
      </c>
      <c r="X43" s="200">
        <f t="shared" si="45"/>
      </c>
      <c r="Y43" s="200">
        <f t="shared" si="308"/>
      </c>
      <c r="Z43" s="200">
        <f t="shared" si="353"/>
      </c>
      <c r="AA43" s="201">
        <f t="shared" si="248"/>
      </c>
      <c r="AB43" s="201">
        <f t="shared" si="278"/>
      </c>
      <c r="AC43" s="201">
        <f t="shared" si="173"/>
      </c>
      <c r="AD43" s="200">
        <f t="shared" si="218"/>
      </c>
      <c r="AE43" s="201">
        <f t="shared" si="440"/>
      </c>
      <c r="AF43" s="200">
        <f t="shared" si="60"/>
      </c>
      <c r="AG43" s="200">
        <f t="shared" si="323"/>
      </c>
      <c r="AH43" s="199">
        <f>SUM(AH39:AH42)</f>
      </c>
      <c r="AI43" s="199">
        <f>SUM(AI39:AI42)</f>
      </c>
      <c r="AJ43" s="199">
        <f>SUM(AJ39:AJ42)</f>
      </c>
      <c r="AK43" s="199">
        <f>SUM(AK39:AK42)</f>
      </c>
      <c r="AL43" s="199">
        <f>SUM(AL39:AL42)</f>
      </c>
      <c r="AM43" s="199">
        <f>SUM(AM39:AM42)</f>
      </c>
      <c r="AN43" s="199">
        <f>SUM(AN39:AN42)</f>
      </c>
      <c r="AO43" s="199">
        <f>SUM(AO39:AO42)</f>
      </c>
      <c r="AP43" s="199">
        <f>SUM(AP39:AP42)</f>
      </c>
      <c r="AQ43" s="199">
        <f>SUM(AQ39:AQ42)</f>
      </c>
      <c r="AR43" s="203">
        <f>SUM(AR39:AR42)</f>
      </c>
    </row>
    <row r="44">
      <c r="A44" s="182"/>
      <c r="B44" s="183" t="s">
        <v>191</v>
      </c>
      <c r="C44" s="184" t="s">
        <v>192</v>
      </c>
      <c r="D44" s="183" t="s">
        <v>206</v>
      </c>
      <c r="E44" s="183" t="s">
        <v>200</v>
      </c>
      <c r="F44" s="185">
        <f t="shared" ref="F44:F47" si="85">H44+G44</f>
      </c>
      <c r="G44" s="186">
        <v>2082.75</v>
      </c>
      <c r="H44" s="186">
        <v>495.72</v>
      </c>
      <c r="I44" s="187">
        <v>6</v>
      </c>
      <c r="J44" s="187">
        <v>4</v>
      </c>
      <c r="K44" s="188">
        <v>2249.7999999999993</v>
      </c>
      <c r="L44" s="189">
        <f t="shared" si="188"/>
      </c>
      <c r="M44" s="190">
        <f t="shared" si="410"/>
      </c>
      <c r="N44" s="191">
        <f t="shared" si="0"/>
      </c>
      <c r="O44" s="191">
        <f t="shared" si="293"/>
      </c>
      <c r="P44" s="191">
        <f t="shared" si="338"/>
      </c>
      <c r="Q44" s="191">
        <f t="shared" si="233"/>
      </c>
      <c r="R44" s="191">
        <f t="shared" si="263"/>
      </c>
      <c r="S44" s="191">
        <f t="shared" si="158"/>
      </c>
      <c r="T44" s="191">
        <f t="shared" si="203"/>
      </c>
      <c r="U44" s="189">
        <f t="shared" si="425"/>
      </c>
      <c r="V44" s="189">
        <f t="shared" si="15"/>
      </c>
      <c r="W44" s="189">
        <f t="shared" si="30"/>
      </c>
      <c r="X44" s="189">
        <f t="shared" si="45"/>
      </c>
      <c r="Y44" s="189">
        <f t="shared" si="308"/>
      </c>
      <c r="Z44" s="189">
        <f t="shared" si="353"/>
      </c>
      <c r="AA44" s="190">
        <f t="shared" si="248"/>
      </c>
      <c r="AB44" s="190">
        <f t="shared" si="278"/>
      </c>
      <c r="AC44" s="190">
        <f t="shared" si="173"/>
      </c>
      <c r="AD44" s="189">
        <f t="shared" si="218"/>
      </c>
      <c r="AE44" s="190">
        <f t="shared" si="440"/>
      </c>
      <c r="AF44" s="189">
        <f t="shared" si="60"/>
      </c>
      <c r="AG44" s="189">
        <f t="shared" si="323"/>
      </c>
      <c r="AH44" s="192">
        <v>17751</v>
      </c>
      <c r="AI44" s="192">
        <v>439</v>
      </c>
      <c r="AJ44" s="192">
        <v>476</v>
      </c>
      <c r="AK44" s="192">
        <v>102</v>
      </c>
      <c r="AL44" s="192">
        <v>10</v>
      </c>
      <c r="AM44" s="192">
        <v>6</v>
      </c>
      <c r="AN44" s="192">
        <v>75</v>
      </c>
      <c r="AO44" s="192">
        <v>93</v>
      </c>
      <c r="AP44" s="192">
        <v>6</v>
      </c>
      <c r="AQ44" s="187">
        <v>0</v>
      </c>
      <c r="AR44" s="194">
        <v>1</v>
      </c>
    </row>
    <row customHeight="true" ht="16.071428571428573" r="45">
      <c r="A45" s="182"/>
      <c r="B45" s="183" t="s">
        <v>191</v>
      </c>
      <c r="C45" s="184" t="s">
        <v>192</v>
      </c>
      <c r="D45" s="183" t="s">
        <v>206</v>
      </c>
      <c r="E45" s="184" t="s">
        <v>202</v>
      </c>
      <c r="F45" s="185">
        <f t="shared" si="85"/>
      </c>
      <c r="G45" s="186">
        <v>2043.84</v>
      </c>
      <c r="H45" s="186">
        <v>711.25</v>
      </c>
      <c r="I45" s="187">
        <v>7</v>
      </c>
      <c r="J45" s="187">
        <v>5</v>
      </c>
      <c r="K45" s="188">
        <v>4041.600000000002</v>
      </c>
      <c r="L45" s="189">
        <f t="shared" si="188"/>
      </c>
      <c r="M45" s="190">
        <f t="shared" si="410"/>
      </c>
      <c r="N45" s="191">
        <f t="shared" si="0"/>
      </c>
      <c r="O45" s="191">
        <f t="shared" si="293"/>
      </c>
      <c r="P45" s="191">
        <f t="shared" si="338"/>
      </c>
      <c r="Q45" s="191">
        <f t="shared" si="233"/>
      </c>
      <c r="R45" s="191">
        <f t="shared" si="263"/>
      </c>
      <c r="S45" s="191">
        <f t="shared" si="158"/>
      </c>
      <c r="T45" s="191">
        <f t="shared" si="203"/>
      </c>
      <c r="U45" s="189">
        <f t="shared" si="425"/>
      </c>
      <c r="V45" s="189">
        <f t="shared" si="15"/>
      </c>
      <c r="W45" s="189">
        <f t="shared" si="30"/>
      </c>
      <c r="X45" s="189">
        <f t="shared" si="45"/>
      </c>
      <c r="Y45" s="189">
        <f t="shared" si="308"/>
      </c>
      <c r="Z45" s="189">
        <f t="shared" si="353"/>
      </c>
      <c r="AA45" s="190">
        <f t="shared" si="248"/>
      </c>
      <c r="AB45" s="190">
        <f t="shared" si="278"/>
      </c>
      <c r="AC45" s="190">
        <f t="shared" si="173"/>
      </c>
      <c r="AD45" s="189">
        <f t="shared" si="218"/>
      </c>
      <c r="AE45" s="190">
        <f t="shared" si="440"/>
      </c>
      <c r="AF45" s="189">
        <f t="shared" si="60"/>
      </c>
      <c r="AG45" s="189">
        <f t="shared" si="323"/>
      </c>
      <c r="AH45" s="192">
        <v>19220</v>
      </c>
      <c r="AI45" s="192">
        <v>456</v>
      </c>
      <c r="AJ45" s="192">
        <v>480</v>
      </c>
      <c r="AK45" s="192">
        <v>107</v>
      </c>
      <c r="AL45" s="192">
        <v>4</v>
      </c>
      <c r="AM45" s="192">
        <v>3</v>
      </c>
      <c r="AN45" s="192">
        <v>90</v>
      </c>
      <c r="AO45" s="192">
        <v>170</v>
      </c>
      <c r="AP45" s="192">
        <v>8</v>
      </c>
      <c r="AQ45" s="187">
        <v>1</v>
      </c>
      <c r="AR45" s="194">
        <v>1</v>
      </c>
    </row>
    <row r="46">
      <c r="A46" s="182"/>
      <c r="B46" s="183" t="s">
        <v>191</v>
      </c>
      <c r="C46" s="184" t="s">
        <v>192</v>
      </c>
      <c r="D46" s="183" t="s">
        <v>206</v>
      </c>
      <c r="E46" s="184" t="s">
        <v>203</v>
      </c>
      <c r="F46" s="185">
        <f t="shared" si="85"/>
      </c>
      <c r="G46" s="186">
        <v>2214.92</v>
      </c>
      <c r="H46" s="186">
        <v>924.98</v>
      </c>
      <c r="I46" s="187">
        <v>6</v>
      </c>
      <c r="J46" s="187">
        <v>6</v>
      </c>
      <c r="K46" s="188">
        <v>2896.5999999999985</v>
      </c>
      <c r="L46" s="189">
        <f t="shared" si="188"/>
      </c>
      <c r="M46" s="190">
        <f t="shared" si="410"/>
      </c>
      <c r="N46" s="191">
        <f t="shared" si="0"/>
      </c>
      <c r="O46" s="191">
        <f t="shared" si="293"/>
      </c>
      <c r="P46" s="191">
        <f t="shared" si="338"/>
      </c>
      <c r="Q46" s="191">
        <f t="shared" si="233"/>
      </c>
      <c r="R46" s="191">
        <f t="shared" si="263"/>
      </c>
      <c r="S46" s="191">
        <f t="shared" si="158"/>
      </c>
      <c r="T46" s="191">
        <f t="shared" si="203"/>
      </c>
      <c r="U46" s="189">
        <f t="shared" si="425"/>
      </c>
      <c r="V46" s="189">
        <f t="shared" si="15"/>
      </c>
      <c r="W46" s="189">
        <f t="shared" si="30"/>
      </c>
      <c r="X46" s="189">
        <f t="shared" si="45"/>
      </c>
      <c r="Y46" s="189">
        <f t="shared" si="308"/>
      </c>
      <c r="Z46" s="189">
        <f t="shared" si="353"/>
      </c>
      <c r="AA46" s="190">
        <f t="shared" si="248"/>
      </c>
      <c r="AB46" s="190">
        <f t="shared" si="278"/>
      </c>
      <c r="AC46" s="190">
        <f t="shared" si="173"/>
      </c>
      <c r="AD46" s="189">
        <f t="shared" si="218"/>
      </c>
      <c r="AE46" s="190">
        <f t="shared" si="440"/>
      </c>
      <c r="AF46" s="189">
        <f t="shared" si="60"/>
      </c>
      <c r="AG46" s="189">
        <f t="shared" si="323"/>
      </c>
      <c r="AH46" s="192">
        <v>23185</v>
      </c>
      <c r="AI46" s="192">
        <v>598</v>
      </c>
      <c r="AJ46" s="192">
        <v>655</v>
      </c>
      <c r="AK46" s="192">
        <v>113</v>
      </c>
      <c r="AL46" s="192">
        <v>6</v>
      </c>
      <c r="AM46" s="192">
        <v>5</v>
      </c>
      <c r="AN46" s="192">
        <v>75</v>
      </c>
      <c r="AO46" s="192">
        <v>82</v>
      </c>
      <c r="AP46" s="192">
        <v>4</v>
      </c>
      <c r="AQ46" s="187">
        <v>1</v>
      </c>
      <c r="AR46" s="194">
        <v>1</v>
      </c>
    </row>
    <row r="47">
      <c r="A47" s="182"/>
      <c r="B47" s="183" t="s">
        <v>191</v>
      </c>
      <c r="C47" s="184" t="s">
        <v>192</v>
      </c>
      <c r="D47" s="183" t="s">
        <v>206</v>
      </c>
      <c r="E47" s="183" t="s">
        <v>204</v>
      </c>
      <c r="F47" s="185">
        <f t="shared" si="85"/>
      </c>
      <c r="G47" s="204">
        <v>1449.61</v>
      </c>
      <c r="H47" s="186">
        <v>881.65</v>
      </c>
      <c r="I47" s="192">
        <v>6</v>
      </c>
      <c r="J47" s="192">
        <v>3</v>
      </c>
      <c r="K47" s="196">
        <v>2704.800000000003</v>
      </c>
      <c r="L47" s="189">
        <f t="shared" si="188"/>
      </c>
      <c r="M47" s="190">
        <f t="shared" si="410"/>
      </c>
      <c r="N47" s="191">
        <f t="shared" si="0"/>
      </c>
      <c r="O47" s="191">
        <f t="shared" si="293"/>
      </c>
      <c r="P47" s="191">
        <f t="shared" si="338"/>
      </c>
      <c r="Q47" s="191">
        <f t="shared" si="233"/>
      </c>
      <c r="R47" s="191">
        <f t="shared" si="263"/>
      </c>
      <c r="S47" s="191">
        <f t="shared" si="158"/>
      </c>
      <c r="T47" s="191">
        <f t="shared" si="203"/>
      </c>
      <c r="U47" s="189">
        <f t="shared" si="425"/>
      </c>
      <c r="V47" s="189">
        <f t="shared" si="15"/>
      </c>
      <c r="W47" s="189">
        <f t="shared" si="30"/>
      </c>
      <c r="X47" s="189">
        <f t="shared" si="45"/>
      </c>
      <c r="Y47" s="189">
        <f t="shared" si="308"/>
      </c>
      <c r="Z47" s="189">
        <f t="shared" si="353"/>
      </c>
      <c r="AA47" s="190">
        <f t="shared" si="248"/>
      </c>
      <c r="AB47" s="190">
        <f t="shared" si="278"/>
      </c>
      <c r="AC47" s="190">
        <f t="shared" si="173"/>
      </c>
      <c r="AD47" s="189">
        <f t="shared" si="218"/>
      </c>
      <c r="AE47" s="190">
        <f t="shared" si="440"/>
      </c>
      <c r="AF47" s="189">
        <f t="shared" si="60"/>
      </c>
      <c r="AG47" s="189">
        <f t="shared" si="323"/>
      </c>
      <c r="AH47" s="192">
        <v>17206</v>
      </c>
      <c r="AI47" s="192">
        <v>654</v>
      </c>
      <c r="AJ47" s="192">
        <v>726</v>
      </c>
      <c r="AK47" s="192">
        <v>106</v>
      </c>
      <c r="AL47" s="192">
        <v>6</v>
      </c>
      <c r="AM47" s="192">
        <v>2</v>
      </c>
      <c r="AN47" s="192">
        <v>85</v>
      </c>
      <c r="AO47" s="192">
        <v>113</v>
      </c>
      <c r="AP47" s="192">
        <v>8</v>
      </c>
      <c r="AQ47" s="187">
        <v>1</v>
      </c>
      <c r="AR47" s="194">
        <v>1</v>
      </c>
    </row>
    <row r="48">
      <c r="A48" s="182"/>
      <c r="B48" s="197" t="s">
        <v>197</v>
      </c>
      <c r="C48" s="197"/>
      <c r="D48" s="197"/>
      <c r="E48" s="197"/>
      <c r="F48" s="198">
        <f>SUM(F44:F47)</f>
      </c>
      <c r="G48" s="198">
        <f>SUM(G44:G47)</f>
      </c>
      <c r="H48" s="198">
        <f>SUM(H44:H47)</f>
      </c>
      <c r="I48" s="199">
        <f>SUM(I44:I47)</f>
      </c>
      <c r="J48" s="199">
        <f>SUM(J44:J47)</f>
      </c>
      <c r="K48" s="198">
        <f>SUM(K44:K47)</f>
      </c>
      <c r="L48" s="200">
        <f t="shared" si="188"/>
      </c>
      <c r="M48" s="201">
        <f t="shared" si="410"/>
      </c>
      <c r="N48" s="202">
        <f t="shared" si="0"/>
      </c>
      <c r="O48" s="202">
        <f t="shared" si="293"/>
      </c>
      <c r="P48" s="202">
        <f t="shared" si="338"/>
      </c>
      <c r="Q48" s="202">
        <f t="shared" si="233"/>
      </c>
      <c r="R48" s="202">
        <f t="shared" si="263"/>
      </c>
      <c r="S48" s="202">
        <f t="shared" si="158"/>
      </c>
      <c r="T48" s="202">
        <f t="shared" si="203"/>
      </c>
      <c r="U48" s="200">
        <f t="shared" si="425"/>
      </c>
      <c r="V48" s="200">
        <f t="shared" si="15"/>
      </c>
      <c r="W48" s="200">
        <f t="shared" si="30"/>
      </c>
      <c r="X48" s="200">
        <f t="shared" si="45"/>
      </c>
      <c r="Y48" s="200">
        <f t="shared" si="308"/>
      </c>
      <c r="Z48" s="200">
        <f t="shared" si="353"/>
      </c>
      <c r="AA48" s="201">
        <f t="shared" si="248"/>
      </c>
      <c r="AB48" s="201">
        <f t="shared" si="278"/>
      </c>
      <c r="AC48" s="201">
        <f t="shared" si="173"/>
      </c>
      <c r="AD48" s="200">
        <f t="shared" si="218"/>
      </c>
      <c r="AE48" s="201">
        <f t="shared" si="440"/>
      </c>
      <c r="AF48" s="200">
        <f t="shared" si="60"/>
      </c>
      <c r="AG48" s="200">
        <f t="shared" si="323"/>
      </c>
      <c r="AH48" s="199">
        <f>SUM(AH44:AH47)</f>
      </c>
      <c r="AI48" s="199">
        <f>SUM(AI44:AI47)</f>
      </c>
      <c r="AJ48" s="199">
        <f>SUM(AJ44:AJ47)</f>
      </c>
      <c r="AK48" s="199">
        <f>SUM(AK44:AK47)</f>
      </c>
      <c r="AL48" s="199">
        <f>SUM(AL44:AL47)</f>
      </c>
      <c r="AM48" s="199">
        <f>SUM(AM44:AM47)</f>
      </c>
      <c r="AN48" s="199">
        <f>SUM(AN44:AN47)</f>
      </c>
      <c r="AO48" s="199">
        <f>SUM(AO44:AO47)</f>
      </c>
      <c r="AP48" s="199">
        <f>SUM(AP44:AP47)</f>
      </c>
      <c r="AQ48" s="199">
        <f>SUM(AQ44:AQ47)</f>
      </c>
      <c r="AR48" s="203">
        <f>SUM(AR44:AR47)</f>
      </c>
    </row>
    <row r="49">
      <c r="A49" s="182"/>
      <c r="B49" s="205" t="s">
        <v>205</v>
      </c>
      <c r="C49" s="205"/>
      <c r="D49" s="205"/>
      <c r="E49" s="205"/>
      <c r="F49" s="206">
        <f t="shared" ref="F49:F53" si="86">H49+G49</f>
      </c>
      <c r="G49" s="206">
        <f>G43+G48</f>
      </c>
      <c r="H49" s="206">
        <f>H43+H48</f>
      </c>
      <c r="I49" s="206">
        <f>I43+I48</f>
      </c>
      <c r="J49" s="206">
        <f>J43+J48</f>
      </c>
      <c r="K49" s="206">
        <f>K43+K48</f>
      </c>
      <c r="L49" s="207">
        <f t="shared" si="188"/>
      </c>
      <c r="M49" s="208">
        <f t="shared" si="410"/>
      </c>
      <c r="N49" s="209">
        <f t="shared" si="0"/>
      </c>
      <c r="O49" s="209">
        <f t="shared" si="293"/>
      </c>
      <c r="P49" s="209">
        <f t="shared" si="338"/>
      </c>
      <c r="Q49" s="209">
        <f t="shared" si="233"/>
      </c>
      <c r="R49" s="209">
        <f t="shared" si="263"/>
      </c>
      <c r="S49" s="209">
        <f t="shared" si="158"/>
      </c>
      <c r="T49" s="209">
        <f t="shared" si="203"/>
      </c>
      <c r="U49" s="207">
        <f t="shared" si="425"/>
      </c>
      <c r="V49" s="207">
        <f t="shared" si="15"/>
      </c>
      <c r="W49" s="207">
        <f t="shared" si="30"/>
      </c>
      <c r="X49" s="207">
        <f t="shared" si="45"/>
      </c>
      <c r="Y49" s="207">
        <f t="shared" si="308"/>
      </c>
      <c r="Z49" s="207">
        <f t="shared" si="353"/>
      </c>
      <c r="AA49" s="208">
        <f t="shared" si="248"/>
      </c>
      <c r="AB49" s="208">
        <f t="shared" si="278"/>
      </c>
      <c r="AC49" s="208">
        <f t="shared" si="173"/>
      </c>
      <c r="AD49" s="207">
        <f t="shared" si="218"/>
      </c>
      <c r="AE49" s="208">
        <f t="shared" si="440"/>
      </c>
      <c r="AF49" s="207">
        <f t="shared" si="60"/>
      </c>
      <c r="AG49" s="207">
        <f t="shared" si="323"/>
      </c>
      <c r="AH49" s="210">
        <f>AH43+AH48</f>
      </c>
      <c r="AI49" s="210">
        <f>AI43+AI48</f>
      </c>
      <c r="AJ49" s="210">
        <f>AJ43+AJ48</f>
      </c>
      <c r="AK49" s="210">
        <f>AK43+AK48</f>
      </c>
      <c r="AL49" s="210">
        <f>AL43+AL48</f>
      </c>
      <c r="AM49" s="210">
        <f>AM43+AM48</f>
      </c>
      <c r="AN49" s="210">
        <f>AN43+AN48</f>
      </c>
      <c r="AO49" s="210">
        <f>AO43+AO48</f>
      </c>
      <c r="AP49" s="210">
        <f>AP43+AP48</f>
      </c>
      <c r="AQ49" s="210">
        <f>AQ43+AQ48</f>
      </c>
      <c r="AR49" s="210">
        <f>AR43+AR48</f>
      </c>
    </row>
    <row r="50">
      <c r="A50" s="182">
        <v>46270</v>
      </c>
      <c r="B50" s="184" t="s">
        <v>191</v>
      </c>
      <c r="C50" s="184" t="s">
        <v>192</v>
      </c>
      <c r="D50" s="183" t="s">
        <v>198</v>
      </c>
      <c r="E50" s="184" t="s">
        <v>194</v>
      </c>
      <c r="F50" s="185">
        <f t="shared" si="86"/>
      </c>
      <c r="G50" s="186">
        <v>1474.29</v>
      </c>
      <c r="H50" s="186">
        <v>416.98</v>
      </c>
      <c r="I50" s="187">
        <v>2</v>
      </c>
      <c r="J50" s="187">
        <v>1</v>
      </c>
      <c r="K50" s="196">
        <v>967.1999999999999</v>
      </c>
      <c r="L50" s="189">
        <f t="shared" si="188"/>
      </c>
      <c r="M50" s="190">
        <f t="shared" si="410"/>
      </c>
      <c r="N50" s="191">
        <f t="shared" si="0"/>
      </c>
      <c r="O50" s="191">
        <f t="shared" si="293"/>
      </c>
      <c r="P50" s="191">
        <f t="shared" si="338"/>
      </c>
      <c r="Q50" s="191">
        <f t="shared" si="233"/>
      </c>
      <c r="R50" s="191">
        <f t="shared" si="263"/>
      </c>
      <c r="S50" s="191">
        <f t="shared" si="158"/>
      </c>
      <c r="T50" s="191">
        <f t="shared" si="203"/>
      </c>
      <c r="U50" s="189">
        <f t="shared" si="425"/>
      </c>
      <c r="V50" s="189">
        <f t="shared" si="15"/>
      </c>
      <c r="W50" s="189">
        <f t="shared" si="30"/>
      </c>
      <c r="X50" s="189">
        <f t="shared" si="45"/>
      </c>
      <c r="Y50" s="189">
        <f t="shared" si="308"/>
      </c>
      <c r="Z50" s="189">
        <f t="shared" si="353"/>
      </c>
      <c r="AA50" s="190">
        <f t="shared" si="248"/>
      </c>
      <c r="AB50" s="190">
        <f t="shared" si="278"/>
      </c>
      <c r="AC50" s="190">
        <f t="shared" si="173"/>
      </c>
      <c r="AD50" s="189">
        <f t="shared" si="218"/>
      </c>
      <c r="AE50" s="190">
        <f t="shared" si="440"/>
      </c>
      <c r="AF50" s="189">
        <f t="shared" si="60"/>
      </c>
      <c r="AG50" s="189">
        <f t="shared" si="323"/>
      </c>
      <c r="AH50" s="192">
        <v>11889</v>
      </c>
      <c r="AI50" s="193">
        <v>299</v>
      </c>
      <c r="AJ50" s="193">
        <v>309</v>
      </c>
      <c r="AK50" s="192">
        <v>87</v>
      </c>
      <c r="AL50" s="192">
        <v>2</v>
      </c>
      <c r="AM50" s="192">
        <v>1</v>
      </c>
      <c r="AN50" s="192">
        <v>71</v>
      </c>
      <c r="AO50" s="192">
        <v>96</v>
      </c>
      <c r="AP50" s="192">
        <v>5</v>
      </c>
      <c r="AQ50" s="187">
        <v>0</v>
      </c>
      <c r="AR50" s="194">
        <v>1</v>
      </c>
    </row>
    <row r="51">
      <c r="A51" s="211"/>
      <c r="B51" s="184" t="s">
        <v>191</v>
      </c>
      <c r="C51" s="184" t="s">
        <v>192</v>
      </c>
      <c r="D51" s="183" t="s">
        <v>198</v>
      </c>
      <c r="E51" s="184" t="s">
        <v>195</v>
      </c>
      <c r="F51" s="185">
        <f t="shared" si="86"/>
      </c>
      <c r="G51" s="195">
        <v>1518.48</v>
      </c>
      <c r="H51" s="186">
        <v>270.59</v>
      </c>
      <c r="I51" s="192">
        <v>9</v>
      </c>
      <c r="J51" s="192">
        <v>9</v>
      </c>
      <c r="K51" s="196">
        <v>5954.4</v>
      </c>
      <c r="L51" s="189">
        <f t="shared" si="188"/>
      </c>
      <c r="M51" s="190">
        <f t="shared" si="410"/>
      </c>
      <c r="N51" s="191">
        <f t="shared" si="0"/>
      </c>
      <c r="O51" s="191">
        <f t="shared" si="293"/>
      </c>
      <c r="P51" s="191">
        <f t="shared" si="338"/>
      </c>
      <c r="Q51" s="191">
        <f t="shared" si="233"/>
      </c>
      <c r="R51" s="191">
        <f t="shared" si="263"/>
      </c>
      <c r="S51" s="191">
        <f t="shared" si="158"/>
      </c>
      <c r="T51" s="191">
        <f t="shared" si="203"/>
      </c>
      <c r="U51" s="189">
        <f t="shared" si="425"/>
      </c>
      <c r="V51" s="189">
        <f t="shared" si="15"/>
      </c>
      <c r="W51" s="189">
        <f t="shared" si="30"/>
      </c>
      <c r="X51" s="189">
        <f t="shared" si="45"/>
      </c>
      <c r="Y51" s="189">
        <f t="shared" si="308"/>
      </c>
      <c r="Z51" s="189">
        <f t="shared" si="353"/>
      </c>
      <c r="AA51" s="190">
        <f t="shared" si="248"/>
      </c>
      <c r="AB51" s="190">
        <f t="shared" si="278"/>
      </c>
      <c r="AC51" s="190">
        <f t="shared" si="173"/>
      </c>
      <c r="AD51" s="189">
        <f t="shared" si="218"/>
      </c>
      <c r="AE51" s="190">
        <f t="shared" si="440"/>
      </c>
      <c r="AF51" s="189">
        <f t="shared" si="60"/>
      </c>
      <c r="AG51" s="189">
        <f t="shared" si="323"/>
      </c>
      <c r="AH51" s="192">
        <v>11373</v>
      </c>
      <c r="AI51" s="192">
        <v>301</v>
      </c>
      <c r="AJ51" s="192">
        <v>313</v>
      </c>
      <c r="AK51" s="192">
        <v>91</v>
      </c>
      <c r="AL51" s="192">
        <v>8</v>
      </c>
      <c r="AM51" s="192">
        <v>8</v>
      </c>
      <c r="AN51" s="192">
        <v>86</v>
      </c>
      <c r="AO51" s="192">
        <v>78</v>
      </c>
      <c r="AP51" s="192">
        <v>7</v>
      </c>
      <c r="AQ51" s="187">
        <v>0</v>
      </c>
      <c r="AR51" s="194">
        <v>1</v>
      </c>
    </row>
    <row r="52">
      <c r="A52" s="211"/>
      <c r="B52" s="184" t="s">
        <v>191</v>
      </c>
      <c r="C52" s="184" t="s">
        <v>192</v>
      </c>
      <c r="D52" s="183" t="s">
        <v>198</v>
      </c>
      <c r="E52" s="184" t="s">
        <v>196</v>
      </c>
      <c r="F52" s="185">
        <f t="shared" si="86"/>
      </c>
      <c r="G52" s="195">
        <v>1762.96</v>
      </c>
      <c r="H52" s="186">
        <v>328.08</v>
      </c>
      <c r="I52" s="192">
        <v>3</v>
      </c>
      <c r="J52" s="192">
        <v>3</v>
      </c>
      <c r="K52" s="196">
        <v>1606.999999999999</v>
      </c>
      <c r="L52" s="189">
        <f t="shared" si="188"/>
      </c>
      <c r="M52" s="190">
        <f t="shared" si="410"/>
      </c>
      <c r="N52" s="191">
        <f t="shared" si="0"/>
      </c>
      <c r="O52" s="191">
        <f t="shared" si="293"/>
      </c>
      <c r="P52" s="191">
        <f t="shared" si="338"/>
      </c>
      <c r="Q52" s="191">
        <f t="shared" si="233"/>
      </c>
      <c r="R52" s="191">
        <f t="shared" si="263"/>
      </c>
      <c r="S52" s="191">
        <f t="shared" si="158"/>
      </c>
      <c r="T52" s="191">
        <f t="shared" si="203"/>
      </c>
      <c r="U52" s="189">
        <f t="shared" si="425"/>
      </c>
      <c r="V52" s="189">
        <f t="shared" si="15"/>
      </c>
      <c r="W52" s="189">
        <f t="shared" si="30"/>
      </c>
      <c r="X52" s="189">
        <f t="shared" si="45"/>
      </c>
      <c r="Y52" s="189">
        <f t="shared" si="308"/>
      </c>
      <c r="Z52" s="189">
        <f t="shared" si="353"/>
      </c>
      <c r="AA52" s="190">
        <f t="shared" si="248"/>
      </c>
      <c r="AB52" s="190">
        <f t="shared" si="278"/>
      </c>
      <c r="AC52" s="190">
        <f t="shared" si="173"/>
      </c>
      <c r="AD52" s="189">
        <f t="shared" si="218"/>
      </c>
      <c r="AE52" s="190">
        <f t="shared" si="440"/>
      </c>
      <c r="AF52" s="189">
        <f t="shared" si="60"/>
      </c>
      <c r="AG52" s="189">
        <f t="shared" si="323"/>
      </c>
      <c r="AH52" s="192">
        <v>16148</v>
      </c>
      <c r="AI52" s="192">
        <v>322</v>
      </c>
      <c r="AJ52" s="192">
        <v>340</v>
      </c>
      <c r="AK52" s="192">
        <v>85</v>
      </c>
      <c r="AL52" s="192">
        <v>3</v>
      </c>
      <c r="AM52" s="192">
        <v>3</v>
      </c>
      <c r="AN52" s="192">
        <v>62</v>
      </c>
      <c r="AO52" s="192">
        <v>66</v>
      </c>
      <c r="AP52" s="192">
        <v>7</v>
      </c>
      <c r="AQ52" s="187">
        <v>0</v>
      </c>
      <c r="AR52" s="194">
        <v>1</v>
      </c>
    </row>
    <row r="53">
      <c r="A53" s="211"/>
      <c r="B53" s="184" t="s">
        <v>191</v>
      </c>
      <c r="C53" s="184" t="s">
        <v>192</v>
      </c>
      <c r="D53" s="183" t="s">
        <v>198</v>
      </c>
      <c r="E53" s="184" t="s">
        <v>199</v>
      </c>
      <c r="F53" s="185">
        <f t="shared" si="86"/>
      </c>
      <c r="G53" s="186">
        <v>1760.88</v>
      </c>
      <c r="H53" s="186">
        <v>334.06</v>
      </c>
      <c r="I53" s="192">
        <v>4</v>
      </c>
      <c r="J53" s="192">
        <v>4</v>
      </c>
      <c r="K53" s="196">
        <v>2266.2000000000007</v>
      </c>
      <c r="L53" s="189">
        <f t="shared" si="188"/>
      </c>
      <c r="M53" s="190">
        <f t="shared" si="410"/>
      </c>
      <c r="N53" s="191">
        <f t="shared" si="0"/>
      </c>
      <c r="O53" s="191">
        <f t="shared" si="293"/>
      </c>
      <c r="P53" s="191">
        <f t="shared" si="338"/>
      </c>
      <c r="Q53" s="191">
        <f t="shared" si="233"/>
      </c>
      <c r="R53" s="191">
        <f t="shared" si="263"/>
      </c>
      <c r="S53" s="191">
        <f t="shared" si="158"/>
      </c>
      <c r="T53" s="191">
        <f t="shared" si="203"/>
      </c>
      <c r="U53" s="189">
        <f t="shared" si="425"/>
      </c>
      <c r="V53" s="189">
        <f t="shared" si="15"/>
      </c>
      <c r="W53" s="189">
        <f t="shared" si="30"/>
      </c>
      <c r="X53" s="189">
        <f t="shared" si="45"/>
      </c>
      <c r="Y53" s="189">
        <f t="shared" si="308"/>
      </c>
      <c r="Z53" s="189">
        <f t="shared" si="353"/>
      </c>
      <c r="AA53" s="190">
        <f t="shared" si="248"/>
      </c>
      <c r="AB53" s="190">
        <f t="shared" si="278"/>
      </c>
      <c r="AC53" s="190">
        <f t="shared" si="173"/>
      </c>
      <c r="AD53" s="189">
        <f t="shared" si="218"/>
      </c>
      <c r="AE53" s="190">
        <f t="shared" si="440"/>
      </c>
      <c r="AF53" s="189">
        <f t="shared" si="60"/>
      </c>
      <c r="AG53" s="189">
        <f t="shared" si="323"/>
      </c>
      <c r="AH53" s="192">
        <v>15903</v>
      </c>
      <c r="AI53" s="192">
        <v>304</v>
      </c>
      <c r="AJ53" s="192">
        <v>316</v>
      </c>
      <c r="AK53" s="192">
        <v>68</v>
      </c>
      <c r="AL53" s="192">
        <v>2</v>
      </c>
      <c r="AM53" s="192">
        <v>2</v>
      </c>
      <c r="AN53" s="192">
        <v>53</v>
      </c>
      <c r="AO53" s="192">
        <v>74</v>
      </c>
      <c r="AP53" s="192">
        <v>6</v>
      </c>
      <c r="AQ53" s="187">
        <v>0</v>
      </c>
      <c r="AR53" s="194">
        <v>1</v>
      </c>
    </row>
    <row r="54">
      <c r="A54" s="211"/>
      <c r="B54" s="197" t="s">
        <v>197</v>
      </c>
      <c r="C54" s="197"/>
      <c r="D54" s="197"/>
      <c r="E54" s="197"/>
      <c r="F54" s="198">
        <f>SUM(F50:F53)</f>
      </c>
      <c r="G54" s="198">
        <f>SUM(G50:G53)</f>
      </c>
      <c r="H54" s="198">
        <f>SUM(H50:H53)</f>
      </c>
      <c r="I54" s="199">
        <f>SUM(I50:I53)</f>
      </c>
      <c r="J54" s="199">
        <f>SUM(J50:J53)</f>
      </c>
      <c r="K54" s="198">
        <f>SUM(K50:K53)</f>
      </c>
      <c r="L54" s="200">
        <f t="shared" si="188"/>
      </c>
      <c r="M54" s="201">
        <f t="shared" si="410"/>
      </c>
      <c r="N54" s="202">
        <f t="shared" si="0"/>
      </c>
      <c r="O54" s="202">
        <f t="shared" si="293"/>
      </c>
      <c r="P54" s="202">
        <f t="shared" si="338"/>
      </c>
      <c r="Q54" s="202">
        <f t="shared" si="233"/>
      </c>
      <c r="R54" s="202">
        <f t="shared" si="263"/>
      </c>
      <c r="S54" s="202">
        <f t="shared" si="158"/>
      </c>
      <c r="T54" s="202">
        <f t="shared" si="203"/>
      </c>
      <c r="U54" s="200">
        <f t="shared" si="425"/>
      </c>
      <c r="V54" s="200">
        <f t="shared" si="15"/>
      </c>
      <c r="W54" s="200">
        <f t="shared" si="30"/>
      </c>
      <c r="X54" s="200">
        <f t="shared" si="45"/>
      </c>
      <c r="Y54" s="200">
        <f t="shared" si="308"/>
      </c>
      <c r="Z54" s="200">
        <f t="shared" si="353"/>
      </c>
      <c r="AA54" s="201">
        <f t="shared" si="248"/>
      </c>
      <c r="AB54" s="201">
        <f t="shared" si="278"/>
      </c>
      <c r="AC54" s="201">
        <f t="shared" si="173"/>
      </c>
      <c r="AD54" s="200">
        <f t="shared" si="218"/>
      </c>
      <c r="AE54" s="201">
        <f t="shared" si="440"/>
      </c>
      <c r="AF54" s="200">
        <f t="shared" si="60"/>
      </c>
      <c r="AG54" s="200">
        <f t="shared" si="323"/>
      </c>
      <c r="AH54" s="199">
        <f>SUM(AH50:AH53)</f>
      </c>
      <c r="AI54" s="199">
        <f>SUM(AI50:AI53)</f>
      </c>
      <c r="AJ54" s="199">
        <f>SUM(AJ50:AJ53)</f>
      </c>
      <c r="AK54" s="199">
        <f>SUM(AK50:AK53)</f>
      </c>
      <c r="AL54" s="199">
        <f>SUM(AL50:AL53)</f>
      </c>
      <c r="AM54" s="199">
        <f>SUM(AM50:AM53)</f>
      </c>
      <c r="AN54" s="199">
        <f>SUM(AN50:AN53)</f>
      </c>
      <c r="AO54" s="199">
        <f>SUM(AO50:AO53)</f>
      </c>
      <c r="AP54" s="199">
        <f>SUM(AP50:AP53)</f>
      </c>
      <c r="AQ54" s="199">
        <f>SUM(AQ50:AQ53)</f>
      </c>
      <c r="AR54" s="203">
        <f>SUM(AR50:AR53)</f>
      </c>
    </row>
    <row r="55">
      <c r="A55" s="211"/>
      <c r="B55" s="184" t="s">
        <v>191</v>
      </c>
      <c r="C55" s="184" t="s">
        <v>192</v>
      </c>
      <c r="D55" s="183" t="s">
        <v>201</v>
      </c>
      <c r="E55" s="184" t="s">
        <v>200</v>
      </c>
      <c r="F55" s="185">
        <f t="shared" ref="F55:F58" si="87">H55+G55</f>
      </c>
      <c r="G55" s="186">
        <v>1324.81</v>
      </c>
      <c r="H55" s="186">
        <v>375.19</v>
      </c>
      <c r="I55" s="192">
        <v>3</v>
      </c>
      <c r="J55" s="192">
        <v>4</v>
      </c>
      <c r="K55" s="196">
        <v>2737</v>
      </c>
      <c r="L55" s="189">
        <f t="shared" si="188"/>
      </c>
      <c r="M55" s="190">
        <f t="shared" si="410"/>
      </c>
      <c r="N55" s="191">
        <f t="shared" si="0"/>
      </c>
      <c r="O55" s="191">
        <f t="shared" si="293"/>
      </c>
      <c r="P55" s="191">
        <f t="shared" si="338"/>
      </c>
      <c r="Q55" s="191">
        <f t="shared" si="233"/>
      </c>
      <c r="R55" s="191">
        <f t="shared" si="263"/>
      </c>
      <c r="S55" s="191">
        <f t="shared" si="158"/>
      </c>
      <c r="T55" s="191">
        <f t="shared" si="203"/>
      </c>
      <c r="U55" s="189">
        <f t="shared" si="425"/>
      </c>
      <c r="V55" s="189">
        <f t="shared" si="15"/>
      </c>
      <c r="W55" s="189">
        <f t="shared" si="30"/>
      </c>
      <c r="X55" s="189">
        <f t="shared" si="45"/>
      </c>
      <c r="Y55" s="189">
        <f t="shared" si="308"/>
      </c>
      <c r="Z55" s="189">
        <f t="shared" si="353"/>
      </c>
      <c r="AA55" s="190">
        <f t="shared" si="248"/>
      </c>
      <c r="AB55" s="190">
        <f t="shared" si="278"/>
      </c>
      <c r="AC55" s="190">
        <f t="shared" si="173"/>
      </c>
      <c r="AD55" s="189">
        <f t="shared" si="218"/>
      </c>
      <c r="AE55" s="190">
        <f t="shared" si="440"/>
      </c>
      <c r="AF55" s="189">
        <f t="shared" si="60"/>
      </c>
      <c r="AG55" s="189">
        <f t="shared" si="323"/>
      </c>
      <c r="AH55" s="192">
        <v>13694</v>
      </c>
      <c r="AI55" s="192">
        <v>296</v>
      </c>
      <c r="AJ55" s="192">
        <v>303</v>
      </c>
      <c r="AK55" s="192">
        <v>86</v>
      </c>
      <c r="AL55" s="192">
        <v>3</v>
      </c>
      <c r="AM55" s="192">
        <v>3</v>
      </c>
      <c r="AN55" s="192">
        <v>59</v>
      </c>
      <c r="AO55" s="192">
        <v>35</v>
      </c>
      <c r="AP55" s="192">
        <v>1</v>
      </c>
      <c r="AQ55" s="187">
        <v>1</v>
      </c>
      <c r="AR55" s="194">
        <v>1</v>
      </c>
    </row>
    <row r="56">
      <c r="A56" s="211"/>
      <c r="B56" s="184" t="s">
        <v>191</v>
      </c>
      <c r="C56" s="184" t="s">
        <v>192</v>
      </c>
      <c r="D56" s="183" t="s">
        <v>201</v>
      </c>
      <c r="E56" s="184" t="s">
        <v>202</v>
      </c>
      <c r="F56" s="185">
        <f t="shared" si="87"/>
      </c>
      <c r="G56" s="186">
        <v>2413.03</v>
      </c>
      <c r="H56" s="186">
        <v>312.95</v>
      </c>
      <c r="I56" s="192">
        <v>5</v>
      </c>
      <c r="J56" s="192">
        <v>5</v>
      </c>
      <c r="K56" s="196">
        <v>3265.399999999998</v>
      </c>
      <c r="L56" s="189">
        <f t="shared" si="188"/>
      </c>
      <c r="M56" s="190">
        <f t="shared" si="410"/>
      </c>
      <c r="N56" s="191">
        <f t="shared" si="0"/>
      </c>
      <c r="O56" s="191">
        <f t="shared" si="293"/>
      </c>
      <c r="P56" s="191">
        <f t="shared" si="338"/>
      </c>
      <c r="Q56" s="191">
        <f t="shared" si="233"/>
      </c>
      <c r="R56" s="191">
        <f t="shared" si="263"/>
      </c>
      <c r="S56" s="191">
        <f t="shared" si="158"/>
      </c>
      <c r="T56" s="191">
        <f t="shared" si="203"/>
      </c>
      <c r="U56" s="189">
        <f t="shared" si="425"/>
      </c>
      <c r="V56" s="189">
        <f t="shared" si="15"/>
      </c>
      <c r="W56" s="189">
        <f t="shared" si="30"/>
      </c>
      <c r="X56" s="189">
        <f t="shared" si="45"/>
      </c>
      <c r="Y56" s="189">
        <f t="shared" si="308"/>
      </c>
      <c r="Z56" s="189">
        <f t="shared" si="353"/>
      </c>
      <c r="AA56" s="190">
        <f t="shared" si="248"/>
      </c>
      <c r="AB56" s="190">
        <f t="shared" si="278"/>
      </c>
      <c r="AC56" s="190">
        <f t="shared" si="173"/>
      </c>
      <c r="AD56" s="189">
        <f t="shared" si="218"/>
      </c>
      <c r="AE56" s="190">
        <f t="shared" si="440"/>
      </c>
      <c r="AF56" s="189">
        <f t="shared" si="60"/>
      </c>
      <c r="AG56" s="189">
        <f t="shared" si="323"/>
      </c>
      <c r="AH56" s="192">
        <v>21127</v>
      </c>
      <c r="AI56" s="192">
        <v>399</v>
      </c>
      <c r="AJ56" s="192">
        <v>417</v>
      </c>
      <c r="AK56" s="192">
        <v>127</v>
      </c>
      <c r="AL56" s="192">
        <v>5</v>
      </c>
      <c r="AM56" s="192">
        <v>4</v>
      </c>
      <c r="AN56" s="192">
        <v>93</v>
      </c>
      <c r="AO56" s="192">
        <v>63</v>
      </c>
      <c r="AP56" s="192">
        <v>3</v>
      </c>
      <c r="AQ56" s="187">
        <v>1</v>
      </c>
      <c r="AR56" s="194">
        <v>1</v>
      </c>
    </row>
    <row r="57">
      <c r="A57" s="211"/>
      <c r="B57" s="184" t="s">
        <v>191</v>
      </c>
      <c r="C57" s="184" t="s">
        <v>192</v>
      </c>
      <c r="D57" s="183" t="s">
        <v>201</v>
      </c>
      <c r="E57" s="184" t="s">
        <v>203</v>
      </c>
      <c r="F57" s="185">
        <f t="shared" si="87"/>
      </c>
      <c r="G57" s="186">
        <v>2178.79</v>
      </c>
      <c r="H57" s="186">
        <v>289.42</v>
      </c>
      <c r="I57" s="192">
        <v>4</v>
      </c>
      <c r="J57" s="192">
        <v>3</v>
      </c>
      <c r="K57" s="196">
        <v>2304</v>
      </c>
      <c r="L57" s="189">
        <f t="shared" si="188"/>
      </c>
      <c r="M57" s="190">
        <f t="shared" si="410"/>
      </c>
      <c r="N57" s="191">
        <f t="shared" si="0"/>
      </c>
      <c r="O57" s="191">
        <f t="shared" si="293"/>
      </c>
      <c r="P57" s="191">
        <f t="shared" si="338"/>
      </c>
      <c r="Q57" s="191">
        <f t="shared" si="233"/>
      </c>
      <c r="R57" s="191">
        <f t="shared" si="263"/>
      </c>
      <c r="S57" s="191">
        <f t="shared" si="158"/>
      </c>
      <c r="T57" s="191">
        <f t="shared" si="203"/>
      </c>
      <c r="U57" s="189">
        <f t="shared" si="425"/>
      </c>
      <c r="V57" s="189">
        <f t="shared" si="15"/>
      </c>
      <c r="W57" s="189">
        <f t="shared" si="30"/>
      </c>
      <c r="X57" s="189">
        <f t="shared" si="45"/>
      </c>
      <c r="Y57" s="189">
        <f t="shared" si="308"/>
      </c>
      <c r="Z57" s="189">
        <f t="shared" si="353"/>
      </c>
      <c r="AA57" s="190">
        <f t="shared" si="248"/>
      </c>
      <c r="AB57" s="190">
        <f t="shared" si="278"/>
      </c>
      <c r="AC57" s="190">
        <f t="shared" si="173"/>
      </c>
      <c r="AD57" s="189">
        <f t="shared" si="218"/>
      </c>
      <c r="AE57" s="190">
        <f t="shared" si="440"/>
      </c>
      <c r="AF57" s="189">
        <f t="shared" si="60"/>
      </c>
      <c r="AG57" s="189">
        <f t="shared" si="323"/>
      </c>
      <c r="AH57" s="192">
        <v>19429</v>
      </c>
      <c r="AI57" s="192">
        <v>336</v>
      </c>
      <c r="AJ57" s="192">
        <v>346</v>
      </c>
      <c r="AK57" s="192">
        <v>87</v>
      </c>
      <c r="AL57" s="192">
        <v>4</v>
      </c>
      <c r="AM57" s="192">
        <v>3</v>
      </c>
      <c r="AN57" s="192">
        <v>75</v>
      </c>
      <c r="AO57" s="192">
        <v>90</v>
      </c>
      <c r="AP57" s="192">
        <v>8</v>
      </c>
      <c r="AQ57" s="187">
        <v>0</v>
      </c>
      <c r="AR57" s="194">
        <v>1</v>
      </c>
    </row>
    <row r="58">
      <c r="A58" s="211"/>
      <c r="B58" s="184" t="s">
        <v>191</v>
      </c>
      <c r="C58" s="184" t="s">
        <v>192</v>
      </c>
      <c r="D58" s="183" t="s">
        <v>201</v>
      </c>
      <c r="E58" s="184" t="s">
        <v>204</v>
      </c>
      <c r="F58" s="185">
        <f t="shared" si="87"/>
      </c>
      <c r="G58" s="186">
        <v>1353.67</v>
      </c>
      <c r="H58" s="186">
        <v>198.75</v>
      </c>
      <c r="I58" s="192">
        <v>5</v>
      </c>
      <c r="J58" s="192">
        <v>6</v>
      </c>
      <c r="K58" s="196">
        <v>4043.800000000003</v>
      </c>
      <c r="L58" s="189">
        <f t="shared" si="188"/>
      </c>
      <c r="M58" s="190">
        <f t="shared" si="410"/>
      </c>
      <c r="N58" s="191">
        <f t="shared" si="0"/>
      </c>
      <c r="O58" s="191">
        <f t="shared" si="293"/>
      </c>
      <c r="P58" s="191">
        <f t="shared" si="338"/>
      </c>
      <c r="Q58" s="191">
        <f t="shared" si="233"/>
      </c>
      <c r="R58" s="191">
        <f t="shared" si="263"/>
      </c>
      <c r="S58" s="191">
        <f t="shared" si="158"/>
      </c>
      <c r="T58" s="191">
        <f t="shared" si="203"/>
      </c>
      <c r="U58" s="189">
        <f t="shared" si="425"/>
      </c>
      <c r="V58" s="189">
        <f t="shared" si="15"/>
      </c>
      <c r="W58" s="189">
        <f t="shared" si="30"/>
      </c>
      <c r="X58" s="189">
        <f t="shared" si="45"/>
      </c>
      <c r="Y58" s="189">
        <f t="shared" si="308"/>
      </c>
      <c r="Z58" s="189">
        <f t="shared" si="353"/>
      </c>
      <c r="AA58" s="190">
        <f t="shared" si="248"/>
      </c>
      <c r="AB58" s="190">
        <f t="shared" si="278"/>
      </c>
      <c r="AC58" s="190">
        <f t="shared" si="173"/>
      </c>
      <c r="AD58" s="189">
        <f t="shared" si="218"/>
      </c>
      <c r="AE58" s="190">
        <f t="shared" si="440"/>
      </c>
      <c r="AF58" s="189">
        <f t="shared" si="60"/>
      </c>
      <c r="AG58" s="189">
        <f t="shared" si="323"/>
      </c>
      <c r="AH58" s="192">
        <v>10307</v>
      </c>
      <c r="AI58" s="192">
        <v>192</v>
      </c>
      <c r="AJ58" s="192">
        <v>207</v>
      </c>
      <c r="AK58" s="192">
        <v>63</v>
      </c>
      <c r="AL58" s="192">
        <v>5</v>
      </c>
      <c r="AM58" s="192">
        <v>4</v>
      </c>
      <c r="AN58" s="192">
        <v>42</v>
      </c>
      <c r="AO58" s="192">
        <v>52</v>
      </c>
      <c r="AP58" s="192">
        <v>5</v>
      </c>
      <c r="AQ58" s="187">
        <v>2</v>
      </c>
      <c r="AR58" s="194">
        <v>1</v>
      </c>
    </row>
    <row r="59">
      <c r="A59" s="211"/>
      <c r="B59" s="197" t="s">
        <v>197</v>
      </c>
      <c r="C59" s="197"/>
      <c r="D59" s="197"/>
      <c r="E59" s="197"/>
      <c r="F59" s="198">
        <f>SUM(F55:F58)</f>
      </c>
      <c r="G59" s="198">
        <f>SUM(G55:G58)</f>
      </c>
      <c r="H59" s="198">
        <f>SUM(H55:H58)</f>
      </c>
      <c r="I59" s="199">
        <f>SUM(I55:I58)</f>
      </c>
      <c r="J59" s="199">
        <f>SUM(J55:J58)</f>
      </c>
      <c r="K59" s="198">
        <f>SUM(K55:K58)</f>
      </c>
      <c r="L59" s="200">
        <f t="shared" si="188"/>
      </c>
      <c r="M59" s="201">
        <f t="shared" si="410"/>
      </c>
      <c r="N59" s="202">
        <f t="shared" si="0"/>
      </c>
      <c r="O59" s="202">
        <f t="shared" si="293"/>
      </c>
      <c r="P59" s="202">
        <f t="shared" si="338"/>
      </c>
      <c r="Q59" s="202">
        <f t="shared" si="233"/>
      </c>
      <c r="R59" s="202">
        <f t="shared" si="263"/>
      </c>
      <c r="S59" s="202">
        <f t="shared" si="158"/>
      </c>
      <c r="T59" s="202">
        <f t="shared" si="203"/>
      </c>
      <c r="U59" s="200">
        <f t="shared" si="425"/>
      </c>
      <c r="V59" s="200">
        <f t="shared" si="15"/>
      </c>
      <c r="W59" s="200">
        <f t="shared" si="30"/>
      </c>
      <c r="X59" s="200">
        <f t="shared" si="45"/>
      </c>
      <c r="Y59" s="200">
        <f t="shared" si="308"/>
      </c>
      <c r="Z59" s="200">
        <f t="shared" si="353"/>
      </c>
      <c r="AA59" s="201">
        <f t="shared" si="248"/>
      </c>
      <c r="AB59" s="201">
        <f t="shared" si="278"/>
      </c>
      <c r="AC59" s="201">
        <f t="shared" si="173"/>
      </c>
      <c r="AD59" s="200">
        <f t="shared" si="218"/>
      </c>
      <c r="AE59" s="201">
        <f t="shared" si="440"/>
      </c>
      <c r="AF59" s="200">
        <f t="shared" si="60"/>
      </c>
      <c r="AG59" s="200">
        <f t="shared" si="323"/>
      </c>
      <c r="AH59" s="199">
        <f>SUM(AH55:AH58)</f>
      </c>
      <c r="AI59" s="199">
        <f>SUM(AI55:AI58)</f>
      </c>
      <c r="AJ59" s="199">
        <f>SUM(AJ55:AJ58)</f>
      </c>
      <c r="AK59" s="199">
        <f>SUM(AK55:AK58)</f>
      </c>
      <c r="AL59" s="199">
        <f>SUM(AL55:AL58)</f>
      </c>
      <c r="AM59" s="199">
        <f>SUM(AM55:AM58)</f>
      </c>
      <c r="AN59" s="199">
        <f>SUM(AN55:AN58)</f>
      </c>
      <c r="AO59" s="199">
        <f>SUM(AO55:AO58)</f>
      </c>
      <c r="AP59" s="199">
        <f>SUM(AP55:AP58)</f>
      </c>
      <c r="AQ59" s="199">
        <f>SUM(AQ55:AQ58)</f>
      </c>
      <c r="AR59" s="203">
        <f>SUM(AR55:AR58)</f>
      </c>
    </row>
    <row r="60">
      <c r="A60" s="211"/>
      <c r="B60" s="205" t="s">
        <v>205</v>
      </c>
      <c r="C60" s="205"/>
      <c r="D60" s="205"/>
      <c r="E60" s="205"/>
      <c r="F60" s="206">
        <f t="shared" ref="F60:F63" si="88">H60+G60</f>
      </c>
      <c r="G60" s="206">
        <f>G54+G59</f>
      </c>
      <c r="H60" s="206">
        <f>H54+H59</f>
      </c>
      <c r="I60" s="206">
        <f>I54+I59</f>
      </c>
      <c r="J60" s="206">
        <f>J54+J59</f>
      </c>
      <c r="K60" s="206">
        <f>K54+K59</f>
      </c>
      <c r="L60" s="207">
        <f t="shared" si="188"/>
      </c>
      <c r="M60" s="208">
        <f t="shared" si="410"/>
      </c>
      <c r="N60" s="209">
        <f t="shared" si="0"/>
      </c>
      <c r="O60" s="209">
        <f t="shared" si="293"/>
      </c>
      <c r="P60" s="209">
        <f t="shared" si="338"/>
      </c>
      <c r="Q60" s="209">
        <f t="shared" si="233"/>
      </c>
      <c r="R60" s="209">
        <f t="shared" si="263"/>
      </c>
      <c r="S60" s="209">
        <f t="shared" si="158"/>
      </c>
      <c r="T60" s="209">
        <f t="shared" si="203"/>
      </c>
      <c r="U60" s="207">
        <f t="shared" si="425"/>
      </c>
      <c r="V60" s="207">
        <f t="shared" si="15"/>
      </c>
      <c r="W60" s="207">
        <f t="shared" si="30"/>
      </c>
      <c r="X60" s="207">
        <f t="shared" si="45"/>
      </c>
      <c r="Y60" s="207">
        <f t="shared" si="308"/>
      </c>
      <c r="Z60" s="207">
        <f t="shared" si="353"/>
      </c>
      <c r="AA60" s="208">
        <f t="shared" si="248"/>
      </c>
      <c r="AB60" s="208">
        <f t="shared" si="278"/>
      </c>
      <c r="AC60" s="208">
        <f t="shared" si="173"/>
      </c>
      <c r="AD60" s="207">
        <f t="shared" si="218"/>
      </c>
      <c r="AE60" s="208">
        <f t="shared" si="440"/>
      </c>
      <c r="AF60" s="207">
        <f t="shared" si="60"/>
      </c>
      <c r="AG60" s="207">
        <f t="shared" si="323"/>
      </c>
      <c r="AH60" s="210">
        <f>AH54+AH59</f>
      </c>
      <c r="AI60" s="210">
        <f>AI54+AI59</f>
      </c>
      <c r="AJ60" s="210">
        <f>AJ54+AJ59</f>
      </c>
      <c r="AK60" s="210">
        <f>AK54+AK59</f>
      </c>
      <c r="AL60" s="210">
        <f>AL54+AL59</f>
      </c>
      <c r="AM60" s="210">
        <f>AM54+AM59</f>
      </c>
      <c r="AN60" s="210">
        <f>AN54+AN59</f>
      </c>
      <c r="AO60" s="210">
        <f>AO54+AO59</f>
      </c>
      <c r="AP60" s="210">
        <f>AP54+AP59</f>
      </c>
      <c r="AQ60" s="210">
        <f>AQ54+AQ59</f>
      </c>
      <c r="AR60" s="210">
        <f>AR54+AR59</f>
      </c>
    </row>
    <row r="61">
      <c r="A61" s="182">
        <v>46271</v>
      </c>
      <c r="B61" s="183" t="s">
        <v>191</v>
      </c>
      <c r="C61" s="184" t="s">
        <v>192</v>
      </c>
      <c r="D61" s="183" t="s">
        <v>198</v>
      </c>
      <c r="E61" s="183" t="s">
        <v>194</v>
      </c>
      <c r="F61" s="185">
        <f t="shared" si="88"/>
      </c>
      <c r="G61" s="186">
        <v>1444.02</v>
      </c>
      <c r="H61" s="186">
        <v>514.78</v>
      </c>
      <c r="I61" s="187">
        <v>5</v>
      </c>
      <c r="J61" s="187">
        <v>8</v>
      </c>
      <c r="K61" s="188">
        <v>4061.8</v>
      </c>
      <c r="L61" s="189">
        <f t="shared" si="188"/>
      </c>
      <c r="M61" s="190">
        <f t="shared" si="410"/>
      </c>
      <c r="N61" s="191">
        <f t="shared" si="0"/>
      </c>
      <c r="O61" s="191">
        <f t="shared" si="293"/>
      </c>
      <c r="P61" s="191">
        <f t="shared" si="338"/>
      </c>
      <c r="Q61" s="191">
        <f t="shared" si="233"/>
      </c>
      <c r="R61" s="191">
        <f t="shared" si="263"/>
      </c>
      <c r="S61" s="191">
        <f t="shared" si="158"/>
      </c>
      <c r="T61" s="191">
        <f t="shared" si="203"/>
      </c>
      <c r="U61" s="189">
        <f t="shared" si="425"/>
      </c>
      <c r="V61" s="189">
        <f t="shared" si="15"/>
      </c>
      <c r="W61" s="189">
        <f t="shared" si="30"/>
      </c>
      <c r="X61" s="189">
        <f t="shared" si="45"/>
      </c>
      <c r="Y61" s="189">
        <f t="shared" si="308"/>
      </c>
      <c r="Z61" s="189">
        <f t="shared" si="353"/>
      </c>
      <c r="AA61" s="190">
        <f t="shared" si="248"/>
      </c>
      <c r="AB61" s="190">
        <f t="shared" si="278"/>
      </c>
      <c r="AC61" s="190">
        <f t="shared" si="173"/>
      </c>
      <c r="AD61" s="189">
        <f t="shared" si="218"/>
      </c>
      <c r="AE61" s="190">
        <f t="shared" si="440"/>
      </c>
      <c r="AF61" s="189">
        <f t="shared" si="60"/>
      </c>
      <c r="AG61" s="189">
        <f t="shared" si="323"/>
      </c>
      <c r="AH61" s="192">
        <v>14843</v>
      </c>
      <c r="AI61" s="193">
        <v>302</v>
      </c>
      <c r="AJ61" s="193">
        <v>331</v>
      </c>
      <c r="AK61" s="192">
        <v>100</v>
      </c>
      <c r="AL61" s="192">
        <v>5</v>
      </c>
      <c r="AM61" s="192">
        <v>5</v>
      </c>
      <c r="AN61" s="192">
        <v>74</v>
      </c>
      <c r="AO61" s="192">
        <v>63</v>
      </c>
      <c r="AP61" s="187">
        <v>8</v>
      </c>
      <c r="AQ61" s="187">
        <v>3</v>
      </c>
      <c r="AR61" s="194">
        <v>1</v>
      </c>
    </row>
    <row r="62">
      <c r="A62" s="182"/>
      <c r="B62" s="183" t="s">
        <v>191</v>
      </c>
      <c r="C62" s="184" t="s">
        <v>192</v>
      </c>
      <c r="D62" s="183" t="s">
        <v>198</v>
      </c>
      <c r="E62" s="183" t="s">
        <v>195</v>
      </c>
      <c r="F62" s="185">
        <f t="shared" si="88"/>
      </c>
      <c r="G62" s="195">
        <v>1432.05</v>
      </c>
      <c r="H62" s="186">
        <v>600.58</v>
      </c>
      <c r="I62" s="192">
        <v>7</v>
      </c>
      <c r="J62" s="192">
        <v>7</v>
      </c>
      <c r="K62" s="196">
        <v>4412.2</v>
      </c>
      <c r="L62" s="189">
        <f t="shared" si="188"/>
      </c>
      <c r="M62" s="190">
        <f t="shared" si="410"/>
      </c>
      <c r="N62" s="191">
        <f t="shared" si="0"/>
      </c>
      <c r="O62" s="191">
        <f t="shared" si="293"/>
      </c>
      <c r="P62" s="191">
        <f t="shared" si="338"/>
      </c>
      <c r="Q62" s="191">
        <f t="shared" si="233"/>
      </c>
      <c r="R62" s="191">
        <f t="shared" si="263"/>
      </c>
      <c r="S62" s="191">
        <f t="shared" si="158"/>
      </c>
      <c r="T62" s="191">
        <f t="shared" si="203"/>
      </c>
      <c r="U62" s="189">
        <f t="shared" si="425"/>
      </c>
      <c r="V62" s="189">
        <f t="shared" si="15"/>
      </c>
      <c r="W62" s="189">
        <f t="shared" si="30"/>
      </c>
      <c r="X62" s="189">
        <f t="shared" si="45"/>
      </c>
      <c r="Y62" s="189">
        <f t="shared" si="308"/>
      </c>
      <c r="Z62" s="189">
        <f t="shared" si="353"/>
      </c>
      <c r="AA62" s="190">
        <f t="shared" si="248"/>
      </c>
      <c r="AB62" s="190">
        <f t="shared" si="278"/>
      </c>
      <c r="AC62" s="190">
        <f t="shared" si="173"/>
      </c>
      <c r="AD62" s="189">
        <f t="shared" si="218"/>
      </c>
      <c r="AE62" s="190">
        <f t="shared" si="440"/>
      </c>
      <c r="AF62" s="189">
        <f t="shared" si="60"/>
      </c>
      <c r="AG62" s="189">
        <f t="shared" si="323"/>
      </c>
      <c r="AH62" s="192">
        <v>14799</v>
      </c>
      <c r="AI62" s="192">
        <v>330</v>
      </c>
      <c r="AJ62" s="192">
        <v>343</v>
      </c>
      <c r="AK62" s="192">
        <v>85</v>
      </c>
      <c r="AL62" s="192">
        <v>7</v>
      </c>
      <c r="AM62" s="192">
        <v>6</v>
      </c>
      <c r="AN62" s="192">
        <v>63</v>
      </c>
      <c r="AO62" s="192">
        <v>91</v>
      </c>
      <c r="AP62" s="187">
        <v>4</v>
      </c>
      <c r="AQ62" s="187">
        <v>1</v>
      </c>
      <c r="AR62" s="194">
        <v>1</v>
      </c>
    </row>
    <row r="63">
      <c r="A63" s="182"/>
      <c r="B63" s="183" t="s">
        <v>191</v>
      </c>
      <c r="C63" s="184" t="s">
        <v>192</v>
      </c>
      <c r="D63" s="183" t="s">
        <v>198</v>
      </c>
      <c r="E63" s="183" t="s">
        <v>196</v>
      </c>
      <c r="F63" s="185">
        <f t="shared" si="88"/>
      </c>
      <c r="G63" s="186">
        <v>950.68</v>
      </c>
      <c r="H63" s="186">
        <v>705.65</v>
      </c>
      <c r="I63" s="192">
        <v>1</v>
      </c>
      <c r="J63" s="192">
        <v>4</v>
      </c>
      <c r="K63" s="196">
        <v>1431.5999999999985</v>
      </c>
      <c r="L63" s="189">
        <f t="shared" si="188"/>
      </c>
      <c r="M63" s="190">
        <f t="shared" si="410"/>
      </c>
      <c r="N63" s="191">
        <f t="shared" si="0"/>
      </c>
      <c r="O63" s="191">
        <f t="shared" si="293"/>
      </c>
      <c r="P63" s="191">
        <f t="shared" si="338"/>
      </c>
      <c r="Q63" s="191">
        <f t="shared" si="233"/>
      </c>
      <c r="R63" s="191">
        <f t="shared" si="263"/>
      </c>
      <c r="S63" s="191">
        <f t="shared" si="158"/>
      </c>
      <c r="T63" s="191">
        <f t="shared" si="203"/>
      </c>
      <c r="U63" s="189">
        <f t="shared" si="425"/>
      </c>
      <c r="V63" s="189">
        <f t="shared" si="15"/>
      </c>
      <c r="W63" s="189">
        <f t="shared" si="30"/>
      </c>
      <c r="X63" s="189">
        <f t="shared" si="45"/>
      </c>
      <c r="Y63" s="189">
        <f t="shared" si="308"/>
      </c>
      <c r="Z63" s="189">
        <f t="shared" si="353"/>
      </c>
      <c r="AA63" s="190">
        <f t="shared" si="248"/>
      </c>
      <c r="AB63" s="190">
        <f t="shared" si="278"/>
      </c>
      <c r="AC63" s="190">
        <f t="shared" si="173"/>
      </c>
      <c r="AD63" s="189">
        <f t="shared" si="218"/>
      </c>
      <c r="AE63" s="190">
        <f t="shared" si="440"/>
      </c>
      <c r="AF63" s="189">
        <f t="shared" si="60"/>
      </c>
      <c r="AG63" s="189">
        <f t="shared" si="323"/>
      </c>
      <c r="AH63" s="192">
        <v>13394</v>
      </c>
      <c r="AI63" s="192">
        <v>387</v>
      </c>
      <c r="AJ63" s="192">
        <v>419</v>
      </c>
      <c r="AK63" s="192">
        <v>73</v>
      </c>
      <c r="AL63" s="192">
        <v>1</v>
      </c>
      <c r="AM63" s="192">
        <v>1</v>
      </c>
      <c r="AN63" s="192">
        <v>54</v>
      </c>
      <c r="AO63" s="192">
        <v>31</v>
      </c>
      <c r="AP63" s="192">
        <v>2</v>
      </c>
      <c r="AQ63" s="187">
        <v>2</v>
      </c>
      <c r="AR63" s="194">
        <v>1</v>
      </c>
    </row>
    <row r="64">
      <c r="A64" s="182"/>
      <c r="B64" s="197" t="s">
        <v>197</v>
      </c>
      <c r="C64" s="197"/>
      <c r="D64" s="197"/>
      <c r="E64" s="197"/>
      <c r="F64" s="198">
        <f>SUM(F61:F63)</f>
      </c>
      <c r="G64" s="198">
        <f>SUM(G61:G63)</f>
      </c>
      <c r="H64" s="198">
        <f>SUM(H61:H63)</f>
      </c>
      <c r="I64" s="199">
        <f>SUM(I61:I63)</f>
      </c>
      <c r="J64" s="199">
        <f>SUM(J61:J63)</f>
      </c>
      <c r="K64" s="198">
        <f>SUM(K61:K63)</f>
      </c>
      <c r="L64" s="200">
        <f t="shared" si="188"/>
      </c>
      <c r="M64" s="201">
        <f t="shared" si="410"/>
      </c>
      <c r="N64" s="202">
        <f t="shared" si="0"/>
      </c>
      <c r="O64" s="202">
        <f t="shared" si="293"/>
      </c>
      <c r="P64" s="202">
        <f t="shared" si="338"/>
      </c>
      <c r="Q64" s="202">
        <f t="shared" si="233"/>
      </c>
      <c r="R64" s="202">
        <f t="shared" si="263"/>
      </c>
      <c r="S64" s="202">
        <f t="shared" si="158"/>
      </c>
      <c r="T64" s="202">
        <f t="shared" si="203"/>
      </c>
      <c r="U64" s="200">
        <f t="shared" si="425"/>
      </c>
      <c r="V64" s="200">
        <f t="shared" si="15"/>
      </c>
      <c r="W64" s="200">
        <f t="shared" si="30"/>
      </c>
      <c r="X64" s="200">
        <f t="shared" si="45"/>
      </c>
      <c r="Y64" s="200">
        <f t="shared" si="308"/>
      </c>
      <c r="Z64" s="200">
        <f t="shared" si="353"/>
      </c>
      <c r="AA64" s="201">
        <f t="shared" si="248"/>
      </c>
      <c r="AB64" s="201">
        <f t="shared" si="278"/>
      </c>
      <c r="AC64" s="201">
        <f t="shared" si="173"/>
      </c>
      <c r="AD64" s="200">
        <f t="shared" si="218"/>
      </c>
      <c r="AE64" s="201">
        <f t="shared" si="440"/>
      </c>
      <c r="AF64" s="200">
        <f t="shared" si="60"/>
      </c>
      <c r="AG64" s="200">
        <f t="shared" si="323"/>
      </c>
      <c r="AH64" s="199">
        <f>SUM(AH61:AH63)</f>
      </c>
      <c r="AI64" s="199">
        <f>SUM(AI61:AI63)</f>
      </c>
      <c r="AJ64" s="199">
        <f>SUM(AJ61:AJ63)</f>
      </c>
      <c r="AK64" s="199">
        <f>SUM(AK61:AK63)</f>
      </c>
      <c r="AL64" s="199">
        <f>SUM(AL61:AL63)</f>
      </c>
      <c r="AM64" s="199">
        <f>SUM(AM61:AM63)</f>
      </c>
      <c r="AN64" s="199">
        <f>SUM(AN61:AN63)</f>
      </c>
      <c r="AO64" s="199">
        <f>SUM(AO61:AO63)</f>
      </c>
      <c r="AP64" s="199">
        <f>SUM(AP61:AP63)</f>
      </c>
      <c r="AQ64" s="199">
        <f>SUM(AQ61:AQ63)</f>
      </c>
      <c r="AR64" s="203">
        <f>SUM(AR61:AR63)</f>
      </c>
    </row>
    <row r="65">
      <c r="A65" s="182"/>
      <c r="B65" s="183" t="s">
        <v>191</v>
      </c>
      <c r="C65" s="184" t="s">
        <v>192</v>
      </c>
      <c r="D65" s="184" t="s">
        <v>207</v>
      </c>
      <c r="E65" s="183" t="s">
        <v>199</v>
      </c>
      <c r="F65" s="185">
        <f t="shared" ref="F65:F66" si="89">H65+G65</f>
      </c>
      <c r="G65" s="186">
        <v>1243.31</v>
      </c>
      <c r="H65" s="186">
        <v>954.48</v>
      </c>
      <c r="I65" s="192">
        <v>2</v>
      </c>
      <c r="J65" s="192">
        <v>2</v>
      </c>
      <c r="K65" s="196">
        <v>913</v>
      </c>
      <c r="L65" s="189">
        <f t="shared" si="188"/>
      </c>
      <c r="M65" s="190">
        <f t="shared" si="410"/>
      </c>
      <c r="N65" s="191">
        <f t="shared" si="0"/>
      </c>
      <c r="O65" s="191">
        <f t="shared" si="293"/>
      </c>
      <c r="P65" s="191">
        <f t="shared" si="338"/>
      </c>
      <c r="Q65" s="191">
        <f t="shared" si="233"/>
      </c>
      <c r="R65" s="191">
        <f t="shared" si="263"/>
      </c>
      <c r="S65" s="191">
        <f t="shared" si="158"/>
      </c>
      <c r="T65" s="191">
        <f t="shared" si="203"/>
      </c>
      <c r="U65" s="189">
        <f t="shared" si="425"/>
      </c>
      <c r="V65" s="189">
        <f t="shared" si="15"/>
      </c>
      <c r="W65" s="189">
        <f t="shared" si="30"/>
      </c>
      <c r="X65" s="189">
        <f t="shared" si="45"/>
      </c>
      <c r="Y65" s="189">
        <f t="shared" si="308"/>
      </c>
      <c r="Z65" s="189">
        <f t="shared" si="353"/>
      </c>
      <c r="AA65" s="190">
        <f t="shared" si="248"/>
      </c>
      <c r="AB65" s="190">
        <f t="shared" si="278"/>
      </c>
      <c r="AC65" s="190">
        <f t="shared" si="173"/>
      </c>
      <c r="AD65" s="189">
        <f t="shared" si="218"/>
      </c>
      <c r="AE65" s="190">
        <f t="shared" si="440"/>
      </c>
      <c r="AF65" s="189">
        <f t="shared" si="60"/>
      </c>
      <c r="AG65" s="189">
        <f t="shared" si="323"/>
      </c>
      <c r="AH65" s="192">
        <v>16730</v>
      </c>
      <c r="AI65" s="192">
        <v>510</v>
      </c>
      <c r="AJ65" s="192">
        <v>551</v>
      </c>
      <c r="AK65" s="192">
        <v>71</v>
      </c>
      <c r="AL65" s="192">
        <v>2</v>
      </c>
      <c r="AM65" s="192">
        <v>2</v>
      </c>
      <c r="AN65" s="192">
        <v>64</v>
      </c>
      <c r="AO65" s="192">
        <v>66</v>
      </c>
      <c r="AP65" s="192">
        <v>2</v>
      </c>
      <c r="AQ65" s="187">
        <v>0</v>
      </c>
      <c r="AR65" s="194">
        <v>1</v>
      </c>
    </row>
    <row r="66">
      <c r="A66" s="182"/>
      <c r="B66" s="183" t="s">
        <v>191</v>
      </c>
      <c r="C66" s="184" t="s">
        <v>192</v>
      </c>
      <c r="D66" s="184" t="s">
        <v>207</v>
      </c>
      <c r="E66" s="183" t="s">
        <v>200</v>
      </c>
      <c r="F66" s="185">
        <f t="shared" si="89"/>
      </c>
      <c r="G66" s="186">
        <v>1303.74</v>
      </c>
      <c r="H66" s="186">
        <v>982.78</v>
      </c>
      <c r="I66" s="192">
        <v>4</v>
      </c>
      <c r="J66" s="192">
        <v>4</v>
      </c>
      <c r="K66" s="196">
        <v>2636.2000000000007</v>
      </c>
      <c r="L66" s="189">
        <f t="shared" si="188"/>
      </c>
      <c r="M66" s="190">
        <f t="shared" si="410"/>
      </c>
      <c r="N66" s="191">
        <f t="shared" si="0"/>
      </c>
      <c r="O66" s="191">
        <f t="shared" si="293"/>
      </c>
      <c r="P66" s="191">
        <f t="shared" si="338"/>
      </c>
      <c r="Q66" s="191">
        <f t="shared" si="233"/>
      </c>
      <c r="R66" s="191">
        <f t="shared" si="263"/>
      </c>
      <c r="S66" s="191">
        <f t="shared" si="158"/>
      </c>
      <c r="T66" s="191">
        <f t="shared" si="203"/>
      </c>
      <c r="U66" s="189">
        <f t="shared" si="425"/>
      </c>
      <c r="V66" s="189">
        <f t="shared" si="15"/>
      </c>
      <c r="W66" s="189">
        <f t="shared" si="30"/>
      </c>
      <c r="X66" s="189">
        <f t="shared" si="45"/>
      </c>
      <c r="Y66" s="189">
        <f t="shared" si="308"/>
      </c>
      <c r="Z66" s="189">
        <f t="shared" si="353"/>
      </c>
      <c r="AA66" s="190">
        <f t="shared" si="248"/>
      </c>
      <c r="AB66" s="190">
        <f t="shared" si="278"/>
      </c>
      <c r="AC66" s="190">
        <f t="shared" si="173"/>
      </c>
      <c r="AD66" s="189">
        <f t="shared" si="218"/>
      </c>
      <c r="AE66" s="190">
        <f t="shared" si="440"/>
      </c>
      <c r="AF66" s="189">
        <f t="shared" si="60"/>
      </c>
      <c r="AG66" s="189">
        <f t="shared" si="323"/>
      </c>
      <c r="AH66" s="192">
        <v>16135</v>
      </c>
      <c r="AI66" s="192">
        <v>479</v>
      </c>
      <c r="AJ66" s="192">
        <v>509</v>
      </c>
      <c r="AK66" s="192">
        <v>80</v>
      </c>
      <c r="AL66" s="192">
        <v>4</v>
      </c>
      <c r="AM66" s="192">
        <v>3</v>
      </c>
      <c r="AN66" s="192">
        <v>61</v>
      </c>
      <c r="AO66" s="192">
        <v>50</v>
      </c>
      <c r="AP66" s="192">
        <v>5</v>
      </c>
      <c r="AQ66" s="187">
        <v>1</v>
      </c>
      <c r="AR66" s="194">
        <v>1</v>
      </c>
    </row>
    <row r="67">
      <c r="A67" s="182"/>
      <c r="B67" s="197" t="s">
        <v>197</v>
      </c>
      <c r="C67" s="197"/>
      <c r="D67" s="197"/>
      <c r="E67" s="197"/>
      <c r="F67" s="198">
        <f>SUM(F65:F66)</f>
      </c>
      <c r="G67" s="198">
        <f>SUM(G65:G66)</f>
      </c>
      <c r="H67" s="198">
        <f>SUM(H65:H66)</f>
      </c>
      <c r="I67" s="199">
        <f>SUM(I65:I66)</f>
      </c>
      <c r="J67" s="199">
        <f>SUM(J65:J66)</f>
      </c>
      <c r="K67" s="198">
        <f>SUM(K65:K66)</f>
      </c>
      <c r="L67" s="200">
        <f t="shared" si="188"/>
      </c>
      <c r="M67" s="201">
        <f t="shared" si="410"/>
      </c>
      <c r="N67" s="202">
        <f t="shared" si="0"/>
      </c>
      <c r="O67" s="202">
        <f t="shared" si="293"/>
      </c>
      <c r="P67" s="202">
        <f t="shared" si="338"/>
      </c>
      <c r="Q67" s="202">
        <f t="shared" si="233"/>
      </c>
      <c r="R67" s="202">
        <f t="shared" si="263"/>
      </c>
      <c r="S67" s="202">
        <f t="shared" si="158"/>
      </c>
      <c r="T67" s="202">
        <f t="shared" si="203"/>
      </c>
      <c r="U67" s="200">
        <f t="shared" si="425"/>
      </c>
      <c r="V67" s="200">
        <f t="shared" si="15"/>
      </c>
      <c r="W67" s="200">
        <f t="shared" si="30"/>
      </c>
      <c r="X67" s="200">
        <f t="shared" si="45"/>
      </c>
      <c r="Y67" s="200">
        <f t="shared" si="308"/>
      </c>
      <c r="Z67" s="200">
        <f t="shared" si="353"/>
      </c>
      <c r="AA67" s="201">
        <f t="shared" si="248"/>
      </c>
      <c r="AB67" s="201">
        <f t="shared" si="278"/>
      </c>
      <c r="AC67" s="201">
        <f t="shared" si="173"/>
      </c>
      <c r="AD67" s="200">
        <f t="shared" si="218"/>
      </c>
      <c r="AE67" s="201">
        <f t="shared" si="440"/>
      </c>
      <c r="AF67" s="200">
        <f t="shared" si="60"/>
      </c>
      <c r="AG67" s="200">
        <f t="shared" si="323"/>
      </c>
      <c r="AH67" s="199">
        <f>SUM(AH65:AH66)</f>
      </c>
      <c r="AI67" s="199">
        <f>SUM(AI65:AI66)</f>
      </c>
      <c r="AJ67" s="199">
        <f>SUM(AJ65:AJ66)</f>
      </c>
      <c r="AK67" s="199">
        <f>SUM(AK65:AK66)</f>
      </c>
      <c r="AL67" s="199">
        <f>SUM(AL65:AL66)</f>
      </c>
      <c r="AM67" s="199">
        <f>SUM(AM65:AM66)</f>
      </c>
      <c r="AN67" s="199">
        <f>SUM(AN65:AN66)</f>
      </c>
      <c r="AO67" s="199">
        <f>SUM(AO65:AO66)</f>
      </c>
      <c r="AP67" s="199">
        <f>SUM(AP65:AP66)</f>
      </c>
      <c r="AQ67" s="199">
        <f>SUM(AQ65:AQ66)</f>
      </c>
      <c r="AR67" s="203">
        <f>SUM(AR65:AR66)</f>
      </c>
    </row>
    <row r="68">
      <c r="A68" s="182"/>
      <c r="B68" s="183" t="s">
        <v>191</v>
      </c>
      <c r="C68" s="184" t="s">
        <v>192</v>
      </c>
      <c r="D68" s="183" t="s">
        <v>201</v>
      </c>
      <c r="E68" s="184" t="s">
        <v>202</v>
      </c>
      <c r="F68" s="185">
        <f t="shared" ref="F68:F70" si="90">H68+G68</f>
      </c>
      <c r="G68" s="186">
        <v>1600.69</v>
      </c>
      <c r="H68" s="186">
        <v>911.79</v>
      </c>
      <c r="I68" s="187">
        <v>3</v>
      </c>
      <c r="J68" s="187">
        <v>3</v>
      </c>
      <c r="K68" s="188">
        <v>2373.3999999999996</v>
      </c>
      <c r="L68" s="189">
        <f t="shared" si="188"/>
      </c>
      <c r="M68" s="190">
        <f t="shared" si="410"/>
      </c>
      <c r="N68" s="191">
        <f t="shared" si="0"/>
      </c>
      <c r="O68" s="191">
        <f t="shared" si="293"/>
      </c>
      <c r="P68" s="191">
        <f t="shared" si="338"/>
      </c>
      <c r="Q68" s="191">
        <f t="shared" si="233"/>
      </c>
      <c r="R68" s="191">
        <f t="shared" si="263"/>
      </c>
      <c r="S68" s="191">
        <f t="shared" si="158"/>
      </c>
      <c r="T68" s="191">
        <f t="shared" si="203"/>
      </c>
      <c r="U68" s="189">
        <f t="shared" si="425"/>
      </c>
      <c r="V68" s="189">
        <f t="shared" si="15"/>
      </c>
      <c r="W68" s="189">
        <f t="shared" si="30"/>
      </c>
      <c r="X68" s="189">
        <f t="shared" si="45"/>
      </c>
      <c r="Y68" s="189">
        <f t="shared" si="308"/>
      </c>
      <c r="Z68" s="189">
        <f t="shared" si="353"/>
      </c>
      <c r="AA68" s="190">
        <f t="shared" si="248"/>
      </c>
      <c r="AB68" s="190">
        <f t="shared" si="278"/>
      </c>
      <c r="AC68" s="190">
        <f t="shared" si="173"/>
      </c>
      <c r="AD68" s="189">
        <f t="shared" si="218"/>
      </c>
      <c r="AE68" s="190">
        <f t="shared" si="440"/>
      </c>
      <c r="AF68" s="189">
        <f t="shared" si="60"/>
      </c>
      <c r="AG68" s="189">
        <f t="shared" si="323"/>
      </c>
      <c r="AH68" s="192">
        <v>18992</v>
      </c>
      <c r="AI68" s="192">
        <v>469</v>
      </c>
      <c r="AJ68" s="192">
        <v>524</v>
      </c>
      <c r="AK68" s="192">
        <v>106</v>
      </c>
      <c r="AL68" s="192">
        <v>4</v>
      </c>
      <c r="AM68" s="192">
        <v>3</v>
      </c>
      <c r="AN68" s="192">
        <v>75</v>
      </c>
      <c r="AO68" s="192">
        <v>79</v>
      </c>
      <c r="AP68" s="192">
        <v>6</v>
      </c>
      <c r="AQ68" s="187">
        <v>0</v>
      </c>
      <c r="AR68" s="194">
        <v>1</v>
      </c>
    </row>
    <row r="69">
      <c r="A69" s="182"/>
      <c r="B69" s="183" t="s">
        <v>191</v>
      </c>
      <c r="C69" s="184" t="s">
        <v>192</v>
      </c>
      <c r="D69" s="183" t="s">
        <v>201</v>
      </c>
      <c r="E69" s="184" t="s">
        <v>203</v>
      </c>
      <c r="F69" s="185">
        <f t="shared" si="90"/>
      </c>
      <c r="G69" s="204">
        <v>2177.72</v>
      </c>
      <c r="H69" s="186">
        <v>760.76</v>
      </c>
      <c r="I69" s="192">
        <v>2</v>
      </c>
      <c r="J69" s="192">
        <v>2</v>
      </c>
      <c r="K69" s="196">
        <v>1228.800000000001</v>
      </c>
      <c r="L69" s="189">
        <f t="shared" si="188"/>
      </c>
      <c r="M69" s="190">
        <f t="shared" si="410"/>
      </c>
      <c r="N69" s="191">
        <f t="shared" si="0"/>
      </c>
      <c r="O69" s="191">
        <f t="shared" si="293"/>
      </c>
      <c r="P69" s="191">
        <f t="shared" si="338"/>
      </c>
      <c r="Q69" s="191">
        <f t="shared" si="233"/>
      </c>
      <c r="R69" s="191">
        <f t="shared" si="263"/>
      </c>
      <c r="S69" s="191">
        <f t="shared" si="158"/>
      </c>
      <c r="T69" s="191">
        <f t="shared" si="203"/>
      </c>
      <c r="U69" s="189">
        <f t="shared" si="425"/>
      </c>
      <c r="V69" s="189">
        <f t="shared" si="15"/>
      </c>
      <c r="W69" s="189">
        <f t="shared" si="30"/>
      </c>
      <c r="X69" s="189">
        <f t="shared" si="45"/>
      </c>
      <c r="Y69" s="189">
        <f t="shared" si="308"/>
      </c>
      <c r="Z69" s="189">
        <f t="shared" si="353"/>
      </c>
      <c r="AA69" s="190">
        <f t="shared" si="248"/>
      </c>
      <c r="AB69" s="190">
        <f t="shared" si="278"/>
      </c>
      <c r="AC69" s="190">
        <f t="shared" si="173"/>
      </c>
      <c r="AD69" s="189">
        <f t="shared" si="218"/>
      </c>
      <c r="AE69" s="190">
        <f t="shared" si="440"/>
      </c>
      <c r="AF69" s="189">
        <f t="shared" si="60"/>
      </c>
      <c r="AG69" s="189">
        <f t="shared" si="323"/>
      </c>
      <c r="AH69" s="192">
        <v>18798</v>
      </c>
      <c r="AI69" s="192">
        <v>425</v>
      </c>
      <c r="AJ69" s="192">
        <v>459</v>
      </c>
      <c r="AK69" s="192">
        <v>83</v>
      </c>
      <c r="AL69" s="192">
        <v>1</v>
      </c>
      <c r="AM69" s="192">
        <v>2</v>
      </c>
      <c r="AN69" s="192">
        <v>60</v>
      </c>
      <c r="AO69" s="192">
        <v>55</v>
      </c>
      <c r="AP69" s="192">
        <v>6</v>
      </c>
      <c r="AQ69" s="187">
        <v>0</v>
      </c>
      <c r="AR69" s="194">
        <v>1</v>
      </c>
    </row>
    <row r="70">
      <c r="A70" s="182"/>
      <c r="B70" s="183" t="s">
        <v>191</v>
      </c>
      <c r="C70" s="184" t="s">
        <v>192</v>
      </c>
      <c r="D70" s="183" t="s">
        <v>201</v>
      </c>
      <c r="E70" s="183" t="s">
        <v>204</v>
      </c>
      <c r="F70" s="185">
        <f t="shared" si="90"/>
      </c>
      <c r="G70" s="204">
        <v>744.02</v>
      </c>
      <c r="H70" s="186">
        <v>443.75</v>
      </c>
      <c r="I70" s="192">
        <v>3</v>
      </c>
      <c r="J70" s="192">
        <v>3</v>
      </c>
      <c r="K70" s="196">
        <v>2473.7999999999993</v>
      </c>
      <c r="L70" s="189">
        <f t="shared" si="188"/>
      </c>
      <c r="M70" s="190">
        <f t="shared" si="410"/>
      </c>
      <c r="N70" s="191">
        <f t="shared" si="0"/>
      </c>
      <c r="O70" s="191">
        <f t="shared" si="293"/>
      </c>
      <c r="P70" s="191">
        <f t="shared" si="338"/>
      </c>
      <c r="Q70" s="191">
        <f t="shared" si="233"/>
      </c>
      <c r="R70" s="191">
        <f t="shared" si="263"/>
      </c>
      <c r="S70" s="191">
        <f t="shared" si="158"/>
      </c>
      <c r="T70" s="191">
        <f t="shared" si="203"/>
      </c>
      <c r="U70" s="189">
        <f t="shared" si="425"/>
      </c>
      <c r="V70" s="189">
        <f t="shared" si="15"/>
      </c>
      <c r="W70" s="189">
        <f t="shared" si="30"/>
      </c>
      <c r="X70" s="189">
        <f t="shared" si="45"/>
      </c>
      <c r="Y70" s="189">
        <f t="shared" si="308"/>
      </c>
      <c r="Z70" s="189">
        <f t="shared" si="353"/>
      </c>
      <c r="AA70" s="190">
        <f t="shared" si="248"/>
      </c>
      <c r="AB70" s="190">
        <f t="shared" si="278"/>
      </c>
      <c r="AC70" s="190">
        <f t="shared" si="173"/>
      </c>
      <c r="AD70" s="189">
        <f t="shared" si="218"/>
      </c>
      <c r="AE70" s="190">
        <f t="shared" si="440"/>
      </c>
      <c r="AF70" s="189">
        <f t="shared" si="60"/>
      </c>
      <c r="AG70" s="189">
        <f t="shared" si="323"/>
      </c>
      <c r="AH70" s="192">
        <v>8217</v>
      </c>
      <c r="AI70" s="192">
        <v>196</v>
      </c>
      <c r="AJ70" s="192">
        <v>210</v>
      </c>
      <c r="AK70" s="192">
        <v>43</v>
      </c>
      <c r="AL70" s="192">
        <v>3</v>
      </c>
      <c r="AM70" s="192">
        <v>2</v>
      </c>
      <c r="AN70" s="192">
        <v>34</v>
      </c>
      <c r="AO70" s="192">
        <v>35</v>
      </c>
      <c r="AP70" s="192">
        <v>3</v>
      </c>
      <c r="AQ70" s="187">
        <v>1</v>
      </c>
      <c r="AR70" s="194">
        <v>1</v>
      </c>
    </row>
    <row r="71">
      <c r="A71" s="182"/>
      <c r="B71" s="197" t="s">
        <v>197</v>
      </c>
      <c r="C71" s="197"/>
      <c r="D71" s="197"/>
      <c r="E71" s="197"/>
      <c r="F71" s="198">
        <f>SUM(F68:F70)</f>
      </c>
      <c r="G71" s="198">
        <f>SUM(G68:G70)</f>
      </c>
      <c r="H71" s="198">
        <f>SUM(H68:H70)</f>
      </c>
      <c r="I71" s="199">
        <f>SUM(I68:I70)</f>
      </c>
      <c r="J71" s="199">
        <f>SUM(J68:J70)</f>
      </c>
      <c r="K71" s="198">
        <f>SUM(K68:K70)</f>
      </c>
      <c r="L71" s="200">
        <f t="shared" si="188"/>
      </c>
      <c r="M71" s="201">
        <f t="shared" si="410"/>
      </c>
      <c r="N71" s="202">
        <f t="shared" si="0"/>
      </c>
      <c r="O71" s="202">
        <f t="shared" si="293"/>
      </c>
      <c r="P71" s="202">
        <f t="shared" si="338"/>
      </c>
      <c r="Q71" s="202">
        <f t="shared" si="233"/>
      </c>
      <c r="R71" s="202">
        <f t="shared" si="263"/>
      </c>
      <c r="S71" s="202">
        <f t="shared" si="158"/>
      </c>
      <c r="T71" s="202">
        <f t="shared" si="203"/>
      </c>
      <c r="U71" s="200">
        <f t="shared" si="425"/>
      </c>
      <c r="V71" s="200">
        <f t="shared" si="15"/>
      </c>
      <c r="W71" s="200">
        <f t="shared" si="30"/>
      </c>
      <c r="X71" s="200">
        <f t="shared" si="45"/>
      </c>
      <c r="Y71" s="200">
        <f t="shared" si="308"/>
      </c>
      <c r="Z71" s="200">
        <f t="shared" si="353"/>
      </c>
      <c r="AA71" s="201">
        <f t="shared" si="248"/>
      </c>
      <c r="AB71" s="201">
        <f t="shared" si="278"/>
      </c>
      <c r="AC71" s="201">
        <f t="shared" si="173"/>
      </c>
      <c r="AD71" s="200">
        <f t="shared" si="218"/>
      </c>
      <c r="AE71" s="201">
        <f t="shared" si="440"/>
      </c>
      <c r="AF71" s="200">
        <f t="shared" si="60"/>
      </c>
      <c r="AG71" s="200">
        <f t="shared" si="323"/>
      </c>
      <c r="AH71" s="199">
        <f>SUM(AH68:AH70)</f>
      </c>
      <c r="AI71" s="199">
        <f>SUM(AI68:AI70)</f>
      </c>
      <c r="AJ71" s="199">
        <f>SUM(AJ68:AJ70)</f>
      </c>
      <c r="AK71" s="199">
        <f>SUM(AK68:AK70)</f>
      </c>
      <c r="AL71" s="199">
        <f>SUM(AL68:AL70)</f>
      </c>
      <c r="AM71" s="199">
        <f>SUM(AM68:AM70)</f>
      </c>
      <c r="AN71" s="199">
        <f>SUM(AN68:AN70)</f>
      </c>
      <c r="AO71" s="199">
        <f>SUM(AO68:AO70)</f>
      </c>
      <c r="AP71" s="199">
        <f>SUM(AP68:AP70)</f>
      </c>
      <c r="AQ71" s="199">
        <f>SUM(AQ68:AQ70)</f>
      </c>
      <c r="AR71" s="203">
        <f>SUM(AR68:AR70)</f>
      </c>
    </row>
    <row r="72">
      <c r="A72" s="182"/>
      <c r="B72" s="205" t="s">
        <v>205</v>
      </c>
      <c r="C72" s="205"/>
      <c r="D72" s="205"/>
      <c r="E72" s="205"/>
      <c r="F72" s="206">
        <f t="shared" ref="F72:F75" si="91">H72+G72</f>
      </c>
      <c r="G72" s="206">
        <f>G64+G71+G67</f>
      </c>
      <c r="H72" s="206">
        <f>H64+H71+H67</f>
      </c>
      <c r="I72" s="206">
        <f>I64+I71+I67</f>
      </c>
      <c r="J72" s="206">
        <f>J64+J71+J67</f>
      </c>
      <c r="K72" s="206">
        <f>K64+K71+K67</f>
      </c>
      <c r="L72" s="207">
        <f t="shared" si="188"/>
      </c>
      <c r="M72" s="208">
        <f t="shared" si="410"/>
      </c>
      <c r="N72" s="209">
        <f t="shared" si="0"/>
      </c>
      <c r="O72" s="209">
        <f t="shared" si="293"/>
      </c>
      <c r="P72" s="209">
        <f t="shared" si="338"/>
      </c>
      <c r="Q72" s="209">
        <f t="shared" si="233"/>
      </c>
      <c r="R72" s="209">
        <f t="shared" si="263"/>
      </c>
      <c r="S72" s="209">
        <f t="shared" si="158"/>
      </c>
      <c r="T72" s="209">
        <f t="shared" si="203"/>
      </c>
      <c r="U72" s="207">
        <f t="shared" si="425"/>
      </c>
      <c r="V72" s="207">
        <f t="shared" si="15"/>
      </c>
      <c r="W72" s="207">
        <f t="shared" si="30"/>
      </c>
      <c r="X72" s="207">
        <f t="shared" si="45"/>
      </c>
      <c r="Y72" s="207">
        <f t="shared" si="308"/>
      </c>
      <c r="Z72" s="207">
        <f t="shared" si="353"/>
      </c>
      <c r="AA72" s="208">
        <f t="shared" si="248"/>
      </c>
      <c r="AB72" s="208">
        <f t="shared" si="278"/>
      </c>
      <c r="AC72" s="208">
        <f t="shared" si="173"/>
      </c>
      <c r="AD72" s="207">
        <f t="shared" si="218"/>
      </c>
      <c r="AE72" s="208">
        <f t="shared" si="440"/>
      </c>
      <c r="AF72" s="207">
        <f t="shared" si="60"/>
      </c>
      <c r="AG72" s="207">
        <f t="shared" si="323"/>
      </c>
      <c r="AH72" s="210">
        <f>AH64+AH71+AH67</f>
      </c>
      <c r="AI72" s="210">
        <f>AI64+AI71+AI67</f>
      </c>
      <c r="AJ72" s="210">
        <f>AJ64+AJ71+AJ67</f>
      </c>
      <c r="AK72" s="210">
        <f>AK64+AK71+AK67</f>
      </c>
      <c r="AL72" s="210">
        <f>AL64+AL71+AL67</f>
      </c>
      <c r="AM72" s="210">
        <f>AM64+AM71+AM67</f>
      </c>
      <c r="AN72" s="210">
        <f>AN64+AN71+AN67</f>
      </c>
      <c r="AO72" s="210">
        <f>AO64+AO71+AO67</f>
      </c>
      <c r="AP72" s="210">
        <f>AP64+AP71+AP67</f>
      </c>
      <c r="AQ72" s="210">
        <f>AQ64+AQ71+AQ67</f>
      </c>
      <c r="AR72" s="203">
        <f>AR64+AR71+AR67</f>
      </c>
    </row>
    <row r="73">
      <c r="A73" s="182">
        <v>46272</v>
      </c>
      <c r="B73" s="183" t="s">
        <v>191</v>
      </c>
      <c r="C73" s="184" t="s">
        <v>192</v>
      </c>
      <c r="D73" s="183" t="s">
        <v>198</v>
      </c>
      <c r="E73" s="183" t="s">
        <v>194</v>
      </c>
      <c r="F73" s="185">
        <f t="shared" si="91"/>
      </c>
      <c r="G73" s="204">
        <v>1287.74</v>
      </c>
      <c r="H73" s="204">
        <v>583.91</v>
      </c>
      <c r="I73" s="187">
        <v>2</v>
      </c>
      <c r="J73" s="187">
        <v>1</v>
      </c>
      <c r="K73" s="188">
        <v>439</v>
      </c>
      <c r="L73" s="189">
        <f t="shared" si="188"/>
      </c>
      <c r="M73" s="190">
        <f t="shared" si="410"/>
      </c>
      <c r="N73" s="191">
        <f t="shared" si="0"/>
      </c>
      <c r="O73" s="191">
        <f t="shared" si="293"/>
      </c>
      <c r="P73" s="191">
        <f t="shared" si="338"/>
      </c>
      <c r="Q73" s="191">
        <f t="shared" si="233"/>
      </c>
      <c r="R73" s="191">
        <f t="shared" si="263"/>
      </c>
      <c r="S73" s="191">
        <f t="shared" si="158"/>
      </c>
      <c r="T73" s="191">
        <f t="shared" si="203"/>
      </c>
      <c r="U73" s="189">
        <f t="shared" si="425"/>
      </c>
      <c r="V73" s="189">
        <f t="shared" si="15"/>
      </c>
      <c r="W73" s="189">
        <f t="shared" si="30"/>
      </c>
      <c r="X73" s="189">
        <f t="shared" si="45"/>
      </c>
      <c r="Y73" s="189">
        <f t="shared" si="308"/>
      </c>
      <c r="Z73" s="189">
        <f t="shared" si="353"/>
      </c>
      <c r="AA73" s="190">
        <f t="shared" si="248"/>
      </c>
      <c r="AB73" s="190">
        <f t="shared" si="278"/>
      </c>
      <c r="AC73" s="190">
        <f t="shared" si="173"/>
      </c>
      <c r="AD73" s="189">
        <f t="shared" si="218"/>
      </c>
      <c r="AE73" s="190">
        <f t="shared" si="440"/>
      </c>
      <c r="AF73" s="189">
        <f t="shared" si="60"/>
      </c>
      <c r="AG73" s="189">
        <f t="shared" si="323"/>
      </c>
      <c r="AH73" s="192">
        <v>10955</v>
      </c>
      <c r="AI73" s="193">
        <v>243</v>
      </c>
      <c r="AJ73" s="193">
        <v>245</v>
      </c>
      <c r="AK73" s="192">
        <v>71</v>
      </c>
      <c r="AL73" s="192">
        <v>2</v>
      </c>
      <c r="AM73" s="192">
        <v>1</v>
      </c>
      <c r="AN73" s="192">
        <v>53</v>
      </c>
      <c r="AO73" s="192">
        <v>58</v>
      </c>
      <c r="AP73" s="187">
        <v>3</v>
      </c>
      <c r="AQ73" s="187">
        <v>0</v>
      </c>
      <c r="AR73" s="194">
        <v>1</v>
      </c>
    </row>
    <row r="74">
      <c r="A74" s="182"/>
      <c r="B74" s="183" t="s">
        <v>191</v>
      </c>
      <c r="C74" s="184" t="s">
        <v>192</v>
      </c>
      <c r="D74" s="183" t="s">
        <v>198</v>
      </c>
      <c r="E74" s="183" t="s">
        <v>195</v>
      </c>
      <c r="F74" s="185">
        <f t="shared" si="91"/>
      </c>
      <c r="G74" s="212">
        <v>857.07</v>
      </c>
      <c r="H74" s="204">
        <v>272.05</v>
      </c>
      <c r="I74" s="187">
        <v>1</v>
      </c>
      <c r="J74" s="187">
        <v>1</v>
      </c>
      <c r="K74" s="188">
        <v>474</v>
      </c>
      <c r="L74" s="189">
        <f t="shared" si="188"/>
      </c>
      <c r="M74" s="190">
        <f t="shared" si="410"/>
      </c>
      <c r="N74" s="191">
        <f t="shared" si="0"/>
      </c>
      <c r="O74" s="191">
        <f t="shared" si="293"/>
      </c>
      <c r="P74" s="191">
        <f t="shared" si="338"/>
      </c>
      <c r="Q74" s="191">
        <f t="shared" si="233"/>
      </c>
      <c r="R74" s="191">
        <f t="shared" si="263"/>
      </c>
      <c r="S74" s="191">
        <f t="shared" si="158"/>
      </c>
      <c r="T74" s="191">
        <f t="shared" si="203"/>
      </c>
      <c r="U74" s="189">
        <f t="shared" si="425"/>
      </c>
      <c r="V74" s="189">
        <f t="shared" si="15"/>
      </c>
      <c r="W74" s="189">
        <f t="shared" si="30"/>
      </c>
      <c r="X74" s="189">
        <f t="shared" si="45"/>
      </c>
      <c r="Y74" s="189">
        <f t="shared" si="308"/>
      </c>
      <c r="Z74" s="189">
        <f t="shared" si="353"/>
      </c>
      <c r="AA74" s="190">
        <f t="shared" si="248"/>
      </c>
      <c r="AB74" s="190">
        <f t="shared" si="278"/>
      </c>
      <c r="AC74" s="190">
        <f t="shared" si="173"/>
      </c>
      <c r="AD74" s="189">
        <f t="shared" si="218"/>
      </c>
      <c r="AE74" s="190">
        <f t="shared" si="440"/>
      </c>
      <c r="AF74" s="189">
        <f t="shared" si="60"/>
      </c>
      <c r="AG74" s="189">
        <f t="shared" si="323"/>
      </c>
      <c r="AH74" s="192">
        <v>7630</v>
      </c>
      <c r="AI74" s="192">
        <v>155</v>
      </c>
      <c r="AJ74" s="192">
        <v>160</v>
      </c>
      <c r="AK74" s="192">
        <v>60</v>
      </c>
      <c r="AL74" s="192">
        <v>1</v>
      </c>
      <c r="AM74" s="192">
        <v>1</v>
      </c>
      <c r="AN74" s="192">
        <v>38</v>
      </c>
      <c r="AO74" s="192">
        <v>29</v>
      </c>
      <c r="AP74" s="187">
        <v>1</v>
      </c>
      <c r="AQ74" s="187">
        <v>0</v>
      </c>
      <c r="AR74" s="194">
        <v>1</v>
      </c>
    </row>
    <row r="75">
      <c r="A75" s="182"/>
      <c r="B75" s="183" t="s">
        <v>191</v>
      </c>
      <c r="C75" s="184" t="s">
        <v>192</v>
      </c>
      <c r="D75" s="183" t="s">
        <v>198</v>
      </c>
      <c r="E75" s="183" t="s">
        <v>196</v>
      </c>
      <c r="F75" s="185">
        <f t="shared" si="91"/>
      </c>
      <c r="G75" s="204">
        <v>589.38</v>
      </c>
      <c r="H75" s="204">
        <v>219.71</v>
      </c>
      <c r="I75" s="187">
        <v>2</v>
      </c>
      <c r="J75" s="187">
        <v>2</v>
      </c>
      <c r="K75" s="188">
        <v>1336.8</v>
      </c>
      <c r="L75" s="189">
        <f t="shared" si="188"/>
      </c>
      <c r="M75" s="190">
        <f t="shared" si="410"/>
      </c>
      <c r="N75" s="191">
        <f t="shared" si="0"/>
      </c>
      <c r="O75" s="191">
        <f t="shared" si="293"/>
      </c>
      <c r="P75" s="191">
        <f t="shared" si="338"/>
      </c>
      <c r="Q75" s="191">
        <f t="shared" si="233"/>
      </c>
      <c r="R75" s="191">
        <f t="shared" si="263"/>
      </c>
      <c r="S75" s="191">
        <f t="shared" si="158"/>
      </c>
      <c r="T75" s="191">
        <f t="shared" si="203"/>
      </c>
      <c r="U75" s="189">
        <f t="shared" si="425"/>
      </c>
      <c r="V75" s="189">
        <f t="shared" si="15"/>
      </c>
      <c r="W75" s="189">
        <f t="shared" si="30"/>
      </c>
      <c r="X75" s="189">
        <f t="shared" si="45"/>
      </c>
      <c r="Y75" s="189">
        <f t="shared" si="308"/>
      </c>
      <c r="Z75" s="189">
        <f t="shared" si="353"/>
      </c>
      <c r="AA75" s="190">
        <f t="shared" si="248"/>
      </c>
      <c r="AB75" s="190">
        <f t="shared" si="278"/>
      </c>
      <c r="AC75" s="190">
        <f t="shared" si="173"/>
      </c>
      <c r="AD75" s="189">
        <f t="shared" si="218"/>
      </c>
      <c r="AE75" s="190">
        <f t="shared" si="440"/>
      </c>
      <c r="AF75" s="189">
        <f t="shared" si="60"/>
      </c>
      <c r="AG75" s="189">
        <f t="shared" si="323"/>
      </c>
      <c r="AH75" s="192">
        <v>5465</v>
      </c>
      <c r="AI75" s="192">
        <v>115</v>
      </c>
      <c r="AJ75" s="192">
        <v>122</v>
      </c>
      <c r="AK75" s="192">
        <v>36</v>
      </c>
      <c r="AL75" s="192">
        <v>2</v>
      </c>
      <c r="AM75" s="192">
        <v>2</v>
      </c>
      <c r="AN75" s="192">
        <v>24</v>
      </c>
      <c r="AO75" s="192">
        <v>43</v>
      </c>
      <c r="AP75" s="192">
        <v>5</v>
      </c>
      <c r="AQ75" s="187">
        <v>0</v>
      </c>
      <c r="AR75" s="194">
        <v>1</v>
      </c>
    </row>
    <row r="76">
      <c r="A76" s="182"/>
      <c r="B76" s="197" t="s">
        <v>197</v>
      </c>
      <c r="C76" s="197"/>
      <c r="D76" s="197"/>
      <c r="E76" s="197"/>
      <c r="F76" s="198">
        <f>SUM(F73:F75)</f>
      </c>
      <c r="G76" s="198">
        <f>SUM(G73:G75)</f>
      </c>
      <c r="H76" s="198">
        <f>SUM(H73:H75)</f>
      </c>
      <c r="I76" s="199">
        <f>SUM(I73:I75)</f>
      </c>
      <c r="J76" s="199">
        <f>SUM(J73:J75)</f>
      </c>
      <c r="K76" s="198">
        <f>SUM(K73:K75)</f>
      </c>
      <c r="L76" s="200">
        <f t="shared" si="188"/>
      </c>
      <c r="M76" s="201">
        <f t="shared" si="410"/>
      </c>
      <c r="N76" s="202">
        <f t="shared" si="0"/>
      </c>
      <c r="O76" s="202">
        <f t="shared" si="293"/>
      </c>
      <c r="P76" s="202">
        <f t="shared" si="338"/>
      </c>
      <c r="Q76" s="202">
        <f t="shared" si="233"/>
      </c>
      <c r="R76" s="202">
        <f t="shared" si="263"/>
      </c>
      <c r="S76" s="202">
        <f t="shared" si="158"/>
      </c>
      <c r="T76" s="202">
        <f t="shared" si="203"/>
      </c>
      <c r="U76" s="200">
        <f t="shared" si="425"/>
      </c>
      <c r="V76" s="200">
        <f t="shared" si="15"/>
      </c>
      <c r="W76" s="200">
        <f t="shared" si="30"/>
      </c>
      <c r="X76" s="200">
        <f t="shared" si="45"/>
      </c>
      <c r="Y76" s="200">
        <f t="shared" si="308"/>
      </c>
      <c r="Z76" s="200">
        <f t="shared" si="353"/>
      </c>
      <c r="AA76" s="201">
        <f t="shared" si="248"/>
      </c>
      <c r="AB76" s="201">
        <f t="shared" si="278"/>
      </c>
      <c r="AC76" s="201">
        <f t="shared" si="173"/>
      </c>
      <c r="AD76" s="200">
        <f t="shared" si="218"/>
      </c>
      <c r="AE76" s="201">
        <f t="shared" si="440"/>
      </c>
      <c r="AF76" s="200">
        <f t="shared" si="60"/>
      </c>
      <c r="AG76" s="200">
        <f t="shared" si="323"/>
      </c>
      <c r="AH76" s="199">
        <f>SUM(AH73:AH75)</f>
      </c>
      <c r="AI76" s="199">
        <f>SUM(AI73:AI75)</f>
      </c>
      <c r="AJ76" s="199">
        <f>SUM(AJ73:AJ75)</f>
      </c>
      <c r="AK76" s="199">
        <f>SUM(AK73:AK75)</f>
      </c>
      <c r="AL76" s="199">
        <f>SUM(AL73:AL75)</f>
      </c>
      <c r="AM76" s="199">
        <f>SUM(AM73:AM75)</f>
      </c>
      <c r="AN76" s="199">
        <f>SUM(AN73:AN75)</f>
      </c>
      <c r="AO76" s="199">
        <f>SUM(AO73:AO75)</f>
      </c>
      <c r="AP76" s="199">
        <f>SUM(AP73:AP75)</f>
      </c>
      <c r="AQ76" s="199">
        <f>SUM(AQ73:AQ75)</f>
      </c>
      <c r="AR76" s="203">
        <f>SUM(AR73:AR75)</f>
      </c>
    </row>
    <row r="77">
      <c r="A77" s="182"/>
      <c r="B77" s="183" t="s">
        <v>191</v>
      </c>
      <c r="C77" s="184" t="s">
        <v>192</v>
      </c>
      <c r="D77" s="183" t="s">
        <v>206</v>
      </c>
      <c r="E77" s="183" t="s">
        <v>199</v>
      </c>
      <c r="F77" s="185">
        <f t="shared" ref="F77:F78" si="92">H77+G77</f>
      </c>
      <c r="G77" s="204">
        <v>1260.86</v>
      </c>
      <c r="H77" s="204">
        <v>567.82</v>
      </c>
      <c r="I77" s="187">
        <v>5</v>
      </c>
      <c r="J77" s="192">
        <v>4</v>
      </c>
      <c r="K77" s="196">
        <v>2806.8</v>
      </c>
      <c r="L77" s="189">
        <f t="shared" si="188"/>
      </c>
      <c r="M77" s="190">
        <f t="shared" si="410"/>
      </c>
      <c r="N77" s="191">
        <f t="shared" si="0"/>
      </c>
      <c r="O77" s="191">
        <f t="shared" si="293"/>
      </c>
      <c r="P77" s="191">
        <f t="shared" si="338"/>
      </c>
      <c r="Q77" s="191">
        <f t="shared" si="233"/>
      </c>
      <c r="R77" s="191">
        <f t="shared" si="263"/>
      </c>
      <c r="S77" s="191">
        <f t="shared" si="158"/>
      </c>
      <c r="T77" s="191">
        <f t="shared" si="203"/>
      </c>
      <c r="U77" s="189">
        <f t="shared" si="425"/>
      </c>
      <c r="V77" s="189">
        <f t="shared" si="15"/>
      </c>
      <c r="W77" s="189">
        <f t="shared" si="30"/>
      </c>
      <c r="X77" s="189">
        <f t="shared" si="45"/>
      </c>
      <c r="Y77" s="189">
        <f t="shared" si="308"/>
      </c>
      <c r="Z77" s="189">
        <f t="shared" si="353"/>
      </c>
      <c r="AA77" s="190">
        <f t="shared" si="248"/>
      </c>
      <c r="AB77" s="190">
        <f t="shared" si="278"/>
      </c>
      <c r="AC77" s="190">
        <f t="shared" si="173"/>
      </c>
      <c r="AD77" s="189">
        <f t="shared" si="218"/>
      </c>
      <c r="AE77" s="190">
        <f t="shared" si="440"/>
      </c>
      <c r="AF77" s="189">
        <f t="shared" si="60"/>
      </c>
      <c r="AG77" s="189">
        <f t="shared" si="323"/>
      </c>
      <c r="AH77" s="192">
        <v>14528</v>
      </c>
      <c r="AI77" s="192">
        <v>329</v>
      </c>
      <c r="AJ77" s="192">
        <v>365</v>
      </c>
      <c r="AK77" s="192">
        <v>84</v>
      </c>
      <c r="AL77" s="192">
        <v>5</v>
      </c>
      <c r="AM77" s="192">
        <v>4</v>
      </c>
      <c r="AN77" s="192">
        <v>51</v>
      </c>
      <c r="AO77" s="192">
        <v>24</v>
      </c>
      <c r="AP77" s="192">
        <v>6</v>
      </c>
      <c r="AQ77" s="187">
        <v>0</v>
      </c>
      <c r="AR77" s="194">
        <v>1</v>
      </c>
    </row>
    <row r="78">
      <c r="A78" s="182"/>
      <c r="B78" s="183" t="s">
        <v>191</v>
      </c>
      <c r="C78" s="184" t="s">
        <v>192</v>
      </c>
      <c r="D78" s="183" t="s">
        <v>206</v>
      </c>
      <c r="E78" s="183" t="s">
        <v>200</v>
      </c>
      <c r="F78" s="185">
        <f t="shared" si="92"/>
      </c>
      <c r="G78" s="204">
        <v>2072.85</v>
      </c>
      <c r="H78" s="204">
        <v>939.04</v>
      </c>
      <c r="I78" s="187">
        <v>13</v>
      </c>
      <c r="J78" s="187">
        <v>10</v>
      </c>
      <c r="K78" s="188">
        <v>4973.8</v>
      </c>
      <c r="L78" s="189">
        <f t="shared" si="188"/>
      </c>
      <c r="M78" s="190">
        <f t="shared" si="410"/>
      </c>
      <c r="N78" s="191">
        <f t="shared" si="0"/>
      </c>
      <c r="O78" s="191">
        <f t="shared" si="293"/>
      </c>
      <c r="P78" s="191">
        <f t="shared" si="338"/>
      </c>
      <c r="Q78" s="191">
        <f t="shared" si="233"/>
      </c>
      <c r="R78" s="191">
        <f t="shared" si="263"/>
      </c>
      <c r="S78" s="191">
        <f t="shared" si="158"/>
      </c>
      <c r="T78" s="191">
        <f t="shared" si="203"/>
      </c>
      <c r="U78" s="189">
        <f t="shared" si="425"/>
      </c>
      <c r="V78" s="189">
        <f t="shared" si="15"/>
      </c>
      <c r="W78" s="189">
        <f t="shared" si="30"/>
      </c>
      <c r="X78" s="189">
        <f t="shared" si="45"/>
      </c>
      <c r="Y78" s="189">
        <f t="shared" si="308"/>
      </c>
      <c r="Z78" s="189">
        <f t="shared" si="353"/>
      </c>
      <c r="AA78" s="190">
        <f t="shared" si="248"/>
      </c>
      <c r="AB78" s="190">
        <f t="shared" si="278"/>
      </c>
      <c r="AC78" s="190">
        <f t="shared" si="173"/>
      </c>
      <c r="AD78" s="189">
        <f t="shared" si="218"/>
      </c>
      <c r="AE78" s="190">
        <f t="shared" si="440"/>
      </c>
      <c r="AF78" s="189">
        <f t="shared" si="60"/>
      </c>
      <c r="AG78" s="189">
        <f t="shared" si="323"/>
      </c>
      <c r="AH78" s="192">
        <v>26186</v>
      </c>
      <c r="AI78" s="192">
        <v>602</v>
      </c>
      <c r="AJ78" s="192">
        <v>638</v>
      </c>
      <c r="AK78" s="192">
        <v>103</v>
      </c>
      <c r="AL78" s="192">
        <v>8</v>
      </c>
      <c r="AM78" s="192">
        <v>5</v>
      </c>
      <c r="AN78" s="192">
        <v>89</v>
      </c>
      <c r="AO78" s="192">
        <v>112</v>
      </c>
      <c r="AP78" s="192">
        <v>10</v>
      </c>
      <c r="AQ78" s="187">
        <v>2</v>
      </c>
      <c r="AR78" s="194">
        <v>1</v>
      </c>
    </row>
    <row r="79">
      <c r="A79" s="182"/>
      <c r="B79" s="197" t="s">
        <v>197</v>
      </c>
      <c r="C79" s="197"/>
      <c r="D79" s="197"/>
      <c r="E79" s="197"/>
      <c r="F79" s="198">
        <f>SUM(F77:F78)</f>
      </c>
      <c r="G79" s="198">
        <f>SUM(G77:G78)</f>
      </c>
      <c r="H79" s="198">
        <f>SUM(H77:H78)</f>
      </c>
      <c r="I79" s="199">
        <f>SUM(I77:I78)</f>
      </c>
      <c r="J79" s="199">
        <f>SUM(J77:J78)</f>
      </c>
      <c r="K79" s="198">
        <f>SUM(K77:K78)</f>
      </c>
      <c r="L79" s="200">
        <f t="shared" si="188"/>
      </c>
      <c r="M79" s="201">
        <f t="shared" si="410"/>
      </c>
      <c r="N79" s="202">
        <f t="shared" si="0"/>
      </c>
      <c r="O79" s="202">
        <f t="shared" si="293"/>
      </c>
      <c r="P79" s="202">
        <f t="shared" si="338"/>
      </c>
      <c r="Q79" s="202">
        <f t="shared" si="233"/>
      </c>
      <c r="R79" s="202">
        <f t="shared" si="263"/>
      </c>
      <c r="S79" s="202">
        <f t="shared" si="158"/>
      </c>
      <c r="T79" s="202">
        <f t="shared" si="203"/>
      </c>
      <c r="U79" s="200">
        <f t="shared" si="425"/>
      </c>
      <c r="V79" s="200">
        <f t="shared" si="15"/>
      </c>
      <c r="W79" s="200">
        <f t="shared" si="30"/>
      </c>
      <c r="X79" s="200">
        <f t="shared" si="45"/>
      </c>
      <c r="Y79" s="200">
        <f t="shared" si="308"/>
      </c>
      <c r="Z79" s="200">
        <f t="shared" si="353"/>
      </c>
      <c r="AA79" s="201">
        <f t="shared" si="248"/>
      </c>
      <c r="AB79" s="201">
        <f t="shared" si="278"/>
      </c>
      <c r="AC79" s="201">
        <f t="shared" si="173"/>
      </c>
      <c r="AD79" s="200">
        <f t="shared" si="218"/>
      </c>
      <c r="AE79" s="201">
        <f t="shared" si="440"/>
      </c>
      <c r="AF79" s="200">
        <f t="shared" si="60"/>
      </c>
      <c r="AG79" s="200">
        <f t="shared" si="323"/>
      </c>
      <c r="AH79" s="199">
        <f>SUM(AH77:AH78)</f>
      </c>
      <c r="AI79" s="199">
        <f>SUM(AI77:AI78)</f>
      </c>
      <c r="AJ79" s="199">
        <f>SUM(AJ77:AJ78)</f>
      </c>
      <c r="AK79" s="199">
        <f>SUM(AK77:AK78)</f>
      </c>
      <c r="AL79" s="199">
        <f>SUM(AL77:AL78)</f>
      </c>
      <c r="AM79" s="199">
        <f>SUM(AM77:AM78)</f>
      </c>
      <c r="AN79" s="199">
        <f>SUM(AN77:AN78)</f>
      </c>
      <c r="AO79" s="199">
        <f>SUM(AO77:AO78)</f>
      </c>
      <c r="AP79" s="199">
        <f>SUM(AP77:AP78)</f>
      </c>
      <c r="AQ79" s="199">
        <f>SUM(AQ77:AQ78)</f>
      </c>
      <c r="AR79" s="203">
        <f>SUM(AR77:AR78)</f>
      </c>
    </row>
    <row r="80">
      <c r="A80" s="182"/>
      <c r="B80" s="183" t="s">
        <v>191</v>
      </c>
      <c r="C80" s="184" t="s">
        <v>192</v>
      </c>
      <c r="D80" s="183" t="s">
        <v>201</v>
      </c>
      <c r="E80" s="184" t="s">
        <v>202</v>
      </c>
      <c r="F80" s="185">
        <f t="shared" ref="F80:F82" si="93">H80+G80</f>
      </c>
      <c r="G80" s="204">
        <v>3073.03</v>
      </c>
      <c r="H80" s="204">
        <v>1268.55</v>
      </c>
      <c r="I80" s="187">
        <v>4</v>
      </c>
      <c r="J80" s="187">
        <v>7</v>
      </c>
      <c r="K80" s="188">
        <v>5404.799999999999</v>
      </c>
      <c r="L80" s="189">
        <f t="shared" si="188"/>
      </c>
      <c r="M80" s="190">
        <f t="shared" si="410"/>
      </c>
      <c r="N80" s="191">
        <f t="shared" si="0"/>
      </c>
      <c r="O80" s="191">
        <f t="shared" si="293"/>
      </c>
      <c r="P80" s="191">
        <f t="shared" si="338"/>
      </c>
      <c r="Q80" s="191">
        <f t="shared" si="233"/>
      </c>
      <c r="R80" s="191">
        <f t="shared" si="263"/>
      </c>
      <c r="S80" s="191">
        <f t="shared" si="158"/>
      </c>
      <c r="T80" s="191">
        <f t="shared" si="203"/>
      </c>
      <c r="U80" s="189">
        <f t="shared" si="425"/>
      </c>
      <c r="V80" s="189">
        <f t="shared" si="15"/>
      </c>
      <c r="W80" s="189">
        <f t="shared" si="30"/>
      </c>
      <c r="X80" s="189">
        <f t="shared" si="45"/>
      </c>
      <c r="Y80" s="189">
        <f t="shared" si="308"/>
      </c>
      <c r="Z80" s="189">
        <f t="shared" si="353"/>
      </c>
      <c r="AA80" s="190">
        <f t="shared" si="248"/>
      </c>
      <c r="AB80" s="190">
        <f t="shared" si="278"/>
      </c>
      <c r="AC80" s="190">
        <f t="shared" si="173"/>
      </c>
      <c r="AD80" s="189">
        <f t="shared" si="218"/>
      </c>
      <c r="AE80" s="190">
        <f t="shared" si="440"/>
      </c>
      <c r="AF80" s="189">
        <f t="shared" si="60"/>
      </c>
      <c r="AG80" s="189">
        <f t="shared" si="323"/>
      </c>
      <c r="AH80" s="192">
        <v>40060</v>
      </c>
      <c r="AI80" s="192">
        <v>875</v>
      </c>
      <c r="AJ80" s="192">
        <v>929</v>
      </c>
      <c r="AK80" s="192">
        <v>168</v>
      </c>
      <c r="AL80" s="192">
        <v>9</v>
      </c>
      <c r="AM80" s="192">
        <v>8</v>
      </c>
      <c r="AN80" s="192">
        <v>126</v>
      </c>
      <c r="AO80" s="192">
        <v>96</v>
      </c>
      <c r="AP80" s="192">
        <v>12</v>
      </c>
      <c r="AQ80" s="187">
        <v>2</v>
      </c>
      <c r="AR80" s="194">
        <v>1</v>
      </c>
    </row>
    <row r="81">
      <c r="A81" s="182"/>
      <c r="B81" s="183" t="s">
        <v>191</v>
      </c>
      <c r="C81" s="184" t="s">
        <v>192</v>
      </c>
      <c r="D81" s="183" t="s">
        <v>201</v>
      </c>
      <c r="E81" s="184" t="s">
        <v>203</v>
      </c>
      <c r="F81" s="185">
        <f t="shared" si="93"/>
      </c>
      <c r="G81" s="204">
        <v>2433.53</v>
      </c>
      <c r="H81" s="204">
        <v>1357.6</v>
      </c>
      <c r="I81" s="187">
        <v>12</v>
      </c>
      <c r="J81" s="192">
        <v>13</v>
      </c>
      <c r="K81" s="196">
        <v>9752.2</v>
      </c>
      <c r="L81" s="189">
        <f t="shared" si="188"/>
      </c>
      <c r="M81" s="190">
        <f t="shared" si="410"/>
      </c>
      <c r="N81" s="191">
        <f t="shared" si="0"/>
      </c>
      <c r="O81" s="191">
        <f t="shared" si="293"/>
      </c>
      <c r="P81" s="191">
        <f t="shared" si="338"/>
      </c>
      <c r="Q81" s="191">
        <f t="shared" si="233"/>
      </c>
      <c r="R81" s="191">
        <f t="shared" si="263"/>
      </c>
      <c r="S81" s="191">
        <f t="shared" si="158"/>
      </c>
      <c r="T81" s="191">
        <f t="shared" si="203"/>
      </c>
      <c r="U81" s="189">
        <f t="shared" si="425"/>
      </c>
      <c r="V81" s="189">
        <f t="shared" si="15"/>
      </c>
      <c r="W81" s="189">
        <f t="shared" si="30"/>
      </c>
      <c r="X81" s="189">
        <f t="shared" si="45"/>
      </c>
      <c r="Y81" s="189">
        <f t="shared" si="308"/>
      </c>
      <c r="Z81" s="189">
        <f t="shared" si="353"/>
      </c>
      <c r="AA81" s="190">
        <f t="shared" si="248"/>
      </c>
      <c r="AB81" s="190">
        <f t="shared" si="278"/>
      </c>
      <c r="AC81" s="190">
        <f t="shared" si="173"/>
      </c>
      <c r="AD81" s="189">
        <f t="shared" si="218"/>
      </c>
      <c r="AE81" s="190">
        <f t="shared" si="440"/>
      </c>
      <c r="AF81" s="189">
        <f t="shared" si="60"/>
      </c>
      <c r="AG81" s="189">
        <f t="shared" si="323"/>
      </c>
      <c r="AH81" s="192">
        <v>38632</v>
      </c>
      <c r="AI81" s="192">
        <v>941</v>
      </c>
      <c r="AJ81" s="192">
        <v>1019</v>
      </c>
      <c r="AK81" s="192">
        <v>165</v>
      </c>
      <c r="AL81" s="192">
        <v>11</v>
      </c>
      <c r="AM81" s="192">
        <v>9</v>
      </c>
      <c r="AN81" s="192">
        <v>122</v>
      </c>
      <c r="AO81" s="192">
        <v>103</v>
      </c>
      <c r="AP81" s="192">
        <v>15</v>
      </c>
      <c r="AQ81" s="187">
        <v>3</v>
      </c>
      <c r="AR81" s="194">
        <v>1</v>
      </c>
    </row>
    <row r="82">
      <c r="A82" s="182"/>
      <c r="B82" s="183" t="s">
        <v>191</v>
      </c>
      <c r="C82" s="184" t="s">
        <v>192</v>
      </c>
      <c r="D82" s="183" t="s">
        <v>201</v>
      </c>
      <c r="E82" s="183" t="s">
        <v>204</v>
      </c>
      <c r="F82" s="185">
        <f t="shared" si="93"/>
      </c>
      <c r="G82" s="204">
        <v>1188.15</v>
      </c>
      <c r="H82" s="204">
        <v>1447.91</v>
      </c>
      <c r="I82" s="187">
        <v>9</v>
      </c>
      <c r="J82" s="192">
        <v>10</v>
      </c>
      <c r="K82" s="196">
        <v>7605.4000000000015</v>
      </c>
      <c r="L82" s="189">
        <f t="shared" si="188"/>
      </c>
      <c r="M82" s="190">
        <f t="shared" si="410"/>
      </c>
      <c r="N82" s="191">
        <f t="shared" si="0"/>
      </c>
      <c r="O82" s="191">
        <f t="shared" si="293"/>
      </c>
      <c r="P82" s="191">
        <f t="shared" si="338"/>
      </c>
      <c r="Q82" s="191">
        <f t="shared" si="233"/>
      </c>
      <c r="R82" s="191">
        <f t="shared" si="263"/>
      </c>
      <c r="S82" s="191">
        <f t="shared" si="158"/>
      </c>
      <c r="T82" s="191">
        <f t="shared" si="203"/>
      </c>
      <c r="U82" s="189">
        <f t="shared" si="425"/>
      </c>
      <c r="V82" s="189">
        <f t="shared" si="15"/>
      </c>
      <c r="W82" s="189">
        <f t="shared" si="30"/>
      </c>
      <c r="X82" s="189">
        <f t="shared" si="45"/>
      </c>
      <c r="Y82" s="189">
        <f t="shared" si="308"/>
      </c>
      <c r="Z82" s="189">
        <f t="shared" si="353"/>
      </c>
      <c r="AA82" s="190">
        <f t="shared" si="248"/>
      </c>
      <c r="AB82" s="190">
        <f t="shared" si="278"/>
      </c>
      <c r="AC82" s="190">
        <f t="shared" si="173"/>
      </c>
      <c r="AD82" s="189">
        <f t="shared" si="218"/>
      </c>
      <c r="AE82" s="190">
        <f t="shared" si="440"/>
      </c>
      <c r="AF82" s="189">
        <f t="shared" si="60"/>
      </c>
      <c r="AG82" s="189">
        <f t="shared" si="323"/>
      </c>
      <c r="AH82" s="192">
        <v>19747</v>
      </c>
      <c r="AI82" s="192">
        <v>892</v>
      </c>
      <c r="AJ82" s="192">
        <v>999</v>
      </c>
      <c r="AK82" s="192">
        <v>91</v>
      </c>
      <c r="AL82" s="192">
        <v>9</v>
      </c>
      <c r="AM82" s="192">
        <v>8</v>
      </c>
      <c r="AN82" s="192">
        <v>87</v>
      </c>
      <c r="AO82" s="192">
        <v>101</v>
      </c>
      <c r="AP82" s="192">
        <v>8</v>
      </c>
      <c r="AQ82" s="187">
        <v>2</v>
      </c>
      <c r="AR82" s="194">
        <v>1</v>
      </c>
    </row>
    <row r="83">
      <c r="A83" s="182"/>
      <c r="B83" s="197" t="s">
        <v>197</v>
      </c>
      <c r="C83" s="197"/>
      <c r="D83" s="197"/>
      <c r="E83" s="197"/>
      <c r="F83" s="198">
        <f>SUM(F80:F82)</f>
      </c>
      <c r="G83" s="198">
        <f>SUM(G80:G82)</f>
      </c>
      <c r="H83" s="198">
        <f>SUM(H80:H82)</f>
      </c>
      <c r="I83" s="199">
        <f>SUM(I80:I82)</f>
      </c>
      <c r="J83" s="199">
        <f>SUM(J80:J82)</f>
      </c>
      <c r="K83" s="198">
        <f>SUM(K80:K82)</f>
      </c>
      <c r="L83" s="200">
        <f t="shared" si="188"/>
      </c>
      <c r="M83" s="201">
        <f t="shared" si="410"/>
      </c>
      <c r="N83" s="202">
        <f t="shared" si="0"/>
      </c>
      <c r="O83" s="202">
        <f t="shared" si="293"/>
      </c>
      <c r="P83" s="202">
        <f t="shared" si="338"/>
      </c>
      <c r="Q83" s="202">
        <f t="shared" si="233"/>
      </c>
      <c r="R83" s="202">
        <f t="shared" si="263"/>
      </c>
      <c r="S83" s="202">
        <f t="shared" si="158"/>
      </c>
      <c r="T83" s="202">
        <f t="shared" si="203"/>
      </c>
      <c r="U83" s="200">
        <f t="shared" si="425"/>
      </c>
      <c r="V83" s="200">
        <f t="shared" si="15"/>
      </c>
      <c r="W83" s="200">
        <f t="shared" si="30"/>
      </c>
      <c r="X83" s="200">
        <f t="shared" si="45"/>
      </c>
      <c r="Y83" s="200">
        <f t="shared" si="308"/>
      </c>
      <c r="Z83" s="200">
        <f t="shared" si="353"/>
      </c>
      <c r="AA83" s="201">
        <f t="shared" si="248"/>
      </c>
      <c r="AB83" s="201">
        <f t="shared" si="278"/>
      </c>
      <c r="AC83" s="201">
        <f t="shared" si="173"/>
      </c>
      <c r="AD83" s="200">
        <f t="shared" si="218"/>
      </c>
      <c r="AE83" s="201">
        <f t="shared" si="440"/>
      </c>
      <c r="AF83" s="200">
        <f t="shared" si="60"/>
      </c>
      <c r="AG83" s="200">
        <f t="shared" si="323"/>
      </c>
      <c r="AH83" s="199">
        <f>SUM(AH80:AH82)</f>
      </c>
      <c r="AI83" s="199">
        <f>SUM(AI80:AI82)</f>
      </c>
      <c r="AJ83" s="199">
        <f>SUM(AJ80:AJ82)</f>
      </c>
      <c r="AK83" s="199">
        <f>SUM(AK80:AK82)</f>
      </c>
      <c r="AL83" s="199">
        <f>SUM(AL80:AL82)</f>
      </c>
      <c r="AM83" s="199">
        <f>SUM(AM80:AM82)</f>
      </c>
      <c r="AN83" s="199">
        <f>SUM(AN80:AN82)</f>
      </c>
      <c r="AO83" s="199">
        <f>SUM(AO80:AO82)</f>
      </c>
      <c r="AP83" s="199">
        <f>SUM(AP80:AP82)</f>
      </c>
      <c r="AQ83" s="199">
        <f>SUM(AQ80:AQ82)</f>
      </c>
      <c r="AR83" s="203">
        <f>SUM(AR80:AR82)</f>
      </c>
    </row>
    <row r="84">
      <c r="A84" s="182"/>
      <c r="B84" s="205" t="s">
        <v>205</v>
      </c>
      <c r="C84" s="205"/>
      <c r="D84" s="205"/>
      <c r="E84" s="205"/>
      <c r="F84" s="206">
        <f t="shared" ref="F84:F87" si="94">H84+G84</f>
      </c>
      <c r="G84" s="206">
        <f>G76+G83+G79</f>
      </c>
      <c r="H84" s="206">
        <f>H76+H83+H79</f>
      </c>
      <c r="I84" s="206">
        <f>I76+I83+I79</f>
      </c>
      <c r="J84" s="206">
        <f>J76+J83+J79</f>
      </c>
      <c r="K84" s="206">
        <f>K76+K83+K79</f>
      </c>
      <c r="L84" s="207">
        <f t="shared" si="188"/>
      </c>
      <c r="M84" s="208">
        <f t="shared" si="410"/>
      </c>
      <c r="N84" s="209">
        <f t="shared" si="0"/>
      </c>
      <c r="O84" s="209">
        <f t="shared" si="293"/>
      </c>
      <c r="P84" s="209">
        <f t="shared" si="338"/>
      </c>
      <c r="Q84" s="209">
        <f t="shared" si="233"/>
      </c>
      <c r="R84" s="209">
        <f t="shared" si="263"/>
      </c>
      <c r="S84" s="209">
        <f t="shared" si="158"/>
      </c>
      <c r="T84" s="209">
        <f t="shared" si="203"/>
      </c>
      <c r="U84" s="207">
        <f t="shared" si="425"/>
      </c>
      <c r="V84" s="207">
        <f t="shared" si="15"/>
      </c>
      <c r="W84" s="207">
        <f t="shared" si="30"/>
      </c>
      <c r="X84" s="207">
        <f t="shared" si="45"/>
      </c>
      <c r="Y84" s="207">
        <f t="shared" si="308"/>
      </c>
      <c r="Z84" s="207">
        <f t="shared" si="353"/>
      </c>
      <c r="AA84" s="208">
        <f t="shared" si="248"/>
      </c>
      <c r="AB84" s="208">
        <f t="shared" si="278"/>
      </c>
      <c r="AC84" s="208">
        <f t="shared" si="173"/>
      </c>
      <c r="AD84" s="207">
        <f t="shared" si="218"/>
      </c>
      <c r="AE84" s="208">
        <f t="shared" si="440"/>
      </c>
      <c r="AF84" s="207">
        <f t="shared" si="60"/>
      </c>
      <c r="AG84" s="207">
        <f t="shared" si="323"/>
      </c>
      <c r="AH84" s="210">
        <f>AH76+AH83+AH79</f>
      </c>
      <c r="AI84" s="210">
        <f>AI76+AI83+AI79</f>
      </c>
      <c r="AJ84" s="210">
        <f>AJ76+AJ83+AJ79</f>
      </c>
      <c r="AK84" s="210">
        <f>AK76+AK83+AK79</f>
      </c>
      <c r="AL84" s="210">
        <f>AL76+AL83+AL79</f>
      </c>
      <c r="AM84" s="210">
        <f>AM76+AM83+AM79</f>
      </c>
      <c r="AN84" s="210">
        <f>AN76+AN83+AN79</f>
      </c>
      <c r="AO84" s="210">
        <f>AO76+AO83+AO79</f>
      </c>
      <c r="AP84" s="210">
        <f>AP76+AP83+AP79</f>
      </c>
      <c r="AQ84" s="210">
        <f>AQ76+AQ83+AQ79</f>
      </c>
      <c r="AR84" s="203">
        <f>AR76+AR83+AR79</f>
      </c>
    </row>
    <row r="85">
      <c r="A85" s="182">
        <v>46273</v>
      </c>
      <c r="B85" s="183" t="s">
        <v>191</v>
      </c>
      <c r="C85" s="184" t="s">
        <v>192</v>
      </c>
      <c r="D85" s="183" t="s">
        <v>201</v>
      </c>
      <c r="E85" s="183" t="s">
        <v>194</v>
      </c>
      <c r="F85" s="185">
        <f t="shared" si="94"/>
      </c>
      <c r="G85" s="204">
        <v>2093.85</v>
      </c>
      <c r="H85" s="204">
        <v>1364.43</v>
      </c>
      <c r="I85" s="187">
        <v>6</v>
      </c>
      <c r="J85" s="187">
        <v>4</v>
      </c>
      <c r="K85" s="188">
        <v>3227.8</v>
      </c>
      <c r="L85" s="189">
        <f t="shared" si="188"/>
      </c>
      <c r="M85" s="190">
        <f t="shared" si="410"/>
      </c>
      <c r="N85" s="191">
        <f t="shared" si="0"/>
      </c>
      <c r="O85" s="191">
        <f t="shared" si="293"/>
      </c>
      <c r="P85" s="191">
        <f t="shared" si="338"/>
      </c>
      <c r="Q85" s="191">
        <f t="shared" si="233"/>
      </c>
      <c r="R85" s="191">
        <f t="shared" si="263"/>
      </c>
      <c r="S85" s="191">
        <f t="shared" si="158"/>
      </c>
      <c r="T85" s="191">
        <f t="shared" si="203"/>
      </c>
      <c r="U85" s="189">
        <f t="shared" si="425"/>
      </c>
      <c r="V85" s="189">
        <f t="shared" si="15"/>
      </c>
      <c r="W85" s="189">
        <f t="shared" si="30"/>
      </c>
      <c r="X85" s="189">
        <f t="shared" si="45"/>
      </c>
      <c r="Y85" s="189">
        <f t="shared" si="308"/>
      </c>
      <c r="Z85" s="189">
        <f t="shared" si="353"/>
      </c>
      <c r="AA85" s="190">
        <f t="shared" si="248"/>
      </c>
      <c r="AB85" s="190">
        <f t="shared" si="278"/>
      </c>
      <c r="AC85" s="190">
        <f t="shared" si="173"/>
      </c>
      <c r="AD85" s="189">
        <f t="shared" si="218"/>
      </c>
      <c r="AE85" s="190">
        <f t="shared" si="440"/>
      </c>
      <c r="AF85" s="189">
        <f t="shared" si="60"/>
      </c>
      <c r="AG85" s="189">
        <f t="shared" si="323"/>
      </c>
      <c r="AH85" s="192">
        <v>23656</v>
      </c>
      <c r="AI85" s="193">
        <v>642</v>
      </c>
      <c r="AJ85" s="193">
        <v>714</v>
      </c>
      <c r="AK85" s="192">
        <v>142</v>
      </c>
      <c r="AL85" s="192">
        <v>6</v>
      </c>
      <c r="AM85" s="192">
        <v>4</v>
      </c>
      <c r="AN85" s="192">
        <v>126</v>
      </c>
      <c r="AO85" s="192">
        <v>79</v>
      </c>
      <c r="AP85" s="187">
        <v>10</v>
      </c>
      <c r="AQ85" s="187">
        <v>0</v>
      </c>
      <c r="AR85" s="194">
        <v>1</v>
      </c>
    </row>
    <row r="86">
      <c r="A86" s="182"/>
      <c r="B86" s="183" t="s">
        <v>191</v>
      </c>
      <c r="C86" s="184" t="s">
        <v>192</v>
      </c>
      <c r="D86" s="183" t="s">
        <v>201</v>
      </c>
      <c r="E86" s="183" t="s">
        <v>195</v>
      </c>
      <c r="F86" s="185">
        <f t="shared" si="94"/>
      </c>
      <c r="G86" s="212">
        <v>1356.64</v>
      </c>
      <c r="H86" s="204">
        <v>531.18</v>
      </c>
      <c r="I86" s="187">
        <v>3</v>
      </c>
      <c r="J86" s="187">
        <v>1</v>
      </c>
      <c r="K86" s="188">
        <v>474</v>
      </c>
      <c r="L86" s="189">
        <f t="shared" si="188"/>
      </c>
      <c r="M86" s="190">
        <f t="shared" si="410"/>
      </c>
      <c r="N86" s="191">
        <f t="shared" si="0"/>
      </c>
      <c r="O86" s="191">
        <f t="shared" si="293"/>
      </c>
      <c r="P86" s="191">
        <f t="shared" si="338"/>
      </c>
      <c r="Q86" s="191">
        <f t="shared" si="233"/>
      </c>
      <c r="R86" s="191">
        <f t="shared" si="263"/>
      </c>
      <c r="S86" s="191">
        <f t="shared" si="158"/>
      </c>
      <c r="T86" s="191">
        <f t="shared" si="203"/>
      </c>
      <c r="U86" s="189">
        <f t="shared" si="425"/>
      </c>
      <c r="V86" s="189">
        <f t="shared" si="15"/>
      </c>
      <c r="W86" s="189">
        <f t="shared" si="30"/>
      </c>
      <c r="X86" s="189">
        <f t="shared" si="45"/>
      </c>
      <c r="Y86" s="189">
        <f t="shared" si="308"/>
      </c>
      <c r="Z86" s="189">
        <f t="shared" si="353"/>
      </c>
      <c r="AA86" s="190">
        <f t="shared" si="248"/>
      </c>
      <c r="AB86" s="190">
        <f t="shared" si="278"/>
      </c>
      <c r="AC86" s="190">
        <f t="shared" si="173"/>
      </c>
      <c r="AD86" s="189">
        <f t="shared" si="218"/>
      </c>
      <c r="AE86" s="190">
        <f t="shared" si="440"/>
      </c>
      <c r="AF86" s="189">
        <f t="shared" si="60"/>
      </c>
      <c r="AG86" s="189">
        <f t="shared" si="323"/>
      </c>
      <c r="AH86" s="192">
        <v>14304</v>
      </c>
      <c r="AI86" s="192">
        <v>293</v>
      </c>
      <c r="AJ86" s="192">
        <v>332</v>
      </c>
      <c r="AK86" s="192">
        <v>54</v>
      </c>
      <c r="AL86" s="192">
        <v>3</v>
      </c>
      <c r="AM86" s="192">
        <v>1</v>
      </c>
      <c r="AN86" s="192">
        <v>60</v>
      </c>
      <c r="AO86" s="192">
        <v>93</v>
      </c>
      <c r="AP86" s="187">
        <v>4</v>
      </c>
      <c r="AQ86" s="187">
        <v>0</v>
      </c>
      <c r="AR86" s="194">
        <v>1</v>
      </c>
    </row>
    <row r="87">
      <c r="A87" s="182"/>
      <c r="B87" s="183" t="s">
        <v>191</v>
      </c>
      <c r="C87" s="184" t="s">
        <v>192</v>
      </c>
      <c r="D87" s="183" t="s">
        <v>201</v>
      </c>
      <c r="E87" s="183" t="s">
        <v>196</v>
      </c>
      <c r="F87" s="185">
        <f t="shared" si="94"/>
      </c>
      <c r="G87" s="204">
        <v>693.89</v>
      </c>
      <c r="H87" s="204">
        <v>383.31</v>
      </c>
      <c r="I87" s="187">
        <v>1</v>
      </c>
      <c r="J87" s="187">
        <v>1</v>
      </c>
      <c r="K87" s="188">
        <v>473.9999999999991</v>
      </c>
      <c r="L87" s="189">
        <f t="shared" si="188"/>
      </c>
      <c r="M87" s="190">
        <f t="shared" si="410"/>
      </c>
      <c r="N87" s="191">
        <f t="shared" si="0"/>
      </c>
      <c r="O87" s="191">
        <f t="shared" si="293"/>
      </c>
      <c r="P87" s="191">
        <f t="shared" si="338"/>
      </c>
      <c r="Q87" s="191">
        <f t="shared" si="233"/>
      </c>
      <c r="R87" s="191">
        <f t="shared" si="263"/>
      </c>
      <c r="S87" s="191">
        <f t="shared" si="158"/>
      </c>
      <c r="T87" s="191">
        <f t="shared" si="203"/>
      </c>
      <c r="U87" s="189">
        <f t="shared" si="425"/>
      </c>
      <c r="V87" s="189">
        <f t="shared" si="15"/>
      </c>
      <c r="W87" s="189">
        <f t="shared" si="30"/>
      </c>
      <c r="X87" s="189">
        <f t="shared" si="45"/>
      </c>
      <c r="Y87" s="189">
        <f t="shared" si="308"/>
      </c>
      <c r="Z87" s="189">
        <f t="shared" si="353"/>
      </c>
      <c r="AA87" s="190">
        <f t="shared" si="248"/>
      </c>
      <c r="AB87" s="190">
        <f t="shared" si="278"/>
      </c>
      <c r="AC87" s="190">
        <f t="shared" si="173"/>
      </c>
      <c r="AD87" s="189">
        <f t="shared" si="218"/>
      </c>
      <c r="AE87" s="190">
        <f t="shared" si="440"/>
      </c>
      <c r="AF87" s="189">
        <f t="shared" si="60"/>
      </c>
      <c r="AG87" s="189">
        <f t="shared" si="323"/>
      </c>
      <c r="AH87" s="192">
        <v>9237</v>
      </c>
      <c r="AI87" s="192">
        <v>240</v>
      </c>
      <c r="AJ87" s="192">
        <v>258</v>
      </c>
      <c r="AK87" s="192">
        <v>49</v>
      </c>
      <c r="AL87" s="192">
        <v>1</v>
      </c>
      <c r="AM87" s="192">
        <v>1</v>
      </c>
      <c r="AN87" s="192">
        <v>50</v>
      </c>
      <c r="AO87" s="192">
        <v>48</v>
      </c>
      <c r="AP87" s="192">
        <v>2</v>
      </c>
      <c r="AQ87" s="187">
        <v>0</v>
      </c>
      <c r="AR87" s="194">
        <v>1</v>
      </c>
    </row>
    <row r="88">
      <c r="A88" s="182"/>
      <c r="B88" s="197" t="s">
        <v>197</v>
      </c>
      <c r="C88" s="197"/>
      <c r="D88" s="197"/>
      <c r="E88" s="197"/>
      <c r="F88" s="198">
        <f>SUM(F85:F87)</f>
      </c>
      <c r="G88" s="198">
        <f>SUM(G85:G87)</f>
      </c>
      <c r="H88" s="198">
        <f>SUM(H85:H87)</f>
      </c>
      <c r="I88" s="199">
        <f>SUM(I85:I87)</f>
      </c>
      <c r="J88" s="199">
        <f>SUM(J85:J87)</f>
      </c>
      <c r="K88" s="198">
        <f>SUM(K85:K87)</f>
      </c>
      <c r="L88" s="200">
        <f t="shared" si="188"/>
      </c>
      <c r="M88" s="201">
        <f t="shared" si="410"/>
      </c>
      <c r="N88" s="202">
        <f t="shared" si="0"/>
      </c>
      <c r="O88" s="202">
        <f t="shared" si="293"/>
      </c>
      <c r="P88" s="202">
        <f t="shared" si="338"/>
      </c>
      <c r="Q88" s="202">
        <f t="shared" si="233"/>
      </c>
      <c r="R88" s="202">
        <f t="shared" si="263"/>
      </c>
      <c r="S88" s="202">
        <f t="shared" si="158"/>
      </c>
      <c r="T88" s="202">
        <f t="shared" si="203"/>
      </c>
      <c r="U88" s="200">
        <f t="shared" si="425"/>
      </c>
      <c r="V88" s="200">
        <f t="shared" si="15"/>
      </c>
      <c r="W88" s="200">
        <f t="shared" si="30"/>
      </c>
      <c r="X88" s="200">
        <f t="shared" si="45"/>
      </c>
      <c r="Y88" s="200">
        <f t="shared" si="308"/>
      </c>
      <c r="Z88" s="200">
        <f t="shared" si="353"/>
      </c>
      <c r="AA88" s="201">
        <f t="shared" si="248"/>
      </c>
      <c r="AB88" s="201">
        <f t="shared" si="278"/>
      </c>
      <c r="AC88" s="201">
        <f t="shared" si="173"/>
      </c>
      <c r="AD88" s="200">
        <f t="shared" si="218"/>
      </c>
      <c r="AE88" s="201">
        <f t="shared" si="440"/>
      </c>
      <c r="AF88" s="200">
        <f t="shared" si="60"/>
      </c>
      <c r="AG88" s="200">
        <f t="shared" si="323"/>
      </c>
      <c r="AH88" s="199">
        <f>SUM(AH85:AH87)</f>
      </c>
      <c r="AI88" s="199">
        <f>SUM(AI85:AI87)</f>
      </c>
      <c r="AJ88" s="199">
        <f>SUM(AJ85:AJ87)</f>
      </c>
      <c r="AK88" s="199">
        <f>SUM(AK85:AK87)</f>
      </c>
      <c r="AL88" s="199">
        <f>SUM(AL85:AL87)</f>
      </c>
      <c r="AM88" s="199">
        <f>SUM(AM85:AM87)</f>
      </c>
      <c r="AN88" s="199">
        <f>SUM(AN85:AN87)</f>
      </c>
      <c r="AO88" s="199">
        <f>SUM(AO85:AO87)</f>
      </c>
      <c r="AP88" s="199">
        <f>SUM(AP85:AP87)</f>
      </c>
      <c r="AQ88" s="199">
        <f>SUM(AQ85:AQ87)</f>
      </c>
      <c r="AR88" s="203">
        <f>SUM(AR85:AR87)</f>
      </c>
    </row>
    <row r="89">
      <c r="A89" s="182"/>
      <c r="B89" s="183" t="s">
        <v>191</v>
      </c>
      <c r="C89" s="184" t="s">
        <v>192</v>
      </c>
      <c r="D89" s="183" t="s">
        <v>207</v>
      </c>
      <c r="E89" s="183" t="s">
        <v>199</v>
      </c>
      <c r="F89" s="185">
        <f t="shared" ref="F89:F90" si="95">H89+G89</f>
      </c>
      <c r="G89" s="204">
        <v>914.37</v>
      </c>
      <c r="H89" s="204">
        <v>298.22</v>
      </c>
      <c r="I89" s="187">
        <v>2</v>
      </c>
      <c r="J89" s="192">
        <v>1</v>
      </c>
      <c r="K89" s="196">
        <v>474</v>
      </c>
      <c r="L89" s="189">
        <f t="shared" si="188"/>
      </c>
      <c r="M89" s="190">
        <f t="shared" si="410"/>
      </c>
      <c r="N89" s="191">
        <f t="shared" si="0"/>
      </c>
      <c r="O89" s="191">
        <f t="shared" si="293"/>
      </c>
      <c r="P89" s="191">
        <f t="shared" si="338"/>
      </c>
      <c r="Q89" s="191">
        <f t="shared" si="233"/>
      </c>
      <c r="R89" s="191">
        <f t="shared" si="263"/>
      </c>
      <c r="S89" s="191">
        <f t="shared" si="158"/>
      </c>
      <c r="T89" s="191">
        <f t="shared" si="203"/>
      </c>
      <c r="U89" s="189">
        <f t="shared" si="425"/>
      </c>
      <c r="V89" s="189">
        <f t="shared" si="15"/>
      </c>
      <c r="W89" s="189">
        <f t="shared" si="30"/>
      </c>
      <c r="X89" s="189">
        <f t="shared" si="45"/>
      </c>
      <c r="Y89" s="189">
        <f t="shared" si="308"/>
      </c>
      <c r="Z89" s="189">
        <f t="shared" si="353"/>
      </c>
      <c r="AA89" s="190">
        <f t="shared" si="248"/>
      </c>
      <c r="AB89" s="190">
        <f t="shared" si="278"/>
      </c>
      <c r="AC89" s="190">
        <f t="shared" si="173"/>
      </c>
      <c r="AD89" s="189">
        <f t="shared" si="218"/>
      </c>
      <c r="AE89" s="190">
        <f t="shared" si="440"/>
      </c>
      <c r="AF89" s="189">
        <f t="shared" si="60"/>
      </c>
      <c r="AG89" s="189">
        <f t="shared" si="323"/>
      </c>
      <c r="AH89" s="192">
        <v>9949</v>
      </c>
      <c r="AI89" s="192">
        <v>243</v>
      </c>
      <c r="AJ89" s="192">
        <v>265</v>
      </c>
      <c r="AK89" s="192">
        <v>54</v>
      </c>
      <c r="AL89" s="192">
        <v>2</v>
      </c>
      <c r="AM89" s="192">
        <v>1</v>
      </c>
      <c r="AN89" s="192">
        <v>46</v>
      </c>
      <c r="AO89" s="192">
        <v>19</v>
      </c>
      <c r="AP89" s="192">
        <v>3</v>
      </c>
      <c r="AQ89" s="187">
        <v>0</v>
      </c>
      <c r="AR89" s="194">
        <v>1</v>
      </c>
    </row>
    <row r="90">
      <c r="A90" s="182"/>
      <c r="B90" s="183" t="s">
        <v>191</v>
      </c>
      <c r="C90" s="184" t="s">
        <v>192</v>
      </c>
      <c r="D90" s="183" t="s">
        <v>207</v>
      </c>
      <c r="E90" s="183" t="s">
        <v>200</v>
      </c>
      <c r="F90" s="185">
        <f t="shared" si="95"/>
      </c>
      <c r="G90" s="204">
        <v>1579.41</v>
      </c>
      <c r="H90" s="204">
        <v>635.59</v>
      </c>
      <c r="I90" s="187">
        <v>5</v>
      </c>
      <c r="J90" s="187">
        <v>5</v>
      </c>
      <c r="K90" s="188">
        <v>2540.2000000000007</v>
      </c>
      <c r="L90" s="189">
        <f t="shared" si="188"/>
      </c>
      <c r="M90" s="190">
        <f t="shared" si="410"/>
      </c>
      <c r="N90" s="191">
        <f t="shared" si="0"/>
      </c>
      <c r="O90" s="191">
        <f t="shared" si="293"/>
      </c>
      <c r="P90" s="191">
        <f t="shared" si="338"/>
      </c>
      <c r="Q90" s="191">
        <f t="shared" si="233"/>
      </c>
      <c r="R90" s="191">
        <f t="shared" si="263"/>
      </c>
      <c r="S90" s="191">
        <f t="shared" si="158"/>
      </c>
      <c r="T90" s="191">
        <f t="shared" si="203"/>
      </c>
      <c r="U90" s="189">
        <f t="shared" si="425"/>
      </c>
      <c r="V90" s="189">
        <f t="shared" si="15"/>
      </c>
      <c r="W90" s="189">
        <f t="shared" si="30"/>
      </c>
      <c r="X90" s="189">
        <f t="shared" si="45"/>
      </c>
      <c r="Y90" s="189">
        <f t="shared" si="308"/>
      </c>
      <c r="Z90" s="189">
        <f t="shared" si="353"/>
      </c>
      <c r="AA90" s="190">
        <f t="shared" si="248"/>
      </c>
      <c r="AB90" s="190">
        <f t="shared" si="278"/>
      </c>
      <c r="AC90" s="190">
        <f t="shared" si="173"/>
      </c>
      <c r="AD90" s="189">
        <f t="shared" si="218"/>
      </c>
      <c r="AE90" s="190">
        <f t="shared" si="440"/>
      </c>
      <c r="AF90" s="189">
        <f t="shared" si="60"/>
      </c>
      <c r="AG90" s="189">
        <f t="shared" si="323"/>
      </c>
      <c r="AH90" s="192">
        <v>16425</v>
      </c>
      <c r="AI90" s="192">
        <v>371</v>
      </c>
      <c r="AJ90" s="192">
        <v>388</v>
      </c>
      <c r="AK90" s="192">
        <v>74</v>
      </c>
      <c r="AL90" s="192">
        <v>5</v>
      </c>
      <c r="AM90" s="192">
        <v>4</v>
      </c>
      <c r="AN90" s="192">
        <v>57</v>
      </c>
      <c r="AO90" s="192">
        <v>87</v>
      </c>
      <c r="AP90" s="192">
        <v>6</v>
      </c>
      <c r="AQ90" s="187">
        <v>0</v>
      </c>
      <c r="AR90" s="194">
        <v>1</v>
      </c>
    </row>
    <row r="91">
      <c r="A91" s="182"/>
      <c r="B91" s="197" t="s">
        <v>197</v>
      </c>
      <c r="C91" s="197"/>
      <c r="D91" s="197"/>
      <c r="E91" s="197"/>
      <c r="F91" s="198">
        <f>SUM(F89:F90)</f>
      </c>
      <c r="G91" s="198">
        <f>SUM(G89:G90)</f>
      </c>
      <c r="H91" s="198">
        <f>SUM(H89:H90)</f>
      </c>
      <c r="I91" s="199">
        <f>SUM(I89:I90)</f>
      </c>
      <c r="J91" s="199">
        <f>SUM(J89:J90)</f>
      </c>
      <c r="K91" s="198">
        <f>SUM(K89:K90)</f>
      </c>
      <c r="L91" s="200">
        <f t="shared" si="188"/>
      </c>
      <c r="M91" s="201">
        <f t="shared" si="410"/>
      </c>
      <c r="N91" s="202">
        <f t="shared" si="0"/>
      </c>
      <c r="O91" s="202">
        <f t="shared" si="293"/>
      </c>
      <c r="P91" s="202">
        <f t="shared" si="338"/>
      </c>
      <c r="Q91" s="202">
        <f t="shared" si="233"/>
      </c>
      <c r="R91" s="202">
        <f t="shared" si="263"/>
      </c>
      <c r="S91" s="202">
        <f t="shared" si="158"/>
      </c>
      <c r="T91" s="202">
        <f t="shared" si="203"/>
      </c>
      <c r="U91" s="200">
        <f t="shared" si="425"/>
      </c>
      <c r="V91" s="200">
        <f t="shared" si="15"/>
      </c>
      <c r="W91" s="200">
        <f t="shared" si="30"/>
      </c>
      <c r="X91" s="200">
        <f t="shared" si="45"/>
      </c>
      <c r="Y91" s="200">
        <f t="shared" si="308"/>
      </c>
      <c r="Z91" s="200">
        <f t="shared" si="353"/>
      </c>
      <c r="AA91" s="201">
        <f t="shared" si="248"/>
      </c>
      <c r="AB91" s="201">
        <f t="shared" si="278"/>
      </c>
      <c r="AC91" s="201">
        <f t="shared" si="173"/>
      </c>
      <c r="AD91" s="200">
        <f t="shared" si="218"/>
      </c>
      <c r="AE91" s="201">
        <f t="shared" si="440"/>
      </c>
      <c r="AF91" s="200">
        <f t="shared" si="60"/>
      </c>
      <c r="AG91" s="200">
        <f t="shared" si="323"/>
      </c>
      <c r="AH91" s="199">
        <f>SUM(AH89:AH90)</f>
      </c>
      <c r="AI91" s="199">
        <f>SUM(AI89:AI90)</f>
      </c>
      <c r="AJ91" s="199">
        <f>SUM(AJ89:AJ90)</f>
      </c>
      <c r="AK91" s="199">
        <f>SUM(AK89:AK90)</f>
      </c>
      <c r="AL91" s="199">
        <f>SUM(AL89:AL90)</f>
      </c>
      <c r="AM91" s="199">
        <f>SUM(AM89:AM90)</f>
      </c>
      <c r="AN91" s="199">
        <f>SUM(AN89:AN90)</f>
      </c>
      <c r="AO91" s="199">
        <f>SUM(AO89:AO90)</f>
      </c>
      <c r="AP91" s="199">
        <f>SUM(AP89:AP90)</f>
      </c>
      <c r="AQ91" s="199">
        <f>SUM(AQ89:AQ90)</f>
      </c>
      <c r="AR91" s="203">
        <f>SUM(AR89:AR90)</f>
      </c>
    </row>
    <row r="92">
      <c r="A92" s="182"/>
      <c r="B92" s="183" t="s">
        <v>191</v>
      </c>
      <c r="C92" s="184" t="s">
        <v>192</v>
      </c>
      <c r="D92" s="183" t="s">
        <v>206</v>
      </c>
      <c r="E92" s="184" t="s">
        <v>202</v>
      </c>
      <c r="F92" s="185">
        <f t="shared" ref="F92:F94" si="96">H92+G92</f>
      </c>
      <c r="G92" s="204">
        <v>2434.63</v>
      </c>
      <c r="H92" s="204">
        <v>1086.93</v>
      </c>
      <c r="I92" s="187">
        <v>7</v>
      </c>
      <c r="J92" s="187">
        <v>5</v>
      </c>
      <c r="K92" s="188">
        <v>2993.6000000000004</v>
      </c>
      <c r="L92" s="189">
        <f t="shared" si="188"/>
      </c>
      <c r="M92" s="190">
        <f t="shared" si="410"/>
      </c>
      <c r="N92" s="191">
        <f t="shared" si="0"/>
      </c>
      <c r="O92" s="191">
        <f t="shared" si="293"/>
      </c>
      <c r="P92" s="191">
        <f t="shared" si="338"/>
      </c>
      <c r="Q92" s="191">
        <f t="shared" si="233"/>
      </c>
      <c r="R92" s="191">
        <f t="shared" si="263"/>
      </c>
      <c r="S92" s="191">
        <f t="shared" si="158"/>
      </c>
      <c r="T92" s="191">
        <f t="shared" si="203"/>
      </c>
      <c r="U92" s="189">
        <f t="shared" si="425"/>
      </c>
      <c r="V92" s="189">
        <f t="shared" si="15"/>
      </c>
      <c r="W92" s="189">
        <f t="shared" si="30"/>
      </c>
      <c r="X92" s="189">
        <f t="shared" si="45"/>
      </c>
      <c r="Y92" s="189">
        <f t="shared" si="308"/>
      </c>
      <c r="Z92" s="189">
        <f t="shared" si="353"/>
      </c>
      <c r="AA92" s="190">
        <f t="shared" si="248"/>
      </c>
      <c r="AB92" s="190">
        <f t="shared" si="278"/>
      </c>
      <c r="AC92" s="190">
        <f t="shared" si="173"/>
      </c>
      <c r="AD92" s="189">
        <f t="shared" si="218"/>
      </c>
      <c r="AE92" s="190">
        <f t="shared" si="440"/>
      </c>
      <c r="AF92" s="189">
        <f t="shared" si="60"/>
      </c>
      <c r="AG92" s="189">
        <f t="shared" si="323"/>
      </c>
      <c r="AH92" s="192">
        <v>27924</v>
      </c>
      <c r="AI92" s="192">
        <v>787</v>
      </c>
      <c r="AJ92" s="192">
        <v>834</v>
      </c>
      <c r="AK92" s="192">
        <v>153</v>
      </c>
      <c r="AL92" s="192">
        <v>7</v>
      </c>
      <c r="AM92" s="192">
        <v>5</v>
      </c>
      <c r="AN92" s="192">
        <v>136</v>
      </c>
      <c r="AO92" s="192">
        <v>116</v>
      </c>
      <c r="AP92" s="192">
        <v>8</v>
      </c>
      <c r="AQ92" s="187">
        <v>0</v>
      </c>
      <c r="AR92" s="194">
        <v>1</v>
      </c>
    </row>
    <row r="93">
      <c r="A93" s="182"/>
      <c r="B93" s="183" t="s">
        <v>191</v>
      </c>
      <c r="C93" s="184" t="s">
        <v>192</v>
      </c>
      <c r="D93" s="183" t="s">
        <v>206</v>
      </c>
      <c r="E93" s="184" t="s">
        <v>203</v>
      </c>
      <c r="F93" s="185">
        <f t="shared" si="96"/>
      </c>
      <c r="G93" s="204">
        <v>1829.56</v>
      </c>
      <c r="H93" s="204">
        <v>1373.63</v>
      </c>
      <c r="I93" s="187">
        <v>5</v>
      </c>
      <c r="J93" s="192">
        <v>6</v>
      </c>
      <c r="K93" s="196">
        <v>3931.199999999999</v>
      </c>
      <c r="L93" s="189">
        <f t="shared" si="188"/>
      </c>
      <c r="M93" s="190">
        <f t="shared" si="410"/>
      </c>
      <c r="N93" s="191">
        <f t="shared" si="0"/>
      </c>
      <c r="O93" s="191">
        <f t="shared" si="293"/>
      </c>
      <c r="P93" s="191">
        <f t="shared" si="338"/>
      </c>
      <c r="Q93" s="191">
        <f t="shared" si="233"/>
      </c>
      <c r="R93" s="191">
        <f t="shared" si="263"/>
      </c>
      <c r="S93" s="191">
        <f t="shared" si="158"/>
      </c>
      <c r="T93" s="191">
        <f t="shared" si="203"/>
      </c>
      <c r="U93" s="189">
        <f t="shared" si="425"/>
      </c>
      <c r="V93" s="189">
        <f t="shared" si="15"/>
      </c>
      <c r="W93" s="189">
        <f t="shared" si="30"/>
      </c>
      <c r="X93" s="189">
        <f t="shared" si="45"/>
      </c>
      <c r="Y93" s="189">
        <f t="shared" si="308"/>
      </c>
      <c r="Z93" s="189">
        <f t="shared" si="353"/>
      </c>
      <c r="AA93" s="190">
        <f t="shared" si="248"/>
      </c>
      <c r="AB93" s="190">
        <f t="shared" si="278"/>
      </c>
      <c r="AC93" s="190">
        <f t="shared" si="173"/>
      </c>
      <c r="AD93" s="189">
        <f t="shared" si="218"/>
      </c>
      <c r="AE93" s="190">
        <f t="shared" si="440"/>
      </c>
      <c r="AF93" s="189">
        <f t="shared" si="60"/>
      </c>
      <c r="AG93" s="189">
        <f t="shared" si="323"/>
      </c>
      <c r="AH93" s="192">
        <v>26612</v>
      </c>
      <c r="AI93" s="192">
        <v>992</v>
      </c>
      <c r="AJ93" s="192">
        <v>1094</v>
      </c>
      <c r="AK93" s="192">
        <v>143</v>
      </c>
      <c r="AL93" s="192">
        <v>5</v>
      </c>
      <c r="AM93" s="192">
        <v>7</v>
      </c>
      <c r="AN93" s="192">
        <v>130</v>
      </c>
      <c r="AO93" s="192">
        <v>111</v>
      </c>
      <c r="AP93" s="192">
        <v>13</v>
      </c>
      <c r="AQ93" s="187">
        <v>0</v>
      </c>
      <c r="AR93" s="194">
        <v>1</v>
      </c>
    </row>
    <row r="94">
      <c r="A94" s="182"/>
      <c r="B94" s="183" t="s">
        <v>191</v>
      </c>
      <c r="C94" s="184" t="s">
        <v>192</v>
      </c>
      <c r="D94" s="183" t="s">
        <v>206</v>
      </c>
      <c r="E94" s="183" t="s">
        <v>204</v>
      </c>
      <c r="F94" s="185">
        <f t="shared" si="96"/>
      </c>
      <c r="G94" s="204">
        <v>1019.07</v>
      </c>
      <c r="H94" s="204">
        <v>837.53</v>
      </c>
      <c r="I94" s="187">
        <v>2</v>
      </c>
      <c r="J94" s="192">
        <v>3</v>
      </c>
      <c r="K94" s="196">
        <v>2132.3999999999996</v>
      </c>
      <c r="L94" s="189">
        <f t="shared" si="188"/>
      </c>
      <c r="M94" s="190">
        <f t="shared" si="410"/>
      </c>
      <c r="N94" s="191">
        <f t="shared" si="0"/>
      </c>
      <c r="O94" s="191">
        <f t="shared" si="293"/>
      </c>
      <c r="P94" s="191">
        <f t="shared" si="338"/>
      </c>
      <c r="Q94" s="191">
        <f t="shared" si="233"/>
      </c>
      <c r="R94" s="191">
        <f t="shared" si="263"/>
      </c>
      <c r="S94" s="191">
        <f t="shared" si="158"/>
      </c>
      <c r="T94" s="191">
        <f t="shared" si="203"/>
      </c>
      <c r="U94" s="189">
        <f t="shared" si="425"/>
      </c>
      <c r="V94" s="189">
        <f t="shared" si="15"/>
      </c>
      <c r="W94" s="189">
        <f t="shared" si="30"/>
      </c>
      <c r="X94" s="189">
        <f t="shared" si="45"/>
      </c>
      <c r="Y94" s="189">
        <f t="shared" si="308"/>
      </c>
      <c r="Z94" s="189">
        <f t="shared" si="353"/>
      </c>
      <c r="AA94" s="190">
        <f t="shared" si="248"/>
      </c>
      <c r="AB94" s="190">
        <f t="shared" si="278"/>
      </c>
      <c r="AC94" s="190">
        <f t="shared" si="173"/>
      </c>
      <c r="AD94" s="189">
        <f t="shared" si="218"/>
      </c>
      <c r="AE94" s="190">
        <f t="shared" si="440"/>
      </c>
      <c r="AF94" s="189">
        <f t="shared" si="60"/>
      </c>
      <c r="AG94" s="189">
        <f t="shared" si="323"/>
      </c>
      <c r="AH94" s="192">
        <v>16775</v>
      </c>
      <c r="AI94" s="192">
        <v>622</v>
      </c>
      <c r="AJ94" s="192">
        <v>685</v>
      </c>
      <c r="AK94" s="192">
        <v>72</v>
      </c>
      <c r="AL94" s="187">
        <v>2</v>
      </c>
      <c r="AM94" s="187">
        <v>2</v>
      </c>
      <c r="AN94" s="192">
        <v>61</v>
      </c>
      <c r="AO94" s="192">
        <v>57</v>
      </c>
      <c r="AP94" s="192">
        <v>4</v>
      </c>
      <c r="AQ94" s="187">
        <v>1</v>
      </c>
      <c r="AR94" s="194">
        <v>1</v>
      </c>
    </row>
    <row r="95">
      <c r="A95" s="182"/>
      <c r="B95" s="197" t="s">
        <v>197</v>
      </c>
      <c r="C95" s="197"/>
      <c r="D95" s="197"/>
      <c r="E95" s="197"/>
      <c r="F95" s="198">
        <f>SUM(F92:F94)</f>
      </c>
      <c r="G95" s="198">
        <f>SUM(G92:G94)</f>
      </c>
      <c r="H95" s="198">
        <f>SUM(H92:H94)</f>
      </c>
      <c r="I95" s="199">
        <f>SUM(I92:I94)</f>
      </c>
      <c r="J95" s="199">
        <f>SUM(J92:J94)</f>
      </c>
      <c r="K95" s="198">
        <f>SUM(K92:K94)</f>
      </c>
      <c r="L95" s="200">
        <f t="shared" si="188"/>
      </c>
      <c r="M95" s="201">
        <f t="shared" si="410"/>
      </c>
      <c r="N95" s="202">
        <f t="shared" si="0"/>
      </c>
      <c r="O95" s="202">
        <f t="shared" si="293"/>
      </c>
      <c r="P95" s="202">
        <f t="shared" si="338"/>
      </c>
      <c r="Q95" s="202">
        <f t="shared" si="233"/>
      </c>
      <c r="R95" s="202">
        <f t="shared" si="263"/>
      </c>
      <c r="S95" s="202">
        <f t="shared" si="158"/>
      </c>
      <c r="T95" s="202">
        <f t="shared" si="203"/>
      </c>
      <c r="U95" s="200">
        <f t="shared" si="425"/>
      </c>
      <c r="V95" s="200">
        <f t="shared" si="15"/>
      </c>
      <c r="W95" s="200">
        <f t="shared" si="30"/>
      </c>
      <c r="X95" s="200">
        <f t="shared" si="45"/>
      </c>
      <c r="Y95" s="200">
        <f t="shared" si="308"/>
      </c>
      <c r="Z95" s="200">
        <f t="shared" si="353"/>
      </c>
      <c r="AA95" s="201">
        <f t="shared" si="248"/>
      </c>
      <c r="AB95" s="201">
        <f t="shared" si="278"/>
      </c>
      <c r="AC95" s="201">
        <f t="shared" si="173"/>
      </c>
      <c r="AD95" s="200">
        <f t="shared" si="218"/>
      </c>
      <c r="AE95" s="201">
        <f t="shared" si="440"/>
      </c>
      <c r="AF95" s="200">
        <f t="shared" si="60"/>
      </c>
      <c r="AG95" s="200">
        <f t="shared" si="323"/>
      </c>
      <c r="AH95" s="199">
        <f>SUM(AH92:AH94)</f>
      </c>
      <c r="AI95" s="199">
        <f>SUM(AI92:AI94)</f>
      </c>
      <c r="AJ95" s="199">
        <f>SUM(AJ92:AJ94)</f>
      </c>
      <c r="AK95" s="199">
        <f>SUM(AK92:AK94)</f>
      </c>
      <c r="AL95" s="199">
        <f>SUM(AL92:AL94)</f>
      </c>
      <c r="AM95" s="199">
        <f>SUM(AM92:AM94)</f>
      </c>
      <c r="AN95" s="199">
        <f>SUM(AN92:AN94)</f>
      </c>
      <c r="AO95" s="199">
        <f>SUM(AO92:AO94)</f>
      </c>
      <c r="AP95" s="199">
        <f>SUM(AP92:AP94)</f>
      </c>
      <c r="AQ95" s="199">
        <f>SUM(AQ92:AQ94)</f>
      </c>
      <c r="AR95" s="203">
        <f>SUM(AR92:AR94)</f>
      </c>
    </row>
    <row r="96">
      <c r="A96" s="182"/>
      <c r="B96" s="205" t="s">
        <v>205</v>
      </c>
      <c r="C96" s="205"/>
      <c r="D96" s="205"/>
      <c r="E96" s="205"/>
      <c r="F96" s="206">
        <f t="shared" ref="F96:F99" si="97">H96+G96</f>
      </c>
      <c r="G96" s="206">
        <f>G88+G95+G91</f>
      </c>
      <c r="H96" s="206">
        <f>H88+H95+H91</f>
      </c>
      <c r="I96" s="206">
        <f>I88+I95+I91</f>
      </c>
      <c r="J96" s="206">
        <f>J88+J95+J91</f>
      </c>
      <c r="K96" s="206">
        <f>K88+K95+K91</f>
      </c>
      <c r="L96" s="207">
        <f t="shared" si="188"/>
      </c>
      <c r="M96" s="208">
        <f t="shared" si="410"/>
      </c>
      <c r="N96" s="209">
        <f t="shared" si="0"/>
      </c>
      <c r="O96" s="209">
        <f t="shared" si="293"/>
      </c>
      <c r="P96" s="209">
        <f t="shared" si="338"/>
      </c>
      <c r="Q96" s="209">
        <f t="shared" si="233"/>
      </c>
      <c r="R96" s="209">
        <f t="shared" si="263"/>
      </c>
      <c r="S96" s="209">
        <f t="shared" si="158"/>
      </c>
      <c r="T96" s="209">
        <f t="shared" si="203"/>
      </c>
      <c r="U96" s="207">
        <f t="shared" si="425"/>
      </c>
      <c r="V96" s="207">
        <f t="shared" si="15"/>
      </c>
      <c r="W96" s="207">
        <f t="shared" si="30"/>
      </c>
      <c r="X96" s="207">
        <f t="shared" si="45"/>
      </c>
      <c r="Y96" s="207">
        <f t="shared" si="308"/>
      </c>
      <c r="Z96" s="207">
        <f t="shared" si="353"/>
      </c>
      <c r="AA96" s="208">
        <f t="shared" si="248"/>
      </c>
      <c r="AB96" s="208">
        <f t="shared" si="278"/>
      </c>
      <c r="AC96" s="208">
        <f t="shared" si="173"/>
      </c>
      <c r="AD96" s="207">
        <f t="shared" si="218"/>
      </c>
      <c r="AE96" s="208">
        <f t="shared" si="440"/>
      </c>
      <c r="AF96" s="207">
        <f t="shared" si="60"/>
      </c>
      <c r="AG96" s="207">
        <f t="shared" si="323"/>
      </c>
      <c r="AH96" s="210">
        <f>AH88+AH95+AH91</f>
      </c>
      <c r="AI96" s="210">
        <f>AI88+AI95+AI91</f>
      </c>
      <c r="AJ96" s="210">
        <f>AJ88+AJ95+AJ91</f>
      </c>
      <c r="AK96" s="210">
        <f>AK88+AK95+AK91</f>
      </c>
      <c r="AL96" s="210">
        <f>AL88+AL95+AL91</f>
      </c>
      <c r="AM96" s="210">
        <f>AM88+AM95+AM91</f>
      </c>
      <c r="AN96" s="210">
        <f>AN88+AN95+AN91</f>
      </c>
      <c r="AO96" s="210">
        <f>AO88+AO95+AO91</f>
      </c>
      <c r="AP96" s="210">
        <f>AP88+AP95+AP91</f>
      </c>
      <c r="AQ96" s="210">
        <f>AQ88+AQ95+AQ91</f>
      </c>
      <c r="AR96" s="203">
        <f>AR88+AR95+AR91</f>
      </c>
    </row>
    <row r="97">
      <c r="A97" s="182">
        <v>46274</v>
      </c>
      <c r="B97" s="183" t="s">
        <v>191</v>
      </c>
      <c r="C97" s="184" t="s">
        <v>192</v>
      </c>
      <c r="D97" s="183" t="s">
        <v>198</v>
      </c>
      <c r="E97" s="183" t="s">
        <v>194</v>
      </c>
      <c r="F97" s="185">
        <f t="shared" si="97"/>
      </c>
      <c r="G97" s="204">
        <v>1358.61</v>
      </c>
      <c r="H97" s="204">
        <v>1212.05</v>
      </c>
      <c r="I97" s="187">
        <v>3</v>
      </c>
      <c r="J97" s="187">
        <v>4</v>
      </c>
      <c r="K97" s="188">
        <v>3242.2</v>
      </c>
      <c r="L97" s="189">
        <f t="shared" si="188"/>
      </c>
      <c r="M97" s="190">
        <f t="shared" si="410"/>
      </c>
      <c r="N97" s="191">
        <f t="shared" si="0"/>
      </c>
      <c r="O97" s="191">
        <f t="shared" si="293"/>
      </c>
      <c r="P97" s="191">
        <f t="shared" si="338"/>
      </c>
      <c r="Q97" s="191">
        <f t="shared" si="233"/>
      </c>
      <c r="R97" s="191">
        <f t="shared" si="263"/>
      </c>
      <c r="S97" s="191">
        <f t="shared" si="158"/>
      </c>
      <c r="T97" s="191">
        <f t="shared" si="203"/>
      </c>
      <c r="U97" s="189">
        <f t="shared" si="425"/>
      </c>
      <c r="V97" s="189">
        <f t="shared" si="15"/>
      </c>
      <c r="W97" s="189">
        <f t="shared" si="30"/>
      </c>
      <c r="X97" s="189">
        <f t="shared" si="45"/>
      </c>
      <c r="Y97" s="189">
        <f t="shared" si="308"/>
      </c>
      <c r="Z97" s="189">
        <f t="shared" si="353"/>
      </c>
      <c r="AA97" s="190">
        <f t="shared" si="248"/>
      </c>
      <c r="AB97" s="190">
        <f t="shared" si="278"/>
      </c>
      <c r="AC97" s="190">
        <f t="shared" si="173"/>
      </c>
      <c r="AD97" s="189">
        <f t="shared" si="218"/>
      </c>
      <c r="AE97" s="190">
        <f t="shared" si="440"/>
      </c>
      <c r="AF97" s="189">
        <f t="shared" si="60"/>
      </c>
      <c r="AG97" s="189">
        <f t="shared" si="323"/>
      </c>
      <c r="AH97" s="192">
        <v>15380</v>
      </c>
      <c r="AI97" s="193">
        <v>522</v>
      </c>
      <c r="AJ97" s="193">
        <v>587</v>
      </c>
      <c r="AK97" s="192">
        <v>84</v>
      </c>
      <c r="AL97" s="192">
        <v>3</v>
      </c>
      <c r="AM97" s="192">
        <v>3</v>
      </c>
      <c r="AN97" s="192">
        <v>75</v>
      </c>
      <c r="AO97" s="192">
        <v>51</v>
      </c>
      <c r="AP97" s="187">
        <v>9</v>
      </c>
      <c r="AQ97" s="187">
        <v>1</v>
      </c>
      <c r="AR97" s="194">
        <v>1</v>
      </c>
    </row>
    <row r="98">
      <c r="A98" s="182"/>
      <c r="B98" s="183" t="s">
        <v>191</v>
      </c>
      <c r="C98" s="184" t="s">
        <v>192</v>
      </c>
      <c r="D98" s="183" t="s">
        <v>198</v>
      </c>
      <c r="E98" s="183" t="s">
        <v>195</v>
      </c>
      <c r="F98" s="185">
        <f t="shared" si="97"/>
      </c>
      <c r="G98" s="212">
        <v>1084.93</v>
      </c>
      <c r="H98" s="204">
        <v>680.16</v>
      </c>
      <c r="I98" s="187">
        <v>1</v>
      </c>
      <c r="J98" s="187">
        <v>1</v>
      </c>
      <c r="K98" s="188">
        <v>474</v>
      </c>
      <c r="L98" s="189">
        <f t="shared" si="188"/>
      </c>
      <c r="M98" s="190">
        <f t="shared" si="410"/>
      </c>
      <c r="N98" s="191">
        <f t="shared" si="0"/>
      </c>
      <c r="O98" s="191">
        <f t="shared" si="293"/>
      </c>
      <c r="P98" s="191">
        <f t="shared" si="338"/>
      </c>
      <c r="Q98" s="191">
        <f t="shared" si="233"/>
      </c>
      <c r="R98" s="191">
        <f t="shared" si="263"/>
      </c>
      <c r="S98" s="191">
        <f t="shared" si="158"/>
      </c>
      <c r="T98" s="191">
        <f t="shared" si="203"/>
      </c>
      <c r="U98" s="189">
        <f t="shared" si="425"/>
      </c>
      <c r="V98" s="189">
        <f t="shared" si="15"/>
      </c>
      <c r="W98" s="189">
        <f t="shared" si="30"/>
      </c>
      <c r="X98" s="189">
        <f t="shared" si="45"/>
      </c>
      <c r="Y98" s="189">
        <f t="shared" si="308"/>
      </c>
      <c r="Z98" s="189">
        <f t="shared" si="353"/>
      </c>
      <c r="AA98" s="190">
        <f t="shared" si="248"/>
      </c>
      <c r="AB98" s="190">
        <f t="shared" si="278"/>
      </c>
      <c r="AC98" s="190">
        <f t="shared" si="173"/>
      </c>
      <c r="AD98" s="189">
        <f t="shared" si="218"/>
      </c>
      <c r="AE98" s="190">
        <f t="shared" si="440"/>
      </c>
      <c r="AF98" s="189">
        <f t="shared" si="60"/>
      </c>
      <c r="AG98" s="189">
        <f t="shared" si="323"/>
      </c>
      <c r="AH98" s="192">
        <v>11785</v>
      </c>
      <c r="AI98" s="192">
        <v>436</v>
      </c>
      <c r="AJ98" s="192">
        <v>506</v>
      </c>
      <c r="AK98" s="192">
        <v>57</v>
      </c>
      <c r="AL98" s="192">
        <v>0</v>
      </c>
      <c r="AM98" s="192">
        <v>0</v>
      </c>
      <c r="AN98" s="192">
        <v>71</v>
      </c>
      <c r="AO98" s="192">
        <v>45</v>
      </c>
      <c r="AP98" s="187">
        <v>7</v>
      </c>
      <c r="AQ98" s="187">
        <v>0</v>
      </c>
      <c r="AR98" s="194">
        <v>1</v>
      </c>
    </row>
    <row r="99">
      <c r="A99" s="182"/>
      <c r="B99" s="183" t="s">
        <v>191</v>
      </c>
      <c r="C99" s="184" t="s">
        <v>192</v>
      </c>
      <c r="D99" s="183" t="s">
        <v>198</v>
      </c>
      <c r="E99" s="183" t="s">
        <v>196</v>
      </c>
      <c r="F99" s="185">
        <f t="shared" si="97"/>
      </c>
      <c r="G99" s="204">
        <v>507.24</v>
      </c>
      <c r="H99" s="204">
        <v>493.31</v>
      </c>
      <c r="I99" s="187">
        <v>2</v>
      </c>
      <c r="J99" s="187">
        <v>1</v>
      </c>
      <c r="K99" s="188">
        <v>967.2000000000007</v>
      </c>
      <c r="L99" s="189">
        <f t="shared" si="188"/>
      </c>
      <c r="M99" s="190">
        <f t="shared" si="410"/>
      </c>
      <c r="N99" s="191">
        <f t="shared" si="0"/>
      </c>
      <c r="O99" s="191">
        <f t="shared" si="293"/>
      </c>
      <c r="P99" s="191">
        <f t="shared" si="338"/>
      </c>
      <c r="Q99" s="191">
        <f t="shared" si="233"/>
      </c>
      <c r="R99" s="191">
        <f t="shared" si="263"/>
      </c>
      <c r="S99" s="191">
        <f t="shared" si="158"/>
      </c>
      <c r="T99" s="191">
        <f t="shared" si="203"/>
      </c>
      <c r="U99" s="189">
        <f t="shared" si="425"/>
      </c>
      <c r="V99" s="189">
        <f t="shared" si="15"/>
      </c>
      <c r="W99" s="189">
        <f t="shared" si="30"/>
      </c>
      <c r="X99" s="189">
        <f t="shared" si="45"/>
      </c>
      <c r="Y99" s="189">
        <f t="shared" si="308"/>
      </c>
      <c r="Z99" s="189">
        <f t="shared" si="353"/>
      </c>
      <c r="AA99" s="190">
        <f t="shared" si="248"/>
      </c>
      <c r="AB99" s="190">
        <f t="shared" si="278"/>
      </c>
      <c r="AC99" s="190">
        <f t="shared" si="173"/>
      </c>
      <c r="AD99" s="189">
        <f t="shared" si="218"/>
      </c>
      <c r="AE99" s="190">
        <f t="shared" si="440"/>
      </c>
      <c r="AF99" s="189">
        <f t="shared" si="60"/>
      </c>
      <c r="AG99" s="189">
        <f t="shared" si="323"/>
      </c>
      <c r="AH99" s="192">
        <v>7682</v>
      </c>
      <c r="AI99" s="192">
        <v>284</v>
      </c>
      <c r="AJ99" s="192">
        <v>348</v>
      </c>
      <c r="AK99" s="192">
        <v>32</v>
      </c>
      <c r="AL99" s="192">
        <v>2</v>
      </c>
      <c r="AM99" s="192">
        <v>1</v>
      </c>
      <c r="AN99" s="192">
        <v>32</v>
      </c>
      <c r="AO99" s="192">
        <v>22</v>
      </c>
      <c r="AP99" s="192">
        <v>0</v>
      </c>
      <c r="AQ99" s="187">
        <v>0</v>
      </c>
      <c r="AR99" s="194">
        <v>1</v>
      </c>
    </row>
    <row r="100">
      <c r="A100" s="182"/>
      <c r="B100" s="197" t="s">
        <v>197</v>
      </c>
      <c r="C100" s="197"/>
      <c r="D100" s="197"/>
      <c r="E100" s="197"/>
      <c r="F100" s="198">
        <f>SUM(F97:F99)</f>
      </c>
      <c r="G100" s="198">
        <f>SUM(G97:G99)</f>
      </c>
      <c r="H100" s="198">
        <f>SUM(H97:H99)</f>
      </c>
      <c r="I100" s="199">
        <f>SUM(I97:I99)</f>
      </c>
      <c r="J100" s="199">
        <f>SUM(J97:J99)</f>
      </c>
      <c r="K100" s="198">
        <f>SUM(K97:K99)</f>
      </c>
      <c r="L100" s="200">
        <f t="shared" si="188"/>
      </c>
      <c r="M100" s="201">
        <f t="shared" si="410"/>
      </c>
      <c r="N100" s="202">
        <f t="shared" si="0"/>
      </c>
      <c r="O100" s="202">
        <f t="shared" si="293"/>
      </c>
      <c r="P100" s="202">
        <f t="shared" si="338"/>
      </c>
      <c r="Q100" s="202">
        <f t="shared" si="233"/>
      </c>
      <c r="R100" s="202">
        <f t="shared" si="263"/>
      </c>
      <c r="S100" s="202">
        <f t="shared" si="158"/>
      </c>
      <c r="T100" s="202">
        <f t="shared" si="203"/>
      </c>
      <c r="U100" s="200">
        <f t="shared" si="425"/>
      </c>
      <c r="V100" s="200">
        <f t="shared" si="15"/>
      </c>
      <c r="W100" s="200">
        <f t="shared" si="30"/>
      </c>
      <c r="X100" s="200">
        <f t="shared" si="45"/>
      </c>
      <c r="Y100" s="200">
        <f t="shared" si="308"/>
      </c>
      <c r="Z100" s="200">
        <f t="shared" si="353"/>
      </c>
      <c r="AA100" s="201">
        <f t="shared" si="248"/>
      </c>
      <c r="AB100" s="201">
        <f t="shared" si="278"/>
      </c>
      <c r="AC100" s="201">
        <f t="shared" si="173"/>
      </c>
      <c r="AD100" s="200">
        <f t="shared" si="218"/>
      </c>
      <c r="AE100" s="201">
        <f t="shared" si="440"/>
      </c>
      <c r="AF100" s="200">
        <f t="shared" si="60"/>
      </c>
      <c r="AG100" s="200">
        <f t="shared" si="323"/>
      </c>
      <c r="AH100" s="199">
        <f>SUM(AH97:AH99)</f>
      </c>
      <c r="AI100" s="199">
        <f>SUM(AI97:AI99)</f>
      </c>
      <c r="AJ100" s="199">
        <f>SUM(AJ97:AJ99)</f>
      </c>
      <c r="AK100" s="199">
        <f>SUM(AK97:AK99)</f>
      </c>
      <c r="AL100" s="199">
        <f>SUM(AL97:AL99)</f>
      </c>
      <c r="AM100" s="199">
        <f>SUM(AM97:AM99)</f>
      </c>
      <c r="AN100" s="199">
        <f>SUM(AN97:AN99)</f>
      </c>
      <c r="AO100" s="199">
        <f>SUM(AO97:AO99)</f>
      </c>
      <c r="AP100" s="199">
        <f>SUM(AP97:AP99)</f>
      </c>
      <c r="AQ100" s="199">
        <f>SUM(AQ97:AQ99)</f>
      </c>
      <c r="AR100" s="203">
        <f>SUM(AR97:AR99)</f>
      </c>
    </row>
    <row r="101">
      <c r="A101" s="182"/>
      <c r="B101" s="183" t="s">
        <v>191</v>
      </c>
      <c r="C101" s="184" t="s">
        <v>192</v>
      </c>
      <c r="D101" s="183" t="s">
        <v>207</v>
      </c>
      <c r="E101" s="183" t="s">
        <v>199</v>
      </c>
      <c r="F101" s="185">
        <f t="shared" ref="F101:F102" si="98">H101+G101</f>
      </c>
      <c r="G101" s="204">
        <v>759.98</v>
      </c>
      <c r="H101" s="204">
        <v>767.39</v>
      </c>
      <c r="I101" s="187">
        <v>2</v>
      </c>
      <c r="J101" s="192">
        <v>2</v>
      </c>
      <c r="K101" s="196">
        <v>1369</v>
      </c>
      <c r="L101" s="189">
        <f t="shared" si="188"/>
      </c>
      <c r="M101" s="190">
        <f t="shared" si="410"/>
      </c>
      <c r="N101" s="191">
        <f t="shared" si="0"/>
      </c>
      <c r="O101" s="191">
        <f t="shared" si="293"/>
      </c>
      <c r="P101" s="191">
        <f t="shared" si="338"/>
      </c>
      <c r="Q101" s="191">
        <f t="shared" si="233"/>
      </c>
      <c r="R101" s="191">
        <f t="shared" si="263"/>
      </c>
      <c r="S101" s="191">
        <f t="shared" si="158"/>
      </c>
      <c r="T101" s="191">
        <f t="shared" si="203"/>
      </c>
      <c r="U101" s="189">
        <f t="shared" si="425"/>
      </c>
      <c r="V101" s="189">
        <f t="shared" si="15"/>
      </c>
      <c r="W101" s="189">
        <f t="shared" si="30"/>
      </c>
      <c r="X101" s="189">
        <f t="shared" si="45"/>
      </c>
      <c r="Y101" s="189">
        <f t="shared" si="308"/>
      </c>
      <c r="Z101" s="189">
        <f t="shared" si="353"/>
      </c>
      <c r="AA101" s="190">
        <f t="shared" si="248"/>
      </c>
      <c r="AB101" s="190">
        <f t="shared" si="278"/>
      </c>
      <c r="AC101" s="190">
        <f t="shared" si="173"/>
      </c>
      <c r="AD101" s="189">
        <f t="shared" si="218"/>
      </c>
      <c r="AE101" s="190">
        <f t="shared" si="440"/>
      </c>
      <c r="AF101" s="189">
        <f t="shared" si="60"/>
      </c>
      <c r="AG101" s="189">
        <f t="shared" si="323"/>
      </c>
      <c r="AH101" s="192">
        <v>9819</v>
      </c>
      <c r="AI101" s="192">
        <v>358</v>
      </c>
      <c r="AJ101" s="192">
        <v>384</v>
      </c>
      <c r="AK101" s="192">
        <v>64</v>
      </c>
      <c r="AL101" s="192">
        <v>3</v>
      </c>
      <c r="AM101" s="192">
        <v>2</v>
      </c>
      <c r="AN101" s="192">
        <v>60</v>
      </c>
      <c r="AO101" s="192">
        <v>54</v>
      </c>
      <c r="AP101" s="192">
        <v>1</v>
      </c>
      <c r="AQ101" s="187">
        <v>0</v>
      </c>
      <c r="AR101" s="194">
        <v>1</v>
      </c>
    </row>
    <row r="102">
      <c r="A102" s="182"/>
      <c r="B102" s="183" t="s">
        <v>191</v>
      </c>
      <c r="C102" s="184" t="s">
        <v>192</v>
      </c>
      <c r="D102" s="183" t="s">
        <v>207</v>
      </c>
      <c r="E102" s="183" t="s">
        <v>200</v>
      </c>
      <c r="F102" s="185">
        <f t="shared" si="98"/>
      </c>
      <c r="G102" s="204">
        <v>1134.03</v>
      </c>
      <c r="H102" s="204">
        <v>556.04</v>
      </c>
      <c r="I102" s="187">
        <v>4</v>
      </c>
      <c r="J102" s="187">
        <v>6</v>
      </c>
      <c r="K102" s="188">
        <v>4141.8</v>
      </c>
      <c r="L102" s="189">
        <f t="shared" si="188"/>
      </c>
      <c r="M102" s="190">
        <f t="shared" si="410"/>
      </c>
      <c r="N102" s="191">
        <f t="shared" si="0"/>
      </c>
      <c r="O102" s="191">
        <f t="shared" si="293"/>
      </c>
      <c r="P102" s="191">
        <f t="shared" si="338"/>
      </c>
      <c r="Q102" s="191">
        <f t="shared" si="233"/>
      </c>
      <c r="R102" s="191">
        <f t="shared" si="263"/>
      </c>
      <c r="S102" s="191">
        <f t="shared" si="158"/>
      </c>
      <c r="T102" s="191">
        <f t="shared" si="203"/>
      </c>
      <c r="U102" s="189">
        <f t="shared" si="425"/>
      </c>
      <c r="V102" s="189">
        <f t="shared" si="15"/>
      </c>
      <c r="W102" s="189">
        <f t="shared" si="30"/>
      </c>
      <c r="X102" s="189">
        <f t="shared" si="45"/>
      </c>
      <c r="Y102" s="189">
        <f t="shared" si="308"/>
      </c>
      <c r="Z102" s="189">
        <f t="shared" si="353"/>
      </c>
      <c r="AA102" s="190">
        <f t="shared" si="248"/>
      </c>
      <c r="AB102" s="190">
        <f t="shared" si="278"/>
      </c>
      <c r="AC102" s="190">
        <f t="shared" si="173"/>
      </c>
      <c r="AD102" s="189">
        <f t="shared" si="218"/>
      </c>
      <c r="AE102" s="190">
        <f t="shared" si="440"/>
      </c>
      <c r="AF102" s="189">
        <f t="shared" si="60"/>
      </c>
      <c r="AG102" s="189">
        <f t="shared" si="323"/>
      </c>
      <c r="AH102" s="192">
        <v>10430</v>
      </c>
      <c r="AI102" s="192">
        <v>311</v>
      </c>
      <c r="AJ102" s="192">
        <v>354</v>
      </c>
      <c r="AK102" s="192">
        <v>59</v>
      </c>
      <c r="AL102" s="192">
        <v>1</v>
      </c>
      <c r="AM102" s="192">
        <v>2</v>
      </c>
      <c r="AN102" s="192">
        <v>50</v>
      </c>
      <c r="AO102" s="192">
        <v>42</v>
      </c>
      <c r="AP102" s="192">
        <v>1</v>
      </c>
      <c r="AQ102" s="187">
        <v>1</v>
      </c>
      <c r="AR102" s="194">
        <v>1</v>
      </c>
    </row>
    <row r="103">
      <c r="A103" s="182"/>
      <c r="B103" s="197" t="s">
        <v>197</v>
      </c>
      <c r="C103" s="197"/>
      <c r="D103" s="197"/>
      <c r="E103" s="197"/>
      <c r="F103" s="198">
        <f>SUM(F101:F102)</f>
      </c>
      <c r="G103" s="198">
        <f>SUM(G101:G102)</f>
      </c>
      <c r="H103" s="198">
        <f>SUM(H101:H102)</f>
      </c>
      <c r="I103" s="199">
        <f>SUM(I101:I102)</f>
      </c>
      <c r="J103" s="199">
        <f>SUM(J101:J102)</f>
      </c>
      <c r="K103" s="198">
        <f>SUM(K101:K102)</f>
      </c>
      <c r="L103" s="200">
        <f t="shared" si="188"/>
      </c>
      <c r="M103" s="201">
        <f t="shared" si="410"/>
      </c>
      <c r="N103" s="202">
        <f t="shared" si="0"/>
      </c>
      <c r="O103" s="202">
        <f t="shared" si="293"/>
      </c>
      <c r="P103" s="202">
        <f t="shared" si="338"/>
      </c>
      <c r="Q103" s="202">
        <f t="shared" si="233"/>
      </c>
      <c r="R103" s="202">
        <f t="shared" si="263"/>
      </c>
      <c r="S103" s="202">
        <f t="shared" si="158"/>
      </c>
      <c r="T103" s="202">
        <f t="shared" si="203"/>
      </c>
      <c r="U103" s="200">
        <f t="shared" si="425"/>
      </c>
      <c r="V103" s="200">
        <f t="shared" si="15"/>
      </c>
      <c r="W103" s="200">
        <f t="shared" si="30"/>
      </c>
      <c r="X103" s="200">
        <f t="shared" si="45"/>
      </c>
      <c r="Y103" s="200">
        <f t="shared" si="308"/>
      </c>
      <c r="Z103" s="200">
        <f t="shared" si="353"/>
      </c>
      <c r="AA103" s="201">
        <f t="shared" si="248"/>
      </c>
      <c r="AB103" s="201">
        <f t="shared" si="278"/>
      </c>
      <c r="AC103" s="201">
        <f t="shared" si="173"/>
      </c>
      <c r="AD103" s="200">
        <f t="shared" si="218"/>
      </c>
      <c r="AE103" s="201">
        <f t="shared" si="440"/>
      </c>
      <c r="AF103" s="200">
        <f t="shared" si="60"/>
      </c>
      <c r="AG103" s="200">
        <f t="shared" si="323"/>
      </c>
      <c r="AH103" s="199">
        <f>SUM(AH101:AH102)</f>
      </c>
      <c r="AI103" s="199">
        <f>SUM(AI101:AI102)</f>
      </c>
      <c r="AJ103" s="199">
        <f>SUM(AJ101:AJ102)</f>
      </c>
      <c r="AK103" s="199">
        <f>SUM(AK101:AK102)</f>
      </c>
      <c r="AL103" s="199">
        <f>SUM(AL101:AL102)</f>
      </c>
      <c r="AM103" s="199">
        <f>SUM(AM101:AM102)</f>
      </c>
      <c r="AN103" s="199">
        <f>SUM(AN101:AN102)</f>
      </c>
      <c r="AO103" s="199">
        <f>SUM(AO101:AO102)</f>
      </c>
      <c r="AP103" s="199">
        <f>SUM(AP101:AP102)</f>
      </c>
      <c r="AQ103" s="199">
        <f>SUM(AQ101:AQ102)</f>
      </c>
      <c r="AR103" s="203">
        <f>SUM(AR101:AR102)</f>
      </c>
    </row>
    <row r="104">
      <c r="A104" s="182"/>
      <c r="B104" s="183" t="s">
        <v>191</v>
      </c>
      <c r="C104" s="184" t="s">
        <v>192</v>
      </c>
      <c r="D104" s="183" t="s">
        <v>201</v>
      </c>
      <c r="E104" s="184" t="s">
        <v>202</v>
      </c>
      <c r="F104" s="185">
        <f t="shared" ref="F104:F106" si="99">H104+G104</f>
      </c>
      <c r="G104" s="204">
        <v>1894.48</v>
      </c>
      <c r="H104" s="204">
        <v>512.54</v>
      </c>
      <c r="I104" s="187">
        <v>2</v>
      </c>
      <c r="J104" s="187">
        <v>2</v>
      </c>
      <c r="K104" s="188">
        <v>1862.199999999999</v>
      </c>
      <c r="L104" s="189">
        <f t="shared" si="188"/>
      </c>
      <c r="M104" s="190">
        <f t="shared" si="410"/>
      </c>
      <c r="N104" s="191">
        <f t="shared" si="0"/>
      </c>
      <c r="O104" s="191">
        <f t="shared" si="293"/>
      </c>
      <c r="P104" s="191">
        <f t="shared" si="338"/>
      </c>
      <c r="Q104" s="191">
        <f t="shared" si="233"/>
      </c>
      <c r="R104" s="191">
        <f t="shared" si="263"/>
      </c>
      <c r="S104" s="191">
        <f t="shared" si="158"/>
      </c>
      <c r="T104" s="191">
        <f t="shared" si="203"/>
      </c>
      <c r="U104" s="189">
        <f t="shared" si="425"/>
      </c>
      <c r="V104" s="189">
        <f t="shared" si="15"/>
      </c>
      <c r="W104" s="189">
        <f t="shared" si="30"/>
      </c>
      <c r="X104" s="189">
        <f t="shared" si="45"/>
      </c>
      <c r="Y104" s="189">
        <f t="shared" si="308"/>
      </c>
      <c r="Z104" s="189">
        <f t="shared" si="353"/>
      </c>
      <c r="AA104" s="190">
        <f t="shared" si="248"/>
      </c>
      <c r="AB104" s="190">
        <f t="shared" si="278"/>
      </c>
      <c r="AC104" s="190">
        <f t="shared" si="173"/>
      </c>
      <c r="AD104" s="189">
        <f t="shared" si="218"/>
      </c>
      <c r="AE104" s="190">
        <f t="shared" si="440"/>
      </c>
      <c r="AF104" s="189">
        <f t="shared" si="60"/>
      </c>
      <c r="AG104" s="189">
        <f t="shared" si="323"/>
      </c>
      <c r="AH104" s="192">
        <v>15733</v>
      </c>
      <c r="AI104" s="192">
        <v>360</v>
      </c>
      <c r="AJ104" s="192">
        <v>365</v>
      </c>
      <c r="AK104" s="192">
        <v>91</v>
      </c>
      <c r="AL104" s="192">
        <v>3</v>
      </c>
      <c r="AM104" s="192">
        <v>4</v>
      </c>
      <c r="AN104" s="192">
        <v>80</v>
      </c>
      <c r="AO104" s="192">
        <v>68</v>
      </c>
      <c r="AP104" s="192">
        <v>2</v>
      </c>
      <c r="AQ104" s="187">
        <v>0</v>
      </c>
      <c r="AR104" s="194">
        <v>1</v>
      </c>
    </row>
    <row r="105">
      <c r="A105" s="182"/>
      <c r="B105" s="183" t="s">
        <v>191</v>
      </c>
      <c r="C105" s="184" t="s">
        <v>192</v>
      </c>
      <c r="D105" s="183" t="s">
        <v>201</v>
      </c>
      <c r="E105" s="184" t="s">
        <v>203</v>
      </c>
      <c r="F105" s="185">
        <f t="shared" si="99"/>
      </c>
      <c r="G105" s="204">
        <v>2135.56</v>
      </c>
      <c r="H105" s="204">
        <v>393.03</v>
      </c>
      <c r="I105" s="187">
        <v>5</v>
      </c>
      <c r="J105" s="192">
        <v>3</v>
      </c>
      <c r="K105" s="196">
        <v>2797.199999999999</v>
      </c>
      <c r="L105" s="189">
        <f t="shared" si="188"/>
      </c>
      <c r="M105" s="190">
        <f t="shared" si="410"/>
      </c>
      <c r="N105" s="191">
        <f t="shared" si="0"/>
      </c>
      <c r="O105" s="191">
        <f t="shared" si="293"/>
      </c>
      <c r="P105" s="191">
        <f t="shared" si="338"/>
      </c>
      <c r="Q105" s="191">
        <f t="shared" si="233"/>
      </c>
      <c r="R105" s="191">
        <f t="shared" si="263"/>
      </c>
      <c r="S105" s="191">
        <f t="shared" si="158"/>
      </c>
      <c r="T105" s="191">
        <f t="shared" si="203"/>
      </c>
      <c r="U105" s="189">
        <f t="shared" si="425"/>
      </c>
      <c r="V105" s="189">
        <f t="shared" si="15"/>
      </c>
      <c r="W105" s="189">
        <f t="shared" si="30"/>
      </c>
      <c r="X105" s="189">
        <f t="shared" si="45"/>
      </c>
      <c r="Y105" s="189">
        <f t="shared" si="308"/>
      </c>
      <c r="Z105" s="189">
        <f t="shared" si="353"/>
      </c>
      <c r="AA105" s="190">
        <f t="shared" si="248"/>
      </c>
      <c r="AB105" s="190">
        <f t="shared" si="278"/>
      </c>
      <c r="AC105" s="190">
        <f t="shared" si="173"/>
      </c>
      <c r="AD105" s="189">
        <f t="shared" si="218"/>
      </c>
      <c r="AE105" s="190">
        <f t="shared" si="440"/>
      </c>
      <c r="AF105" s="189">
        <f t="shared" si="60"/>
      </c>
      <c r="AG105" s="189">
        <f t="shared" si="323"/>
      </c>
      <c r="AH105" s="192">
        <v>17819</v>
      </c>
      <c r="AI105" s="192">
        <v>395</v>
      </c>
      <c r="AJ105" s="192">
        <v>419</v>
      </c>
      <c r="AK105" s="192">
        <v>117</v>
      </c>
      <c r="AL105" s="192">
        <v>5</v>
      </c>
      <c r="AM105" s="192">
        <v>3</v>
      </c>
      <c r="AN105" s="192">
        <v>83</v>
      </c>
      <c r="AO105" s="192">
        <v>83</v>
      </c>
      <c r="AP105" s="192">
        <v>5</v>
      </c>
      <c r="AQ105" s="187">
        <v>0</v>
      </c>
      <c r="AR105" s="194">
        <v>1</v>
      </c>
    </row>
    <row r="106">
      <c r="A106" s="182"/>
      <c r="B106" s="183" t="s">
        <v>191</v>
      </c>
      <c r="C106" s="184" t="s">
        <v>192</v>
      </c>
      <c r="D106" s="183" t="s">
        <v>201</v>
      </c>
      <c r="E106" s="183" t="s">
        <v>204</v>
      </c>
      <c r="F106" s="185">
        <f t="shared" si="99"/>
      </c>
      <c r="G106" s="204">
        <v>717.77</v>
      </c>
      <c r="H106" s="204">
        <v>304.69</v>
      </c>
      <c r="I106" s="187">
        <v>3</v>
      </c>
      <c r="J106" s="192">
        <v>4</v>
      </c>
      <c r="K106" s="196">
        <v>2784</v>
      </c>
      <c r="L106" s="189">
        <f t="shared" si="188"/>
      </c>
      <c r="M106" s="190">
        <f t="shared" si="410"/>
      </c>
      <c r="N106" s="191">
        <f t="shared" si="0"/>
      </c>
      <c r="O106" s="191">
        <f t="shared" si="293"/>
      </c>
      <c r="P106" s="191">
        <f t="shared" si="338"/>
      </c>
      <c r="Q106" s="191">
        <f t="shared" si="233"/>
      </c>
      <c r="R106" s="191">
        <f t="shared" si="263"/>
      </c>
      <c r="S106" s="191">
        <f t="shared" si="158"/>
      </c>
      <c r="T106" s="191">
        <f t="shared" si="203"/>
      </c>
      <c r="U106" s="189">
        <f t="shared" si="425"/>
      </c>
      <c r="V106" s="189">
        <f t="shared" si="15"/>
      </c>
      <c r="W106" s="189">
        <f t="shared" si="30"/>
      </c>
      <c r="X106" s="189">
        <f t="shared" si="45"/>
      </c>
      <c r="Y106" s="189">
        <f t="shared" si="308"/>
      </c>
      <c r="Z106" s="189">
        <f t="shared" si="353"/>
      </c>
      <c r="AA106" s="190">
        <f t="shared" si="248"/>
      </c>
      <c r="AB106" s="190">
        <f t="shared" si="278"/>
      </c>
      <c r="AC106" s="190">
        <f t="shared" si="173"/>
      </c>
      <c r="AD106" s="189">
        <f t="shared" si="218"/>
      </c>
      <c r="AE106" s="190">
        <f t="shared" si="440"/>
      </c>
      <c r="AF106" s="189">
        <f t="shared" si="60"/>
      </c>
      <c r="AG106" s="189">
        <f t="shared" si="323"/>
      </c>
      <c r="AH106" s="192">
        <v>7589</v>
      </c>
      <c r="AI106" s="192">
        <v>232</v>
      </c>
      <c r="AJ106" s="192">
        <v>255</v>
      </c>
      <c r="AK106" s="192">
        <v>49</v>
      </c>
      <c r="AL106" s="187">
        <v>4</v>
      </c>
      <c r="AM106" s="187">
        <v>3</v>
      </c>
      <c r="AN106" s="192">
        <v>47</v>
      </c>
      <c r="AO106" s="192">
        <v>56</v>
      </c>
      <c r="AP106" s="192">
        <v>5</v>
      </c>
      <c r="AQ106" s="187">
        <v>1</v>
      </c>
      <c r="AR106" s="194">
        <v>1</v>
      </c>
    </row>
    <row r="107">
      <c r="A107" s="182"/>
      <c r="B107" s="197" t="s">
        <v>197</v>
      </c>
      <c r="C107" s="197"/>
      <c r="D107" s="197"/>
      <c r="E107" s="197"/>
      <c r="F107" s="198">
        <f>SUM(F104:F106)</f>
      </c>
      <c r="G107" s="198">
        <f>SUM(G104:G106)</f>
      </c>
      <c r="H107" s="198">
        <f>SUM(H104:H106)</f>
      </c>
      <c r="I107" s="199">
        <f>SUM(I104:I106)</f>
      </c>
      <c r="J107" s="199">
        <f>SUM(J104:J106)</f>
      </c>
      <c r="K107" s="198">
        <f>SUM(K104:K106)</f>
      </c>
      <c r="L107" s="200">
        <f t="shared" si="188"/>
      </c>
      <c r="M107" s="201">
        <f t="shared" si="410"/>
      </c>
      <c r="N107" s="202">
        <f t="shared" si="0"/>
      </c>
      <c r="O107" s="202">
        <f t="shared" si="293"/>
      </c>
      <c r="P107" s="202">
        <f t="shared" si="338"/>
      </c>
      <c r="Q107" s="202">
        <f t="shared" si="233"/>
      </c>
      <c r="R107" s="202">
        <f t="shared" si="263"/>
      </c>
      <c r="S107" s="202">
        <f t="shared" si="158"/>
      </c>
      <c r="T107" s="202">
        <f t="shared" si="203"/>
      </c>
      <c r="U107" s="200">
        <f t="shared" si="425"/>
      </c>
      <c r="V107" s="200">
        <f t="shared" si="15"/>
      </c>
      <c r="W107" s="200">
        <f t="shared" si="30"/>
      </c>
      <c r="X107" s="200">
        <f t="shared" si="45"/>
      </c>
      <c r="Y107" s="200">
        <f t="shared" si="308"/>
      </c>
      <c r="Z107" s="200">
        <f t="shared" si="353"/>
      </c>
      <c r="AA107" s="201">
        <f t="shared" si="248"/>
      </c>
      <c r="AB107" s="201">
        <f t="shared" si="278"/>
      </c>
      <c r="AC107" s="201">
        <f t="shared" si="173"/>
      </c>
      <c r="AD107" s="200">
        <f t="shared" si="218"/>
      </c>
      <c r="AE107" s="201">
        <f t="shared" si="440"/>
      </c>
      <c r="AF107" s="200">
        <f t="shared" si="60"/>
      </c>
      <c r="AG107" s="200">
        <f t="shared" si="323"/>
      </c>
      <c r="AH107" s="199">
        <f>SUM(AH104:AH106)</f>
      </c>
      <c r="AI107" s="199">
        <f>SUM(AI104:AI106)</f>
      </c>
      <c r="AJ107" s="199">
        <f>SUM(AJ104:AJ106)</f>
      </c>
      <c r="AK107" s="199">
        <f>SUM(AK104:AK106)</f>
      </c>
      <c r="AL107" s="199">
        <f>SUM(AL104:AL106)</f>
      </c>
      <c r="AM107" s="199">
        <f>SUM(AM104:AM106)</f>
      </c>
      <c r="AN107" s="199">
        <f>SUM(AN104:AN106)</f>
      </c>
      <c r="AO107" s="199">
        <f>SUM(AO104:AO106)</f>
      </c>
      <c r="AP107" s="199">
        <f>SUM(AP104:AP106)</f>
      </c>
      <c r="AQ107" s="199">
        <f>SUM(AQ104:AQ106)</f>
      </c>
      <c r="AR107" s="203">
        <f>SUM(AR104:AR106)</f>
      </c>
    </row>
    <row r="108">
      <c r="A108" s="182"/>
      <c r="B108" s="205" t="s">
        <v>205</v>
      </c>
      <c r="C108" s="205"/>
      <c r="D108" s="205"/>
      <c r="E108" s="205"/>
      <c r="F108" s="206">
        <f t="shared" ref="F108:F111" si="100">H108+G108</f>
      </c>
      <c r="G108" s="206">
        <f>G100+G107+G103</f>
      </c>
      <c r="H108" s="206">
        <f>H100+H107+H103</f>
      </c>
      <c r="I108" s="206">
        <f>I100+I107+I103</f>
      </c>
      <c r="J108" s="206">
        <f>J100+J107+J103</f>
      </c>
      <c r="K108" s="206">
        <f>K100+K107+K103</f>
      </c>
      <c r="L108" s="207">
        <f t="shared" si="188"/>
      </c>
      <c r="M108" s="208">
        <f t="shared" si="410"/>
      </c>
      <c r="N108" s="209">
        <f t="shared" si="0"/>
      </c>
      <c r="O108" s="209">
        <f t="shared" si="293"/>
      </c>
      <c r="P108" s="209">
        <f t="shared" si="338"/>
      </c>
      <c r="Q108" s="209">
        <f t="shared" si="233"/>
      </c>
      <c r="R108" s="209">
        <f t="shared" si="263"/>
      </c>
      <c r="S108" s="209">
        <f t="shared" si="158"/>
      </c>
      <c r="T108" s="209">
        <f t="shared" si="203"/>
      </c>
      <c r="U108" s="207">
        <f t="shared" si="425"/>
      </c>
      <c r="V108" s="207">
        <f t="shared" si="15"/>
      </c>
      <c r="W108" s="207">
        <f t="shared" si="30"/>
      </c>
      <c r="X108" s="207">
        <f t="shared" si="45"/>
      </c>
      <c r="Y108" s="207">
        <f t="shared" si="308"/>
      </c>
      <c r="Z108" s="207">
        <f t="shared" si="353"/>
      </c>
      <c r="AA108" s="208">
        <f t="shared" si="248"/>
      </c>
      <c r="AB108" s="208">
        <f t="shared" si="278"/>
      </c>
      <c r="AC108" s="208">
        <f t="shared" si="173"/>
      </c>
      <c r="AD108" s="207">
        <f t="shared" si="218"/>
      </c>
      <c r="AE108" s="208">
        <f t="shared" si="440"/>
      </c>
      <c r="AF108" s="207">
        <f t="shared" si="60"/>
      </c>
      <c r="AG108" s="207">
        <f t="shared" si="323"/>
      </c>
      <c r="AH108" s="210">
        <f>AH100+AH107+AH103</f>
      </c>
      <c r="AI108" s="210">
        <f>AI100+AI107+AI103</f>
      </c>
      <c r="AJ108" s="210">
        <f>AJ100+AJ107+AJ103</f>
      </c>
      <c r="AK108" s="210">
        <f>AK100+AK107+AK103</f>
      </c>
      <c r="AL108" s="210">
        <f>AL100+AL107+AL103</f>
      </c>
      <c r="AM108" s="210">
        <f>AM100+AM107+AM103</f>
      </c>
      <c r="AN108" s="210">
        <f>AN100+AN107+AN103</f>
      </c>
      <c r="AO108" s="210">
        <f>AO100+AO107+AO103</f>
      </c>
      <c r="AP108" s="210">
        <f>AP100+AP107+AP103</f>
      </c>
      <c r="AQ108" s="210">
        <f>AQ100+AQ107+AQ103</f>
      </c>
      <c r="AR108" s="203">
        <f>AR100+AR107+AR103</f>
      </c>
    </row>
    <row r="109">
      <c r="A109" s="182">
        <v>46275</v>
      </c>
      <c r="B109" s="183" t="s">
        <v>191</v>
      </c>
      <c r="C109" s="184" t="s">
        <v>192</v>
      </c>
      <c r="D109" s="183" t="s">
        <v>206</v>
      </c>
      <c r="E109" s="183" t="s">
        <v>194</v>
      </c>
      <c r="F109" s="185">
        <f t="shared" si="100"/>
      </c>
      <c r="G109" s="204">
        <v>951.91</v>
      </c>
      <c r="H109" s="204">
        <v>617.21</v>
      </c>
      <c r="I109" s="187">
        <v>2</v>
      </c>
      <c r="J109" s="187">
        <v>1</v>
      </c>
      <c r="K109" s="188">
        <v>895</v>
      </c>
      <c r="L109" s="189">
        <f t="shared" si="188"/>
      </c>
      <c r="M109" s="190">
        <f t="shared" si="410"/>
      </c>
      <c r="N109" s="191">
        <f t="shared" si="0"/>
      </c>
      <c r="O109" s="191">
        <f t="shared" si="293"/>
      </c>
      <c r="P109" s="191">
        <f t="shared" si="338"/>
      </c>
      <c r="Q109" s="191">
        <f t="shared" si="233"/>
      </c>
      <c r="R109" s="191">
        <f t="shared" si="263"/>
      </c>
      <c r="S109" s="191">
        <f t="shared" si="158"/>
      </c>
      <c r="T109" s="191">
        <f t="shared" si="203"/>
      </c>
      <c r="U109" s="189">
        <f t="shared" si="425"/>
      </c>
      <c r="V109" s="189">
        <f t="shared" si="15"/>
      </c>
      <c r="W109" s="189">
        <f t="shared" si="30"/>
      </c>
      <c r="X109" s="189">
        <f t="shared" si="45"/>
      </c>
      <c r="Y109" s="189">
        <f t="shared" si="308"/>
      </c>
      <c r="Z109" s="189">
        <f t="shared" si="353"/>
      </c>
      <c r="AA109" s="190">
        <f t="shared" si="248"/>
      </c>
      <c r="AB109" s="190">
        <f t="shared" si="278"/>
      </c>
      <c r="AC109" s="190">
        <f t="shared" si="173"/>
      </c>
      <c r="AD109" s="189">
        <f t="shared" si="218"/>
      </c>
      <c r="AE109" s="190">
        <f t="shared" si="440"/>
      </c>
      <c r="AF109" s="189">
        <f t="shared" si="60"/>
      </c>
      <c r="AG109" s="189">
        <f t="shared" si="323"/>
      </c>
      <c r="AH109" s="192">
        <v>8947</v>
      </c>
      <c r="AI109" s="193">
        <v>290</v>
      </c>
      <c r="AJ109" s="193">
        <v>321</v>
      </c>
      <c r="AK109" s="192">
        <v>50</v>
      </c>
      <c r="AL109" s="192">
        <v>2</v>
      </c>
      <c r="AM109" s="192">
        <v>1</v>
      </c>
      <c r="AN109" s="192">
        <v>44</v>
      </c>
      <c r="AO109" s="192">
        <v>28</v>
      </c>
      <c r="AP109" s="187">
        <v>1</v>
      </c>
      <c r="AQ109" s="187">
        <v>0</v>
      </c>
      <c r="AR109" s="194">
        <v>1</v>
      </c>
    </row>
    <row r="110">
      <c r="A110" s="182"/>
      <c r="B110" s="183" t="s">
        <v>191</v>
      </c>
      <c r="C110" s="184" t="s">
        <v>192</v>
      </c>
      <c r="D110" s="183" t="s">
        <v>206</v>
      </c>
      <c r="E110" s="183" t="s">
        <v>195</v>
      </c>
      <c r="F110" s="185">
        <f t="shared" si="100"/>
      </c>
      <c r="G110" s="212">
        <v>821.15</v>
      </c>
      <c r="H110" s="204">
        <v>435.94</v>
      </c>
      <c r="I110" s="187">
        <v>3</v>
      </c>
      <c r="J110" s="187">
        <v>5</v>
      </c>
      <c r="K110" s="188">
        <v>2870.2000000000003</v>
      </c>
      <c r="L110" s="189">
        <f t="shared" si="188"/>
      </c>
      <c r="M110" s="190">
        <f t="shared" si="410"/>
      </c>
      <c r="N110" s="191">
        <f t="shared" si="0"/>
      </c>
      <c r="O110" s="191">
        <f t="shared" si="293"/>
      </c>
      <c r="P110" s="191">
        <f t="shared" si="338"/>
      </c>
      <c r="Q110" s="191">
        <f t="shared" si="233"/>
      </c>
      <c r="R110" s="191">
        <f t="shared" si="263"/>
      </c>
      <c r="S110" s="191">
        <f t="shared" si="158"/>
      </c>
      <c r="T110" s="191">
        <f t="shared" si="203"/>
      </c>
      <c r="U110" s="189">
        <f t="shared" si="425"/>
      </c>
      <c r="V110" s="189">
        <f t="shared" si="15"/>
      </c>
      <c r="W110" s="189">
        <f t="shared" si="30"/>
      </c>
      <c r="X110" s="189">
        <f t="shared" si="45"/>
      </c>
      <c r="Y110" s="189">
        <f t="shared" si="308"/>
      </c>
      <c r="Z110" s="189">
        <f t="shared" si="353"/>
      </c>
      <c r="AA110" s="190">
        <f t="shared" si="248"/>
      </c>
      <c r="AB110" s="190">
        <f t="shared" si="278"/>
      </c>
      <c r="AC110" s="190">
        <f t="shared" si="173"/>
      </c>
      <c r="AD110" s="189">
        <f t="shared" si="218"/>
      </c>
      <c r="AE110" s="190">
        <f t="shared" si="440"/>
      </c>
      <c r="AF110" s="189">
        <f t="shared" si="60"/>
      </c>
      <c r="AG110" s="189">
        <f t="shared" si="323"/>
      </c>
      <c r="AH110" s="192">
        <v>8586</v>
      </c>
      <c r="AI110" s="192">
        <v>241</v>
      </c>
      <c r="AJ110" s="192">
        <v>284</v>
      </c>
      <c r="AK110" s="192">
        <v>47</v>
      </c>
      <c r="AL110" s="192">
        <v>3</v>
      </c>
      <c r="AM110" s="192">
        <v>3</v>
      </c>
      <c r="AN110" s="192">
        <v>47</v>
      </c>
      <c r="AO110" s="192">
        <v>44</v>
      </c>
      <c r="AP110" s="187">
        <v>1</v>
      </c>
      <c r="AQ110" s="187">
        <v>2</v>
      </c>
      <c r="AR110" s="194">
        <v>1</v>
      </c>
    </row>
    <row r="111">
      <c r="A111" s="182"/>
      <c r="B111" s="183" t="s">
        <v>191</v>
      </c>
      <c r="C111" s="184" t="s">
        <v>192</v>
      </c>
      <c r="D111" s="183" t="s">
        <v>206</v>
      </c>
      <c r="E111" s="183" t="s">
        <v>196</v>
      </c>
      <c r="F111" s="185">
        <f t="shared" si="100"/>
      </c>
      <c r="G111" s="204">
        <v>518.79</v>
      </c>
      <c r="H111" s="204">
        <v>376.14</v>
      </c>
      <c r="I111" s="187">
        <v>1</v>
      </c>
      <c r="J111" s="187">
        <v>1</v>
      </c>
      <c r="K111" s="188">
        <v>862.7999999999997</v>
      </c>
      <c r="L111" s="189">
        <f t="shared" si="188"/>
      </c>
      <c r="M111" s="190">
        <f t="shared" si="410"/>
      </c>
      <c r="N111" s="191">
        <f t="shared" si="0"/>
      </c>
      <c r="O111" s="191">
        <f t="shared" si="293"/>
      </c>
      <c r="P111" s="191">
        <f t="shared" si="338"/>
      </c>
      <c r="Q111" s="191">
        <f t="shared" si="233"/>
      </c>
      <c r="R111" s="191">
        <f t="shared" si="263"/>
      </c>
      <c r="S111" s="191">
        <f t="shared" si="158"/>
      </c>
      <c r="T111" s="191">
        <f t="shared" si="203"/>
      </c>
      <c r="U111" s="189">
        <f t="shared" si="425"/>
      </c>
      <c r="V111" s="189">
        <f t="shared" si="15"/>
      </c>
      <c r="W111" s="189">
        <f t="shared" si="30"/>
      </c>
      <c r="X111" s="189">
        <f t="shared" si="45"/>
      </c>
      <c r="Y111" s="189">
        <f t="shared" si="308"/>
      </c>
      <c r="Z111" s="189">
        <f t="shared" si="353"/>
      </c>
      <c r="AA111" s="190">
        <f t="shared" si="248"/>
      </c>
      <c r="AB111" s="190">
        <f t="shared" si="278"/>
      </c>
      <c r="AC111" s="190">
        <f t="shared" si="173"/>
      </c>
      <c r="AD111" s="189">
        <f t="shared" si="218"/>
      </c>
      <c r="AE111" s="190">
        <f t="shared" si="440"/>
      </c>
      <c r="AF111" s="189">
        <f t="shared" si="60"/>
      </c>
      <c r="AG111" s="189">
        <f t="shared" si="323"/>
      </c>
      <c r="AH111" s="192">
        <v>6829</v>
      </c>
      <c r="AI111" s="192">
        <v>176</v>
      </c>
      <c r="AJ111" s="192">
        <v>213</v>
      </c>
      <c r="AK111" s="192">
        <v>31</v>
      </c>
      <c r="AL111" s="192">
        <v>1</v>
      </c>
      <c r="AM111" s="192">
        <v>1</v>
      </c>
      <c r="AN111" s="192">
        <v>25</v>
      </c>
      <c r="AO111" s="192">
        <v>27</v>
      </c>
      <c r="AP111" s="192">
        <v>2</v>
      </c>
      <c r="AQ111" s="187">
        <v>0</v>
      </c>
      <c r="AR111" s="194">
        <v>1</v>
      </c>
    </row>
    <row r="112">
      <c r="A112" s="182"/>
      <c r="B112" s="197" t="s">
        <v>197</v>
      </c>
      <c r="C112" s="197"/>
      <c r="D112" s="197"/>
      <c r="E112" s="197"/>
      <c r="F112" s="198">
        <f>SUM(F109:F111)</f>
      </c>
      <c r="G112" s="198">
        <f>SUM(G109:G111)</f>
      </c>
      <c r="H112" s="198">
        <f>SUM(H109:H111)</f>
      </c>
      <c r="I112" s="199">
        <f>SUM(I109:I111)</f>
      </c>
      <c r="J112" s="199">
        <f>SUM(J109:J111)</f>
      </c>
      <c r="K112" s="198">
        <f>SUM(K109:K111)</f>
      </c>
      <c r="L112" s="200">
        <f t="shared" si="188"/>
      </c>
      <c r="M112" s="201">
        <f t="shared" si="410"/>
      </c>
      <c r="N112" s="202">
        <f t="shared" si="0"/>
      </c>
      <c r="O112" s="202">
        <f t="shared" si="293"/>
      </c>
      <c r="P112" s="202">
        <f t="shared" si="338"/>
      </c>
      <c r="Q112" s="202">
        <f t="shared" si="233"/>
      </c>
      <c r="R112" s="202">
        <f t="shared" si="263"/>
      </c>
      <c r="S112" s="202">
        <f t="shared" si="158"/>
      </c>
      <c r="T112" s="202">
        <f t="shared" si="203"/>
      </c>
      <c r="U112" s="200">
        <f t="shared" si="425"/>
      </c>
      <c r="V112" s="200">
        <f t="shared" si="15"/>
      </c>
      <c r="W112" s="200">
        <f t="shared" si="30"/>
      </c>
      <c r="X112" s="200">
        <f t="shared" si="45"/>
      </c>
      <c r="Y112" s="200">
        <f t="shared" si="308"/>
      </c>
      <c r="Z112" s="200">
        <f t="shared" si="353"/>
      </c>
      <c r="AA112" s="201">
        <f t="shared" si="248"/>
      </c>
      <c r="AB112" s="201">
        <f t="shared" si="278"/>
      </c>
      <c r="AC112" s="201">
        <f t="shared" si="173"/>
      </c>
      <c r="AD112" s="200">
        <f t="shared" si="218"/>
      </c>
      <c r="AE112" s="201">
        <f t="shared" si="440"/>
      </c>
      <c r="AF112" s="200">
        <f t="shared" si="60"/>
      </c>
      <c r="AG112" s="200">
        <f t="shared" si="323"/>
      </c>
      <c r="AH112" s="199">
        <f>SUM(AH109:AH111)</f>
      </c>
      <c r="AI112" s="199">
        <f>SUM(AI109:AI111)</f>
      </c>
      <c r="AJ112" s="199">
        <f>SUM(AJ109:AJ111)</f>
      </c>
      <c r="AK112" s="199">
        <f>SUM(AK109:AK111)</f>
      </c>
      <c r="AL112" s="199">
        <f>SUM(AL109:AL111)</f>
      </c>
      <c r="AM112" s="199">
        <f>SUM(AM109:AM111)</f>
      </c>
      <c r="AN112" s="199">
        <f>SUM(AN109:AN111)</f>
      </c>
      <c r="AO112" s="199">
        <f>SUM(AO109:AO111)</f>
      </c>
      <c r="AP112" s="199">
        <f>SUM(AP109:AP111)</f>
      </c>
      <c r="AQ112" s="199">
        <f>SUM(AQ109:AQ111)</f>
      </c>
      <c r="AR112" s="203">
        <f>SUM(AR109:AR111)</f>
      </c>
    </row>
    <row r="113">
      <c r="A113" s="182"/>
      <c r="B113" s="183" t="s">
        <v>191</v>
      </c>
      <c r="C113" s="184" t="s">
        <v>192</v>
      </c>
      <c r="D113" s="183" t="s">
        <v>207</v>
      </c>
      <c r="E113" s="183" t="s">
        <v>199</v>
      </c>
      <c r="F113" s="185">
        <f t="shared" ref="F113:F114" si="101">H113+G113</f>
      </c>
      <c r="G113" s="204">
        <v>649.84</v>
      </c>
      <c r="H113" s="204">
        <v>209.26</v>
      </c>
      <c r="I113" s="187">
        <v>2</v>
      </c>
      <c r="J113" s="192">
        <v>1</v>
      </c>
      <c r="K113" s="196">
        <v>967.1999999999998</v>
      </c>
      <c r="L113" s="189">
        <f t="shared" si="188"/>
      </c>
      <c r="M113" s="190">
        <f t="shared" si="410"/>
      </c>
      <c r="N113" s="191">
        <f t="shared" si="0"/>
      </c>
      <c r="O113" s="191">
        <f t="shared" si="293"/>
      </c>
      <c r="P113" s="191">
        <f t="shared" si="338"/>
      </c>
      <c r="Q113" s="191">
        <f t="shared" si="233"/>
      </c>
      <c r="R113" s="191">
        <f t="shared" si="263"/>
      </c>
      <c r="S113" s="191">
        <f t="shared" si="158"/>
      </c>
      <c r="T113" s="191">
        <f t="shared" si="203"/>
      </c>
      <c r="U113" s="189">
        <f t="shared" si="425"/>
      </c>
      <c r="V113" s="189">
        <f t="shared" si="15"/>
      </c>
      <c r="W113" s="189">
        <f t="shared" si="30"/>
      </c>
      <c r="X113" s="189">
        <f t="shared" si="45"/>
      </c>
      <c r="Y113" s="189">
        <f t="shared" si="308"/>
      </c>
      <c r="Z113" s="189">
        <f t="shared" si="353"/>
      </c>
      <c r="AA113" s="190">
        <f t="shared" si="248"/>
      </c>
      <c r="AB113" s="190">
        <f t="shared" si="278"/>
      </c>
      <c r="AC113" s="190">
        <f t="shared" si="173"/>
      </c>
      <c r="AD113" s="189">
        <f t="shared" si="218"/>
      </c>
      <c r="AE113" s="190">
        <f t="shared" si="440"/>
      </c>
      <c r="AF113" s="189">
        <f t="shared" si="60"/>
      </c>
      <c r="AG113" s="189">
        <f t="shared" si="323"/>
      </c>
      <c r="AH113" s="192">
        <v>6911</v>
      </c>
      <c r="AI113" s="192">
        <v>181</v>
      </c>
      <c r="AJ113" s="192">
        <v>208</v>
      </c>
      <c r="AK113" s="192">
        <v>28</v>
      </c>
      <c r="AL113" s="192">
        <v>2</v>
      </c>
      <c r="AM113" s="192">
        <v>1</v>
      </c>
      <c r="AN113" s="192">
        <v>22</v>
      </c>
      <c r="AO113" s="192">
        <v>16</v>
      </c>
      <c r="AP113" s="192">
        <v>3</v>
      </c>
      <c r="AQ113" s="187">
        <v>0</v>
      </c>
      <c r="AR113" s="194">
        <v>1</v>
      </c>
    </row>
    <row r="114">
      <c r="A114" s="182"/>
      <c r="B114" s="183" t="s">
        <v>191</v>
      </c>
      <c r="C114" s="184" t="s">
        <v>192</v>
      </c>
      <c r="D114" s="183" t="s">
        <v>207</v>
      </c>
      <c r="E114" s="183" t="s">
        <v>200</v>
      </c>
      <c r="F114" s="185">
        <f t="shared" si="101"/>
      </c>
      <c r="G114" s="204">
        <v>1045.88</v>
      </c>
      <c r="H114" s="204">
        <v>226.53</v>
      </c>
      <c r="I114" s="187">
        <v>7</v>
      </c>
      <c r="J114" s="187">
        <v>8</v>
      </c>
      <c r="K114" s="188">
        <v>4936.000000000001</v>
      </c>
      <c r="L114" s="189">
        <f t="shared" si="188"/>
      </c>
      <c r="M114" s="190">
        <f t="shared" si="410"/>
      </c>
      <c r="N114" s="191">
        <f t="shared" si="0"/>
      </c>
      <c r="O114" s="191">
        <f t="shared" si="293"/>
      </c>
      <c r="P114" s="191">
        <f t="shared" si="338"/>
      </c>
      <c r="Q114" s="191">
        <f t="shared" si="233"/>
      </c>
      <c r="R114" s="191">
        <f t="shared" si="263"/>
      </c>
      <c r="S114" s="191">
        <f t="shared" si="158"/>
      </c>
      <c r="T114" s="191">
        <f t="shared" si="203"/>
      </c>
      <c r="U114" s="189">
        <f t="shared" si="425"/>
      </c>
      <c r="V114" s="189">
        <f t="shared" si="15"/>
      </c>
      <c r="W114" s="189">
        <f t="shared" si="30"/>
      </c>
      <c r="X114" s="189">
        <f t="shared" si="45"/>
      </c>
      <c r="Y114" s="189">
        <f t="shared" si="308"/>
      </c>
      <c r="Z114" s="189">
        <f t="shared" si="353"/>
      </c>
      <c r="AA114" s="190">
        <f t="shared" si="248"/>
      </c>
      <c r="AB114" s="190">
        <f t="shared" si="278"/>
      </c>
      <c r="AC114" s="190">
        <f t="shared" si="173"/>
      </c>
      <c r="AD114" s="189">
        <f t="shared" si="218"/>
      </c>
      <c r="AE114" s="190">
        <f t="shared" si="440"/>
      </c>
      <c r="AF114" s="189">
        <f t="shared" si="60"/>
      </c>
      <c r="AG114" s="189">
        <f t="shared" si="323"/>
      </c>
      <c r="AH114" s="192">
        <v>9878</v>
      </c>
      <c r="AI114" s="192">
        <v>232</v>
      </c>
      <c r="AJ114" s="192">
        <v>257</v>
      </c>
      <c r="AK114" s="192">
        <v>51</v>
      </c>
      <c r="AL114" s="187">
        <v>6</v>
      </c>
      <c r="AM114" s="187">
        <v>5</v>
      </c>
      <c r="AN114" s="192">
        <v>64</v>
      </c>
      <c r="AO114" s="192">
        <v>91</v>
      </c>
      <c r="AP114" s="192">
        <v>1</v>
      </c>
      <c r="AQ114" s="187">
        <v>3</v>
      </c>
      <c r="AR114" s="194">
        <v>1</v>
      </c>
    </row>
    <row r="115">
      <c r="A115" s="182"/>
      <c r="B115" s="197" t="s">
        <v>197</v>
      </c>
      <c r="C115" s="197"/>
      <c r="D115" s="197"/>
      <c r="E115" s="197"/>
      <c r="F115" s="198">
        <f>SUM(F113:F114)</f>
      </c>
      <c r="G115" s="198">
        <f>SUM(G113:G114)</f>
      </c>
      <c r="H115" s="198">
        <f>SUM(H113:H114)</f>
      </c>
      <c r="I115" s="199">
        <f>SUM(I113:I114)</f>
      </c>
      <c r="J115" s="199">
        <f>SUM(J113:J114)</f>
      </c>
      <c r="K115" s="198">
        <f>SUM(K113:K114)</f>
      </c>
      <c r="L115" s="200">
        <f t="shared" si="188"/>
      </c>
      <c r="M115" s="201">
        <f t="shared" si="410"/>
      </c>
      <c r="N115" s="202">
        <f t="shared" si="0"/>
      </c>
      <c r="O115" s="202">
        <f t="shared" si="293"/>
      </c>
      <c r="P115" s="202">
        <f t="shared" si="338"/>
      </c>
      <c r="Q115" s="202">
        <f t="shared" si="233"/>
      </c>
      <c r="R115" s="202">
        <f t="shared" si="263"/>
      </c>
      <c r="S115" s="202">
        <f t="shared" si="158"/>
      </c>
      <c r="T115" s="202">
        <f t="shared" si="203"/>
      </c>
      <c r="U115" s="200">
        <f t="shared" si="425"/>
      </c>
      <c r="V115" s="200">
        <f t="shared" si="15"/>
      </c>
      <c r="W115" s="200">
        <f t="shared" si="30"/>
      </c>
      <c r="X115" s="200">
        <f t="shared" si="45"/>
      </c>
      <c r="Y115" s="200">
        <f t="shared" si="308"/>
      </c>
      <c r="Z115" s="200">
        <f t="shared" si="353"/>
      </c>
      <c r="AA115" s="201">
        <f t="shared" si="248"/>
      </c>
      <c r="AB115" s="201">
        <f t="shared" si="278"/>
      </c>
      <c r="AC115" s="201">
        <f t="shared" si="173"/>
      </c>
      <c r="AD115" s="200">
        <f t="shared" si="218"/>
      </c>
      <c r="AE115" s="201">
        <f t="shared" si="440"/>
      </c>
      <c r="AF115" s="200">
        <f t="shared" si="60"/>
      </c>
      <c r="AG115" s="200">
        <f t="shared" si="323"/>
      </c>
      <c r="AH115" s="199">
        <f>SUM(AH113:AH114)</f>
      </c>
      <c r="AI115" s="199">
        <f>SUM(AI113:AI114)</f>
      </c>
      <c r="AJ115" s="199">
        <f>SUM(AJ113:AJ114)</f>
      </c>
      <c r="AK115" s="199">
        <f>SUM(AK113:AK114)</f>
      </c>
      <c r="AL115" s="199">
        <f>SUM(AL113:AL114)</f>
      </c>
      <c r="AM115" s="199">
        <f>SUM(AM113:AM114)</f>
      </c>
      <c r="AN115" s="199">
        <f>SUM(AN113:AN114)</f>
      </c>
      <c r="AO115" s="199">
        <f>SUM(AO113:AO114)</f>
      </c>
      <c r="AP115" s="199">
        <f>SUM(AP113:AP114)</f>
      </c>
      <c r="AQ115" s="199">
        <f>SUM(AQ113:AQ114)</f>
      </c>
      <c r="AR115" s="203">
        <f>SUM(AR113:AR114)</f>
      </c>
    </row>
    <row r="116">
      <c r="A116" s="182"/>
      <c r="B116" s="183" t="s">
        <v>191</v>
      </c>
      <c r="C116" s="184" t="s">
        <v>192</v>
      </c>
      <c r="D116" s="183" t="s">
        <v>198</v>
      </c>
      <c r="E116" s="184" t="s">
        <v>202</v>
      </c>
      <c r="F116" s="185">
        <f t="shared" ref="F116:F118" si="102">H116+G116</f>
      </c>
      <c r="G116" s="204">
        <v>1577.24</v>
      </c>
      <c r="H116" s="204">
        <v>343.25</v>
      </c>
      <c r="I116" s="187">
        <v>7</v>
      </c>
      <c r="J116" s="187">
        <v>2</v>
      </c>
      <c r="K116" s="188">
        <v>1830</v>
      </c>
      <c r="L116" s="189">
        <f t="shared" si="188"/>
      </c>
      <c r="M116" s="190">
        <f t="shared" si="410"/>
      </c>
      <c r="N116" s="191">
        <f t="shared" si="0"/>
      </c>
      <c r="O116" s="191">
        <f t="shared" si="293"/>
      </c>
      <c r="P116" s="191">
        <f t="shared" si="338"/>
      </c>
      <c r="Q116" s="191">
        <f t="shared" si="233"/>
      </c>
      <c r="R116" s="191">
        <f t="shared" si="263"/>
      </c>
      <c r="S116" s="191">
        <f t="shared" si="158"/>
      </c>
      <c r="T116" s="191">
        <f t="shared" si="203"/>
      </c>
      <c r="U116" s="189">
        <f t="shared" si="425"/>
      </c>
      <c r="V116" s="189">
        <f t="shared" si="15"/>
      </c>
      <c r="W116" s="189">
        <f t="shared" si="30"/>
      </c>
      <c r="X116" s="189">
        <f t="shared" si="45"/>
      </c>
      <c r="Y116" s="189">
        <f t="shared" si="308"/>
      </c>
      <c r="Z116" s="189">
        <f t="shared" si="353"/>
      </c>
      <c r="AA116" s="190">
        <f t="shared" si="248"/>
      </c>
      <c r="AB116" s="190">
        <f t="shared" si="278"/>
      </c>
      <c r="AC116" s="190">
        <f t="shared" si="173"/>
      </c>
      <c r="AD116" s="189">
        <f t="shared" si="218"/>
      </c>
      <c r="AE116" s="190">
        <f t="shared" si="440"/>
      </c>
      <c r="AF116" s="189">
        <f t="shared" si="60"/>
      </c>
      <c r="AG116" s="189">
        <f t="shared" si="323"/>
      </c>
      <c r="AH116" s="192">
        <v>15439</v>
      </c>
      <c r="AI116" s="192">
        <v>240</v>
      </c>
      <c r="AJ116" s="192">
        <v>274</v>
      </c>
      <c r="AK116" s="192">
        <v>60</v>
      </c>
      <c r="AL116" s="192">
        <v>8</v>
      </c>
      <c r="AM116" s="192">
        <v>3</v>
      </c>
      <c r="AN116" s="192">
        <v>59</v>
      </c>
      <c r="AO116" s="192">
        <v>80</v>
      </c>
      <c r="AP116" s="192">
        <v>5</v>
      </c>
      <c r="AQ116" s="187">
        <v>0</v>
      </c>
      <c r="AR116" s="194">
        <v>1</v>
      </c>
    </row>
    <row r="117">
      <c r="A117" s="182"/>
      <c r="B117" s="183" t="s">
        <v>191</v>
      </c>
      <c r="C117" s="184" t="s">
        <v>192</v>
      </c>
      <c r="D117" s="183" t="s">
        <v>198</v>
      </c>
      <c r="E117" s="184" t="s">
        <v>203</v>
      </c>
      <c r="F117" s="185">
        <f t="shared" si="102"/>
      </c>
      <c r="G117" s="204">
        <v>1283.47</v>
      </c>
      <c r="H117" s="204">
        <v>540.76</v>
      </c>
      <c r="I117" s="187">
        <v>6</v>
      </c>
      <c r="J117" s="192">
        <v>7</v>
      </c>
      <c r="K117" s="196">
        <v>4212</v>
      </c>
      <c r="L117" s="189">
        <f t="shared" si="188"/>
      </c>
      <c r="M117" s="190">
        <f t="shared" si="410"/>
      </c>
      <c r="N117" s="191">
        <f t="shared" si="0"/>
      </c>
      <c r="O117" s="191">
        <f t="shared" si="293"/>
      </c>
      <c r="P117" s="191">
        <f t="shared" si="338"/>
      </c>
      <c r="Q117" s="191">
        <f t="shared" si="233"/>
      </c>
      <c r="R117" s="191">
        <f t="shared" si="263"/>
      </c>
      <c r="S117" s="191">
        <f t="shared" si="158"/>
      </c>
      <c r="T117" s="191">
        <f t="shared" si="203"/>
      </c>
      <c r="U117" s="189">
        <f t="shared" si="425"/>
      </c>
      <c r="V117" s="189">
        <f t="shared" si="15"/>
      </c>
      <c r="W117" s="189">
        <f t="shared" si="30"/>
      </c>
      <c r="X117" s="189">
        <f t="shared" si="45"/>
      </c>
      <c r="Y117" s="189">
        <f t="shared" si="308"/>
      </c>
      <c r="Z117" s="189">
        <f t="shared" si="353"/>
      </c>
      <c r="AA117" s="190">
        <f t="shared" si="248"/>
      </c>
      <c r="AB117" s="190">
        <f t="shared" si="278"/>
      </c>
      <c r="AC117" s="190">
        <f t="shared" si="173"/>
      </c>
      <c r="AD117" s="189">
        <f t="shared" si="218"/>
      </c>
      <c r="AE117" s="190">
        <f t="shared" si="440"/>
      </c>
      <c r="AF117" s="189">
        <f t="shared" si="60"/>
      </c>
      <c r="AG117" s="189">
        <f t="shared" si="323"/>
      </c>
      <c r="AH117" s="192">
        <v>15776</v>
      </c>
      <c r="AI117" s="192">
        <v>342</v>
      </c>
      <c r="AJ117" s="192">
        <v>395</v>
      </c>
      <c r="AK117" s="192">
        <v>67</v>
      </c>
      <c r="AL117" s="192">
        <v>6</v>
      </c>
      <c r="AM117" s="192">
        <v>4</v>
      </c>
      <c r="AN117" s="192">
        <v>62</v>
      </c>
      <c r="AO117" s="192">
        <v>80</v>
      </c>
      <c r="AP117" s="192">
        <v>11</v>
      </c>
      <c r="AQ117" s="187">
        <v>3</v>
      </c>
      <c r="AR117" s="194">
        <v>1</v>
      </c>
    </row>
    <row r="118">
      <c r="A118" s="182"/>
      <c r="B118" s="183" t="s">
        <v>191</v>
      </c>
      <c r="C118" s="184" t="s">
        <v>192</v>
      </c>
      <c r="D118" s="183" t="s">
        <v>198</v>
      </c>
      <c r="E118" s="183" t="s">
        <v>204</v>
      </c>
      <c r="F118" s="185">
        <f t="shared" si="102"/>
      </c>
      <c r="G118" s="204">
        <v>674.45</v>
      </c>
      <c r="H118" s="204">
        <v>497.03</v>
      </c>
      <c r="I118" s="187">
        <v>5</v>
      </c>
      <c r="J118" s="192">
        <v>5</v>
      </c>
      <c r="K118" s="196">
        <v>3986.2000000000007</v>
      </c>
      <c r="L118" s="189">
        <f t="shared" si="188"/>
      </c>
      <c r="M118" s="190">
        <f t="shared" si="410"/>
      </c>
      <c r="N118" s="191">
        <f t="shared" si="0"/>
      </c>
      <c r="O118" s="191">
        <f t="shared" si="293"/>
      </c>
      <c r="P118" s="191">
        <f t="shared" si="338"/>
      </c>
      <c r="Q118" s="191">
        <f t="shared" si="233"/>
      </c>
      <c r="R118" s="191">
        <f t="shared" si="263"/>
      </c>
      <c r="S118" s="191">
        <f t="shared" si="158"/>
      </c>
      <c r="T118" s="191">
        <f t="shared" si="203"/>
      </c>
      <c r="U118" s="189">
        <f t="shared" si="425"/>
      </c>
      <c r="V118" s="189">
        <f t="shared" si="15"/>
      </c>
      <c r="W118" s="189">
        <f t="shared" si="30"/>
      </c>
      <c r="X118" s="189">
        <f t="shared" si="45"/>
      </c>
      <c r="Y118" s="189">
        <f t="shared" si="308"/>
      </c>
      <c r="Z118" s="189">
        <f t="shared" si="353"/>
      </c>
      <c r="AA118" s="190">
        <f t="shared" si="248"/>
      </c>
      <c r="AB118" s="190">
        <f t="shared" si="278"/>
      </c>
      <c r="AC118" s="190">
        <f t="shared" si="173"/>
      </c>
      <c r="AD118" s="189">
        <f t="shared" si="218"/>
      </c>
      <c r="AE118" s="190">
        <f t="shared" si="440"/>
      </c>
      <c r="AF118" s="189">
        <f t="shared" si="60"/>
      </c>
      <c r="AG118" s="189">
        <f t="shared" si="323"/>
      </c>
      <c r="AH118" s="192">
        <v>8418</v>
      </c>
      <c r="AI118" s="192">
        <v>286</v>
      </c>
      <c r="AJ118" s="192">
        <v>327</v>
      </c>
      <c r="AK118" s="192">
        <v>48</v>
      </c>
      <c r="AL118" s="187">
        <v>5</v>
      </c>
      <c r="AM118" s="187">
        <v>5</v>
      </c>
      <c r="AN118" s="192">
        <v>38</v>
      </c>
      <c r="AO118" s="192">
        <v>60</v>
      </c>
      <c r="AP118" s="192">
        <v>2</v>
      </c>
      <c r="AQ118" s="187">
        <v>0</v>
      </c>
      <c r="AR118" s="194">
        <v>1</v>
      </c>
    </row>
    <row r="119">
      <c r="A119" s="182"/>
      <c r="B119" s="197" t="s">
        <v>197</v>
      </c>
      <c r="C119" s="197"/>
      <c r="D119" s="197"/>
      <c r="E119" s="197"/>
      <c r="F119" s="198">
        <f>SUM(F116:F118)</f>
      </c>
      <c r="G119" s="198">
        <f>SUM(G116:G118)</f>
      </c>
      <c r="H119" s="198">
        <f>SUM(H116:H118)</f>
      </c>
      <c r="I119" s="199">
        <f>SUM(I116:I118)</f>
      </c>
      <c r="J119" s="199">
        <f>SUM(J116:J118)</f>
      </c>
      <c r="K119" s="198">
        <f>SUM(K116:K118)</f>
      </c>
      <c r="L119" s="200">
        <f t="shared" si="188"/>
      </c>
      <c r="M119" s="201">
        <f t="shared" si="410"/>
      </c>
      <c r="N119" s="202">
        <f t="shared" si="0"/>
      </c>
      <c r="O119" s="202">
        <f t="shared" si="293"/>
      </c>
      <c r="P119" s="202">
        <f t="shared" si="338"/>
      </c>
      <c r="Q119" s="202">
        <f t="shared" si="233"/>
      </c>
      <c r="R119" s="202">
        <f t="shared" si="263"/>
      </c>
      <c r="S119" s="202">
        <f t="shared" si="158"/>
      </c>
      <c r="T119" s="202">
        <f t="shared" si="203"/>
      </c>
      <c r="U119" s="200">
        <f t="shared" si="425"/>
      </c>
      <c r="V119" s="200">
        <f t="shared" si="15"/>
      </c>
      <c r="W119" s="200">
        <f t="shared" si="30"/>
      </c>
      <c r="X119" s="200">
        <f t="shared" si="45"/>
      </c>
      <c r="Y119" s="200">
        <f t="shared" si="308"/>
      </c>
      <c r="Z119" s="200">
        <f t="shared" si="353"/>
      </c>
      <c r="AA119" s="201">
        <f t="shared" si="248"/>
      </c>
      <c r="AB119" s="201">
        <f t="shared" si="278"/>
      </c>
      <c r="AC119" s="201">
        <f t="shared" si="173"/>
      </c>
      <c r="AD119" s="200">
        <f t="shared" si="218"/>
      </c>
      <c r="AE119" s="201">
        <f t="shared" si="440"/>
      </c>
      <c r="AF119" s="200">
        <f t="shared" si="60"/>
      </c>
      <c r="AG119" s="200">
        <f t="shared" si="323"/>
      </c>
      <c r="AH119" s="199">
        <f>SUM(AH116:AH118)</f>
      </c>
      <c r="AI119" s="199">
        <f>SUM(AI116:AI118)</f>
      </c>
      <c r="AJ119" s="199">
        <f>SUM(AJ116:AJ118)</f>
      </c>
      <c r="AK119" s="199">
        <f>SUM(AK116:AK118)</f>
      </c>
      <c r="AL119" s="199">
        <f>SUM(AL116:AL118)</f>
      </c>
      <c r="AM119" s="199">
        <f>SUM(AM116:AM118)</f>
      </c>
      <c r="AN119" s="199">
        <f>SUM(AN116:AN118)</f>
      </c>
      <c r="AO119" s="199">
        <f>SUM(AO116:AO118)</f>
      </c>
      <c r="AP119" s="199">
        <f>SUM(AP116:AP118)</f>
      </c>
      <c r="AQ119" s="199">
        <f>SUM(AQ116:AQ118)</f>
      </c>
      <c r="AR119" s="203">
        <f>SUM(AR116:AR118)</f>
      </c>
    </row>
    <row r="120">
      <c r="A120" s="182"/>
      <c r="B120" s="205" t="s">
        <v>205</v>
      </c>
      <c r="C120" s="205"/>
      <c r="D120" s="205"/>
      <c r="E120" s="205"/>
      <c r="F120" s="206">
        <f t="shared" ref="F120:F123" si="103">H120+G120</f>
      </c>
      <c r="G120" s="206">
        <f>G112+G119+G115</f>
      </c>
      <c r="H120" s="206">
        <f>H112+H119+H115</f>
      </c>
      <c r="I120" s="206">
        <f>I112+I119+I115</f>
      </c>
      <c r="J120" s="206">
        <f>J112+J119+J115</f>
      </c>
      <c r="K120" s="206">
        <f>K112+K119+K115</f>
      </c>
      <c r="L120" s="207">
        <f t="shared" si="188"/>
      </c>
      <c r="M120" s="208">
        <f t="shared" si="410"/>
      </c>
      <c r="N120" s="209">
        <f t="shared" si="0"/>
      </c>
      <c r="O120" s="209">
        <f t="shared" si="293"/>
      </c>
      <c r="P120" s="209">
        <f t="shared" si="338"/>
      </c>
      <c r="Q120" s="209">
        <f t="shared" si="233"/>
      </c>
      <c r="R120" s="209">
        <f t="shared" si="263"/>
      </c>
      <c r="S120" s="209">
        <f t="shared" si="158"/>
      </c>
      <c r="T120" s="209">
        <f t="shared" si="203"/>
      </c>
      <c r="U120" s="207">
        <f t="shared" si="425"/>
      </c>
      <c r="V120" s="207">
        <f t="shared" si="15"/>
      </c>
      <c r="W120" s="207">
        <f t="shared" si="30"/>
      </c>
      <c r="X120" s="207">
        <f t="shared" si="45"/>
      </c>
      <c r="Y120" s="207">
        <f t="shared" si="308"/>
      </c>
      <c r="Z120" s="207">
        <f t="shared" si="353"/>
      </c>
      <c r="AA120" s="208">
        <f t="shared" si="248"/>
      </c>
      <c r="AB120" s="208">
        <f t="shared" si="278"/>
      </c>
      <c r="AC120" s="208">
        <f t="shared" si="173"/>
      </c>
      <c r="AD120" s="207">
        <f t="shared" si="218"/>
      </c>
      <c r="AE120" s="208">
        <f t="shared" si="440"/>
      </c>
      <c r="AF120" s="207">
        <f t="shared" si="60"/>
      </c>
      <c r="AG120" s="207">
        <f t="shared" si="323"/>
      </c>
      <c r="AH120" s="210">
        <f>AH112+AH119+AH115</f>
      </c>
      <c r="AI120" s="210">
        <f>AI112+AI119+AI115</f>
      </c>
      <c r="AJ120" s="210">
        <f>AJ112+AJ119+AJ115</f>
      </c>
      <c r="AK120" s="210">
        <f>AK112+AK119+AK115</f>
      </c>
      <c r="AL120" s="210">
        <f>AL112+AL119+AL115</f>
      </c>
      <c r="AM120" s="210">
        <f>AM112+AM119+AM115</f>
      </c>
      <c r="AN120" s="210">
        <f>AN112+AN119+AN115</f>
      </c>
      <c r="AO120" s="210">
        <f>AO112+AO119+AO115</f>
      </c>
      <c r="AP120" s="210">
        <f>AP112+AP119+AP115</f>
      </c>
      <c r="AQ120" s="210">
        <f>AQ112+AQ119+AQ115</f>
      </c>
      <c r="AR120" s="203">
        <f>AR112+AR119+AR115</f>
      </c>
    </row>
    <row r="121">
      <c r="A121" s="182">
        <v>46276</v>
      </c>
      <c r="B121" s="183" t="s">
        <v>191</v>
      </c>
      <c r="C121" s="184" t="s">
        <v>192</v>
      </c>
      <c r="D121" s="183" t="s">
        <v>206</v>
      </c>
      <c r="E121" s="183" t="s">
        <v>194</v>
      </c>
      <c r="F121" s="185">
        <f t="shared" si="103"/>
      </c>
      <c r="G121" s="204">
        <v>748.98</v>
      </c>
      <c r="H121" s="204">
        <v>794.95</v>
      </c>
      <c r="I121" s="187">
        <v>5</v>
      </c>
      <c r="J121" s="187">
        <v>7</v>
      </c>
      <c r="K121" s="188">
        <v>5409.6</v>
      </c>
      <c r="L121" s="189">
        <f t="shared" si="188"/>
      </c>
      <c r="M121" s="190">
        <f t="shared" si="410"/>
      </c>
      <c r="N121" s="191">
        <f t="shared" si="0"/>
      </c>
      <c r="O121" s="191">
        <f t="shared" si="293"/>
      </c>
      <c r="P121" s="191">
        <f t="shared" si="338"/>
      </c>
      <c r="Q121" s="191">
        <f t="shared" si="233"/>
      </c>
      <c r="R121" s="191">
        <f t="shared" si="263"/>
      </c>
      <c r="S121" s="191">
        <f t="shared" si="158"/>
      </c>
      <c r="T121" s="191">
        <f t="shared" si="203"/>
      </c>
      <c r="U121" s="189">
        <f t="shared" si="425"/>
      </c>
      <c r="V121" s="189">
        <f t="shared" si="15"/>
      </c>
      <c r="W121" s="189">
        <f t="shared" si="30"/>
      </c>
      <c r="X121" s="189">
        <f t="shared" si="45"/>
      </c>
      <c r="Y121" s="189">
        <f t="shared" si="308"/>
      </c>
      <c r="Z121" s="189">
        <f t="shared" si="353"/>
      </c>
      <c r="AA121" s="190">
        <f t="shared" si="248"/>
      </c>
      <c r="AB121" s="190">
        <f t="shared" si="278"/>
      </c>
      <c r="AC121" s="190">
        <f t="shared" si="173"/>
      </c>
      <c r="AD121" s="189">
        <f t="shared" si="218"/>
      </c>
      <c r="AE121" s="190">
        <f t="shared" si="440"/>
      </c>
      <c r="AF121" s="189">
        <f t="shared" si="60"/>
      </c>
      <c r="AG121" s="189">
        <f t="shared" si="323"/>
      </c>
      <c r="AH121" s="192">
        <v>8930</v>
      </c>
      <c r="AI121" s="193">
        <v>333</v>
      </c>
      <c r="AJ121" s="193">
        <v>387</v>
      </c>
      <c r="AK121" s="192">
        <v>49</v>
      </c>
      <c r="AL121" s="192">
        <v>4</v>
      </c>
      <c r="AM121" s="192">
        <v>4</v>
      </c>
      <c r="AN121" s="192">
        <v>54</v>
      </c>
      <c r="AO121" s="192">
        <v>19</v>
      </c>
      <c r="AP121" s="187">
        <v>2</v>
      </c>
      <c r="AQ121" s="187">
        <v>2</v>
      </c>
      <c r="AR121" s="194">
        <v>1</v>
      </c>
    </row>
    <row r="122">
      <c r="A122" s="182"/>
      <c r="B122" s="183" t="s">
        <v>191</v>
      </c>
      <c r="C122" s="184" t="s">
        <v>192</v>
      </c>
      <c r="D122" s="183" t="s">
        <v>206</v>
      </c>
      <c r="E122" s="183" t="s">
        <v>195</v>
      </c>
      <c r="F122" s="185">
        <f t="shared" si="103"/>
      </c>
      <c r="G122" s="212">
        <v>837.88</v>
      </c>
      <c r="H122" s="204">
        <v>692.04</v>
      </c>
      <c r="I122" s="187">
        <v>2</v>
      </c>
      <c r="J122" s="187">
        <v>0</v>
      </c>
      <c r="K122" s="188">
        <v>0</v>
      </c>
      <c r="L122" s="189">
        <f t="shared" si="188"/>
      </c>
      <c r="M122" s="190">
        <f t="shared" si="410"/>
      </c>
      <c r="N122" s="191">
        <f t="shared" si="0"/>
      </c>
      <c r="O122" s="191">
        <f t="shared" si="293"/>
      </c>
      <c r="P122" s="191">
        <f t="shared" si="338"/>
      </c>
      <c r="Q122" s="191">
        <f t="shared" si="233"/>
      </c>
      <c r="R122" s="191">
        <f t="shared" si="263"/>
      </c>
      <c r="S122" s="191">
        <f t="shared" si="158"/>
      </c>
      <c r="T122" s="191">
        <f t="shared" si="203"/>
      </c>
      <c r="U122" s="189">
        <f t="shared" si="425"/>
      </c>
      <c r="V122" s="189">
        <f t="shared" si="15"/>
      </c>
      <c r="W122" s="189">
        <f t="shared" si="30"/>
      </c>
      <c r="X122" s="189">
        <f t="shared" si="45"/>
      </c>
      <c r="Y122" s="189">
        <f t="shared" si="308"/>
      </c>
      <c r="Z122" s="189">
        <f t="shared" si="353"/>
      </c>
      <c r="AA122" s="190">
        <f t="shared" si="248"/>
      </c>
      <c r="AB122" s="190">
        <f t="shared" si="278"/>
      </c>
      <c r="AC122" s="190">
        <f t="shared" si="173"/>
      </c>
      <c r="AD122" s="189">
        <f t="shared" si="218"/>
      </c>
      <c r="AE122" s="190">
        <f t="shared" si="440"/>
      </c>
      <c r="AF122" s="189">
        <f t="shared" si="60"/>
      </c>
      <c r="AG122" s="189">
        <f t="shared" si="323"/>
      </c>
      <c r="AH122" s="192">
        <v>11514</v>
      </c>
      <c r="AI122" s="192">
        <v>416</v>
      </c>
      <c r="AJ122" s="192">
        <v>464</v>
      </c>
      <c r="AK122" s="192">
        <v>77</v>
      </c>
      <c r="AL122" s="192">
        <v>2</v>
      </c>
      <c r="AM122" s="192">
        <v>0</v>
      </c>
      <c r="AN122" s="192">
        <v>65</v>
      </c>
      <c r="AO122" s="192">
        <v>26</v>
      </c>
      <c r="AP122" s="187">
        <v>1</v>
      </c>
      <c r="AQ122" s="187">
        <v>0</v>
      </c>
      <c r="AR122" s="194">
        <v>1</v>
      </c>
    </row>
    <row r="123">
      <c r="A123" s="182"/>
      <c r="B123" s="183" t="s">
        <v>191</v>
      </c>
      <c r="C123" s="184" t="s">
        <v>192</v>
      </c>
      <c r="D123" s="183" t="s">
        <v>206</v>
      </c>
      <c r="E123" s="183" t="s">
        <v>196</v>
      </c>
      <c r="F123" s="185">
        <f t="shared" si="103"/>
      </c>
      <c r="G123" s="204">
        <v>749.69</v>
      </c>
      <c r="H123" s="204">
        <v>395.71</v>
      </c>
      <c r="I123" s="187">
        <v>4</v>
      </c>
      <c r="J123" s="187">
        <v>7</v>
      </c>
      <c r="K123" s="188">
        <v>4094.3999999999996</v>
      </c>
      <c r="L123" s="189">
        <f t="shared" si="188"/>
      </c>
      <c r="M123" s="190">
        <f t="shared" si="410"/>
      </c>
      <c r="N123" s="191">
        <f t="shared" si="0"/>
      </c>
      <c r="O123" s="191">
        <f t="shared" si="293"/>
      </c>
      <c r="P123" s="191">
        <f t="shared" si="338"/>
      </c>
      <c r="Q123" s="191">
        <f t="shared" si="233"/>
      </c>
      <c r="R123" s="191">
        <f t="shared" si="263"/>
      </c>
      <c r="S123" s="191">
        <f t="shared" si="158"/>
      </c>
      <c r="T123" s="191">
        <f t="shared" si="203"/>
      </c>
      <c r="U123" s="189">
        <f t="shared" si="425"/>
      </c>
      <c r="V123" s="189">
        <f t="shared" si="15"/>
      </c>
      <c r="W123" s="189">
        <f t="shared" si="30"/>
      </c>
      <c r="X123" s="189">
        <f t="shared" si="45"/>
      </c>
      <c r="Y123" s="189">
        <f t="shared" si="308"/>
      </c>
      <c r="Z123" s="189">
        <f t="shared" si="353"/>
      </c>
      <c r="AA123" s="190">
        <f t="shared" si="248"/>
      </c>
      <c r="AB123" s="190">
        <f t="shared" si="278"/>
      </c>
      <c r="AC123" s="190">
        <f t="shared" si="173"/>
      </c>
      <c r="AD123" s="189">
        <f t="shared" si="218"/>
      </c>
      <c r="AE123" s="190">
        <f t="shared" si="440"/>
      </c>
      <c r="AF123" s="189">
        <f t="shared" si="60"/>
      </c>
      <c r="AG123" s="189">
        <f t="shared" si="323"/>
      </c>
      <c r="AH123" s="192">
        <v>9111</v>
      </c>
      <c r="AI123" s="192">
        <v>255</v>
      </c>
      <c r="AJ123" s="192">
        <v>301</v>
      </c>
      <c r="AK123" s="192">
        <v>46</v>
      </c>
      <c r="AL123" s="192">
        <v>4</v>
      </c>
      <c r="AM123" s="192">
        <v>4</v>
      </c>
      <c r="AN123" s="192">
        <v>43</v>
      </c>
      <c r="AO123" s="192">
        <v>40</v>
      </c>
      <c r="AP123" s="192">
        <v>4</v>
      </c>
      <c r="AQ123" s="187">
        <v>2</v>
      </c>
      <c r="AR123" s="194">
        <v>1</v>
      </c>
    </row>
    <row r="124">
      <c r="A124" s="182"/>
      <c r="B124" s="197" t="s">
        <v>197</v>
      </c>
      <c r="C124" s="197"/>
      <c r="D124" s="197"/>
      <c r="E124" s="197"/>
      <c r="F124" s="198">
        <f>SUM(F121:F123)</f>
      </c>
      <c r="G124" s="198">
        <f>SUM(G121:G123)</f>
      </c>
      <c r="H124" s="198">
        <f>SUM(H121:H123)</f>
      </c>
      <c r="I124" s="199">
        <f>SUM(I121:I123)</f>
      </c>
      <c r="J124" s="199">
        <f>SUM(J121:J123)</f>
      </c>
      <c r="K124" s="198">
        <f>SUM(K121:K123)</f>
      </c>
      <c r="L124" s="200">
        <f t="shared" si="188"/>
      </c>
      <c r="M124" s="201">
        <f t="shared" si="410"/>
      </c>
      <c r="N124" s="202">
        <f t="shared" si="0"/>
      </c>
      <c r="O124" s="202">
        <f t="shared" si="293"/>
      </c>
      <c r="P124" s="202">
        <f t="shared" si="338"/>
      </c>
      <c r="Q124" s="202">
        <f t="shared" si="233"/>
      </c>
      <c r="R124" s="202">
        <f t="shared" si="263"/>
      </c>
      <c r="S124" s="202">
        <f t="shared" si="158"/>
      </c>
      <c r="T124" s="202">
        <f t="shared" si="203"/>
      </c>
      <c r="U124" s="200">
        <f t="shared" si="425"/>
      </c>
      <c r="V124" s="200">
        <f t="shared" si="15"/>
      </c>
      <c r="W124" s="200">
        <f t="shared" si="30"/>
      </c>
      <c r="X124" s="200">
        <f t="shared" si="45"/>
      </c>
      <c r="Y124" s="200">
        <f t="shared" si="308"/>
      </c>
      <c r="Z124" s="200">
        <f t="shared" si="353"/>
      </c>
      <c r="AA124" s="201">
        <f t="shared" si="248"/>
      </c>
      <c r="AB124" s="201">
        <f t="shared" si="278"/>
      </c>
      <c r="AC124" s="201">
        <f t="shared" si="173"/>
      </c>
      <c r="AD124" s="200">
        <f t="shared" si="218"/>
      </c>
      <c r="AE124" s="201">
        <f t="shared" si="440"/>
      </c>
      <c r="AF124" s="200">
        <f t="shared" si="60"/>
      </c>
      <c r="AG124" s="200">
        <f t="shared" si="323"/>
      </c>
      <c r="AH124" s="199">
        <f>SUM(AH121:AH123)</f>
      </c>
      <c r="AI124" s="199">
        <f>SUM(AI121:AI123)</f>
      </c>
      <c r="AJ124" s="199">
        <f>SUM(AJ121:AJ123)</f>
      </c>
      <c r="AK124" s="199">
        <f>SUM(AK121:AK123)</f>
      </c>
      <c r="AL124" s="199">
        <f>SUM(AL121:AL123)</f>
      </c>
      <c r="AM124" s="199">
        <f>SUM(AM121:AM123)</f>
      </c>
      <c r="AN124" s="199">
        <f>SUM(AN121:AN123)</f>
      </c>
      <c r="AO124" s="199">
        <f>SUM(AO121:AO123)</f>
      </c>
      <c r="AP124" s="199">
        <f>SUM(AP121:AP123)</f>
      </c>
      <c r="AQ124" s="199">
        <f>SUM(AQ121:AQ123)</f>
      </c>
      <c r="AR124" s="203">
        <f>SUM(AR121:AR123)</f>
      </c>
    </row>
    <row r="125">
      <c r="A125" s="182"/>
      <c r="B125" s="183" t="s">
        <v>191</v>
      </c>
      <c r="C125" s="184" t="s">
        <v>192</v>
      </c>
      <c r="D125" s="183" t="s">
        <v>208</v>
      </c>
      <c r="E125" s="183" t="s">
        <v>199</v>
      </c>
      <c r="F125" s="185">
        <f t="shared" ref="F125:F126" si="104">H125+G125</f>
      </c>
      <c r="G125" s="204">
        <v>1184.31</v>
      </c>
      <c r="H125" s="204">
        <v>320.52</v>
      </c>
      <c r="I125" s="187">
        <v>4</v>
      </c>
      <c r="J125" s="192">
        <v>4</v>
      </c>
      <c r="K125" s="196">
        <v>3029.7999999999993</v>
      </c>
      <c r="L125" s="189">
        <f t="shared" si="188"/>
      </c>
      <c r="M125" s="190">
        <f t="shared" si="410"/>
      </c>
      <c r="N125" s="191">
        <f t="shared" si="0"/>
      </c>
      <c r="O125" s="191">
        <f t="shared" si="293"/>
      </c>
      <c r="P125" s="191">
        <f t="shared" si="338"/>
      </c>
      <c r="Q125" s="191">
        <f t="shared" si="233"/>
      </c>
      <c r="R125" s="191">
        <f t="shared" si="263"/>
      </c>
      <c r="S125" s="191">
        <f t="shared" si="158"/>
      </c>
      <c r="T125" s="191">
        <f t="shared" si="203"/>
      </c>
      <c r="U125" s="189">
        <f t="shared" si="425"/>
      </c>
      <c r="V125" s="189">
        <f t="shared" si="15"/>
      </c>
      <c r="W125" s="189">
        <f t="shared" si="30"/>
      </c>
      <c r="X125" s="189">
        <f t="shared" si="45"/>
      </c>
      <c r="Y125" s="189">
        <f t="shared" si="308"/>
      </c>
      <c r="Z125" s="189">
        <f t="shared" si="353"/>
      </c>
      <c r="AA125" s="190">
        <f t="shared" si="248"/>
      </c>
      <c r="AB125" s="190">
        <f t="shared" si="278"/>
      </c>
      <c r="AC125" s="190">
        <f t="shared" si="173"/>
      </c>
      <c r="AD125" s="189">
        <f t="shared" si="218"/>
      </c>
      <c r="AE125" s="190">
        <f t="shared" si="440"/>
      </c>
      <c r="AF125" s="189">
        <f t="shared" si="60"/>
      </c>
      <c r="AG125" s="189">
        <f t="shared" si="323"/>
      </c>
      <c r="AH125" s="192">
        <v>11350</v>
      </c>
      <c r="AI125" s="192">
        <v>271</v>
      </c>
      <c r="AJ125" s="192">
        <v>328</v>
      </c>
      <c r="AK125" s="192">
        <v>60</v>
      </c>
      <c r="AL125" s="192">
        <v>4</v>
      </c>
      <c r="AM125" s="192">
        <v>3</v>
      </c>
      <c r="AN125" s="192">
        <v>56</v>
      </c>
      <c r="AO125" s="192">
        <v>52</v>
      </c>
      <c r="AP125" s="192">
        <v>8</v>
      </c>
      <c r="AQ125" s="187">
        <v>1</v>
      </c>
      <c r="AR125" s="194">
        <v>1</v>
      </c>
    </row>
    <row r="126">
      <c r="A126" s="182"/>
      <c r="B126" s="183" t="s">
        <v>191</v>
      </c>
      <c r="C126" s="184" t="s">
        <v>192</v>
      </c>
      <c r="D126" s="183" t="s">
        <v>208</v>
      </c>
      <c r="E126" s="183" t="s">
        <v>200</v>
      </c>
      <c r="F126" s="185">
        <f t="shared" si="104"/>
      </c>
      <c r="G126" s="204">
        <v>1945.19</v>
      </c>
      <c r="H126" s="204">
        <v>416.05</v>
      </c>
      <c r="I126" s="187">
        <v>3</v>
      </c>
      <c r="J126" s="187">
        <v>4</v>
      </c>
      <c r="K126" s="188">
        <v>2931.4000000000015</v>
      </c>
      <c r="L126" s="189">
        <f t="shared" si="188"/>
      </c>
      <c r="M126" s="190">
        <f t="shared" si="410"/>
      </c>
      <c r="N126" s="191">
        <f t="shared" si="0"/>
      </c>
      <c r="O126" s="191">
        <f t="shared" si="293"/>
      </c>
      <c r="P126" s="191">
        <f t="shared" si="338"/>
      </c>
      <c r="Q126" s="191">
        <f t="shared" si="233"/>
      </c>
      <c r="R126" s="191">
        <f t="shared" si="263"/>
      </c>
      <c r="S126" s="191">
        <f t="shared" si="158"/>
      </c>
      <c r="T126" s="191">
        <f t="shared" si="203"/>
      </c>
      <c r="U126" s="189">
        <f t="shared" si="425"/>
      </c>
      <c r="V126" s="189">
        <f t="shared" si="15"/>
      </c>
      <c r="W126" s="189">
        <f t="shared" si="30"/>
      </c>
      <c r="X126" s="189">
        <f t="shared" si="45"/>
      </c>
      <c r="Y126" s="189">
        <f t="shared" si="308"/>
      </c>
      <c r="Z126" s="189">
        <f t="shared" si="353"/>
      </c>
      <c r="AA126" s="190">
        <f t="shared" si="248"/>
      </c>
      <c r="AB126" s="190">
        <f t="shared" si="278"/>
      </c>
      <c r="AC126" s="190">
        <f t="shared" si="173"/>
      </c>
      <c r="AD126" s="189">
        <f t="shared" si="218"/>
      </c>
      <c r="AE126" s="190">
        <f t="shared" si="440"/>
      </c>
      <c r="AF126" s="189">
        <f t="shared" si="60"/>
      </c>
      <c r="AG126" s="189">
        <f t="shared" si="323"/>
      </c>
      <c r="AH126" s="192">
        <v>15849</v>
      </c>
      <c r="AI126" s="192">
        <v>343</v>
      </c>
      <c r="AJ126" s="192">
        <v>423</v>
      </c>
      <c r="AK126" s="192">
        <v>73</v>
      </c>
      <c r="AL126" s="187">
        <v>1</v>
      </c>
      <c r="AM126" s="187">
        <v>1</v>
      </c>
      <c r="AN126" s="192">
        <v>70</v>
      </c>
      <c r="AO126" s="192">
        <v>53</v>
      </c>
      <c r="AP126" s="192">
        <v>7</v>
      </c>
      <c r="AQ126" s="187">
        <v>1</v>
      </c>
      <c r="AR126" s="194">
        <v>1</v>
      </c>
    </row>
    <row r="127">
      <c r="A127" s="182"/>
      <c r="B127" s="197" t="s">
        <v>197</v>
      </c>
      <c r="C127" s="197"/>
      <c r="D127" s="197"/>
      <c r="E127" s="197"/>
      <c r="F127" s="198">
        <f>SUM(F125:F126)</f>
      </c>
      <c r="G127" s="198">
        <f>SUM(G125:G126)</f>
      </c>
      <c r="H127" s="198">
        <f>SUM(H125:H126)</f>
      </c>
      <c r="I127" s="199">
        <f>SUM(I125:I126)</f>
      </c>
      <c r="J127" s="199">
        <f>SUM(J125:J126)</f>
      </c>
      <c r="K127" s="198">
        <f>SUM(K125:K126)</f>
      </c>
      <c r="L127" s="200">
        <f t="shared" si="188"/>
      </c>
      <c r="M127" s="201">
        <f t="shared" si="410"/>
      </c>
      <c r="N127" s="202">
        <f t="shared" si="0"/>
      </c>
      <c r="O127" s="202">
        <f t="shared" si="293"/>
      </c>
      <c r="P127" s="202">
        <f t="shared" si="338"/>
      </c>
      <c r="Q127" s="202">
        <f t="shared" si="233"/>
      </c>
      <c r="R127" s="202">
        <f t="shared" si="263"/>
      </c>
      <c r="S127" s="202">
        <f t="shared" si="158"/>
      </c>
      <c r="T127" s="202">
        <f t="shared" si="203"/>
      </c>
      <c r="U127" s="200">
        <f t="shared" si="425"/>
      </c>
      <c r="V127" s="200">
        <f t="shared" si="15"/>
      </c>
      <c r="W127" s="200">
        <f t="shared" si="30"/>
      </c>
      <c r="X127" s="200">
        <f t="shared" si="45"/>
      </c>
      <c r="Y127" s="200">
        <f t="shared" si="308"/>
      </c>
      <c r="Z127" s="200">
        <f t="shared" si="353"/>
      </c>
      <c r="AA127" s="201">
        <f t="shared" si="248"/>
      </c>
      <c r="AB127" s="201">
        <f t="shared" si="278"/>
      </c>
      <c r="AC127" s="201">
        <f t="shared" si="173"/>
      </c>
      <c r="AD127" s="200">
        <f t="shared" si="218"/>
      </c>
      <c r="AE127" s="201">
        <f t="shared" si="440"/>
      </c>
      <c r="AF127" s="200">
        <f t="shared" si="60"/>
      </c>
      <c r="AG127" s="200">
        <f t="shared" si="323"/>
      </c>
      <c r="AH127" s="199">
        <f>SUM(AH125:AH126)</f>
      </c>
      <c r="AI127" s="199">
        <f>SUM(AI125:AI126)</f>
      </c>
      <c r="AJ127" s="199">
        <f>SUM(AJ125:AJ126)</f>
      </c>
      <c r="AK127" s="199">
        <f>SUM(AK125:AK126)</f>
      </c>
      <c r="AL127" s="199">
        <f>SUM(AL125:AL126)</f>
      </c>
      <c r="AM127" s="199">
        <f>SUM(AM125:AM126)</f>
      </c>
      <c r="AN127" s="199">
        <f>SUM(AN125:AN126)</f>
      </c>
      <c r="AO127" s="199">
        <f>SUM(AO125:AO126)</f>
      </c>
      <c r="AP127" s="199">
        <f>SUM(AP125:AP126)</f>
      </c>
      <c r="AQ127" s="199">
        <f>SUM(AQ125:AQ126)</f>
      </c>
      <c r="AR127" s="203">
        <f>SUM(AR125:AR126)</f>
      </c>
    </row>
    <row r="128">
      <c r="A128" s="182"/>
      <c r="B128" s="183" t="s">
        <v>191</v>
      </c>
      <c r="C128" s="184" t="s">
        <v>192</v>
      </c>
      <c r="D128" s="183" t="s">
        <v>201</v>
      </c>
      <c r="E128" s="184" t="s">
        <v>202</v>
      </c>
      <c r="F128" s="185">
        <f t="shared" ref="F128:F130" si="105">H128+G128</f>
      </c>
      <c r="G128" s="204">
        <v>2228.61</v>
      </c>
      <c r="H128" s="204">
        <v>722.17</v>
      </c>
      <c r="I128" s="187">
        <v>9</v>
      </c>
      <c r="J128" s="187">
        <v>7</v>
      </c>
      <c r="K128" s="188">
        <v>4319.200000000001</v>
      </c>
      <c r="L128" s="189">
        <f t="shared" si="188"/>
      </c>
      <c r="M128" s="190">
        <f t="shared" si="410"/>
      </c>
      <c r="N128" s="191">
        <f t="shared" si="0"/>
      </c>
      <c r="O128" s="191">
        <f t="shared" si="293"/>
      </c>
      <c r="P128" s="191">
        <f t="shared" si="338"/>
      </c>
      <c r="Q128" s="191">
        <f t="shared" si="233"/>
      </c>
      <c r="R128" s="191">
        <f t="shared" si="263"/>
      </c>
      <c r="S128" s="191">
        <f t="shared" si="158"/>
      </c>
      <c r="T128" s="191">
        <f t="shared" si="203"/>
      </c>
      <c r="U128" s="189">
        <f t="shared" si="425"/>
      </c>
      <c r="V128" s="189">
        <f t="shared" si="15"/>
      </c>
      <c r="W128" s="189">
        <f t="shared" si="30"/>
      </c>
      <c r="X128" s="189">
        <f t="shared" si="45"/>
      </c>
      <c r="Y128" s="189">
        <f t="shared" si="308"/>
      </c>
      <c r="Z128" s="189">
        <f t="shared" si="353"/>
      </c>
      <c r="AA128" s="190">
        <f t="shared" si="248"/>
      </c>
      <c r="AB128" s="190">
        <f t="shared" si="278"/>
      </c>
      <c r="AC128" s="190">
        <f t="shared" si="173"/>
      </c>
      <c r="AD128" s="189">
        <f t="shared" si="218"/>
      </c>
      <c r="AE128" s="190">
        <f t="shared" si="440"/>
      </c>
      <c r="AF128" s="189">
        <f t="shared" si="60"/>
      </c>
      <c r="AG128" s="189">
        <f t="shared" si="323"/>
      </c>
      <c r="AH128" s="192">
        <v>19636</v>
      </c>
      <c r="AI128" s="192">
        <v>454</v>
      </c>
      <c r="AJ128" s="192">
        <v>553</v>
      </c>
      <c r="AK128" s="192">
        <v>112</v>
      </c>
      <c r="AL128" s="192">
        <v>9</v>
      </c>
      <c r="AM128" s="192">
        <v>7</v>
      </c>
      <c r="AN128" s="192">
        <v>104</v>
      </c>
      <c r="AO128" s="192">
        <v>95</v>
      </c>
      <c r="AP128" s="192">
        <v>11</v>
      </c>
      <c r="AQ128" s="187">
        <v>0</v>
      </c>
      <c r="AR128" s="194">
        <v>1</v>
      </c>
    </row>
    <row r="129">
      <c r="A129" s="182"/>
      <c r="B129" s="183" t="s">
        <v>191</v>
      </c>
      <c r="C129" s="184" t="s">
        <v>192</v>
      </c>
      <c r="D129" s="183" t="s">
        <v>201</v>
      </c>
      <c r="E129" s="184" t="s">
        <v>203</v>
      </c>
      <c r="F129" s="185">
        <f t="shared" si="105"/>
      </c>
      <c r="G129" s="204">
        <v>1949.36</v>
      </c>
      <c r="H129" s="204">
        <v>766.74</v>
      </c>
      <c r="I129" s="187">
        <v>9</v>
      </c>
      <c r="J129" s="192">
        <v>7</v>
      </c>
      <c r="K129" s="196">
        <v>5463</v>
      </c>
      <c r="L129" s="189">
        <f t="shared" si="188"/>
      </c>
      <c r="M129" s="190">
        <f t="shared" si="410"/>
      </c>
      <c r="N129" s="191">
        <f t="shared" si="0"/>
      </c>
      <c r="O129" s="191">
        <f t="shared" si="293"/>
      </c>
      <c r="P129" s="191">
        <f t="shared" si="338"/>
      </c>
      <c r="Q129" s="191">
        <f t="shared" si="233"/>
      </c>
      <c r="R129" s="191">
        <f t="shared" si="263"/>
      </c>
      <c r="S129" s="191">
        <f t="shared" si="158"/>
      </c>
      <c r="T129" s="191">
        <f t="shared" si="203"/>
      </c>
      <c r="U129" s="189">
        <f t="shared" si="425"/>
      </c>
      <c r="V129" s="189">
        <f t="shared" si="15"/>
      </c>
      <c r="W129" s="189">
        <f t="shared" si="30"/>
      </c>
      <c r="X129" s="189">
        <f t="shared" si="45"/>
      </c>
      <c r="Y129" s="189">
        <f t="shared" si="308"/>
      </c>
      <c r="Z129" s="189">
        <f t="shared" si="353"/>
      </c>
      <c r="AA129" s="190">
        <f t="shared" si="248"/>
      </c>
      <c r="AB129" s="190">
        <f t="shared" si="278"/>
      </c>
      <c r="AC129" s="190">
        <f t="shared" si="173"/>
      </c>
      <c r="AD129" s="189">
        <f t="shared" si="218"/>
      </c>
      <c r="AE129" s="190">
        <f t="shared" si="440"/>
      </c>
      <c r="AF129" s="189">
        <f t="shared" si="60"/>
      </c>
      <c r="AG129" s="189">
        <f t="shared" si="323"/>
      </c>
      <c r="AH129" s="192">
        <v>19304</v>
      </c>
      <c r="AI129" s="192">
        <v>533</v>
      </c>
      <c r="AJ129" s="192">
        <v>607</v>
      </c>
      <c r="AK129" s="192">
        <v>114</v>
      </c>
      <c r="AL129" s="192">
        <v>9</v>
      </c>
      <c r="AM129" s="192">
        <v>6</v>
      </c>
      <c r="AN129" s="192">
        <v>102</v>
      </c>
      <c r="AO129" s="192">
        <v>83</v>
      </c>
      <c r="AP129" s="192">
        <v>3</v>
      </c>
      <c r="AQ129" s="187">
        <v>0</v>
      </c>
      <c r="AR129" s="194">
        <v>1</v>
      </c>
    </row>
    <row r="130">
      <c r="A130" s="182"/>
      <c r="B130" s="183" t="s">
        <v>191</v>
      </c>
      <c r="C130" s="184" t="s">
        <v>192</v>
      </c>
      <c r="D130" s="183" t="s">
        <v>201</v>
      </c>
      <c r="E130" s="183" t="s">
        <v>204</v>
      </c>
      <c r="F130" s="185">
        <f t="shared" si="105"/>
      </c>
      <c r="G130" s="204">
        <v>1401.11</v>
      </c>
      <c r="H130" s="204">
        <v>1001.3</v>
      </c>
      <c r="I130" s="187">
        <v>3</v>
      </c>
      <c r="J130" s="192">
        <v>4</v>
      </c>
      <c r="K130" s="196">
        <v>3431.5999999999985</v>
      </c>
      <c r="L130" s="189">
        <f t="shared" si="188"/>
      </c>
      <c r="M130" s="190">
        <f t="shared" si="410"/>
      </c>
      <c r="N130" s="191">
        <f t="shared" si="0"/>
      </c>
      <c r="O130" s="191">
        <f t="shared" si="293"/>
      </c>
      <c r="P130" s="191">
        <f t="shared" si="338"/>
      </c>
      <c r="Q130" s="191">
        <f t="shared" si="233"/>
      </c>
      <c r="R130" s="191">
        <f t="shared" si="263"/>
      </c>
      <c r="S130" s="191">
        <f t="shared" si="158"/>
      </c>
      <c r="T130" s="191">
        <f t="shared" si="203"/>
      </c>
      <c r="U130" s="189">
        <f t="shared" si="425"/>
      </c>
      <c r="V130" s="189">
        <f t="shared" si="15"/>
      </c>
      <c r="W130" s="189">
        <f t="shared" si="30"/>
      </c>
      <c r="X130" s="189">
        <f t="shared" si="45"/>
      </c>
      <c r="Y130" s="189">
        <f t="shared" si="308"/>
      </c>
      <c r="Z130" s="189">
        <f t="shared" si="353"/>
      </c>
      <c r="AA130" s="190">
        <f t="shared" si="248"/>
      </c>
      <c r="AB130" s="190">
        <f t="shared" si="278"/>
      </c>
      <c r="AC130" s="190">
        <f t="shared" si="173"/>
      </c>
      <c r="AD130" s="189">
        <f t="shared" si="218"/>
      </c>
      <c r="AE130" s="190">
        <f t="shared" si="440"/>
      </c>
      <c r="AF130" s="189">
        <f t="shared" si="60"/>
      </c>
      <c r="AG130" s="189">
        <f t="shared" si="323"/>
      </c>
      <c r="AH130" s="192">
        <v>19755</v>
      </c>
      <c r="AI130" s="192">
        <v>569</v>
      </c>
      <c r="AJ130" s="192">
        <v>663</v>
      </c>
      <c r="AK130" s="192">
        <v>86</v>
      </c>
      <c r="AL130" s="187">
        <v>3</v>
      </c>
      <c r="AM130" s="187">
        <v>4</v>
      </c>
      <c r="AN130" s="192">
        <v>90</v>
      </c>
      <c r="AO130" s="192">
        <v>57</v>
      </c>
      <c r="AP130" s="192">
        <v>6</v>
      </c>
      <c r="AQ130" s="187">
        <v>1</v>
      </c>
      <c r="AR130" s="194">
        <v>1</v>
      </c>
    </row>
    <row r="131">
      <c r="A131" s="182"/>
      <c r="B131" s="197" t="s">
        <v>197</v>
      </c>
      <c r="C131" s="197"/>
      <c r="D131" s="197"/>
      <c r="E131" s="197"/>
      <c r="F131" s="198">
        <f>SUM(F128:F130)</f>
      </c>
      <c r="G131" s="198">
        <f>SUM(G128:G130)</f>
      </c>
      <c r="H131" s="198">
        <f>SUM(H128:H130)</f>
      </c>
      <c r="I131" s="199">
        <f>SUM(I128:I130)</f>
      </c>
      <c r="J131" s="199">
        <f>SUM(J128:J130)</f>
      </c>
      <c r="K131" s="198">
        <f>SUM(K128:K130)</f>
      </c>
      <c r="L131" s="200">
        <f t="shared" si="188"/>
      </c>
      <c r="M131" s="201">
        <f t="shared" si="410"/>
      </c>
      <c r="N131" s="202">
        <f t="shared" si="0"/>
      </c>
      <c r="O131" s="202">
        <f t="shared" si="293"/>
      </c>
      <c r="P131" s="202">
        <f t="shared" si="338"/>
      </c>
      <c r="Q131" s="202">
        <f t="shared" si="233"/>
      </c>
      <c r="R131" s="202">
        <f t="shared" si="263"/>
      </c>
      <c r="S131" s="202">
        <f t="shared" si="158"/>
      </c>
      <c r="T131" s="202">
        <f t="shared" si="203"/>
      </c>
      <c r="U131" s="200">
        <f t="shared" si="425"/>
      </c>
      <c r="V131" s="200">
        <f t="shared" si="15"/>
      </c>
      <c r="W131" s="200">
        <f t="shared" si="30"/>
      </c>
      <c r="X131" s="200">
        <f t="shared" si="45"/>
      </c>
      <c r="Y131" s="200">
        <f t="shared" si="308"/>
      </c>
      <c r="Z131" s="200">
        <f t="shared" si="353"/>
      </c>
      <c r="AA131" s="201">
        <f t="shared" si="248"/>
      </c>
      <c r="AB131" s="201">
        <f t="shared" si="278"/>
      </c>
      <c r="AC131" s="201">
        <f t="shared" si="173"/>
      </c>
      <c r="AD131" s="200">
        <f t="shared" si="218"/>
      </c>
      <c r="AE131" s="201">
        <f t="shared" si="440"/>
      </c>
      <c r="AF131" s="200">
        <f t="shared" si="60"/>
      </c>
      <c r="AG131" s="200">
        <f t="shared" si="323"/>
      </c>
      <c r="AH131" s="199">
        <f>SUM(AH128:AH130)</f>
      </c>
      <c r="AI131" s="199">
        <f>SUM(AI128:AI130)</f>
      </c>
      <c r="AJ131" s="199">
        <f>SUM(AJ128:AJ130)</f>
      </c>
      <c r="AK131" s="199">
        <f>SUM(AK128:AK130)</f>
      </c>
      <c r="AL131" s="199">
        <f>SUM(AL128:AL130)</f>
      </c>
      <c r="AM131" s="199">
        <f>SUM(AM128:AM130)</f>
      </c>
      <c r="AN131" s="199">
        <f>SUM(AN128:AN130)</f>
      </c>
      <c r="AO131" s="199">
        <f>SUM(AO128:AO130)</f>
      </c>
      <c r="AP131" s="199">
        <f>SUM(AP128:AP130)</f>
      </c>
      <c r="AQ131" s="199">
        <f>SUM(AQ128:AQ130)</f>
      </c>
      <c r="AR131" s="203">
        <f>SUM(AR128:AR130)</f>
      </c>
    </row>
    <row r="132">
      <c r="A132" s="182"/>
      <c r="B132" s="205" t="s">
        <v>205</v>
      </c>
      <c r="C132" s="205"/>
      <c r="D132" s="205"/>
      <c r="E132" s="205"/>
      <c r="F132" s="206">
        <f t="shared" ref="F132:F135" si="106">H132+G132</f>
      </c>
      <c r="G132" s="206">
        <f>G124+G131+G127</f>
      </c>
      <c r="H132" s="206">
        <f>H124+H131+H127</f>
      </c>
      <c r="I132" s="206">
        <f>I124+I131+I127</f>
      </c>
      <c r="J132" s="206">
        <f>J124+J131+J127</f>
      </c>
      <c r="K132" s="206">
        <f>K124+K131+K127</f>
      </c>
      <c r="L132" s="207">
        <f t="shared" si="188"/>
      </c>
      <c r="M132" s="208">
        <f t="shared" si="410"/>
      </c>
      <c r="N132" s="209">
        <f t="shared" si="0"/>
      </c>
      <c r="O132" s="209">
        <f t="shared" si="293"/>
      </c>
      <c r="P132" s="209">
        <f t="shared" si="338"/>
      </c>
      <c r="Q132" s="209">
        <f t="shared" si="233"/>
      </c>
      <c r="R132" s="209">
        <f t="shared" si="263"/>
      </c>
      <c r="S132" s="209">
        <f t="shared" si="158"/>
      </c>
      <c r="T132" s="209">
        <f t="shared" si="203"/>
      </c>
      <c r="U132" s="207">
        <f t="shared" si="425"/>
      </c>
      <c r="V132" s="207">
        <f t="shared" si="15"/>
      </c>
      <c r="W132" s="207">
        <f t="shared" si="30"/>
      </c>
      <c r="X132" s="207">
        <f t="shared" si="45"/>
      </c>
      <c r="Y132" s="207">
        <f t="shared" si="308"/>
      </c>
      <c r="Z132" s="207">
        <f t="shared" si="353"/>
      </c>
      <c r="AA132" s="208">
        <f t="shared" si="248"/>
      </c>
      <c r="AB132" s="208">
        <f t="shared" si="278"/>
      </c>
      <c r="AC132" s="208">
        <f t="shared" si="173"/>
      </c>
      <c r="AD132" s="207">
        <f t="shared" si="218"/>
      </c>
      <c r="AE132" s="208">
        <f t="shared" si="440"/>
      </c>
      <c r="AF132" s="207">
        <f t="shared" si="60"/>
      </c>
      <c r="AG132" s="207">
        <f t="shared" si="323"/>
      </c>
      <c r="AH132" s="210">
        <f>AH124+AH131+AH127</f>
      </c>
      <c r="AI132" s="210">
        <f>AI124+AI131+AI127</f>
      </c>
      <c r="AJ132" s="210">
        <f>AJ124+AJ131+AJ127</f>
      </c>
      <c r="AK132" s="210">
        <f>AK124+AK131+AK127</f>
      </c>
      <c r="AL132" s="210">
        <f>AL124+AL131+AL127</f>
      </c>
      <c r="AM132" s="210">
        <f>AM124+AM131+AM127</f>
      </c>
      <c r="AN132" s="210">
        <f>AN124+AN131+AN127</f>
      </c>
      <c r="AO132" s="210">
        <f>AO124+AO131+AO127</f>
      </c>
      <c r="AP132" s="210">
        <f>AP124+AP131+AP127</f>
      </c>
      <c r="AQ132" s="210">
        <f>AQ124+AQ131+AQ127</f>
      </c>
      <c r="AR132" s="203">
        <f>AR124+AR131+AR127</f>
      </c>
    </row>
    <row r="133">
      <c r="A133" s="182">
        <v>46277</v>
      </c>
      <c r="B133" s="183" t="s">
        <v>191</v>
      </c>
      <c r="C133" s="184" t="s">
        <v>192</v>
      </c>
      <c r="D133" s="183" t="s">
        <v>198</v>
      </c>
      <c r="E133" s="183" t="s">
        <v>194</v>
      </c>
      <c r="F133" s="185">
        <f t="shared" si="106"/>
      </c>
      <c r="G133" s="204">
        <v>1418.58</v>
      </c>
      <c r="H133" s="204">
        <v>891.61</v>
      </c>
      <c r="I133" s="187">
        <v>2</v>
      </c>
      <c r="J133" s="187">
        <v>1</v>
      </c>
      <c r="K133" s="188">
        <v>799</v>
      </c>
      <c r="L133" s="189">
        <f t="shared" si="188"/>
      </c>
      <c r="M133" s="190">
        <f t="shared" si="410"/>
      </c>
      <c r="N133" s="191">
        <f t="shared" si="0"/>
      </c>
      <c r="O133" s="191">
        <f t="shared" si="293"/>
      </c>
      <c r="P133" s="191">
        <f t="shared" si="338"/>
      </c>
      <c r="Q133" s="191">
        <f t="shared" si="233"/>
      </c>
      <c r="R133" s="191">
        <f t="shared" si="263"/>
      </c>
      <c r="S133" s="191">
        <f t="shared" si="158"/>
      </c>
      <c r="T133" s="191">
        <f t="shared" si="203"/>
      </c>
      <c r="U133" s="189">
        <f t="shared" si="425"/>
      </c>
      <c r="V133" s="189">
        <f t="shared" si="15"/>
      </c>
      <c r="W133" s="189">
        <f t="shared" si="30"/>
      </c>
      <c r="X133" s="189">
        <f t="shared" si="45"/>
      </c>
      <c r="Y133" s="189">
        <f t="shared" si="308"/>
      </c>
      <c r="Z133" s="189">
        <f t="shared" si="353"/>
      </c>
      <c r="AA133" s="190">
        <f t="shared" si="248"/>
      </c>
      <c r="AB133" s="190">
        <f t="shared" si="278"/>
      </c>
      <c r="AC133" s="190">
        <f t="shared" si="173"/>
      </c>
      <c r="AD133" s="189">
        <f t="shared" si="218"/>
      </c>
      <c r="AE133" s="190">
        <f t="shared" si="440"/>
      </c>
      <c r="AF133" s="189">
        <f t="shared" si="60"/>
      </c>
      <c r="AG133" s="189">
        <f t="shared" si="323"/>
      </c>
      <c r="AH133" s="192">
        <v>12619</v>
      </c>
      <c r="AI133" s="193">
        <v>372</v>
      </c>
      <c r="AJ133" s="193">
        <v>435</v>
      </c>
      <c r="AK133" s="192">
        <v>100</v>
      </c>
      <c r="AL133" s="192">
        <v>2</v>
      </c>
      <c r="AM133" s="192">
        <v>1</v>
      </c>
      <c r="AN133" s="192">
        <v>78</v>
      </c>
      <c r="AO133" s="192">
        <v>75</v>
      </c>
      <c r="AP133" s="187">
        <v>6</v>
      </c>
      <c r="AQ133" s="187">
        <v>0</v>
      </c>
      <c r="AR133" s="194">
        <v>1</v>
      </c>
    </row>
    <row r="134">
      <c r="A134" s="182"/>
      <c r="B134" s="183" t="s">
        <v>191</v>
      </c>
      <c r="C134" s="184" t="s">
        <v>192</v>
      </c>
      <c r="D134" s="183" t="s">
        <v>198</v>
      </c>
      <c r="E134" s="183" t="s">
        <v>195</v>
      </c>
      <c r="F134" s="185">
        <f t="shared" si="106"/>
      </c>
      <c r="G134" s="212">
        <v>1154.13</v>
      </c>
      <c r="H134" s="204">
        <v>699.37</v>
      </c>
      <c r="I134" s="187">
        <v>3</v>
      </c>
      <c r="J134" s="187">
        <v>2</v>
      </c>
      <c r="K134" s="188">
        <v>1830</v>
      </c>
      <c r="L134" s="189">
        <f t="shared" si="188"/>
      </c>
      <c r="M134" s="190">
        <f t="shared" si="410"/>
      </c>
      <c r="N134" s="191">
        <f t="shared" si="0"/>
      </c>
      <c r="O134" s="191">
        <f t="shared" si="293"/>
      </c>
      <c r="P134" s="191">
        <f t="shared" si="338"/>
      </c>
      <c r="Q134" s="191">
        <f t="shared" si="233"/>
      </c>
      <c r="R134" s="191">
        <f t="shared" si="263"/>
      </c>
      <c r="S134" s="191">
        <f t="shared" si="158"/>
      </c>
      <c r="T134" s="191">
        <f t="shared" si="203"/>
      </c>
      <c r="U134" s="189">
        <f t="shared" si="425"/>
      </c>
      <c r="V134" s="189">
        <f t="shared" si="15"/>
      </c>
      <c r="W134" s="189">
        <f t="shared" si="30"/>
      </c>
      <c r="X134" s="189">
        <f t="shared" si="45"/>
      </c>
      <c r="Y134" s="189">
        <f t="shared" si="308"/>
      </c>
      <c r="Z134" s="189">
        <f t="shared" si="353"/>
      </c>
      <c r="AA134" s="190">
        <f t="shared" si="248"/>
      </c>
      <c r="AB134" s="190">
        <f t="shared" si="278"/>
      </c>
      <c r="AC134" s="190">
        <f t="shared" si="173"/>
      </c>
      <c r="AD134" s="189">
        <f t="shared" si="218"/>
      </c>
      <c r="AE134" s="190">
        <f t="shared" si="440"/>
      </c>
      <c r="AF134" s="189">
        <f t="shared" si="60"/>
      </c>
      <c r="AG134" s="189">
        <f t="shared" si="323"/>
      </c>
      <c r="AH134" s="192">
        <v>11552</v>
      </c>
      <c r="AI134" s="192">
        <v>311</v>
      </c>
      <c r="AJ134" s="192">
        <v>376</v>
      </c>
      <c r="AK134" s="192">
        <v>58</v>
      </c>
      <c r="AL134" s="192">
        <v>3</v>
      </c>
      <c r="AM134" s="192">
        <v>2</v>
      </c>
      <c r="AN134" s="192">
        <v>47</v>
      </c>
      <c r="AO134" s="192">
        <v>20</v>
      </c>
      <c r="AP134" s="187">
        <v>3</v>
      </c>
      <c r="AQ134" s="187">
        <v>0</v>
      </c>
      <c r="AR134" s="194">
        <v>1</v>
      </c>
    </row>
    <row r="135">
      <c r="A135" s="182"/>
      <c r="B135" s="183" t="s">
        <v>191</v>
      </c>
      <c r="C135" s="184" t="s">
        <v>192</v>
      </c>
      <c r="D135" s="183" t="s">
        <v>198</v>
      </c>
      <c r="E135" s="183" t="s">
        <v>196</v>
      </c>
      <c r="F135" s="185">
        <f t="shared" si="106"/>
      </c>
      <c r="G135" s="204">
        <v>773.22</v>
      </c>
      <c r="H135" s="204">
        <v>462.29</v>
      </c>
      <c r="I135" s="187">
        <v>1</v>
      </c>
      <c r="J135" s="187">
        <v>1</v>
      </c>
      <c r="K135" s="188">
        <v>439</v>
      </c>
      <c r="L135" s="189">
        <f t="shared" si="188"/>
      </c>
      <c r="M135" s="190">
        <f t="shared" si="410"/>
      </c>
      <c r="N135" s="191">
        <f t="shared" si="0"/>
      </c>
      <c r="O135" s="191">
        <f t="shared" si="293"/>
      </c>
      <c r="P135" s="191">
        <f t="shared" si="338"/>
      </c>
      <c r="Q135" s="191">
        <f t="shared" si="233"/>
      </c>
      <c r="R135" s="191">
        <f t="shared" si="263"/>
      </c>
      <c r="S135" s="191">
        <f t="shared" si="158"/>
      </c>
      <c r="T135" s="191">
        <f t="shared" si="203"/>
      </c>
      <c r="U135" s="189">
        <f t="shared" si="425"/>
      </c>
      <c r="V135" s="189">
        <f t="shared" si="15"/>
      </c>
      <c r="W135" s="189">
        <f t="shared" si="30"/>
      </c>
      <c r="X135" s="189">
        <f t="shared" si="45"/>
      </c>
      <c r="Y135" s="189">
        <f t="shared" si="308"/>
      </c>
      <c r="Z135" s="189">
        <f t="shared" si="353"/>
      </c>
      <c r="AA135" s="190">
        <f t="shared" si="248"/>
      </c>
      <c r="AB135" s="190">
        <f t="shared" si="278"/>
      </c>
      <c r="AC135" s="190">
        <f t="shared" si="173"/>
      </c>
      <c r="AD135" s="189">
        <f t="shared" si="218"/>
      </c>
      <c r="AE135" s="190">
        <f t="shared" si="440"/>
      </c>
      <c r="AF135" s="189">
        <f t="shared" si="60"/>
      </c>
      <c r="AG135" s="189">
        <f t="shared" si="323"/>
      </c>
      <c r="AH135" s="192">
        <v>8079</v>
      </c>
      <c r="AI135" s="192">
        <v>230</v>
      </c>
      <c r="AJ135" s="192">
        <v>277</v>
      </c>
      <c r="AK135" s="192">
        <v>46</v>
      </c>
      <c r="AL135" s="192">
        <v>1</v>
      </c>
      <c r="AM135" s="192">
        <v>1</v>
      </c>
      <c r="AN135" s="192">
        <v>38</v>
      </c>
      <c r="AO135" s="192">
        <v>60</v>
      </c>
      <c r="AP135" s="192">
        <v>3</v>
      </c>
      <c r="AQ135" s="187">
        <v>0</v>
      </c>
      <c r="AR135" s="194">
        <v>1</v>
      </c>
    </row>
    <row r="136">
      <c r="A136" s="182"/>
      <c r="B136" s="197" t="s">
        <v>197</v>
      </c>
      <c r="C136" s="197"/>
      <c r="D136" s="197"/>
      <c r="E136" s="197"/>
      <c r="F136" s="198">
        <f>SUM(F133:F135)</f>
      </c>
      <c r="G136" s="198">
        <f>SUM(G133:G135)</f>
      </c>
      <c r="H136" s="198">
        <f>SUM(H133:H135)</f>
      </c>
      <c r="I136" s="199">
        <f>SUM(I133:I135)</f>
      </c>
      <c r="J136" s="199">
        <f>SUM(J133:J135)</f>
      </c>
      <c r="K136" s="198">
        <f>SUM(K133:K135)</f>
      </c>
      <c r="L136" s="200">
        <f t="shared" si="188"/>
      </c>
      <c r="M136" s="201">
        <f t="shared" si="410"/>
      </c>
      <c r="N136" s="202">
        <f t="shared" si="0"/>
      </c>
      <c r="O136" s="202">
        <f t="shared" si="293"/>
      </c>
      <c r="P136" s="202">
        <f t="shared" si="338"/>
      </c>
      <c r="Q136" s="202">
        <f t="shared" si="233"/>
      </c>
      <c r="R136" s="202">
        <f t="shared" si="263"/>
      </c>
      <c r="S136" s="202">
        <f t="shared" si="158"/>
      </c>
      <c r="T136" s="202">
        <f t="shared" si="203"/>
      </c>
      <c r="U136" s="200">
        <f t="shared" si="425"/>
      </c>
      <c r="V136" s="200">
        <f t="shared" si="15"/>
      </c>
      <c r="W136" s="200">
        <f t="shared" si="30"/>
      </c>
      <c r="X136" s="200">
        <f t="shared" si="45"/>
      </c>
      <c r="Y136" s="200">
        <f t="shared" si="308"/>
      </c>
      <c r="Z136" s="200">
        <f t="shared" si="353"/>
      </c>
      <c r="AA136" s="201">
        <f t="shared" si="248"/>
      </c>
      <c r="AB136" s="201">
        <f t="shared" si="278"/>
      </c>
      <c r="AC136" s="201">
        <f t="shared" si="173"/>
      </c>
      <c r="AD136" s="200">
        <f t="shared" si="218"/>
      </c>
      <c r="AE136" s="201">
        <f t="shared" si="440"/>
      </c>
      <c r="AF136" s="200">
        <f t="shared" si="60"/>
      </c>
      <c r="AG136" s="200">
        <f t="shared" si="323"/>
      </c>
      <c r="AH136" s="199">
        <f>SUM(AH133:AH135)</f>
      </c>
      <c r="AI136" s="199">
        <f>SUM(AI133:AI135)</f>
      </c>
      <c r="AJ136" s="199">
        <f>SUM(AJ133:AJ135)</f>
      </c>
      <c r="AK136" s="199">
        <f>SUM(AK133:AK135)</f>
      </c>
      <c r="AL136" s="199">
        <f>SUM(AL133:AL135)</f>
      </c>
      <c r="AM136" s="199">
        <f>SUM(AM133:AM135)</f>
      </c>
      <c r="AN136" s="199">
        <f>SUM(AN133:AN135)</f>
      </c>
      <c r="AO136" s="199">
        <f>SUM(AO133:AO135)</f>
      </c>
      <c r="AP136" s="199">
        <f>SUM(AP133:AP135)</f>
      </c>
      <c r="AQ136" s="199">
        <f>SUM(AQ133:AQ135)</f>
      </c>
      <c r="AR136" s="203">
        <f>SUM(AR133:AR135)</f>
      </c>
    </row>
    <row r="137">
      <c r="A137" s="182"/>
      <c r="B137" s="183" t="s">
        <v>191</v>
      </c>
      <c r="C137" s="184" t="s">
        <v>192</v>
      </c>
      <c r="D137" s="183" t="s">
        <v>208</v>
      </c>
      <c r="E137" s="183" t="s">
        <v>199</v>
      </c>
      <c r="F137" s="185">
        <f>H137+G137</f>
      </c>
      <c r="G137" s="204">
        <v>738.92</v>
      </c>
      <c r="H137" s="204">
        <v>322.17</v>
      </c>
      <c r="I137" s="187">
        <v>2</v>
      </c>
      <c r="J137" s="192">
        <v>3</v>
      </c>
      <c r="K137" s="196">
        <v>1743.6000000000004</v>
      </c>
      <c r="L137" s="189">
        <f t="shared" si="188"/>
      </c>
      <c r="M137" s="190">
        <f t="shared" si="410"/>
      </c>
      <c r="N137" s="191">
        <f t="shared" si="0"/>
      </c>
      <c r="O137" s="191">
        <f t="shared" si="293"/>
      </c>
      <c r="P137" s="191">
        <f t="shared" si="338"/>
      </c>
      <c r="Q137" s="191">
        <f t="shared" si="233"/>
      </c>
      <c r="R137" s="191">
        <f t="shared" si="263"/>
      </c>
      <c r="S137" s="191">
        <f t="shared" si="158"/>
      </c>
      <c r="T137" s="191">
        <f t="shared" si="203"/>
      </c>
      <c r="U137" s="189">
        <f t="shared" si="425"/>
      </c>
      <c r="V137" s="189">
        <f t="shared" si="15"/>
      </c>
      <c r="W137" s="189">
        <f t="shared" si="30"/>
      </c>
      <c r="X137" s="189">
        <f t="shared" si="45"/>
      </c>
      <c r="Y137" s="189">
        <f t="shared" si="308"/>
      </c>
      <c r="Z137" s="189">
        <f t="shared" si="353"/>
      </c>
      <c r="AA137" s="190">
        <f t="shared" si="248"/>
      </c>
      <c r="AB137" s="190">
        <f t="shared" si="278"/>
      </c>
      <c r="AC137" s="190">
        <f t="shared" si="173"/>
      </c>
      <c r="AD137" s="189">
        <f t="shared" si="218"/>
      </c>
      <c r="AE137" s="190">
        <f t="shared" si="440"/>
      </c>
      <c r="AF137" s="189">
        <f t="shared" si="60"/>
      </c>
      <c r="AG137" s="189">
        <f t="shared" si="323"/>
      </c>
      <c r="AH137" s="192">
        <v>7062</v>
      </c>
      <c r="AI137" s="192">
        <v>212</v>
      </c>
      <c r="AJ137" s="192">
        <v>247</v>
      </c>
      <c r="AK137" s="192">
        <v>43</v>
      </c>
      <c r="AL137" s="192">
        <v>2</v>
      </c>
      <c r="AM137" s="192">
        <v>2</v>
      </c>
      <c r="AN137" s="192">
        <v>40</v>
      </c>
      <c r="AO137" s="192">
        <v>52</v>
      </c>
      <c r="AP137" s="192">
        <v>1</v>
      </c>
      <c r="AQ137" s="187">
        <v>1</v>
      </c>
      <c r="AR137" s="194">
        <v>1</v>
      </c>
    </row>
    <row r="138">
      <c r="A138" s="182"/>
      <c r="B138" s="197" t="s">
        <v>197</v>
      </c>
      <c r="C138" s="197"/>
      <c r="D138" s="197"/>
      <c r="E138" s="197"/>
      <c r="F138" s="198">
        <f>SUM(F137)</f>
      </c>
      <c r="G138" s="198">
        <f>SUM(G137)</f>
      </c>
      <c r="H138" s="198">
        <f>SUM(H137)</f>
      </c>
      <c r="I138" s="199">
        <f>SUM(I137)</f>
      </c>
      <c r="J138" s="199">
        <f>SUM(J137)</f>
      </c>
      <c r="K138" s="198">
        <f>SUM(K137)</f>
      </c>
      <c r="L138" s="200">
        <f t="shared" si="188"/>
      </c>
      <c r="M138" s="201">
        <f t="shared" si="410"/>
      </c>
      <c r="N138" s="202">
        <f t="shared" si="0"/>
      </c>
      <c r="O138" s="202">
        <f t="shared" si="293"/>
      </c>
      <c r="P138" s="202">
        <f t="shared" si="338"/>
      </c>
      <c r="Q138" s="202">
        <f t="shared" si="233"/>
      </c>
      <c r="R138" s="202">
        <f t="shared" si="263"/>
      </c>
      <c r="S138" s="202">
        <f t="shared" si="158"/>
      </c>
      <c r="T138" s="202">
        <f t="shared" si="203"/>
      </c>
      <c r="U138" s="200">
        <f t="shared" si="425"/>
      </c>
      <c r="V138" s="200">
        <f t="shared" si="15"/>
      </c>
      <c r="W138" s="200">
        <f t="shared" si="30"/>
      </c>
      <c r="X138" s="200">
        <f t="shared" si="45"/>
      </c>
      <c r="Y138" s="200">
        <f t="shared" si="308"/>
      </c>
      <c r="Z138" s="200">
        <f t="shared" si="353"/>
      </c>
      <c r="AA138" s="201">
        <f t="shared" si="248"/>
      </c>
      <c r="AB138" s="201">
        <f t="shared" si="278"/>
      </c>
      <c r="AC138" s="201">
        <f t="shared" si="173"/>
      </c>
      <c r="AD138" s="200">
        <f t="shared" si="218"/>
      </c>
      <c r="AE138" s="201">
        <f t="shared" si="440"/>
      </c>
      <c r="AF138" s="200">
        <f t="shared" si="60"/>
      </c>
      <c r="AG138" s="200">
        <f t="shared" si="323"/>
      </c>
      <c r="AH138" s="199">
        <f>SUM(AH137)</f>
      </c>
      <c r="AI138" s="199">
        <f>SUM(AI137)</f>
      </c>
      <c r="AJ138" s="199">
        <f>SUM(AJ137)</f>
      </c>
      <c r="AK138" s="199">
        <f>SUM(AK137)</f>
      </c>
      <c r="AL138" s="199">
        <f>SUM(AL137)</f>
      </c>
      <c r="AM138" s="199">
        <f>SUM(AM137)</f>
      </c>
      <c r="AN138" s="199">
        <f>SUM(AN137)</f>
      </c>
      <c r="AO138" s="199">
        <f>SUM(AO137)</f>
      </c>
      <c r="AP138" s="199">
        <f>SUM(AP137)</f>
      </c>
      <c r="AQ138" s="199">
        <f>SUM(AQ137)</f>
      </c>
      <c r="AR138" s="203">
        <f>SUM(AR137)</f>
      </c>
    </row>
    <row customHeight="true" ht="16.071428571428573" r="139">
      <c r="A139" s="182"/>
      <c r="B139" s="184" t="s">
        <v>191</v>
      </c>
      <c r="C139" s="184" t="s">
        <v>192</v>
      </c>
      <c r="D139" s="183" t="s">
        <v>206</v>
      </c>
      <c r="E139" s="184" t="s">
        <v>200</v>
      </c>
      <c r="F139" s="185">
        <f t="shared" ref="F139:F142" si="107">H139+G139</f>
      </c>
      <c r="G139" s="204">
        <v>1231.33</v>
      </c>
      <c r="H139" s="204">
        <v>366.26</v>
      </c>
      <c r="I139" s="187">
        <v>3</v>
      </c>
      <c r="J139" s="192">
        <v>3</v>
      </c>
      <c r="K139" s="196">
        <v>2692.8</v>
      </c>
      <c r="L139" s="189">
        <f t="shared" si="188"/>
      </c>
      <c r="M139" s="190">
        <f t="shared" si="410"/>
      </c>
      <c r="N139" s="191">
        <f t="shared" si="0"/>
      </c>
      <c r="O139" s="191">
        <f t="shared" si="293"/>
      </c>
      <c r="P139" s="191">
        <f t="shared" si="338"/>
      </c>
      <c r="Q139" s="191">
        <f t="shared" si="233"/>
      </c>
      <c r="R139" s="191">
        <f t="shared" si="263"/>
      </c>
      <c r="S139" s="191">
        <f t="shared" si="158"/>
      </c>
      <c r="T139" s="191">
        <f t="shared" si="203"/>
      </c>
      <c r="U139" s="189">
        <f t="shared" si="425"/>
      </c>
      <c r="V139" s="189">
        <f t="shared" si="15"/>
      </c>
      <c r="W139" s="189">
        <f t="shared" si="30"/>
      </c>
      <c r="X139" s="189">
        <f t="shared" si="45"/>
      </c>
      <c r="Y139" s="189">
        <f t="shared" si="308"/>
      </c>
      <c r="Z139" s="189">
        <f t="shared" si="353"/>
      </c>
      <c r="AA139" s="190">
        <f t="shared" si="248"/>
      </c>
      <c r="AB139" s="190">
        <f t="shared" si="278"/>
      </c>
      <c r="AC139" s="190">
        <f t="shared" si="173"/>
      </c>
      <c r="AD139" s="189">
        <f t="shared" si="218"/>
      </c>
      <c r="AE139" s="190">
        <f t="shared" si="440"/>
      </c>
      <c r="AF139" s="189">
        <f t="shared" si="60"/>
      </c>
      <c r="AG139" s="189">
        <f t="shared" si="323"/>
      </c>
      <c r="AH139" s="192">
        <v>8913</v>
      </c>
      <c r="AI139" s="192">
        <v>273</v>
      </c>
      <c r="AJ139" s="192">
        <v>301</v>
      </c>
      <c r="AK139" s="192">
        <v>73</v>
      </c>
      <c r="AL139" s="192">
        <v>3</v>
      </c>
      <c r="AM139" s="192">
        <v>3</v>
      </c>
      <c r="AN139" s="192">
        <v>69</v>
      </c>
      <c r="AO139" s="192">
        <v>98</v>
      </c>
      <c r="AP139" s="192">
        <v>6</v>
      </c>
      <c r="AQ139" s="187">
        <v>0</v>
      </c>
      <c r="AR139" s="213">
        <v>1</v>
      </c>
    </row>
    <row r="140">
      <c r="A140" s="182"/>
      <c r="B140" s="183" t="s">
        <v>191</v>
      </c>
      <c r="C140" s="184" t="s">
        <v>192</v>
      </c>
      <c r="D140" s="183" t="s">
        <v>206</v>
      </c>
      <c r="E140" s="184" t="s">
        <v>202</v>
      </c>
      <c r="F140" s="185">
        <f t="shared" si="107"/>
      </c>
      <c r="G140" s="204">
        <v>1872.09</v>
      </c>
      <c r="H140" s="204">
        <v>761.4</v>
      </c>
      <c r="I140" s="187">
        <v>3</v>
      </c>
      <c r="J140" s="187">
        <v>2</v>
      </c>
      <c r="K140" s="188">
        <v>1766.1999999999998</v>
      </c>
      <c r="L140" s="189">
        <f t="shared" si="188"/>
      </c>
      <c r="M140" s="190">
        <f t="shared" si="410"/>
      </c>
      <c r="N140" s="191">
        <f t="shared" si="0"/>
      </c>
      <c r="O140" s="191">
        <f t="shared" si="293"/>
      </c>
      <c r="P140" s="191">
        <f t="shared" si="338"/>
      </c>
      <c r="Q140" s="191">
        <f t="shared" si="233"/>
      </c>
      <c r="R140" s="191">
        <f t="shared" si="263"/>
      </c>
      <c r="S140" s="191">
        <f t="shared" si="158"/>
      </c>
      <c r="T140" s="191">
        <f t="shared" si="203"/>
      </c>
      <c r="U140" s="189">
        <f t="shared" si="425"/>
      </c>
      <c r="V140" s="189">
        <f t="shared" si="15"/>
      </c>
      <c r="W140" s="189">
        <f t="shared" si="30"/>
      </c>
      <c r="X140" s="189">
        <f t="shared" si="45"/>
      </c>
      <c r="Y140" s="189">
        <f t="shared" si="308"/>
      </c>
      <c r="Z140" s="189">
        <f t="shared" si="353"/>
      </c>
      <c r="AA140" s="190">
        <f t="shared" si="248"/>
      </c>
      <c r="AB140" s="190">
        <f t="shared" si="278"/>
      </c>
      <c r="AC140" s="190">
        <f t="shared" si="173"/>
      </c>
      <c r="AD140" s="189">
        <f t="shared" si="218"/>
      </c>
      <c r="AE140" s="190">
        <f t="shared" si="440"/>
      </c>
      <c r="AF140" s="189">
        <f t="shared" si="60"/>
      </c>
      <c r="AG140" s="189">
        <f t="shared" si="323"/>
      </c>
      <c r="AH140" s="192">
        <v>15774</v>
      </c>
      <c r="AI140" s="192">
        <v>388</v>
      </c>
      <c r="AJ140" s="192">
        <v>459</v>
      </c>
      <c r="AK140" s="192">
        <v>89</v>
      </c>
      <c r="AL140" s="192">
        <v>3</v>
      </c>
      <c r="AM140" s="192">
        <v>2</v>
      </c>
      <c r="AN140" s="192">
        <v>80</v>
      </c>
      <c r="AO140" s="192">
        <v>79</v>
      </c>
      <c r="AP140" s="192">
        <v>8</v>
      </c>
      <c r="AQ140" s="187">
        <v>0</v>
      </c>
      <c r="AR140" s="194">
        <v>1</v>
      </c>
    </row>
    <row r="141">
      <c r="A141" s="182"/>
      <c r="B141" s="183" t="s">
        <v>191</v>
      </c>
      <c r="C141" s="184" t="s">
        <v>192</v>
      </c>
      <c r="D141" s="183" t="s">
        <v>206</v>
      </c>
      <c r="E141" s="184" t="s">
        <v>203</v>
      </c>
      <c r="F141" s="185">
        <f t="shared" si="107"/>
      </c>
      <c r="G141" s="204">
        <v>1827.6</v>
      </c>
      <c r="H141" s="204">
        <v>652.58</v>
      </c>
      <c r="I141" s="187">
        <v>10</v>
      </c>
      <c r="J141" s="192">
        <v>13</v>
      </c>
      <c r="K141" s="196">
        <v>8230.6</v>
      </c>
      <c r="L141" s="189">
        <f t="shared" si="188"/>
      </c>
      <c r="M141" s="190">
        <f t="shared" si="410"/>
      </c>
      <c r="N141" s="191">
        <f t="shared" si="0"/>
      </c>
      <c r="O141" s="191">
        <f t="shared" si="293"/>
      </c>
      <c r="P141" s="191">
        <f t="shared" si="338"/>
      </c>
      <c r="Q141" s="191">
        <f t="shared" si="233"/>
      </c>
      <c r="R141" s="191">
        <f t="shared" si="263"/>
      </c>
      <c r="S141" s="191">
        <f t="shared" si="158"/>
      </c>
      <c r="T141" s="191">
        <f t="shared" si="203"/>
      </c>
      <c r="U141" s="189">
        <f t="shared" si="425"/>
      </c>
      <c r="V141" s="189">
        <f t="shared" si="15"/>
      </c>
      <c r="W141" s="189">
        <f t="shared" si="30"/>
      </c>
      <c r="X141" s="189">
        <f t="shared" si="45"/>
      </c>
      <c r="Y141" s="189">
        <f t="shared" si="308"/>
      </c>
      <c r="Z141" s="189">
        <f t="shared" si="353"/>
      </c>
      <c r="AA141" s="190">
        <f t="shared" si="248"/>
      </c>
      <c r="AB141" s="190">
        <f t="shared" si="278"/>
      </c>
      <c r="AC141" s="190">
        <f t="shared" si="173"/>
      </c>
      <c r="AD141" s="189">
        <f t="shared" si="218"/>
      </c>
      <c r="AE141" s="190">
        <f t="shared" si="440"/>
      </c>
      <c r="AF141" s="189">
        <f t="shared" si="60"/>
      </c>
      <c r="AG141" s="189">
        <f t="shared" si="323"/>
      </c>
      <c r="AH141" s="192">
        <v>16871</v>
      </c>
      <c r="AI141" s="192">
        <v>476</v>
      </c>
      <c r="AJ141" s="192">
        <v>544</v>
      </c>
      <c r="AK141" s="192">
        <v>119</v>
      </c>
      <c r="AL141" s="192">
        <v>9</v>
      </c>
      <c r="AM141" s="192">
        <v>8</v>
      </c>
      <c r="AN141" s="192">
        <v>111</v>
      </c>
      <c r="AO141" s="192">
        <v>137</v>
      </c>
      <c r="AP141" s="192">
        <v>13</v>
      </c>
      <c r="AQ141" s="187">
        <v>4</v>
      </c>
      <c r="AR141" s="194">
        <v>1</v>
      </c>
    </row>
    <row r="142">
      <c r="A142" s="182"/>
      <c r="B142" s="183" t="s">
        <v>191</v>
      </c>
      <c r="C142" s="184" t="s">
        <v>192</v>
      </c>
      <c r="D142" s="183" t="s">
        <v>206</v>
      </c>
      <c r="E142" s="183" t="s">
        <v>204</v>
      </c>
      <c r="F142" s="185">
        <f t="shared" si="107"/>
      </c>
      <c r="G142" s="204">
        <v>1369.42</v>
      </c>
      <c r="H142" s="204">
        <v>420.07</v>
      </c>
      <c r="I142" s="187">
        <v>1</v>
      </c>
      <c r="J142" s="187">
        <v>1</v>
      </c>
      <c r="K142" s="188">
        <v>439</v>
      </c>
      <c r="L142" s="189">
        <f t="shared" si="188"/>
      </c>
      <c r="M142" s="190">
        <f t="shared" si="410"/>
      </c>
      <c r="N142" s="191">
        <f t="shared" si="0"/>
      </c>
      <c r="O142" s="191">
        <f t="shared" si="293"/>
      </c>
      <c r="P142" s="191">
        <f t="shared" si="338"/>
      </c>
      <c r="Q142" s="191">
        <f t="shared" si="233"/>
      </c>
      <c r="R142" s="191">
        <f t="shared" si="263"/>
      </c>
      <c r="S142" s="191">
        <f t="shared" si="158"/>
      </c>
      <c r="T142" s="191">
        <f t="shared" si="203"/>
      </c>
      <c r="U142" s="189">
        <f t="shared" si="425"/>
      </c>
      <c r="V142" s="189">
        <f t="shared" si="15"/>
      </c>
      <c r="W142" s="189">
        <f t="shared" si="30"/>
      </c>
      <c r="X142" s="189">
        <f t="shared" si="45"/>
      </c>
      <c r="Y142" s="189">
        <f t="shared" si="308"/>
      </c>
      <c r="Z142" s="189">
        <f t="shared" si="353"/>
      </c>
      <c r="AA142" s="190">
        <f t="shared" si="248"/>
      </c>
      <c r="AB142" s="190">
        <f t="shared" si="278"/>
      </c>
      <c r="AC142" s="190">
        <f t="shared" si="173"/>
      </c>
      <c r="AD142" s="189">
        <f t="shared" si="218"/>
      </c>
      <c r="AE142" s="190">
        <f t="shared" si="440"/>
      </c>
      <c r="AF142" s="189">
        <f t="shared" si="60"/>
      </c>
      <c r="AG142" s="189">
        <f t="shared" si="323"/>
      </c>
      <c r="AH142" s="192">
        <v>12383</v>
      </c>
      <c r="AI142" s="192">
        <v>371</v>
      </c>
      <c r="AJ142" s="192">
        <v>426</v>
      </c>
      <c r="AK142" s="192">
        <v>77</v>
      </c>
      <c r="AL142" s="187">
        <v>1</v>
      </c>
      <c r="AM142" s="187">
        <v>1</v>
      </c>
      <c r="AN142" s="192">
        <v>64</v>
      </c>
      <c r="AO142" s="192">
        <v>93</v>
      </c>
      <c r="AP142" s="192">
        <v>4</v>
      </c>
      <c r="AQ142" s="187">
        <v>0</v>
      </c>
      <c r="AR142" s="194">
        <v>1</v>
      </c>
    </row>
    <row r="143">
      <c r="A143" s="182"/>
      <c r="B143" s="197" t="s">
        <v>197</v>
      </c>
      <c r="C143" s="197"/>
      <c r="D143" s="197"/>
      <c r="E143" s="197"/>
      <c r="F143" s="198">
        <f>SUM(F139:F142)</f>
      </c>
      <c r="G143" s="198">
        <f>SUM(G139:G142)</f>
      </c>
      <c r="H143" s="198">
        <f>SUM(H139:H142)</f>
      </c>
      <c r="I143" s="199">
        <f>SUM(I139:I142)</f>
      </c>
      <c r="J143" s="199">
        <f>SUM(J139:J142)</f>
      </c>
      <c r="K143" s="198">
        <f>SUM(K139:K142)</f>
      </c>
      <c r="L143" s="200">
        <f t="shared" si="188"/>
      </c>
      <c r="M143" s="201">
        <f t="shared" si="410"/>
      </c>
      <c r="N143" s="202">
        <f t="shared" si="0"/>
      </c>
      <c r="O143" s="202">
        <f t="shared" si="293"/>
      </c>
      <c r="P143" s="202">
        <f t="shared" si="338"/>
      </c>
      <c r="Q143" s="202">
        <f t="shared" si="233"/>
      </c>
      <c r="R143" s="202">
        <f t="shared" si="263"/>
      </c>
      <c r="S143" s="202">
        <f t="shared" si="158"/>
      </c>
      <c r="T143" s="202">
        <f t="shared" si="203"/>
      </c>
      <c r="U143" s="200">
        <f t="shared" si="425"/>
      </c>
      <c r="V143" s="200">
        <f t="shared" si="15"/>
      </c>
      <c r="W143" s="200">
        <f t="shared" si="30"/>
      </c>
      <c r="X143" s="200">
        <f t="shared" si="45"/>
      </c>
      <c r="Y143" s="200">
        <f t="shared" si="308"/>
      </c>
      <c r="Z143" s="200">
        <f t="shared" si="353"/>
      </c>
      <c r="AA143" s="201">
        <f t="shared" si="248"/>
      </c>
      <c r="AB143" s="201">
        <f t="shared" si="278"/>
      </c>
      <c r="AC143" s="201">
        <f t="shared" si="173"/>
      </c>
      <c r="AD143" s="200">
        <f t="shared" si="218"/>
      </c>
      <c r="AE143" s="201">
        <f t="shared" si="440"/>
      </c>
      <c r="AF143" s="200">
        <f t="shared" si="60"/>
      </c>
      <c r="AG143" s="200">
        <f t="shared" si="323"/>
      </c>
      <c r="AH143" s="199">
        <f>SUM(AH139:AH142)</f>
      </c>
      <c r="AI143" s="199">
        <f>SUM(AI139:AI142)</f>
      </c>
      <c r="AJ143" s="199">
        <f>SUM(AJ139:AJ142)</f>
      </c>
      <c r="AK143" s="199">
        <f>SUM(AK139:AK142)</f>
      </c>
      <c r="AL143" s="199">
        <f>SUM(AL139:AL142)</f>
      </c>
      <c r="AM143" s="199">
        <f>SUM(AM139:AM142)</f>
      </c>
      <c r="AN143" s="199">
        <f>SUM(AN139:AN142)</f>
      </c>
      <c r="AO143" s="199">
        <f>SUM(AO139:AO142)</f>
      </c>
      <c r="AP143" s="199">
        <f>SUM(AP139:AP142)</f>
      </c>
      <c r="AQ143" s="199">
        <f>SUM(AQ139:AQ142)</f>
      </c>
      <c r="AR143" s="203">
        <f>SUM(AR139:AR142)</f>
      </c>
    </row>
    <row r="144">
      <c r="A144" s="182"/>
      <c r="B144" s="205" t="s">
        <v>205</v>
      </c>
      <c r="C144" s="205"/>
      <c r="D144" s="205"/>
      <c r="E144" s="205"/>
      <c r="F144" s="206">
        <f t="shared" ref="F144:F147" si="108">H144+G144</f>
      </c>
      <c r="G144" s="206">
        <f>G136+G143+G138</f>
      </c>
      <c r="H144" s="206">
        <f>H136+H143+H138</f>
      </c>
      <c r="I144" s="206">
        <f>I136+I143+I138</f>
      </c>
      <c r="J144" s="206">
        <f>J136+J143+J138</f>
      </c>
      <c r="K144" s="206">
        <f>K136+K143+K138</f>
      </c>
      <c r="L144" s="207">
        <f t="shared" si="188"/>
      </c>
      <c r="M144" s="208">
        <f t="shared" si="410"/>
      </c>
      <c r="N144" s="209">
        <f t="shared" si="0"/>
      </c>
      <c r="O144" s="209">
        <f t="shared" si="293"/>
      </c>
      <c r="P144" s="209">
        <f t="shared" si="338"/>
      </c>
      <c r="Q144" s="209">
        <f t="shared" si="233"/>
      </c>
      <c r="R144" s="209">
        <f t="shared" si="263"/>
      </c>
      <c r="S144" s="209">
        <f t="shared" si="158"/>
      </c>
      <c r="T144" s="209">
        <f t="shared" si="203"/>
      </c>
      <c r="U144" s="207">
        <f t="shared" si="425"/>
      </c>
      <c r="V144" s="207">
        <f t="shared" si="15"/>
      </c>
      <c r="W144" s="207">
        <f t="shared" si="30"/>
      </c>
      <c r="X144" s="207">
        <f t="shared" si="45"/>
      </c>
      <c r="Y144" s="207">
        <f t="shared" si="308"/>
      </c>
      <c r="Z144" s="207">
        <f t="shared" si="353"/>
      </c>
      <c r="AA144" s="208">
        <f t="shared" si="248"/>
      </c>
      <c r="AB144" s="208">
        <f t="shared" si="278"/>
      </c>
      <c r="AC144" s="208">
        <f t="shared" si="173"/>
      </c>
      <c r="AD144" s="207">
        <f t="shared" si="218"/>
      </c>
      <c r="AE144" s="208">
        <f t="shared" si="440"/>
      </c>
      <c r="AF144" s="207">
        <f t="shared" si="60"/>
      </c>
      <c r="AG144" s="207">
        <f t="shared" si="323"/>
      </c>
      <c r="AH144" s="210">
        <f>AH136+AH143+AH138</f>
      </c>
      <c r="AI144" s="210">
        <f>AI136+AI143+AI138</f>
      </c>
      <c r="AJ144" s="210">
        <f>AJ136+AJ143+AJ138</f>
      </c>
      <c r="AK144" s="210">
        <f>AK136+AK143+AK138</f>
      </c>
      <c r="AL144" s="210">
        <f>AL136+AL143+AL138</f>
      </c>
      <c r="AM144" s="210">
        <f>AM136+AM143+AM138</f>
      </c>
      <c r="AN144" s="210">
        <f>AN136+AN143+AN138</f>
      </c>
      <c r="AO144" s="210">
        <f>AO136+AO143+AO138</f>
      </c>
      <c r="AP144" s="210">
        <f>AP136+AP143+AP138</f>
      </c>
      <c r="AQ144" s="210">
        <f>AQ136+AQ143+AQ138</f>
      </c>
      <c r="AR144" s="203">
        <f>AR136+AR143+AR138</f>
      </c>
    </row>
    <row r="145">
      <c r="A145" s="182">
        <v>46278</v>
      </c>
      <c r="B145" s="183" t="s">
        <v>191</v>
      </c>
      <c r="C145" s="184" t="s">
        <v>192</v>
      </c>
      <c r="D145" s="183" t="s">
        <v>206</v>
      </c>
      <c r="E145" s="183" t="s">
        <v>194</v>
      </c>
      <c r="F145" s="185">
        <f t="shared" si="108"/>
      </c>
      <c r="G145" s="204">
        <v>1557.21</v>
      </c>
      <c r="H145" s="204">
        <v>654.71</v>
      </c>
      <c r="I145" s="187">
        <v>2</v>
      </c>
      <c r="J145" s="187">
        <v>3</v>
      </c>
      <c r="K145" s="188">
        <v>2263</v>
      </c>
      <c r="L145" s="189">
        <f t="shared" si="188"/>
      </c>
      <c r="M145" s="190">
        <f t="shared" si="410"/>
      </c>
      <c r="N145" s="191">
        <f t="shared" si="0"/>
      </c>
      <c r="O145" s="191">
        <f t="shared" si="293"/>
      </c>
      <c r="P145" s="191">
        <f t="shared" si="338"/>
      </c>
      <c r="Q145" s="191">
        <f t="shared" si="233"/>
      </c>
      <c r="R145" s="191">
        <f t="shared" si="263"/>
      </c>
      <c r="S145" s="191">
        <f t="shared" si="158"/>
      </c>
      <c r="T145" s="191">
        <f t="shared" si="203"/>
      </c>
      <c r="U145" s="189">
        <f t="shared" si="425"/>
      </c>
      <c r="V145" s="189">
        <f t="shared" si="15"/>
      </c>
      <c r="W145" s="189">
        <f t="shared" si="30"/>
      </c>
      <c r="X145" s="189">
        <f t="shared" si="45"/>
      </c>
      <c r="Y145" s="189">
        <f t="shared" si="308"/>
      </c>
      <c r="Z145" s="189">
        <f t="shared" si="353"/>
      </c>
      <c r="AA145" s="190">
        <f t="shared" si="248"/>
      </c>
      <c r="AB145" s="190">
        <f t="shared" si="278"/>
      </c>
      <c r="AC145" s="190">
        <f t="shared" si="173"/>
      </c>
      <c r="AD145" s="189">
        <f t="shared" si="218"/>
      </c>
      <c r="AE145" s="190">
        <f t="shared" si="440"/>
      </c>
      <c r="AF145" s="189">
        <f t="shared" si="60"/>
      </c>
      <c r="AG145" s="189">
        <f t="shared" si="323"/>
      </c>
      <c r="AH145" s="192">
        <v>15029</v>
      </c>
      <c r="AI145" s="193">
        <v>360</v>
      </c>
      <c r="AJ145" s="193">
        <v>403</v>
      </c>
      <c r="AK145" s="192">
        <v>91</v>
      </c>
      <c r="AL145" s="192">
        <v>1</v>
      </c>
      <c r="AM145" s="192">
        <v>1</v>
      </c>
      <c r="AN145" s="192">
        <v>60</v>
      </c>
      <c r="AO145" s="192">
        <v>49</v>
      </c>
      <c r="AP145" s="187">
        <v>3</v>
      </c>
      <c r="AQ145" s="187">
        <v>1</v>
      </c>
      <c r="AR145" s="194">
        <v>1</v>
      </c>
    </row>
    <row r="146">
      <c r="A146" s="182"/>
      <c r="B146" s="183" t="s">
        <v>191</v>
      </c>
      <c r="C146" s="184" t="s">
        <v>192</v>
      </c>
      <c r="D146" s="183" t="s">
        <v>206</v>
      </c>
      <c r="E146" s="183" t="s">
        <v>195</v>
      </c>
      <c r="F146" s="185">
        <f t="shared" si="108"/>
      </c>
      <c r="G146" s="212">
        <v>1032.86</v>
      </c>
      <c r="H146" s="204">
        <v>514.61</v>
      </c>
      <c r="I146" s="187">
        <v>2</v>
      </c>
      <c r="J146" s="187">
        <v>1</v>
      </c>
      <c r="K146" s="188">
        <v>474</v>
      </c>
      <c r="L146" s="189">
        <f t="shared" si="188"/>
      </c>
      <c r="M146" s="190">
        <f t="shared" si="410"/>
      </c>
      <c r="N146" s="191">
        <f t="shared" si="0"/>
      </c>
      <c r="O146" s="191">
        <f t="shared" si="293"/>
      </c>
      <c r="P146" s="191">
        <f t="shared" si="338"/>
      </c>
      <c r="Q146" s="191">
        <f t="shared" si="233"/>
      </c>
      <c r="R146" s="191">
        <f t="shared" si="263"/>
      </c>
      <c r="S146" s="191">
        <f t="shared" si="158"/>
      </c>
      <c r="T146" s="191">
        <f t="shared" si="203"/>
      </c>
      <c r="U146" s="189">
        <f t="shared" si="425"/>
      </c>
      <c r="V146" s="189">
        <f t="shared" si="15"/>
      </c>
      <c r="W146" s="189">
        <f t="shared" si="30"/>
      </c>
      <c r="X146" s="189">
        <f t="shared" si="45"/>
      </c>
      <c r="Y146" s="189">
        <f t="shared" si="308"/>
      </c>
      <c r="Z146" s="189">
        <f t="shared" si="353"/>
      </c>
      <c r="AA146" s="190">
        <f t="shared" si="248"/>
      </c>
      <c r="AB146" s="190">
        <f t="shared" si="278"/>
      </c>
      <c r="AC146" s="190">
        <f t="shared" si="173"/>
      </c>
      <c r="AD146" s="189">
        <f t="shared" si="218"/>
      </c>
      <c r="AE146" s="190">
        <f t="shared" si="440"/>
      </c>
      <c r="AF146" s="189">
        <f t="shared" si="60"/>
      </c>
      <c r="AG146" s="189">
        <f t="shared" si="323"/>
      </c>
      <c r="AH146" s="192">
        <v>10580</v>
      </c>
      <c r="AI146" s="192">
        <v>241</v>
      </c>
      <c r="AJ146" s="192">
        <v>286</v>
      </c>
      <c r="AK146" s="192">
        <v>67</v>
      </c>
      <c r="AL146" s="192">
        <v>3</v>
      </c>
      <c r="AM146" s="192">
        <v>2</v>
      </c>
      <c r="AN146" s="192">
        <v>39</v>
      </c>
      <c r="AO146" s="192">
        <v>46</v>
      </c>
      <c r="AP146" s="187">
        <v>3</v>
      </c>
      <c r="AQ146" s="187">
        <v>0</v>
      </c>
      <c r="AR146" s="194">
        <v>1</v>
      </c>
    </row>
    <row r="147">
      <c r="A147" s="182"/>
      <c r="B147" s="183" t="s">
        <v>191</v>
      </c>
      <c r="C147" s="184" t="s">
        <v>192</v>
      </c>
      <c r="D147" s="183" t="s">
        <v>206</v>
      </c>
      <c r="E147" s="183" t="s">
        <v>196</v>
      </c>
      <c r="F147" s="185">
        <f t="shared" si="108"/>
      </c>
      <c r="G147" s="204">
        <v>498.71</v>
      </c>
      <c r="H147" s="204">
        <v>335.91</v>
      </c>
      <c r="I147" s="187">
        <v>1</v>
      </c>
      <c r="J147" s="187">
        <v>1</v>
      </c>
      <c r="K147" s="188">
        <v>474</v>
      </c>
      <c r="L147" s="189">
        <f t="shared" si="188"/>
      </c>
      <c r="M147" s="190">
        <f t="shared" si="410"/>
      </c>
      <c r="N147" s="191">
        <f t="shared" si="0"/>
      </c>
      <c r="O147" s="191">
        <f t="shared" si="293"/>
      </c>
      <c r="P147" s="191">
        <f t="shared" si="338"/>
      </c>
      <c r="Q147" s="191">
        <f t="shared" si="233"/>
      </c>
      <c r="R147" s="191">
        <f t="shared" si="263"/>
      </c>
      <c r="S147" s="191">
        <f t="shared" si="158"/>
      </c>
      <c r="T147" s="191">
        <f t="shared" si="203"/>
      </c>
      <c r="U147" s="189">
        <f t="shared" si="425"/>
      </c>
      <c r="V147" s="189">
        <f t="shared" si="15"/>
      </c>
      <c r="W147" s="189">
        <f t="shared" si="30"/>
      </c>
      <c r="X147" s="189">
        <f t="shared" si="45"/>
      </c>
      <c r="Y147" s="189">
        <f t="shared" si="308"/>
      </c>
      <c r="Z147" s="189">
        <f t="shared" si="353"/>
      </c>
      <c r="AA147" s="190">
        <f t="shared" si="248"/>
      </c>
      <c r="AB147" s="190">
        <f t="shared" si="278"/>
      </c>
      <c r="AC147" s="190">
        <f t="shared" si="173"/>
      </c>
      <c r="AD147" s="189">
        <f t="shared" si="218"/>
      </c>
      <c r="AE147" s="190">
        <f t="shared" si="440"/>
      </c>
      <c r="AF147" s="189">
        <f t="shared" si="60"/>
      </c>
      <c r="AG147" s="189">
        <f t="shared" si="323"/>
      </c>
      <c r="AH147" s="192">
        <v>6481</v>
      </c>
      <c r="AI147" s="192">
        <v>180</v>
      </c>
      <c r="AJ147" s="192">
        <v>227</v>
      </c>
      <c r="AK147" s="192">
        <v>35</v>
      </c>
      <c r="AL147" s="192">
        <v>1</v>
      </c>
      <c r="AM147" s="192">
        <v>1</v>
      </c>
      <c r="AN147" s="192">
        <v>30</v>
      </c>
      <c r="AO147" s="192">
        <v>25</v>
      </c>
      <c r="AP147" s="192">
        <v>1</v>
      </c>
      <c r="AQ147" s="187">
        <v>0</v>
      </c>
      <c r="AR147" s="194">
        <v>1</v>
      </c>
    </row>
    <row r="148">
      <c r="A148" s="182"/>
      <c r="B148" s="197" t="s">
        <v>197</v>
      </c>
      <c r="C148" s="197"/>
      <c r="D148" s="197"/>
      <c r="E148" s="197"/>
      <c r="F148" s="198">
        <f>SUM(F145:F147)</f>
      </c>
      <c r="G148" s="198">
        <f>SUM(G145:G147)</f>
      </c>
      <c r="H148" s="198">
        <f>SUM(H145:H147)</f>
      </c>
      <c r="I148" s="199">
        <f>SUM(I145:I147)</f>
      </c>
      <c r="J148" s="199">
        <f>SUM(J145:J147)</f>
      </c>
      <c r="K148" s="198">
        <f>SUM(K145:K147)</f>
      </c>
      <c r="L148" s="200">
        <f t="shared" si="188"/>
      </c>
      <c r="M148" s="201">
        <f t="shared" si="410"/>
      </c>
      <c r="N148" s="202">
        <f t="shared" si="0"/>
      </c>
      <c r="O148" s="202">
        <f t="shared" si="293"/>
      </c>
      <c r="P148" s="202">
        <f t="shared" si="338"/>
      </c>
      <c r="Q148" s="202">
        <f t="shared" si="233"/>
      </c>
      <c r="R148" s="202">
        <f t="shared" si="263"/>
      </c>
      <c r="S148" s="202">
        <f t="shared" si="158"/>
      </c>
      <c r="T148" s="202">
        <f t="shared" si="203"/>
      </c>
      <c r="U148" s="200">
        <f t="shared" si="425"/>
      </c>
      <c r="V148" s="200">
        <f t="shared" si="15"/>
      </c>
      <c r="W148" s="200">
        <f t="shared" si="30"/>
      </c>
      <c r="X148" s="200">
        <f t="shared" si="45"/>
      </c>
      <c r="Y148" s="200">
        <f t="shared" si="308"/>
      </c>
      <c r="Z148" s="200">
        <f t="shared" si="353"/>
      </c>
      <c r="AA148" s="201">
        <f t="shared" si="248"/>
      </c>
      <c r="AB148" s="201">
        <f t="shared" si="278"/>
      </c>
      <c r="AC148" s="201">
        <f t="shared" si="173"/>
      </c>
      <c r="AD148" s="200">
        <f t="shared" si="218"/>
      </c>
      <c r="AE148" s="201">
        <f t="shared" si="440"/>
      </c>
      <c r="AF148" s="200">
        <f t="shared" si="60"/>
      </c>
      <c r="AG148" s="200">
        <f t="shared" si="323"/>
      </c>
      <c r="AH148" s="199">
        <f>SUM(AH145:AH147)</f>
      </c>
      <c r="AI148" s="199">
        <f>SUM(AI145:AI147)</f>
      </c>
      <c r="AJ148" s="199">
        <f>SUM(AJ145:AJ147)</f>
      </c>
      <c r="AK148" s="199">
        <f>SUM(AK145:AK147)</f>
      </c>
      <c r="AL148" s="199">
        <f>SUM(AL145:AL147)</f>
      </c>
      <c r="AM148" s="199">
        <f>SUM(AM145:AM147)</f>
      </c>
      <c r="AN148" s="199">
        <f>SUM(AN145:AN147)</f>
      </c>
      <c r="AO148" s="199">
        <f>SUM(AO145:AO147)</f>
      </c>
      <c r="AP148" s="199">
        <f>SUM(AP145:AP147)</f>
      </c>
      <c r="AQ148" s="199">
        <f>SUM(AQ145:AQ147)</f>
      </c>
      <c r="AR148" s="203">
        <f>SUM(AR145:AR147)</f>
      </c>
    </row>
    <row r="149">
      <c r="A149" s="182"/>
      <c r="B149" s="183" t="s">
        <v>191</v>
      </c>
      <c r="C149" s="184" t="s">
        <v>192</v>
      </c>
      <c r="D149" s="183" t="s">
        <v>207</v>
      </c>
      <c r="E149" s="183" t="s">
        <v>199</v>
      </c>
      <c r="F149" s="185">
        <f t="shared" ref="F149:F150" si="109">H149+G149</f>
      </c>
      <c r="G149" s="204">
        <v>425.75</v>
      </c>
      <c r="H149" s="204">
        <v>269.08</v>
      </c>
      <c r="I149" s="187">
        <v>2</v>
      </c>
      <c r="J149" s="187">
        <v>1</v>
      </c>
      <c r="K149" s="188">
        <v>799</v>
      </c>
      <c r="L149" s="189">
        <f t="shared" si="188"/>
      </c>
      <c r="M149" s="190">
        <f t="shared" si="410"/>
      </c>
      <c r="N149" s="191">
        <f t="shared" si="0"/>
      </c>
      <c r="O149" s="191">
        <f t="shared" si="293"/>
      </c>
      <c r="P149" s="191">
        <f t="shared" si="338"/>
      </c>
      <c r="Q149" s="191">
        <f t="shared" si="233"/>
      </c>
      <c r="R149" s="191">
        <f t="shared" si="263"/>
      </c>
      <c r="S149" s="191">
        <f t="shared" si="158"/>
      </c>
      <c r="T149" s="191">
        <f t="shared" si="203"/>
      </c>
      <c r="U149" s="189">
        <f t="shared" si="425"/>
      </c>
      <c r="V149" s="189">
        <f t="shared" si="15"/>
      </c>
      <c r="W149" s="189">
        <f t="shared" si="30"/>
      </c>
      <c r="X149" s="189">
        <f t="shared" si="45"/>
      </c>
      <c r="Y149" s="189">
        <f t="shared" si="308"/>
      </c>
      <c r="Z149" s="189">
        <f t="shared" si="353"/>
      </c>
      <c r="AA149" s="190">
        <f t="shared" si="248"/>
      </c>
      <c r="AB149" s="190">
        <f t="shared" si="278"/>
      </c>
      <c r="AC149" s="190">
        <f t="shared" si="173"/>
      </c>
      <c r="AD149" s="189">
        <f t="shared" si="218"/>
      </c>
      <c r="AE149" s="190">
        <f t="shared" si="440"/>
      </c>
      <c r="AF149" s="189">
        <f t="shared" si="60"/>
      </c>
      <c r="AG149" s="189">
        <f t="shared" si="323"/>
      </c>
      <c r="AH149" s="192">
        <v>4725</v>
      </c>
      <c r="AI149" s="192">
        <v>140</v>
      </c>
      <c r="AJ149" s="192">
        <v>145</v>
      </c>
      <c r="AK149" s="192">
        <v>44</v>
      </c>
      <c r="AL149" s="192">
        <v>2</v>
      </c>
      <c r="AM149" s="192">
        <v>1</v>
      </c>
      <c r="AN149" s="192">
        <v>27</v>
      </c>
      <c r="AO149" s="192">
        <v>20</v>
      </c>
      <c r="AP149" s="192">
        <v>0</v>
      </c>
      <c r="AQ149" s="187">
        <v>0</v>
      </c>
      <c r="AR149" s="194">
        <v>1</v>
      </c>
    </row>
    <row customHeight="true" ht="16.071428571428573" r="150">
      <c r="A150" s="182"/>
      <c r="B150" s="183" t="s">
        <v>191</v>
      </c>
      <c r="C150" s="184" t="s">
        <v>192</v>
      </c>
      <c r="D150" s="183" t="s">
        <v>207</v>
      </c>
      <c r="E150" s="183" t="s">
        <v>199</v>
      </c>
      <c r="F150" s="185">
        <f t="shared" si="109"/>
      </c>
      <c r="G150" s="204">
        <v>1514.43</v>
      </c>
      <c r="H150" s="204">
        <v>708.69</v>
      </c>
      <c r="I150" s="187">
        <v>6</v>
      </c>
      <c r="J150" s="192">
        <v>3</v>
      </c>
      <c r="K150" s="196">
        <v>2524.6000000000004</v>
      </c>
      <c r="L150" s="189">
        <f t="shared" si="188"/>
      </c>
      <c r="M150" s="190">
        <f t="shared" si="410"/>
      </c>
      <c r="N150" s="191">
        <f t="shared" si="0"/>
      </c>
      <c r="O150" s="191">
        <f t="shared" si="293"/>
      </c>
      <c r="P150" s="191">
        <f t="shared" si="338"/>
      </c>
      <c r="Q150" s="191">
        <f t="shared" si="233"/>
      </c>
      <c r="R150" s="191">
        <f t="shared" si="263"/>
      </c>
      <c r="S150" s="191">
        <f t="shared" si="158"/>
      </c>
      <c r="T150" s="191">
        <f t="shared" si="203"/>
      </c>
      <c r="U150" s="189">
        <f t="shared" si="425"/>
      </c>
      <c r="V150" s="189">
        <f t="shared" si="15"/>
      </c>
      <c r="W150" s="189">
        <f t="shared" si="30"/>
      </c>
      <c r="X150" s="189">
        <f t="shared" si="45"/>
      </c>
      <c r="Y150" s="189">
        <f t="shared" si="308"/>
      </c>
      <c r="Z150" s="189">
        <f t="shared" si="353"/>
      </c>
      <c r="AA150" s="190">
        <f t="shared" si="248"/>
      </c>
      <c r="AB150" s="190">
        <f t="shared" si="278"/>
      </c>
      <c r="AC150" s="190">
        <f t="shared" si="173"/>
      </c>
      <c r="AD150" s="189">
        <f t="shared" si="218"/>
      </c>
      <c r="AE150" s="190">
        <f t="shared" si="440"/>
      </c>
      <c r="AF150" s="189">
        <f t="shared" si="60"/>
      </c>
      <c r="AG150" s="189">
        <f t="shared" si="323"/>
      </c>
      <c r="AH150" s="192">
        <v>12964</v>
      </c>
      <c r="AI150" s="192">
        <v>285</v>
      </c>
      <c r="AJ150" s="192">
        <v>318</v>
      </c>
      <c r="AK150" s="192">
        <v>63</v>
      </c>
      <c r="AL150" s="192">
        <v>5</v>
      </c>
      <c r="AM150" s="192">
        <v>2</v>
      </c>
      <c r="AN150" s="192">
        <v>55</v>
      </c>
      <c r="AO150" s="192">
        <v>51</v>
      </c>
      <c r="AP150" s="192">
        <v>2</v>
      </c>
      <c r="AQ150" s="187">
        <v>0</v>
      </c>
      <c r="AR150" s="194">
        <v>1</v>
      </c>
    </row>
    <row r="151">
      <c r="A151" s="182"/>
      <c r="B151" s="197" t="s">
        <v>197</v>
      </c>
      <c r="C151" s="197"/>
      <c r="D151" s="197"/>
      <c r="E151" s="197"/>
      <c r="F151" s="198">
        <f>SUM(F149:F150)</f>
      </c>
      <c r="G151" s="198">
        <f>SUM(G149:G150)</f>
      </c>
      <c r="H151" s="198">
        <f>SUM(H149:H150)</f>
      </c>
      <c r="I151" s="199">
        <f>SUM(I149:I150)</f>
      </c>
      <c r="J151" s="199">
        <f>SUM(J149:J150)</f>
      </c>
      <c r="K151" s="198">
        <f>SUM(K149:K150)</f>
      </c>
      <c r="L151" s="200">
        <f t="shared" si="188"/>
      </c>
      <c r="M151" s="201">
        <f t="shared" si="410"/>
      </c>
      <c r="N151" s="202">
        <f t="shared" si="0"/>
      </c>
      <c r="O151" s="202">
        <f t="shared" si="293"/>
      </c>
      <c r="P151" s="202">
        <f t="shared" si="338"/>
      </c>
      <c r="Q151" s="202">
        <f t="shared" si="233"/>
      </c>
      <c r="R151" s="202">
        <f t="shared" si="263"/>
      </c>
      <c r="S151" s="202">
        <f t="shared" si="158"/>
      </c>
      <c r="T151" s="202">
        <f t="shared" si="203"/>
      </c>
      <c r="U151" s="200">
        <f t="shared" si="425"/>
      </c>
      <c r="V151" s="200">
        <f t="shared" si="15"/>
      </c>
      <c r="W151" s="200">
        <f t="shared" si="30"/>
      </c>
      <c r="X151" s="200">
        <f t="shared" si="45"/>
      </c>
      <c r="Y151" s="200">
        <f t="shared" si="308"/>
      </c>
      <c r="Z151" s="200">
        <f t="shared" si="353"/>
      </c>
      <c r="AA151" s="201">
        <f t="shared" si="248"/>
      </c>
      <c r="AB151" s="201">
        <f t="shared" si="278"/>
      </c>
      <c r="AC151" s="201">
        <f t="shared" si="173"/>
      </c>
      <c r="AD151" s="200">
        <f t="shared" si="218"/>
      </c>
      <c r="AE151" s="201">
        <f t="shared" si="440"/>
      </c>
      <c r="AF151" s="200">
        <f t="shared" si="60"/>
      </c>
      <c r="AG151" s="200">
        <f t="shared" si="323"/>
      </c>
      <c r="AH151" s="199">
        <f>SUM(AH149:AH150)</f>
      </c>
      <c r="AI151" s="199">
        <f>SUM(AI149:AI150)</f>
      </c>
      <c r="AJ151" s="199">
        <f>SUM(AJ149:AJ150)</f>
      </c>
      <c r="AK151" s="199">
        <f>SUM(AK149:AK150)</f>
      </c>
      <c r="AL151" s="199">
        <f>SUM(AL149:AL150)</f>
      </c>
      <c r="AM151" s="199">
        <f>SUM(AM149:AM150)</f>
      </c>
      <c r="AN151" s="199">
        <f>SUM(AN149:AN150)</f>
      </c>
      <c r="AO151" s="199">
        <f>SUM(AO149:AO150)</f>
      </c>
      <c r="AP151" s="199">
        <f>SUM(AP149:AP150)</f>
      </c>
      <c r="AQ151" s="199">
        <f>SUM(AQ149:AQ150)</f>
      </c>
      <c r="AR151" s="203">
        <f>SUM(AR149:AR150)</f>
      </c>
    </row>
    <row r="152">
      <c r="A152" s="182"/>
      <c r="B152" s="183" t="s">
        <v>191</v>
      </c>
      <c r="C152" s="184" t="s">
        <v>192</v>
      </c>
      <c r="D152" s="183" t="s">
        <v>201</v>
      </c>
      <c r="E152" s="184" t="s">
        <v>202</v>
      </c>
      <c r="F152" s="185">
        <f t="shared" ref="F152:F154" si="110">H152+G152</f>
      </c>
      <c r="G152" s="204">
        <v>2250.33</v>
      </c>
      <c r="H152" s="204">
        <v>821.53</v>
      </c>
      <c r="I152" s="187">
        <v>8</v>
      </c>
      <c r="J152" s="187">
        <v>7</v>
      </c>
      <c r="K152" s="188">
        <v>5807.799999999999</v>
      </c>
      <c r="L152" s="189">
        <f t="shared" si="188"/>
      </c>
      <c r="M152" s="190">
        <f t="shared" si="410"/>
      </c>
      <c r="N152" s="191">
        <f t="shared" si="0"/>
      </c>
      <c r="O152" s="191">
        <f t="shared" si="293"/>
      </c>
      <c r="P152" s="191">
        <f t="shared" si="338"/>
      </c>
      <c r="Q152" s="191">
        <f t="shared" si="233"/>
      </c>
      <c r="R152" s="191">
        <f t="shared" si="263"/>
      </c>
      <c r="S152" s="191">
        <f t="shared" si="158"/>
      </c>
      <c r="T152" s="191">
        <f t="shared" si="203"/>
      </c>
      <c r="U152" s="189">
        <f t="shared" si="425"/>
      </c>
      <c r="V152" s="189">
        <f t="shared" si="15"/>
      </c>
      <c r="W152" s="189">
        <f t="shared" si="30"/>
      </c>
      <c r="X152" s="189">
        <f t="shared" si="45"/>
      </c>
      <c r="Y152" s="189">
        <f t="shared" si="308"/>
      </c>
      <c r="Z152" s="189">
        <f t="shared" si="353"/>
      </c>
      <c r="AA152" s="190">
        <f t="shared" si="248"/>
      </c>
      <c r="AB152" s="190">
        <f t="shared" si="278"/>
      </c>
      <c r="AC152" s="190">
        <f t="shared" si="173"/>
      </c>
      <c r="AD152" s="189">
        <f t="shared" si="218"/>
      </c>
      <c r="AE152" s="190">
        <f t="shared" si="440"/>
      </c>
      <c r="AF152" s="189">
        <f t="shared" si="60"/>
      </c>
      <c r="AG152" s="189">
        <f t="shared" si="323"/>
      </c>
      <c r="AH152" s="192">
        <v>18728</v>
      </c>
      <c r="AI152" s="192">
        <v>457</v>
      </c>
      <c r="AJ152" s="192">
        <v>523</v>
      </c>
      <c r="AK152" s="192">
        <v>148</v>
      </c>
      <c r="AL152" s="192">
        <v>8</v>
      </c>
      <c r="AM152" s="192">
        <v>6</v>
      </c>
      <c r="AN152" s="192">
        <v>123</v>
      </c>
      <c r="AO152" s="192">
        <v>86</v>
      </c>
      <c r="AP152" s="192">
        <v>6</v>
      </c>
      <c r="AQ152" s="187">
        <v>1</v>
      </c>
      <c r="AR152" s="194">
        <v>1</v>
      </c>
    </row>
    <row r="153">
      <c r="A153" s="182"/>
      <c r="B153" s="183" t="s">
        <v>191</v>
      </c>
      <c r="C153" s="184" t="s">
        <v>192</v>
      </c>
      <c r="D153" s="183" t="s">
        <v>201</v>
      </c>
      <c r="E153" s="184" t="s">
        <v>203</v>
      </c>
      <c r="F153" s="185">
        <f t="shared" si="110"/>
      </c>
      <c r="G153" s="204">
        <v>1764.69</v>
      </c>
      <c r="H153" s="204">
        <v>679.7</v>
      </c>
      <c r="I153" s="187">
        <v>6</v>
      </c>
      <c r="J153" s="192">
        <v>5</v>
      </c>
      <c r="K153" s="196">
        <v>3364.7999999999993</v>
      </c>
      <c r="L153" s="189">
        <f t="shared" si="188"/>
      </c>
      <c r="M153" s="190">
        <f t="shared" si="410"/>
      </c>
      <c r="N153" s="191">
        <f t="shared" si="0"/>
      </c>
      <c r="O153" s="191">
        <f t="shared" si="293"/>
      </c>
      <c r="P153" s="191">
        <f t="shared" si="338"/>
      </c>
      <c r="Q153" s="191">
        <f t="shared" si="233"/>
      </c>
      <c r="R153" s="191">
        <f t="shared" si="263"/>
      </c>
      <c r="S153" s="191">
        <f t="shared" si="158"/>
      </c>
      <c r="T153" s="191">
        <f t="shared" si="203"/>
      </c>
      <c r="U153" s="189">
        <f t="shared" si="425"/>
      </c>
      <c r="V153" s="189">
        <f t="shared" si="15"/>
      </c>
      <c r="W153" s="189">
        <f t="shared" si="30"/>
      </c>
      <c r="X153" s="189">
        <f t="shared" si="45"/>
      </c>
      <c r="Y153" s="189">
        <f t="shared" si="308"/>
      </c>
      <c r="Z153" s="189">
        <f t="shared" si="353"/>
      </c>
      <c r="AA153" s="190">
        <f t="shared" si="248"/>
      </c>
      <c r="AB153" s="190">
        <f t="shared" si="278"/>
      </c>
      <c r="AC153" s="190">
        <f t="shared" si="173"/>
      </c>
      <c r="AD153" s="189">
        <f t="shared" si="218"/>
      </c>
      <c r="AE153" s="190">
        <f t="shared" si="440"/>
      </c>
      <c r="AF153" s="189">
        <f t="shared" si="60"/>
      </c>
      <c r="AG153" s="189">
        <f t="shared" si="323"/>
      </c>
      <c r="AH153" s="192">
        <v>16544</v>
      </c>
      <c r="AI153" s="192">
        <v>416</v>
      </c>
      <c r="AJ153" s="192">
        <v>486</v>
      </c>
      <c r="AK153" s="192">
        <v>112</v>
      </c>
      <c r="AL153" s="192">
        <v>6</v>
      </c>
      <c r="AM153" s="192">
        <v>4</v>
      </c>
      <c r="AN153" s="192">
        <v>95</v>
      </c>
      <c r="AO153" s="192">
        <v>108</v>
      </c>
      <c r="AP153" s="192">
        <v>11</v>
      </c>
      <c r="AQ153" s="187">
        <v>1</v>
      </c>
      <c r="AR153" s="194">
        <v>1</v>
      </c>
    </row>
    <row r="154">
      <c r="A154" s="182"/>
      <c r="B154" s="183" t="s">
        <v>191</v>
      </c>
      <c r="C154" s="184" t="s">
        <v>192</v>
      </c>
      <c r="D154" s="183" t="s">
        <v>201</v>
      </c>
      <c r="E154" s="183" t="s">
        <v>204</v>
      </c>
      <c r="F154" s="185">
        <f t="shared" si="110"/>
      </c>
      <c r="G154" s="204">
        <v>1314.74</v>
      </c>
      <c r="H154" s="204">
        <v>361.68</v>
      </c>
      <c r="I154" s="187">
        <v>4</v>
      </c>
      <c r="J154" s="187">
        <v>4</v>
      </c>
      <c r="K154" s="188">
        <v>2445</v>
      </c>
      <c r="L154" s="189">
        <f t="shared" si="188"/>
      </c>
      <c r="M154" s="190">
        <f t="shared" si="410"/>
      </c>
      <c r="N154" s="191">
        <f t="shared" si="0"/>
      </c>
      <c r="O154" s="191">
        <f t="shared" si="293"/>
      </c>
      <c r="P154" s="191">
        <f t="shared" si="338"/>
      </c>
      <c r="Q154" s="191">
        <f t="shared" si="233"/>
      </c>
      <c r="R154" s="191">
        <f t="shared" si="263"/>
      </c>
      <c r="S154" s="191">
        <f t="shared" si="158"/>
      </c>
      <c r="T154" s="191">
        <f t="shared" si="203"/>
      </c>
      <c r="U154" s="189">
        <f t="shared" si="425"/>
      </c>
      <c r="V154" s="189">
        <f t="shared" si="15"/>
      </c>
      <c r="W154" s="189">
        <f t="shared" si="30"/>
      </c>
      <c r="X154" s="189">
        <f t="shared" si="45"/>
      </c>
      <c r="Y154" s="189">
        <f t="shared" si="308"/>
      </c>
      <c r="Z154" s="189">
        <f t="shared" si="353"/>
      </c>
      <c r="AA154" s="190">
        <f t="shared" si="248"/>
      </c>
      <c r="AB154" s="190">
        <f t="shared" si="278"/>
      </c>
      <c r="AC154" s="190">
        <f t="shared" si="173"/>
      </c>
      <c r="AD154" s="189">
        <f t="shared" si="218"/>
      </c>
      <c r="AE154" s="190">
        <f t="shared" si="440"/>
      </c>
      <c r="AF154" s="189">
        <f t="shared" si="60"/>
      </c>
      <c r="AG154" s="189">
        <f t="shared" si="323"/>
      </c>
      <c r="AH154" s="192">
        <v>11771</v>
      </c>
      <c r="AI154" s="192">
        <v>299</v>
      </c>
      <c r="AJ154" s="192">
        <v>318</v>
      </c>
      <c r="AK154" s="192">
        <v>80</v>
      </c>
      <c r="AL154" s="187">
        <v>4</v>
      </c>
      <c r="AM154" s="187">
        <v>2</v>
      </c>
      <c r="AN154" s="192">
        <v>62</v>
      </c>
      <c r="AO154" s="192">
        <v>36</v>
      </c>
      <c r="AP154" s="192">
        <v>2</v>
      </c>
      <c r="AQ154" s="187">
        <v>2</v>
      </c>
      <c r="AR154" s="194">
        <v>1</v>
      </c>
    </row>
    <row r="155">
      <c r="A155" s="182"/>
      <c r="B155" s="197" t="s">
        <v>197</v>
      </c>
      <c r="C155" s="197"/>
      <c r="D155" s="197"/>
      <c r="E155" s="197"/>
      <c r="F155" s="198">
        <f>SUM(F152:F154)</f>
      </c>
      <c r="G155" s="198">
        <f>SUM(G152:G154)</f>
      </c>
      <c r="H155" s="198">
        <f>SUM(H152:H154)</f>
      </c>
      <c r="I155" s="199">
        <f>SUM(I152:I154)</f>
      </c>
      <c r="J155" s="199">
        <f>SUM(J152:J154)</f>
      </c>
      <c r="K155" s="198">
        <f>SUM(K152:K154)</f>
      </c>
      <c r="L155" s="200">
        <f t="shared" si="188"/>
      </c>
      <c r="M155" s="201">
        <f t="shared" si="410"/>
      </c>
      <c r="N155" s="202">
        <f t="shared" si="0"/>
      </c>
      <c r="O155" s="202">
        <f t="shared" si="293"/>
      </c>
      <c r="P155" s="202">
        <f t="shared" si="338"/>
      </c>
      <c r="Q155" s="202">
        <f t="shared" si="233"/>
      </c>
      <c r="R155" s="202">
        <f t="shared" si="263"/>
      </c>
      <c r="S155" s="202">
        <f t="shared" si="158"/>
      </c>
      <c r="T155" s="202">
        <f t="shared" si="203"/>
      </c>
      <c r="U155" s="200">
        <f t="shared" si="425"/>
      </c>
      <c r="V155" s="200">
        <f t="shared" si="15"/>
      </c>
      <c r="W155" s="200">
        <f t="shared" si="30"/>
      </c>
      <c r="X155" s="200">
        <f t="shared" si="45"/>
      </c>
      <c r="Y155" s="200">
        <f t="shared" si="308"/>
      </c>
      <c r="Z155" s="200">
        <f t="shared" si="353"/>
      </c>
      <c r="AA155" s="201">
        <f t="shared" si="248"/>
      </c>
      <c r="AB155" s="201">
        <f t="shared" si="278"/>
      </c>
      <c r="AC155" s="201">
        <f t="shared" si="173"/>
      </c>
      <c r="AD155" s="200">
        <f t="shared" si="218"/>
      </c>
      <c r="AE155" s="201">
        <f t="shared" si="440"/>
      </c>
      <c r="AF155" s="200">
        <f t="shared" si="60"/>
      </c>
      <c r="AG155" s="200">
        <f t="shared" si="323"/>
      </c>
      <c r="AH155" s="199">
        <f>SUM(AH152:AH154)</f>
      </c>
      <c r="AI155" s="199">
        <f>SUM(AI152:AI154)</f>
      </c>
      <c r="AJ155" s="199">
        <f>SUM(AJ152:AJ154)</f>
      </c>
      <c r="AK155" s="199">
        <f>SUM(AK152:AK154)</f>
      </c>
      <c r="AL155" s="199">
        <f>SUM(AL152:AL154)</f>
      </c>
      <c r="AM155" s="199">
        <f>SUM(AM152:AM154)</f>
      </c>
      <c r="AN155" s="199">
        <f>SUM(AN152:AN154)</f>
      </c>
      <c r="AO155" s="199">
        <f>SUM(AO152:AO154)</f>
      </c>
      <c r="AP155" s="199">
        <f>SUM(AP152:AP154)</f>
      </c>
      <c r="AQ155" s="199">
        <f>SUM(AQ152:AQ154)</f>
      </c>
      <c r="AR155" s="203">
        <f>SUM(AR152:AR154)</f>
      </c>
    </row>
    <row r="156">
      <c r="A156" s="182"/>
      <c r="B156" s="205" t="s">
        <v>205</v>
      </c>
      <c r="C156" s="205"/>
      <c r="D156" s="205"/>
      <c r="E156" s="205"/>
      <c r="F156" s="206">
        <f t="shared" ref="F156:F159" si="111">H156+G156</f>
      </c>
      <c r="G156" s="206">
        <f>G148+G155+G151</f>
      </c>
      <c r="H156" s="206">
        <f>H148+H155+H151</f>
      </c>
      <c r="I156" s="206">
        <f>I148+I155+I151</f>
      </c>
      <c r="J156" s="206">
        <f>J148+J155+J151</f>
      </c>
      <c r="K156" s="206">
        <f>K148+K155+K151</f>
      </c>
      <c r="L156" s="207">
        <f t="shared" si="188"/>
      </c>
      <c r="M156" s="208">
        <f t="shared" si="410"/>
      </c>
      <c r="N156" s="209">
        <f t="shared" si="0"/>
      </c>
      <c r="O156" s="209">
        <f t="shared" si="293"/>
      </c>
      <c r="P156" s="209">
        <f t="shared" si="338"/>
      </c>
      <c r="Q156" s="209">
        <f t="shared" si="233"/>
      </c>
      <c r="R156" s="209">
        <f t="shared" si="263"/>
      </c>
      <c r="S156" s="209">
        <f t="shared" si="158"/>
      </c>
      <c r="T156" s="209">
        <f t="shared" si="203"/>
      </c>
      <c r="U156" s="207">
        <f t="shared" si="425"/>
      </c>
      <c r="V156" s="207">
        <f t="shared" si="15"/>
      </c>
      <c r="W156" s="207">
        <f t="shared" si="30"/>
      </c>
      <c r="X156" s="207">
        <f t="shared" si="45"/>
      </c>
      <c r="Y156" s="207">
        <f t="shared" si="308"/>
      </c>
      <c r="Z156" s="207">
        <f t="shared" si="353"/>
      </c>
      <c r="AA156" s="208">
        <f t="shared" si="248"/>
      </c>
      <c r="AB156" s="208">
        <f t="shared" si="278"/>
      </c>
      <c r="AC156" s="208">
        <f t="shared" si="173"/>
      </c>
      <c r="AD156" s="207">
        <f t="shared" si="218"/>
      </c>
      <c r="AE156" s="208">
        <f t="shared" si="440"/>
      </c>
      <c r="AF156" s="207">
        <f t="shared" si="60"/>
      </c>
      <c r="AG156" s="207">
        <f t="shared" si="323"/>
      </c>
      <c r="AH156" s="210">
        <f>AH148+AH155+AH151</f>
      </c>
      <c r="AI156" s="210">
        <f>AI148+AI155+AI151</f>
      </c>
      <c r="AJ156" s="210">
        <f>AJ148+AJ155+AJ151</f>
      </c>
      <c r="AK156" s="210">
        <f>AK148+AK155+AK151</f>
      </c>
      <c r="AL156" s="210">
        <f>AL148+AL155+AL151</f>
      </c>
      <c r="AM156" s="210">
        <f>AM148+AM155+AM151</f>
      </c>
      <c r="AN156" s="210">
        <f>AN148+AN155+AN151</f>
      </c>
      <c r="AO156" s="210">
        <f>AO148+AO155+AO151</f>
      </c>
      <c r="AP156" s="210">
        <f>AP148+AP155+AP151</f>
      </c>
      <c r="AQ156" s="210">
        <f>AQ148+AQ155+AQ151</f>
      </c>
      <c r="AR156" s="203">
        <f>AR148+AR155+AR151</f>
      </c>
    </row>
    <row r="157">
      <c r="A157" s="182">
        <v>46279</v>
      </c>
      <c r="B157" s="184" t="s">
        <v>191</v>
      </c>
      <c r="C157" s="184" t="s">
        <v>192</v>
      </c>
      <c r="D157" s="184" t="s">
        <v>206</v>
      </c>
      <c r="E157" s="184" t="s">
        <v>194</v>
      </c>
      <c r="F157" s="185">
        <f t="shared" si="111"/>
      </c>
      <c r="G157" s="204">
        <v>1634.2</v>
      </c>
      <c r="H157" s="204">
        <v>582.33</v>
      </c>
      <c r="I157" s="187">
        <v>5</v>
      </c>
      <c r="J157" s="192">
        <v>5</v>
      </c>
      <c r="K157" s="196">
        <v>3393.6000000000004</v>
      </c>
      <c r="L157" s="189">
        <f t="shared" si="188"/>
      </c>
      <c r="M157" s="190">
        <f t="shared" si="410"/>
      </c>
      <c r="N157" s="191">
        <f t="shared" si="0"/>
      </c>
      <c r="O157" s="191">
        <f t="shared" si="293"/>
      </c>
      <c r="P157" s="191">
        <f t="shared" si="338"/>
      </c>
      <c r="Q157" s="191">
        <f t="shared" si="233"/>
      </c>
      <c r="R157" s="191">
        <f t="shared" si="263"/>
      </c>
      <c r="S157" s="191">
        <f t="shared" si="158"/>
      </c>
      <c r="T157" s="191">
        <f t="shared" si="203"/>
      </c>
      <c r="U157" s="189">
        <f t="shared" si="425"/>
      </c>
      <c r="V157" s="189">
        <f t="shared" si="15"/>
      </c>
      <c r="W157" s="189">
        <f t="shared" si="30"/>
      </c>
      <c r="X157" s="189">
        <f t="shared" si="45"/>
      </c>
      <c r="Y157" s="189">
        <f t="shared" si="308"/>
      </c>
      <c r="Z157" s="189">
        <f t="shared" si="353"/>
      </c>
      <c r="AA157" s="190">
        <f t="shared" si="248"/>
      </c>
      <c r="AB157" s="190">
        <f t="shared" si="278"/>
      </c>
      <c r="AC157" s="190">
        <f t="shared" si="173"/>
      </c>
      <c r="AD157" s="189">
        <f t="shared" si="218"/>
      </c>
      <c r="AE157" s="190">
        <f t="shared" si="440"/>
      </c>
      <c r="AF157" s="189">
        <f t="shared" si="60"/>
      </c>
      <c r="AG157" s="189">
        <f t="shared" si="323"/>
      </c>
      <c r="AH157" s="192">
        <v>11761</v>
      </c>
      <c r="AI157" s="193">
        <v>283</v>
      </c>
      <c r="AJ157" s="193">
        <v>326</v>
      </c>
      <c r="AK157" s="192">
        <v>82</v>
      </c>
      <c r="AL157" s="192">
        <v>5</v>
      </c>
      <c r="AM157" s="192">
        <v>3</v>
      </c>
      <c r="AN157" s="192">
        <v>70</v>
      </c>
      <c r="AO157" s="192">
        <v>85</v>
      </c>
      <c r="AP157" s="192">
        <v>5</v>
      </c>
      <c r="AQ157" s="187">
        <v>1</v>
      </c>
      <c r="AR157" s="213">
        <v>1</v>
      </c>
    </row>
    <row r="158">
      <c r="A158" s="211"/>
      <c r="B158" s="184" t="s">
        <v>191</v>
      </c>
      <c r="C158" s="184" t="s">
        <v>192</v>
      </c>
      <c r="D158" s="184" t="s">
        <v>206</v>
      </c>
      <c r="E158" s="184" t="s">
        <v>195</v>
      </c>
      <c r="F158" s="185">
        <f t="shared" si="111"/>
      </c>
      <c r="G158" s="212">
        <v>1086.01</v>
      </c>
      <c r="H158" s="204">
        <v>517.23</v>
      </c>
      <c r="I158" s="187">
        <v>1</v>
      </c>
      <c r="J158" s="192">
        <v>1</v>
      </c>
      <c r="K158" s="196">
        <v>967.1999999999989</v>
      </c>
      <c r="L158" s="189">
        <f t="shared" si="188"/>
      </c>
      <c r="M158" s="190">
        <f t="shared" si="410"/>
      </c>
      <c r="N158" s="191">
        <f t="shared" si="0"/>
      </c>
      <c r="O158" s="191">
        <f t="shared" si="293"/>
      </c>
      <c r="P158" s="191">
        <f t="shared" si="338"/>
      </c>
      <c r="Q158" s="191">
        <f t="shared" si="233"/>
      </c>
      <c r="R158" s="191">
        <f t="shared" si="263"/>
      </c>
      <c r="S158" s="191">
        <f t="shared" si="158"/>
      </c>
      <c r="T158" s="191">
        <f t="shared" si="203"/>
      </c>
      <c r="U158" s="189">
        <f t="shared" si="425"/>
      </c>
      <c r="V158" s="189">
        <f t="shared" si="15"/>
      </c>
      <c r="W158" s="189">
        <f t="shared" si="30"/>
      </c>
      <c r="X158" s="189">
        <f t="shared" si="45"/>
      </c>
      <c r="Y158" s="189">
        <f t="shared" si="308"/>
      </c>
      <c r="Z158" s="189">
        <f t="shared" si="353"/>
      </c>
      <c r="AA158" s="190">
        <f t="shared" si="248"/>
      </c>
      <c r="AB158" s="190">
        <f t="shared" si="278"/>
      </c>
      <c r="AC158" s="190">
        <f t="shared" si="173"/>
      </c>
      <c r="AD158" s="189">
        <f t="shared" si="218"/>
      </c>
      <c r="AE158" s="190">
        <f t="shared" si="440"/>
      </c>
      <c r="AF158" s="189">
        <f t="shared" si="60"/>
      </c>
      <c r="AG158" s="189">
        <f t="shared" si="323"/>
      </c>
      <c r="AH158" s="192">
        <v>9138</v>
      </c>
      <c r="AI158" s="192">
        <v>247</v>
      </c>
      <c r="AJ158" s="192">
        <v>301</v>
      </c>
      <c r="AK158" s="192">
        <v>70</v>
      </c>
      <c r="AL158" s="192">
        <v>1</v>
      </c>
      <c r="AM158" s="192">
        <v>1</v>
      </c>
      <c r="AN158" s="192">
        <v>53</v>
      </c>
      <c r="AO158" s="192">
        <v>82</v>
      </c>
      <c r="AP158" s="192">
        <v>5</v>
      </c>
      <c r="AQ158" s="187">
        <v>0</v>
      </c>
      <c r="AR158" s="213">
        <v>1</v>
      </c>
    </row>
    <row r="159">
      <c r="A159" s="211"/>
      <c r="B159" s="184" t="s">
        <v>191</v>
      </c>
      <c r="C159" s="184" t="s">
        <v>192</v>
      </c>
      <c r="D159" s="184" t="s">
        <v>206</v>
      </c>
      <c r="E159" s="184" t="s">
        <v>196</v>
      </c>
      <c r="F159" s="185">
        <f t="shared" si="111"/>
      </c>
      <c r="G159" s="204">
        <v>709.92</v>
      </c>
      <c r="H159" s="204">
        <v>354.68</v>
      </c>
      <c r="I159" s="187">
        <v>1</v>
      </c>
      <c r="J159" s="187">
        <v>0</v>
      </c>
      <c r="K159" s="188">
        <v>0</v>
      </c>
      <c r="L159" s="189">
        <f t="shared" si="188"/>
      </c>
      <c r="M159" s="190">
        <f t="shared" si="410"/>
      </c>
      <c r="N159" s="191">
        <f t="shared" si="0"/>
      </c>
      <c r="O159" s="191">
        <f t="shared" si="293"/>
      </c>
      <c r="P159" s="191">
        <f t="shared" si="338"/>
      </c>
      <c r="Q159" s="191">
        <f t="shared" si="233"/>
      </c>
      <c r="R159" s="191">
        <f t="shared" si="263"/>
      </c>
      <c r="S159" s="191">
        <f t="shared" si="158"/>
      </c>
      <c r="T159" s="191">
        <f t="shared" si="203"/>
      </c>
      <c r="U159" s="189">
        <f t="shared" si="425"/>
      </c>
      <c r="V159" s="189">
        <f t="shared" si="15"/>
      </c>
      <c r="W159" s="189">
        <f t="shared" si="30"/>
      </c>
      <c r="X159" s="189">
        <f t="shared" si="45"/>
      </c>
      <c r="Y159" s="189">
        <f t="shared" si="308"/>
      </c>
      <c r="Z159" s="189">
        <f t="shared" si="353"/>
      </c>
      <c r="AA159" s="190">
        <f t="shared" si="248"/>
      </c>
      <c r="AB159" s="190">
        <f t="shared" si="278"/>
      </c>
      <c r="AC159" s="190">
        <f t="shared" si="173"/>
      </c>
      <c r="AD159" s="189">
        <f t="shared" si="218"/>
      </c>
      <c r="AE159" s="190">
        <f t="shared" si="440"/>
      </c>
      <c r="AF159" s="189">
        <f t="shared" si="60"/>
      </c>
      <c r="AG159" s="189">
        <f t="shared" si="323"/>
      </c>
      <c r="AH159" s="192">
        <v>7929</v>
      </c>
      <c r="AI159" s="192">
        <v>220</v>
      </c>
      <c r="AJ159" s="192">
        <v>267</v>
      </c>
      <c r="AK159" s="192">
        <v>43</v>
      </c>
      <c r="AL159" s="187">
        <v>1</v>
      </c>
      <c r="AM159" s="192">
        <v>0</v>
      </c>
      <c r="AN159" s="192">
        <v>35</v>
      </c>
      <c r="AO159" s="192">
        <v>36</v>
      </c>
      <c r="AP159" s="192">
        <v>2</v>
      </c>
      <c r="AQ159" s="187">
        <v>0</v>
      </c>
      <c r="AR159" s="213">
        <v>1</v>
      </c>
    </row>
    <row r="160">
      <c r="A160" s="211"/>
      <c r="B160" s="197" t="s">
        <v>197</v>
      </c>
      <c r="C160" s="197"/>
      <c r="D160" s="197"/>
      <c r="E160" s="197"/>
      <c r="F160" s="198">
        <f>SUM(F157:F159)</f>
      </c>
      <c r="G160" s="198">
        <f>SUM(G157:G159)</f>
      </c>
      <c r="H160" s="198">
        <f>SUM(H157:H159)</f>
      </c>
      <c r="I160" s="199">
        <f>SUM(I157:I159)</f>
      </c>
      <c r="J160" s="199">
        <f>SUM(J157:J159)</f>
      </c>
      <c r="K160" s="198">
        <f>SUM(K157:K159)</f>
      </c>
      <c r="L160" s="200">
        <f t="shared" si="188"/>
      </c>
      <c r="M160" s="201">
        <f t="shared" si="410"/>
      </c>
      <c r="N160" s="202">
        <f t="shared" si="0"/>
      </c>
      <c r="O160" s="202">
        <f t="shared" si="293"/>
      </c>
      <c r="P160" s="202">
        <f t="shared" si="338"/>
      </c>
      <c r="Q160" s="202">
        <f t="shared" si="233"/>
      </c>
      <c r="R160" s="202">
        <f t="shared" si="263"/>
      </c>
      <c r="S160" s="202">
        <f t="shared" si="158"/>
      </c>
      <c r="T160" s="202">
        <f t="shared" si="203"/>
      </c>
      <c r="U160" s="200">
        <f t="shared" si="425"/>
      </c>
      <c r="V160" s="200">
        <f t="shared" si="15"/>
      </c>
      <c r="W160" s="200">
        <f t="shared" si="30"/>
      </c>
      <c r="X160" s="200">
        <f t="shared" si="45"/>
      </c>
      <c r="Y160" s="200">
        <f t="shared" si="308"/>
      </c>
      <c r="Z160" s="200">
        <f t="shared" si="353"/>
      </c>
      <c r="AA160" s="201">
        <f t="shared" si="248"/>
      </c>
      <c r="AB160" s="201">
        <f t="shared" si="278"/>
      </c>
      <c r="AC160" s="201">
        <f t="shared" si="173"/>
      </c>
      <c r="AD160" s="200">
        <f t="shared" si="218"/>
      </c>
      <c r="AE160" s="201">
        <f t="shared" si="440"/>
      </c>
      <c r="AF160" s="200">
        <f t="shared" si="60"/>
      </c>
      <c r="AG160" s="200">
        <f t="shared" si="323"/>
      </c>
      <c r="AH160" s="199">
        <f>SUM(AH157:AH159)</f>
      </c>
      <c r="AI160" s="199">
        <f>SUM(AI157:AI159)</f>
      </c>
      <c r="AJ160" s="199">
        <f>SUM(AJ157:AJ159)</f>
      </c>
      <c r="AK160" s="199">
        <f>SUM(AK157:AK159)</f>
      </c>
      <c r="AL160" s="199">
        <f>SUM(AL157:AL159)</f>
      </c>
      <c r="AM160" s="199">
        <f>SUM(AM157:AM159)</f>
      </c>
      <c r="AN160" s="199">
        <f>SUM(AN157:AN159)</f>
      </c>
      <c r="AO160" s="199">
        <f>SUM(AO157:AO159)</f>
      </c>
      <c r="AP160" s="199">
        <f>SUM(AP157:AP159)</f>
      </c>
      <c r="AQ160" s="199">
        <f>SUM(AQ157:AQ159)</f>
      </c>
      <c r="AR160" s="203">
        <f>SUM(AR157:AR159)</f>
      </c>
    </row>
    <row r="161">
      <c r="A161" s="211"/>
      <c r="B161" s="184" t="s">
        <v>191</v>
      </c>
      <c r="C161" s="184" t="s">
        <v>192</v>
      </c>
      <c r="D161" s="184" t="s">
        <v>207</v>
      </c>
      <c r="E161" s="184" t="s">
        <v>199</v>
      </c>
      <c r="F161" s="185">
        <f t="shared" ref="F161:F162" si="112">H161+G161</f>
      </c>
      <c r="G161" s="204">
        <v>519.68</v>
      </c>
      <c r="H161" s="204">
        <v>271.83</v>
      </c>
      <c r="I161" s="187">
        <v>2</v>
      </c>
      <c r="J161" s="192">
        <v>3</v>
      </c>
      <c r="K161" s="196">
        <v>1674</v>
      </c>
      <c r="L161" s="189">
        <f t="shared" si="188"/>
      </c>
      <c r="M161" s="190">
        <f t="shared" si="410"/>
      </c>
      <c r="N161" s="191">
        <f t="shared" si="0"/>
      </c>
      <c r="O161" s="191">
        <f t="shared" si="293"/>
      </c>
      <c r="P161" s="191">
        <f t="shared" si="338"/>
      </c>
      <c r="Q161" s="191">
        <f t="shared" si="233"/>
      </c>
      <c r="R161" s="191">
        <f t="shared" si="263"/>
      </c>
      <c r="S161" s="191">
        <f t="shared" si="158"/>
      </c>
      <c r="T161" s="191">
        <f t="shared" si="203"/>
      </c>
      <c r="U161" s="189">
        <f t="shared" si="425"/>
      </c>
      <c r="V161" s="189">
        <f t="shared" si="15"/>
      </c>
      <c r="W161" s="189">
        <f t="shared" si="30"/>
      </c>
      <c r="X161" s="189">
        <f t="shared" si="45"/>
      </c>
      <c r="Y161" s="189">
        <f t="shared" si="308"/>
      </c>
      <c r="Z161" s="189">
        <f t="shared" si="353"/>
      </c>
      <c r="AA161" s="190">
        <f t="shared" si="248"/>
      </c>
      <c r="AB161" s="190">
        <f t="shared" si="278"/>
      </c>
      <c r="AC161" s="190">
        <f t="shared" si="173"/>
      </c>
      <c r="AD161" s="189">
        <f t="shared" si="218"/>
      </c>
      <c r="AE161" s="190">
        <f t="shared" si="440"/>
      </c>
      <c r="AF161" s="189">
        <f t="shared" si="60"/>
      </c>
      <c r="AG161" s="189">
        <f t="shared" si="323"/>
      </c>
      <c r="AH161" s="192">
        <v>5733</v>
      </c>
      <c r="AI161" s="192">
        <v>152</v>
      </c>
      <c r="AJ161" s="192">
        <v>190</v>
      </c>
      <c r="AK161" s="192">
        <v>41</v>
      </c>
      <c r="AL161" s="187">
        <v>2</v>
      </c>
      <c r="AM161" s="192">
        <v>2</v>
      </c>
      <c r="AN161" s="192">
        <v>34</v>
      </c>
      <c r="AO161" s="192">
        <v>67</v>
      </c>
      <c r="AP161" s="192">
        <v>4</v>
      </c>
      <c r="AQ161" s="187">
        <v>1</v>
      </c>
      <c r="AR161" s="213">
        <v>1</v>
      </c>
    </row>
    <row r="162">
      <c r="A162" s="211"/>
      <c r="B162" s="184" t="s">
        <v>191</v>
      </c>
      <c r="C162" s="184" t="s">
        <v>192</v>
      </c>
      <c r="D162" s="184" t="s">
        <v>207</v>
      </c>
      <c r="E162" s="184" t="s">
        <v>199</v>
      </c>
      <c r="F162" s="185">
        <f t="shared" si="112"/>
      </c>
      <c r="G162" s="204">
        <v>761.11</v>
      </c>
      <c r="H162" s="204">
        <v>286.45</v>
      </c>
      <c r="I162" s="187">
        <v>0</v>
      </c>
      <c r="J162" s="187">
        <v>0</v>
      </c>
      <c r="K162" s="188">
        <v>0</v>
      </c>
      <c r="L162" s="189">
        <f t="shared" si="188"/>
      </c>
      <c r="M162" s="190">
        <f t="shared" si="410"/>
      </c>
      <c r="N162" s="191">
        <f t="shared" si="0"/>
      </c>
      <c r="O162" s="191">
        <f t="shared" si="293"/>
      </c>
      <c r="P162" s="191">
        <f t="shared" si="338"/>
      </c>
      <c r="Q162" s="191">
        <f t="shared" si="233"/>
      </c>
      <c r="R162" s="191">
        <f t="shared" si="263"/>
      </c>
      <c r="S162" s="191">
        <f t="shared" si="158"/>
      </c>
      <c r="T162" s="191">
        <f t="shared" si="203"/>
      </c>
      <c r="U162" s="189">
        <f t="shared" si="425"/>
      </c>
      <c r="V162" s="189">
        <f t="shared" si="15"/>
      </c>
      <c r="W162" s="189">
        <f t="shared" si="30"/>
      </c>
      <c r="X162" s="189">
        <f t="shared" si="45"/>
      </c>
      <c r="Y162" s="189">
        <f t="shared" si="308"/>
      </c>
      <c r="Z162" s="189">
        <f t="shared" si="353"/>
      </c>
      <c r="AA162" s="190">
        <f t="shared" si="248"/>
      </c>
      <c r="AB162" s="190">
        <f t="shared" si="278"/>
      </c>
      <c r="AC162" s="190">
        <f t="shared" si="173"/>
      </c>
      <c r="AD162" s="189">
        <f t="shared" si="218"/>
      </c>
      <c r="AE162" s="190">
        <f t="shared" si="440"/>
      </c>
      <c r="AF162" s="189">
        <f t="shared" si="60"/>
      </c>
      <c r="AG162" s="189">
        <f t="shared" si="323"/>
      </c>
      <c r="AH162" s="192">
        <v>6798</v>
      </c>
      <c r="AI162" s="192">
        <v>159</v>
      </c>
      <c r="AJ162" s="192">
        <v>190</v>
      </c>
      <c r="AK162" s="192">
        <v>38</v>
      </c>
      <c r="AL162" s="192">
        <v>0</v>
      </c>
      <c r="AM162" s="192">
        <v>0</v>
      </c>
      <c r="AN162" s="192">
        <v>30</v>
      </c>
      <c r="AO162" s="192">
        <v>38</v>
      </c>
      <c r="AP162" s="192">
        <v>0</v>
      </c>
      <c r="AQ162" s="187">
        <v>0</v>
      </c>
      <c r="AR162" s="213">
        <v>1</v>
      </c>
    </row>
    <row r="163">
      <c r="A163" s="211"/>
      <c r="B163" s="197" t="s">
        <v>197</v>
      </c>
      <c r="C163" s="197"/>
      <c r="D163" s="197"/>
      <c r="E163" s="197"/>
      <c r="F163" s="198">
        <f>SUM(F161:F162)</f>
      </c>
      <c r="G163" s="198">
        <f>SUM(G161:G162)</f>
      </c>
      <c r="H163" s="198">
        <f>SUM(H161:H162)</f>
      </c>
      <c r="I163" s="199">
        <f>SUM(I161:I162)</f>
      </c>
      <c r="J163" s="199">
        <f>SUM(J161:J162)</f>
      </c>
      <c r="K163" s="198">
        <f>SUM(K161:K162)</f>
      </c>
      <c r="L163" s="200">
        <f t="shared" si="188"/>
      </c>
      <c r="M163" s="201">
        <f t="shared" si="410"/>
      </c>
      <c r="N163" s="202">
        <f t="shared" si="0"/>
      </c>
      <c r="O163" s="202">
        <f t="shared" si="293"/>
      </c>
      <c r="P163" s="202">
        <f t="shared" si="338"/>
      </c>
      <c r="Q163" s="202">
        <f t="shared" si="233"/>
      </c>
      <c r="R163" s="202">
        <f t="shared" si="263"/>
      </c>
      <c r="S163" s="202">
        <f t="shared" si="158"/>
      </c>
      <c r="T163" s="202">
        <f t="shared" si="203"/>
      </c>
      <c r="U163" s="200">
        <f t="shared" si="425"/>
      </c>
      <c r="V163" s="200">
        <f t="shared" si="15"/>
      </c>
      <c r="W163" s="200">
        <f t="shared" si="30"/>
      </c>
      <c r="X163" s="200">
        <f t="shared" si="45"/>
      </c>
      <c r="Y163" s="200">
        <f t="shared" si="308"/>
      </c>
      <c r="Z163" s="200">
        <f t="shared" si="353"/>
      </c>
      <c r="AA163" s="201">
        <f t="shared" si="248"/>
      </c>
      <c r="AB163" s="201">
        <f t="shared" si="278"/>
      </c>
      <c r="AC163" s="201">
        <f t="shared" si="173"/>
      </c>
      <c r="AD163" s="200">
        <f t="shared" si="218"/>
      </c>
      <c r="AE163" s="201">
        <f t="shared" si="440"/>
      </c>
      <c r="AF163" s="200">
        <f t="shared" si="60"/>
      </c>
      <c r="AG163" s="200">
        <f t="shared" si="323"/>
      </c>
      <c r="AH163" s="199">
        <f>SUM(AH161:AH162)</f>
      </c>
      <c r="AI163" s="199">
        <f>SUM(AI161:AI162)</f>
      </c>
      <c r="AJ163" s="199">
        <f>SUM(AJ161:AJ162)</f>
      </c>
      <c r="AK163" s="199">
        <f>SUM(AK161:AK162)</f>
      </c>
      <c r="AL163" s="199">
        <f>SUM(AL161:AL162)</f>
      </c>
      <c r="AM163" s="199">
        <f>SUM(AM161:AM162)</f>
      </c>
      <c r="AN163" s="199">
        <f>SUM(AN161:AN162)</f>
      </c>
      <c r="AO163" s="199">
        <f>SUM(AO161:AO162)</f>
      </c>
      <c r="AP163" s="199">
        <f>SUM(AP161:AP162)</f>
      </c>
      <c r="AQ163" s="199">
        <f>SUM(AQ161:AQ162)</f>
      </c>
      <c r="AR163" s="203">
        <f>SUM(AR161:AR162)</f>
      </c>
    </row>
    <row r="164">
      <c r="A164" s="211"/>
      <c r="B164" s="184" t="s">
        <v>191</v>
      </c>
      <c r="C164" s="184" t="s">
        <v>192</v>
      </c>
      <c r="D164" s="184" t="s">
        <v>201</v>
      </c>
      <c r="E164" s="184" t="s">
        <v>202</v>
      </c>
      <c r="F164" s="185">
        <f t="shared" ref="F164:F166" si="113">H164+G164</f>
      </c>
      <c r="G164" s="204">
        <v>1357.15</v>
      </c>
      <c r="H164" s="204">
        <v>409.45</v>
      </c>
      <c r="I164" s="187">
        <v>3</v>
      </c>
      <c r="J164" s="192">
        <v>1</v>
      </c>
      <c r="K164" s="196">
        <v>967.1999999999998</v>
      </c>
      <c r="L164" s="189">
        <f t="shared" si="188"/>
      </c>
      <c r="M164" s="190">
        <f t="shared" si="410"/>
      </c>
      <c r="N164" s="191">
        <f t="shared" si="0"/>
      </c>
      <c r="O164" s="191">
        <f t="shared" si="293"/>
      </c>
      <c r="P164" s="191">
        <f t="shared" si="338"/>
      </c>
      <c r="Q164" s="191">
        <f t="shared" si="233"/>
      </c>
      <c r="R164" s="191">
        <f t="shared" si="263"/>
      </c>
      <c r="S164" s="191">
        <f t="shared" si="158"/>
      </c>
      <c r="T164" s="191">
        <f t="shared" si="203"/>
      </c>
      <c r="U164" s="189">
        <f t="shared" si="425"/>
      </c>
      <c r="V164" s="189">
        <f t="shared" si="15"/>
      </c>
      <c r="W164" s="189">
        <f t="shared" si="30"/>
      </c>
      <c r="X164" s="189">
        <f t="shared" si="45"/>
      </c>
      <c r="Y164" s="189">
        <f t="shared" si="308"/>
      </c>
      <c r="Z164" s="189">
        <f t="shared" si="353"/>
      </c>
      <c r="AA164" s="190">
        <f t="shared" si="248"/>
      </c>
      <c r="AB164" s="190">
        <f t="shared" si="278"/>
      </c>
      <c r="AC164" s="190">
        <f t="shared" si="173"/>
      </c>
      <c r="AD164" s="189">
        <f t="shared" si="218"/>
      </c>
      <c r="AE164" s="190">
        <f t="shared" si="440"/>
      </c>
      <c r="AF164" s="189">
        <f t="shared" si="60"/>
      </c>
      <c r="AG164" s="189">
        <f t="shared" si="323"/>
      </c>
      <c r="AH164" s="192">
        <v>10908</v>
      </c>
      <c r="AI164" s="192">
        <v>254</v>
      </c>
      <c r="AJ164" s="192">
        <v>279</v>
      </c>
      <c r="AK164" s="192">
        <v>74</v>
      </c>
      <c r="AL164" s="192">
        <v>3</v>
      </c>
      <c r="AM164" s="192">
        <v>0</v>
      </c>
      <c r="AN164" s="192">
        <v>60</v>
      </c>
      <c r="AO164" s="192">
        <v>50</v>
      </c>
      <c r="AP164" s="192">
        <v>4</v>
      </c>
      <c r="AQ164" s="187">
        <v>0</v>
      </c>
      <c r="AR164" s="213">
        <v>1</v>
      </c>
    </row>
    <row r="165">
      <c r="A165" s="211"/>
      <c r="B165" s="184" t="s">
        <v>191</v>
      </c>
      <c r="C165" s="184" t="s">
        <v>192</v>
      </c>
      <c r="D165" s="184" t="s">
        <v>201</v>
      </c>
      <c r="E165" s="184" t="s">
        <v>203</v>
      </c>
      <c r="F165" s="185">
        <f t="shared" si="113"/>
      </c>
      <c r="G165" s="204">
        <v>1542.3</v>
      </c>
      <c r="H165" s="204">
        <v>485.6</v>
      </c>
      <c r="I165" s="187">
        <v>3</v>
      </c>
      <c r="J165" s="192">
        <v>3</v>
      </c>
      <c r="K165" s="196">
        <v>2725.000000000001</v>
      </c>
      <c r="L165" s="189">
        <f t="shared" si="188"/>
      </c>
      <c r="M165" s="190">
        <f t="shared" si="410"/>
      </c>
      <c r="N165" s="191">
        <f t="shared" si="0"/>
      </c>
      <c r="O165" s="191">
        <f t="shared" si="293"/>
      </c>
      <c r="P165" s="191">
        <f t="shared" si="338"/>
      </c>
      <c r="Q165" s="191">
        <f t="shared" si="233"/>
      </c>
      <c r="R165" s="191">
        <f t="shared" si="263"/>
      </c>
      <c r="S165" s="191">
        <f t="shared" si="158"/>
      </c>
      <c r="T165" s="191">
        <f t="shared" si="203"/>
      </c>
      <c r="U165" s="189">
        <f t="shared" si="425"/>
      </c>
      <c r="V165" s="189">
        <f t="shared" si="15"/>
      </c>
      <c r="W165" s="189">
        <f t="shared" si="30"/>
      </c>
      <c r="X165" s="189">
        <f t="shared" si="45"/>
      </c>
      <c r="Y165" s="189">
        <f t="shared" si="308"/>
      </c>
      <c r="Z165" s="189">
        <f t="shared" si="353"/>
      </c>
      <c r="AA165" s="190">
        <f t="shared" si="248"/>
      </c>
      <c r="AB165" s="190">
        <f t="shared" si="278"/>
      </c>
      <c r="AC165" s="190">
        <f t="shared" si="173"/>
      </c>
      <c r="AD165" s="189">
        <f t="shared" si="218"/>
      </c>
      <c r="AE165" s="190">
        <f t="shared" si="440"/>
      </c>
      <c r="AF165" s="189">
        <f t="shared" si="60"/>
      </c>
      <c r="AG165" s="189">
        <f t="shared" si="323"/>
      </c>
      <c r="AH165" s="192">
        <v>14182</v>
      </c>
      <c r="AI165" s="192">
        <v>354</v>
      </c>
      <c r="AJ165" s="192">
        <v>392</v>
      </c>
      <c r="AK165" s="192">
        <v>91</v>
      </c>
      <c r="AL165" s="192">
        <v>3</v>
      </c>
      <c r="AM165" s="192">
        <v>4</v>
      </c>
      <c r="AN165" s="192">
        <v>79</v>
      </c>
      <c r="AO165" s="192">
        <v>66</v>
      </c>
      <c r="AP165" s="192">
        <v>4</v>
      </c>
      <c r="AQ165" s="187">
        <v>0</v>
      </c>
      <c r="AR165" s="213">
        <v>1</v>
      </c>
    </row>
    <row r="166">
      <c r="A166" s="211"/>
      <c r="B166" s="184" t="s">
        <v>191</v>
      </c>
      <c r="C166" s="184" t="s">
        <v>192</v>
      </c>
      <c r="D166" s="184" t="s">
        <v>201</v>
      </c>
      <c r="E166" s="184" t="s">
        <v>204</v>
      </c>
      <c r="F166" s="185">
        <f t="shared" si="113"/>
      </c>
      <c r="G166" s="204">
        <v>501.76</v>
      </c>
      <c r="H166" s="204">
        <v>200.67</v>
      </c>
      <c r="I166" s="187">
        <v>4</v>
      </c>
      <c r="J166" s="192">
        <v>3</v>
      </c>
      <c r="K166" s="196">
        <v>2733.399999999998</v>
      </c>
      <c r="L166" s="189">
        <f t="shared" si="188"/>
      </c>
      <c r="M166" s="190">
        <f t="shared" si="410"/>
      </c>
      <c r="N166" s="191">
        <f t="shared" si="0"/>
      </c>
      <c r="O166" s="191">
        <f t="shared" si="293"/>
      </c>
      <c r="P166" s="191">
        <f t="shared" si="338"/>
      </c>
      <c r="Q166" s="191">
        <f t="shared" si="233"/>
      </c>
      <c r="R166" s="191">
        <f t="shared" si="263"/>
      </c>
      <c r="S166" s="191">
        <f t="shared" si="158"/>
      </c>
      <c r="T166" s="191">
        <f t="shared" si="203"/>
      </c>
      <c r="U166" s="189">
        <f t="shared" si="425"/>
      </c>
      <c r="V166" s="189">
        <f t="shared" si="15"/>
      </c>
      <c r="W166" s="189">
        <f t="shared" si="30"/>
      </c>
      <c r="X166" s="189">
        <f t="shared" si="45"/>
      </c>
      <c r="Y166" s="189">
        <f t="shared" si="308"/>
      </c>
      <c r="Z166" s="189">
        <f t="shared" si="353"/>
      </c>
      <c r="AA166" s="190">
        <f t="shared" si="248"/>
      </c>
      <c r="AB166" s="190">
        <f t="shared" si="278"/>
      </c>
      <c r="AC166" s="190">
        <f t="shared" si="173"/>
      </c>
      <c r="AD166" s="189">
        <f t="shared" si="218"/>
      </c>
      <c r="AE166" s="190">
        <f t="shared" si="440"/>
      </c>
      <c r="AF166" s="189">
        <f t="shared" si="60"/>
      </c>
      <c r="AG166" s="189">
        <f t="shared" si="323"/>
      </c>
      <c r="AH166" s="192">
        <v>5743</v>
      </c>
      <c r="AI166" s="192">
        <v>169</v>
      </c>
      <c r="AJ166" s="192">
        <v>214</v>
      </c>
      <c r="AK166" s="192">
        <v>50</v>
      </c>
      <c r="AL166" s="192">
        <v>4</v>
      </c>
      <c r="AM166" s="192">
        <v>2</v>
      </c>
      <c r="AN166" s="192">
        <v>40</v>
      </c>
      <c r="AO166" s="192">
        <v>73</v>
      </c>
      <c r="AP166" s="192">
        <v>4</v>
      </c>
      <c r="AQ166" s="187">
        <v>0</v>
      </c>
      <c r="AR166" s="213">
        <v>1</v>
      </c>
    </row>
    <row r="167">
      <c r="A167" s="211"/>
      <c r="B167" s="197" t="s">
        <v>197</v>
      </c>
      <c r="C167" s="197"/>
      <c r="D167" s="197"/>
      <c r="E167" s="197"/>
      <c r="F167" s="198">
        <f>SUM(F164:F166)</f>
      </c>
      <c r="G167" s="198">
        <f>SUM(G164:G166)</f>
      </c>
      <c r="H167" s="198">
        <f>SUM(H164:H166)</f>
      </c>
      <c r="I167" s="199">
        <f>SUM(I164:I166)</f>
      </c>
      <c r="J167" s="199">
        <f>SUM(J164:J166)</f>
      </c>
      <c r="K167" s="198">
        <f>SUM(K164:K166)</f>
      </c>
      <c r="L167" s="200">
        <f t="shared" si="188"/>
      </c>
      <c r="M167" s="201">
        <f t="shared" si="410"/>
      </c>
      <c r="N167" s="202">
        <f t="shared" si="0"/>
      </c>
      <c r="O167" s="202">
        <f t="shared" si="293"/>
      </c>
      <c r="P167" s="202">
        <f t="shared" si="338"/>
      </c>
      <c r="Q167" s="202">
        <f t="shared" si="233"/>
      </c>
      <c r="R167" s="202">
        <f t="shared" si="263"/>
      </c>
      <c r="S167" s="202">
        <f t="shared" si="158"/>
      </c>
      <c r="T167" s="202">
        <f t="shared" si="203"/>
      </c>
      <c r="U167" s="200">
        <f t="shared" si="425"/>
      </c>
      <c r="V167" s="200">
        <f t="shared" si="15"/>
      </c>
      <c r="W167" s="200">
        <f t="shared" si="30"/>
      </c>
      <c r="X167" s="200">
        <f t="shared" si="45"/>
      </c>
      <c r="Y167" s="200">
        <f t="shared" si="308"/>
      </c>
      <c r="Z167" s="200">
        <f t="shared" si="353"/>
      </c>
      <c r="AA167" s="201">
        <f t="shared" si="248"/>
      </c>
      <c r="AB167" s="201">
        <f t="shared" si="278"/>
      </c>
      <c r="AC167" s="201">
        <f t="shared" si="173"/>
      </c>
      <c r="AD167" s="200">
        <f t="shared" si="218"/>
      </c>
      <c r="AE167" s="201">
        <f t="shared" si="440"/>
      </c>
      <c r="AF167" s="200">
        <f t="shared" si="60"/>
      </c>
      <c r="AG167" s="200">
        <f t="shared" si="323"/>
      </c>
      <c r="AH167" s="199">
        <f>SUM(AH164:AH166)</f>
      </c>
      <c r="AI167" s="199">
        <f>SUM(AI164:AI166)</f>
      </c>
      <c r="AJ167" s="199">
        <f>SUM(AJ164:AJ166)</f>
      </c>
      <c r="AK167" s="199">
        <f>SUM(AK164:AK166)</f>
      </c>
      <c r="AL167" s="199">
        <f>SUM(AL164:AL166)</f>
      </c>
      <c r="AM167" s="199">
        <f>SUM(AM164:AM166)</f>
      </c>
      <c r="AN167" s="199">
        <f>SUM(AN164:AN166)</f>
      </c>
      <c r="AO167" s="199">
        <f>SUM(AO164:AO166)</f>
      </c>
      <c r="AP167" s="199">
        <f>SUM(AP164:AP166)</f>
      </c>
      <c r="AQ167" s="199">
        <f>SUM(AQ164:AQ166)</f>
      </c>
      <c r="AR167" s="203">
        <f>SUM(AR164:AR166)</f>
      </c>
    </row>
    <row r="168">
      <c r="A168" s="211"/>
      <c r="B168" s="205" t="s">
        <v>205</v>
      </c>
      <c r="C168" s="205"/>
      <c r="D168" s="205"/>
      <c r="E168" s="205"/>
      <c r="F168" s="206">
        <f t="shared" ref="F168:F172" si="114">H168+G168</f>
      </c>
      <c r="G168" s="206">
        <f>G160+G167+G163</f>
      </c>
      <c r="H168" s="206">
        <f>H160+H167+H163</f>
      </c>
      <c r="I168" s="206">
        <f>I160+I167+I163</f>
      </c>
      <c r="J168" s="206">
        <f>J160+J167+J163</f>
      </c>
      <c r="K168" s="206">
        <f>K160+K167+K163</f>
      </c>
      <c r="L168" s="207">
        <f t="shared" si="188"/>
      </c>
      <c r="M168" s="208">
        <f t="shared" si="410"/>
      </c>
      <c r="N168" s="209">
        <f t="shared" si="0"/>
      </c>
      <c r="O168" s="209">
        <f t="shared" si="293"/>
      </c>
      <c r="P168" s="209">
        <f t="shared" si="338"/>
      </c>
      <c r="Q168" s="209">
        <f t="shared" si="233"/>
      </c>
      <c r="R168" s="209">
        <f t="shared" si="263"/>
      </c>
      <c r="S168" s="209">
        <f t="shared" si="158"/>
      </c>
      <c r="T168" s="209">
        <f t="shared" si="203"/>
      </c>
      <c r="U168" s="207">
        <f t="shared" si="425"/>
      </c>
      <c r="V168" s="207">
        <f t="shared" si="15"/>
      </c>
      <c r="W168" s="207">
        <f t="shared" si="30"/>
      </c>
      <c r="X168" s="207">
        <f t="shared" si="45"/>
      </c>
      <c r="Y168" s="207">
        <f t="shared" si="308"/>
      </c>
      <c r="Z168" s="207">
        <f t="shared" si="353"/>
      </c>
      <c r="AA168" s="208">
        <f t="shared" si="248"/>
      </c>
      <c r="AB168" s="208">
        <f t="shared" si="278"/>
      </c>
      <c r="AC168" s="208">
        <f t="shared" si="173"/>
      </c>
      <c r="AD168" s="207">
        <f t="shared" si="218"/>
      </c>
      <c r="AE168" s="208">
        <f t="shared" si="440"/>
      </c>
      <c r="AF168" s="207">
        <f t="shared" si="60"/>
      </c>
      <c r="AG168" s="207">
        <f t="shared" si="323"/>
      </c>
      <c r="AH168" s="210">
        <f>AH160+AH167+AH163</f>
      </c>
      <c r="AI168" s="210">
        <f>AI160+AI167+AI163</f>
      </c>
      <c r="AJ168" s="210">
        <f>AJ160+AJ167+AJ163</f>
      </c>
      <c r="AK168" s="210">
        <f>AK160+AK167+AK163</f>
      </c>
      <c r="AL168" s="210">
        <f>AL160+AL167+AL163</f>
      </c>
      <c r="AM168" s="210">
        <f>AM160+AM167+AM163</f>
      </c>
      <c r="AN168" s="210">
        <f>AN160+AN167+AN163</f>
      </c>
      <c r="AO168" s="210">
        <f>AO160+AO167+AO163</f>
      </c>
      <c r="AP168" s="210">
        <f>AP160+AP167+AP163</f>
      </c>
      <c r="AQ168" s="210">
        <f>AQ160+AQ167+AQ163</f>
      </c>
      <c r="AR168" s="203">
        <f>AR160+AR167+AR163</f>
      </c>
    </row>
    <row r="169">
      <c r="A169" s="182">
        <v>46280</v>
      </c>
      <c r="B169" s="184" t="s">
        <v>191</v>
      </c>
      <c r="C169" s="184" t="s">
        <v>192</v>
      </c>
      <c r="D169" s="184" t="s">
        <v>206</v>
      </c>
      <c r="E169" s="184" t="s">
        <v>194</v>
      </c>
      <c r="F169" s="185">
        <f t="shared" si="114"/>
      </c>
      <c r="G169" s="204">
        <v>1018.53</v>
      </c>
      <c r="H169" s="204">
        <v>475.59</v>
      </c>
      <c r="I169" s="187">
        <v>3</v>
      </c>
      <c r="J169" s="192">
        <v>3</v>
      </c>
      <c r="K169" s="196">
        <v>2829.3999999999996</v>
      </c>
      <c r="L169" s="189">
        <f t="shared" si="188"/>
      </c>
      <c r="M169" s="190">
        <f t="shared" si="410"/>
      </c>
      <c r="N169" s="191">
        <f t="shared" si="0"/>
      </c>
      <c r="O169" s="191">
        <f t="shared" si="293"/>
      </c>
      <c r="P169" s="191">
        <f t="shared" si="338"/>
      </c>
      <c r="Q169" s="191">
        <f t="shared" si="233"/>
      </c>
      <c r="R169" s="191">
        <f t="shared" si="263"/>
      </c>
      <c r="S169" s="191">
        <f t="shared" si="158"/>
      </c>
      <c r="T169" s="191">
        <f t="shared" si="203"/>
      </c>
      <c r="U169" s="189">
        <f t="shared" si="425"/>
      </c>
      <c r="V169" s="189">
        <f t="shared" si="15"/>
      </c>
      <c r="W169" s="189">
        <f t="shared" si="30"/>
      </c>
      <c r="X169" s="189">
        <f t="shared" si="45"/>
      </c>
      <c r="Y169" s="189">
        <f t="shared" si="308"/>
      </c>
      <c r="Z169" s="189">
        <f t="shared" si="353"/>
      </c>
      <c r="AA169" s="190">
        <f t="shared" si="248"/>
      </c>
      <c r="AB169" s="190">
        <f t="shared" si="278"/>
      </c>
      <c r="AC169" s="190">
        <f t="shared" si="173"/>
      </c>
      <c r="AD169" s="189">
        <f t="shared" si="218"/>
      </c>
      <c r="AE169" s="190">
        <f t="shared" si="440"/>
      </c>
      <c r="AF169" s="189">
        <f t="shared" si="60"/>
      </c>
      <c r="AG169" s="189">
        <f t="shared" si="323"/>
      </c>
      <c r="AH169" s="192">
        <v>6632</v>
      </c>
      <c r="AI169" s="193">
        <v>167</v>
      </c>
      <c r="AJ169" s="193">
        <v>187</v>
      </c>
      <c r="AK169" s="192">
        <v>52</v>
      </c>
      <c r="AL169" s="192">
        <v>2</v>
      </c>
      <c r="AM169" s="192">
        <v>2</v>
      </c>
      <c r="AN169" s="192">
        <v>38</v>
      </c>
      <c r="AO169" s="192">
        <v>36</v>
      </c>
      <c r="AP169" s="192">
        <v>2</v>
      </c>
      <c r="AQ169" s="187">
        <v>0</v>
      </c>
      <c r="AR169" s="213">
        <v>1</v>
      </c>
    </row>
    <row r="170">
      <c r="A170" s="182"/>
      <c r="B170" s="184" t="s">
        <v>191</v>
      </c>
      <c r="C170" s="184" t="s">
        <v>192</v>
      </c>
      <c r="D170" s="184" t="s">
        <v>206</v>
      </c>
      <c r="E170" s="184" t="s">
        <v>195</v>
      </c>
      <c r="F170" s="185">
        <f t="shared" si="114"/>
      </c>
      <c r="G170" s="212">
        <v>850.07</v>
      </c>
      <c r="H170" s="204">
        <v>136.23</v>
      </c>
      <c r="I170" s="187">
        <v>4</v>
      </c>
      <c r="J170" s="192">
        <v>2</v>
      </c>
      <c r="K170" s="196">
        <v>948</v>
      </c>
      <c r="L170" s="189">
        <f t="shared" si="188"/>
      </c>
      <c r="M170" s="190">
        <f t="shared" si="410"/>
      </c>
      <c r="N170" s="191">
        <f t="shared" si="0"/>
      </c>
      <c r="O170" s="191">
        <f t="shared" si="293"/>
      </c>
      <c r="P170" s="191">
        <f t="shared" si="338"/>
      </c>
      <c r="Q170" s="191">
        <f t="shared" si="233"/>
      </c>
      <c r="R170" s="191">
        <f t="shared" si="263"/>
      </c>
      <c r="S170" s="191">
        <f t="shared" si="158"/>
      </c>
      <c r="T170" s="191">
        <f t="shared" si="203"/>
      </c>
      <c r="U170" s="189">
        <f t="shared" si="425"/>
      </c>
      <c r="V170" s="189">
        <f t="shared" si="15"/>
      </c>
      <c r="W170" s="189">
        <f t="shared" si="30"/>
      </c>
      <c r="X170" s="189">
        <f t="shared" si="45"/>
      </c>
      <c r="Y170" s="189">
        <f t="shared" si="308"/>
      </c>
      <c r="Z170" s="189">
        <f t="shared" si="353"/>
      </c>
      <c r="AA170" s="190">
        <f t="shared" si="248"/>
      </c>
      <c r="AB170" s="190">
        <f t="shared" si="278"/>
      </c>
      <c r="AC170" s="190">
        <f t="shared" si="173"/>
      </c>
      <c r="AD170" s="189">
        <f t="shared" si="218"/>
      </c>
      <c r="AE170" s="190">
        <f t="shared" si="440"/>
      </c>
      <c r="AF170" s="189">
        <f t="shared" si="60"/>
      </c>
      <c r="AG170" s="189">
        <f t="shared" si="323"/>
      </c>
      <c r="AH170" s="192">
        <v>5658</v>
      </c>
      <c r="AI170" s="192">
        <v>115</v>
      </c>
      <c r="AJ170" s="192">
        <v>120</v>
      </c>
      <c r="AK170" s="192">
        <v>40</v>
      </c>
      <c r="AL170" s="192">
        <v>4</v>
      </c>
      <c r="AM170" s="192">
        <v>2</v>
      </c>
      <c r="AN170" s="192">
        <v>24</v>
      </c>
      <c r="AO170" s="192">
        <v>38</v>
      </c>
      <c r="AP170" s="192">
        <v>2</v>
      </c>
      <c r="AQ170" s="187">
        <v>0</v>
      </c>
      <c r="AR170" s="213">
        <v>1</v>
      </c>
    </row>
    <row r="171">
      <c r="A171" s="182"/>
      <c r="B171" s="184" t="s">
        <v>191</v>
      </c>
      <c r="C171" s="184" t="s">
        <v>192</v>
      </c>
      <c r="D171" s="184" t="s">
        <v>206</v>
      </c>
      <c r="E171" s="184" t="s">
        <v>196</v>
      </c>
      <c r="F171" s="185">
        <f t="shared" si="114"/>
      </c>
      <c r="G171" s="204">
        <v>446.87</v>
      </c>
      <c r="H171" s="204">
        <v>319.99</v>
      </c>
      <c r="I171" s="187">
        <v>2</v>
      </c>
      <c r="J171" s="187">
        <v>2</v>
      </c>
      <c r="K171" s="188">
        <v>728.3999999999996</v>
      </c>
      <c r="L171" s="189">
        <f t="shared" si="188"/>
      </c>
      <c r="M171" s="190">
        <f t="shared" si="410"/>
      </c>
      <c r="N171" s="191">
        <f t="shared" si="0"/>
      </c>
      <c r="O171" s="191">
        <f t="shared" si="293"/>
      </c>
      <c r="P171" s="191">
        <f t="shared" si="338"/>
      </c>
      <c r="Q171" s="191">
        <f t="shared" si="233"/>
      </c>
      <c r="R171" s="191">
        <f t="shared" si="263"/>
      </c>
      <c r="S171" s="191">
        <f t="shared" si="158"/>
      </c>
      <c r="T171" s="191">
        <f t="shared" si="203"/>
      </c>
      <c r="U171" s="189">
        <f t="shared" si="425"/>
      </c>
      <c r="V171" s="189">
        <f t="shared" si="15"/>
      </c>
      <c r="W171" s="189">
        <f t="shared" si="30"/>
      </c>
      <c r="X171" s="189">
        <f t="shared" si="45"/>
      </c>
      <c r="Y171" s="189">
        <f t="shared" si="308"/>
      </c>
      <c r="Z171" s="189">
        <f t="shared" si="353"/>
      </c>
      <c r="AA171" s="190">
        <f t="shared" si="248"/>
      </c>
      <c r="AB171" s="190">
        <f t="shared" si="278"/>
      </c>
      <c r="AC171" s="190">
        <f t="shared" si="173"/>
      </c>
      <c r="AD171" s="189">
        <f t="shared" si="218"/>
      </c>
      <c r="AE171" s="190">
        <f t="shared" si="440"/>
      </c>
      <c r="AF171" s="189">
        <f t="shared" si="60"/>
      </c>
      <c r="AG171" s="189">
        <f t="shared" si="323"/>
      </c>
      <c r="AH171" s="192">
        <v>4577</v>
      </c>
      <c r="AI171" s="192">
        <v>169</v>
      </c>
      <c r="AJ171" s="192">
        <v>184</v>
      </c>
      <c r="AK171" s="192">
        <v>40</v>
      </c>
      <c r="AL171" s="187">
        <v>2</v>
      </c>
      <c r="AM171" s="192">
        <v>1</v>
      </c>
      <c r="AN171" s="192">
        <v>38</v>
      </c>
      <c r="AO171" s="192">
        <v>49</v>
      </c>
      <c r="AP171" s="192">
        <v>1</v>
      </c>
      <c r="AQ171" s="187">
        <v>1</v>
      </c>
      <c r="AR171" s="213">
        <v>1</v>
      </c>
    </row>
    <row r="172">
      <c r="A172" s="182"/>
      <c r="B172" s="184" t="s">
        <v>191</v>
      </c>
      <c r="C172" s="184" t="s">
        <v>192</v>
      </c>
      <c r="D172" s="184" t="s">
        <v>206</v>
      </c>
      <c r="E172" s="184" t="s">
        <v>199</v>
      </c>
      <c r="F172" s="185">
        <f t="shared" si="114"/>
      </c>
      <c r="G172" s="204">
        <v>378.07</v>
      </c>
      <c r="H172" s="204">
        <v>423.84</v>
      </c>
      <c r="I172" s="187">
        <v>1</v>
      </c>
      <c r="J172" s="192">
        <v>1</v>
      </c>
      <c r="K172" s="196">
        <v>967.2000000000007</v>
      </c>
      <c r="L172" s="189">
        <f t="shared" si="188"/>
      </c>
      <c r="M172" s="190">
        <f t="shared" si="410"/>
      </c>
      <c r="N172" s="191">
        <f t="shared" si="0"/>
      </c>
      <c r="O172" s="191">
        <f t="shared" si="293"/>
      </c>
      <c r="P172" s="191">
        <f t="shared" si="338"/>
      </c>
      <c r="Q172" s="191">
        <f t="shared" si="233"/>
      </c>
      <c r="R172" s="191">
        <f t="shared" si="263"/>
      </c>
      <c r="S172" s="191">
        <f t="shared" si="158"/>
      </c>
      <c r="T172" s="191">
        <f t="shared" si="203"/>
      </c>
      <c r="U172" s="189">
        <f t="shared" si="425"/>
      </c>
      <c r="V172" s="189">
        <f t="shared" si="15"/>
      </c>
      <c r="W172" s="189">
        <f t="shared" si="30"/>
      </c>
      <c r="X172" s="189">
        <f t="shared" si="45"/>
      </c>
      <c r="Y172" s="189">
        <f t="shared" si="308"/>
      </c>
      <c r="Z172" s="189">
        <f t="shared" si="353"/>
      </c>
      <c r="AA172" s="190">
        <f t="shared" si="248"/>
      </c>
      <c r="AB172" s="190">
        <f t="shared" si="278"/>
      </c>
      <c r="AC172" s="190">
        <f t="shared" si="173"/>
      </c>
      <c r="AD172" s="189">
        <f t="shared" si="218"/>
      </c>
      <c r="AE172" s="190">
        <f t="shared" si="440"/>
      </c>
      <c r="AF172" s="189">
        <f t="shared" si="60"/>
      </c>
      <c r="AG172" s="189">
        <f t="shared" si="323"/>
      </c>
      <c r="AH172" s="192">
        <v>4474</v>
      </c>
      <c r="AI172" s="192">
        <v>193</v>
      </c>
      <c r="AJ172" s="192">
        <v>216</v>
      </c>
      <c r="AK172" s="192">
        <v>35</v>
      </c>
      <c r="AL172" s="187">
        <v>1</v>
      </c>
      <c r="AM172" s="192">
        <v>1</v>
      </c>
      <c r="AN172" s="192">
        <v>42</v>
      </c>
      <c r="AO172" s="192">
        <v>29</v>
      </c>
      <c r="AP172" s="192">
        <v>1</v>
      </c>
      <c r="AQ172" s="187">
        <v>0</v>
      </c>
      <c r="AR172" s="213">
        <v>1</v>
      </c>
    </row>
    <row customHeight="true" ht="16.071428571428573" r="173">
      <c r="A173" s="182"/>
      <c r="B173" s="197" t="s">
        <v>197</v>
      </c>
      <c r="C173" s="197"/>
      <c r="D173" s="197"/>
      <c r="E173" s="197"/>
      <c r="F173" s="198">
        <f>SUM(F169:F172)</f>
      </c>
      <c r="G173" s="198">
        <f>SUM(G169:G172)</f>
      </c>
      <c r="H173" s="198">
        <f>SUM(H169:H172)</f>
      </c>
      <c r="I173" s="199">
        <f>SUM(I169:I172)</f>
      </c>
      <c r="J173" s="199">
        <f>SUM(J169:J172)</f>
      </c>
      <c r="K173" s="198">
        <f>SUM(K169:K172)</f>
      </c>
      <c r="L173" s="200">
        <f t="shared" si="188"/>
      </c>
      <c r="M173" s="201">
        <f t="shared" si="410"/>
      </c>
      <c r="N173" s="202">
        <f t="shared" si="0"/>
      </c>
      <c r="O173" s="202">
        <f t="shared" si="293"/>
      </c>
      <c r="P173" s="202">
        <f t="shared" si="338"/>
      </c>
      <c r="Q173" s="202">
        <f t="shared" si="233"/>
      </c>
      <c r="R173" s="202">
        <f t="shared" si="263"/>
      </c>
      <c r="S173" s="202">
        <f t="shared" si="158"/>
      </c>
      <c r="T173" s="202">
        <f t="shared" si="203"/>
      </c>
      <c r="U173" s="200">
        <f t="shared" si="425"/>
      </c>
      <c r="V173" s="200">
        <f t="shared" si="15"/>
      </c>
      <c r="W173" s="200">
        <f t="shared" si="30"/>
      </c>
      <c r="X173" s="200">
        <f t="shared" si="45"/>
      </c>
      <c r="Y173" s="200">
        <f t="shared" si="308"/>
      </c>
      <c r="Z173" s="200">
        <f t="shared" si="353"/>
      </c>
      <c r="AA173" s="201">
        <f t="shared" si="248"/>
      </c>
      <c r="AB173" s="201">
        <f t="shared" si="278"/>
      </c>
      <c r="AC173" s="201">
        <f t="shared" si="173"/>
      </c>
      <c r="AD173" s="200">
        <f t="shared" si="218"/>
      </c>
      <c r="AE173" s="201">
        <f t="shared" si="440"/>
      </c>
      <c r="AF173" s="200">
        <f t="shared" si="60"/>
      </c>
      <c r="AG173" s="200">
        <f t="shared" si="323"/>
      </c>
      <c r="AH173" s="199">
        <f>SUM(AH169:AH172)</f>
      </c>
      <c r="AI173" s="199">
        <f>SUM(AI169:AI172)</f>
      </c>
      <c r="AJ173" s="199">
        <f>SUM(AJ169:AJ172)</f>
      </c>
      <c r="AK173" s="199">
        <f>SUM(AK169:AK172)</f>
      </c>
      <c r="AL173" s="199">
        <f>SUM(AL169:AL172)</f>
      </c>
      <c r="AM173" s="199">
        <f>SUM(AM169:AM172)</f>
      </c>
      <c r="AN173" s="199">
        <f>SUM(AN169:AN172)</f>
      </c>
      <c r="AO173" s="199">
        <f>SUM(AO169:AO172)</f>
      </c>
      <c r="AP173" s="199">
        <f>SUM(AP169:AP172)</f>
      </c>
      <c r="AQ173" s="199">
        <f>SUM(AQ169:AQ172)</f>
      </c>
      <c r="AR173" s="203">
        <f>SUM(AR169:AR172)</f>
      </c>
    </row>
    <row r="174">
      <c r="A174" s="182"/>
      <c r="B174" s="184" t="s">
        <v>191</v>
      </c>
      <c r="C174" s="184" t="s">
        <v>192</v>
      </c>
      <c r="D174" s="184" t="s">
        <v>201</v>
      </c>
      <c r="E174" s="183" t="s">
        <v>200</v>
      </c>
      <c r="F174" s="185">
        <f t="shared" ref="F174:F177" si="115">H174+G174</f>
      </c>
      <c r="G174" s="204">
        <v>555.74</v>
      </c>
      <c r="H174" s="204">
        <v>783.28</v>
      </c>
      <c r="I174" s="187">
        <v>3</v>
      </c>
      <c r="J174" s="187">
        <v>2</v>
      </c>
      <c r="K174" s="188">
        <v>813</v>
      </c>
      <c r="L174" s="189">
        <f t="shared" si="188"/>
      </c>
      <c r="M174" s="190">
        <f t="shared" si="410"/>
      </c>
      <c r="N174" s="191">
        <f t="shared" si="0"/>
      </c>
      <c r="O174" s="191">
        <f t="shared" si="293"/>
      </c>
      <c r="P174" s="191">
        <f t="shared" si="338"/>
      </c>
      <c r="Q174" s="191">
        <f t="shared" si="233"/>
      </c>
      <c r="R174" s="191">
        <f t="shared" si="263"/>
      </c>
      <c r="S174" s="191">
        <f t="shared" si="158"/>
      </c>
      <c r="T174" s="191">
        <f t="shared" si="203"/>
      </c>
      <c r="U174" s="189">
        <f t="shared" si="425"/>
      </c>
      <c r="V174" s="189">
        <f t="shared" si="15"/>
      </c>
      <c r="W174" s="189">
        <f t="shared" si="30"/>
      </c>
      <c r="X174" s="189">
        <f t="shared" si="45"/>
      </c>
      <c r="Y174" s="189">
        <f t="shared" si="308"/>
      </c>
      <c r="Z174" s="189">
        <f t="shared" si="353"/>
      </c>
      <c r="AA174" s="190">
        <f t="shared" si="248"/>
      </c>
      <c r="AB174" s="190">
        <f t="shared" si="278"/>
      </c>
      <c r="AC174" s="190">
        <f t="shared" si="173"/>
      </c>
      <c r="AD174" s="189">
        <f t="shared" si="218"/>
      </c>
      <c r="AE174" s="190">
        <f t="shared" si="440"/>
      </c>
      <c r="AF174" s="189">
        <f t="shared" si="60"/>
      </c>
      <c r="AG174" s="189">
        <f t="shared" si="323"/>
      </c>
      <c r="AH174" s="192">
        <v>7247</v>
      </c>
      <c r="AI174" s="192">
        <v>312</v>
      </c>
      <c r="AJ174" s="192">
        <v>342</v>
      </c>
      <c r="AK174" s="192">
        <v>52</v>
      </c>
      <c r="AL174" s="192">
        <v>3</v>
      </c>
      <c r="AM174" s="192">
        <v>2</v>
      </c>
      <c r="AN174" s="192">
        <v>48</v>
      </c>
      <c r="AO174" s="192">
        <v>41</v>
      </c>
      <c r="AP174" s="192">
        <v>2</v>
      </c>
      <c r="AQ174" s="187">
        <v>0</v>
      </c>
      <c r="AR174" s="213">
        <v>1</v>
      </c>
    </row>
    <row r="175">
      <c r="A175" s="182"/>
      <c r="B175" s="184" t="s">
        <v>191</v>
      </c>
      <c r="C175" s="184" t="s">
        <v>192</v>
      </c>
      <c r="D175" s="184" t="s">
        <v>201</v>
      </c>
      <c r="E175" s="184" t="s">
        <v>202</v>
      </c>
      <c r="F175" s="185">
        <f t="shared" si="115"/>
      </c>
      <c r="G175" s="204">
        <v>726.52</v>
      </c>
      <c r="H175" s="204">
        <v>961.32</v>
      </c>
      <c r="I175" s="187">
        <v>2</v>
      </c>
      <c r="J175" s="192">
        <v>2</v>
      </c>
      <c r="K175" s="196">
        <v>1598</v>
      </c>
      <c r="L175" s="189">
        <f t="shared" si="188"/>
      </c>
      <c r="M175" s="190">
        <f t="shared" si="410"/>
      </c>
      <c r="N175" s="191">
        <f t="shared" si="0"/>
      </c>
      <c r="O175" s="191">
        <f t="shared" si="293"/>
      </c>
      <c r="P175" s="191">
        <f t="shared" si="338"/>
      </c>
      <c r="Q175" s="191">
        <f t="shared" si="233"/>
      </c>
      <c r="R175" s="191">
        <f t="shared" si="263"/>
      </c>
      <c r="S175" s="191">
        <f t="shared" si="158"/>
      </c>
      <c r="T175" s="191">
        <f t="shared" si="203"/>
      </c>
      <c r="U175" s="189">
        <f t="shared" si="425"/>
      </c>
      <c r="V175" s="189">
        <f t="shared" si="15"/>
      </c>
      <c r="W175" s="189">
        <f t="shared" si="30"/>
      </c>
      <c r="X175" s="189">
        <f t="shared" si="45"/>
      </c>
      <c r="Y175" s="189">
        <f t="shared" si="308"/>
      </c>
      <c r="Z175" s="189">
        <f t="shared" si="353"/>
      </c>
      <c r="AA175" s="190">
        <f t="shared" si="248"/>
      </c>
      <c r="AB175" s="190">
        <f t="shared" si="278"/>
      </c>
      <c r="AC175" s="190">
        <f t="shared" si="173"/>
      </c>
      <c r="AD175" s="189">
        <f t="shared" si="218"/>
      </c>
      <c r="AE175" s="190">
        <f t="shared" si="440"/>
      </c>
      <c r="AF175" s="189">
        <f t="shared" si="60"/>
      </c>
      <c r="AG175" s="189">
        <f t="shared" si="323"/>
      </c>
      <c r="AH175" s="192">
        <v>10173</v>
      </c>
      <c r="AI175" s="192">
        <v>375</v>
      </c>
      <c r="AJ175" s="192">
        <v>427</v>
      </c>
      <c r="AK175" s="192">
        <v>60</v>
      </c>
      <c r="AL175" s="192">
        <v>2</v>
      </c>
      <c r="AM175" s="192">
        <v>2</v>
      </c>
      <c r="AN175" s="192">
        <v>51</v>
      </c>
      <c r="AO175" s="192">
        <v>49</v>
      </c>
      <c r="AP175" s="192">
        <v>3</v>
      </c>
      <c r="AQ175" s="187">
        <v>0</v>
      </c>
      <c r="AR175" s="213">
        <v>1</v>
      </c>
    </row>
    <row r="176">
      <c r="A176" s="182"/>
      <c r="B176" s="184" t="s">
        <v>191</v>
      </c>
      <c r="C176" s="184" t="s">
        <v>192</v>
      </c>
      <c r="D176" s="184" t="s">
        <v>201</v>
      </c>
      <c r="E176" s="184" t="s">
        <v>203</v>
      </c>
      <c r="F176" s="185">
        <f t="shared" si="115"/>
      </c>
      <c r="G176" s="204">
        <v>1144.15</v>
      </c>
      <c r="H176" s="204">
        <v>583.58</v>
      </c>
      <c r="I176" s="187">
        <v>6</v>
      </c>
      <c r="J176" s="192">
        <v>7</v>
      </c>
      <c r="K176" s="196">
        <v>4705.200000000001</v>
      </c>
      <c r="L176" s="189">
        <f t="shared" si="188"/>
      </c>
      <c r="M176" s="190">
        <f t="shared" si="410"/>
      </c>
      <c r="N176" s="191">
        <f t="shared" si="0"/>
      </c>
      <c r="O176" s="191">
        <f t="shared" si="293"/>
      </c>
      <c r="P176" s="191">
        <f t="shared" si="338"/>
      </c>
      <c r="Q176" s="191">
        <f t="shared" si="233"/>
      </c>
      <c r="R176" s="191">
        <f t="shared" si="263"/>
      </c>
      <c r="S176" s="191">
        <f t="shared" si="158"/>
      </c>
      <c r="T176" s="191">
        <f t="shared" si="203"/>
      </c>
      <c r="U176" s="189">
        <f t="shared" si="425"/>
      </c>
      <c r="V176" s="189">
        <f t="shared" si="15"/>
      </c>
      <c r="W176" s="189">
        <f t="shared" si="30"/>
      </c>
      <c r="X176" s="189">
        <f t="shared" si="45"/>
      </c>
      <c r="Y176" s="189">
        <f t="shared" si="308"/>
      </c>
      <c r="Z176" s="189">
        <f t="shared" si="353"/>
      </c>
      <c r="AA176" s="190">
        <f t="shared" si="248"/>
      </c>
      <c r="AB176" s="190">
        <f t="shared" si="278"/>
      </c>
      <c r="AC176" s="190">
        <f t="shared" si="173"/>
      </c>
      <c r="AD176" s="189">
        <f t="shared" si="218"/>
      </c>
      <c r="AE176" s="190">
        <f t="shared" si="440"/>
      </c>
      <c r="AF176" s="189">
        <f t="shared" si="60"/>
      </c>
      <c r="AG176" s="189">
        <f t="shared" si="323"/>
      </c>
      <c r="AH176" s="192">
        <v>11373</v>
      </c>
      <c r="AI176" s="192">
        <v>347</v>
      </c>
      <c r="AJ176" s="192">
        <v>374</v>
      </c>
      <c r="AK176" s="192">
        <v>72</v>
      </c>
      <c r="AL176" s="192">
        <v>6</v>
      </c>
      <c r="AM176" s="192">
        <v>6</v>
      </c>
      <c r="AN176" s="192">
        <v>76</v>
      </c>
      <c r="AO176" s="192">
        <v>88</v>
      </c>
      <c r="AP176" s="192">
        <v>6</v>
      </c>
      <c r="AQ176" s="187">
        <v>1</v>
      </c>
      <c r="AR176" s="213">
        <v>1</v>
      </c>
    </row>
    <row r="177">
      <c r="A177" s="182"/>
      <c r="B177" s="184" t="s">
        <v>191</v>
      </c>
      <c r="C177" s="184" t="s">
        <v>192</v>
      </c>
      <c r="D177" s="184" t="s">
        <v>201</v>
      </c>
      <c r="E177" s="184" t="s">
        <v>204</v>
      </c>
      <c r="F177" s="185">
        <f t="shared" si="115"/>
      </c>
      <c r="G177" s="204">
        <v>888.52</v>
      </c>
      <c r="H177" s="204">
        <v>173.46</v>
      </c>
      <c r="I177" s="187">
        <v>4</v>
      </c>
      <c r="J177" s="192">
        <v>5</v>
      </c>
      <c r="K177" s="196">
        <v>3466.399999999998</v>
      </c>
      <c r="L177" s="189">
        <f t="shared" si="188"/>
      </c>
      <c r="M177" s="190">
        <f t="shared" si="410"/>
      </c>
      <c r="N177" s="191">
        <f t="shared" si="0"/>
      </c>
      <c r="O177" s="191">
        <f t="shared" si="293"/>
      </c>
      <c r="P177" s="191">
        <f t="shared" si="338"/>
      </c>
      <c r="Q177" s="191">
        <f t="shared" si="233"/>
      </c>
      <c r="R177" s="191">
        <f t="shared" si="263"/>
      </c>
      <c r="S177" s="191">
        <f t="shared" si="158"/>
      </c>
      <c r="T177" s="191">
        <f t="shared" si="203"/>
      </c>
      <c r="U177" s="189">
        <f t="shared" si="425"/>
      </c>
      <c r="V177" s="189">
        <f t="shared" si="15"/>
      </c>
      <c r="W177" s="189">
        <f t="shared" si="30"/>
      </c>
      <c r="X177" s="189">
        <f t="shared" si="45"/>
      </c>
      <c r="Y177" s="189">
        <f t="shared" si="308"/>
      </c>
      <c r="Z177" s="189">
        <f t="shared" si="353"/>
      </c>
      <c r="AA177" s="190">
        <f t="shared" si="248"/>
      </c>
      <c r="AB177" s="190">
        <f t="shared" si="278"/>
      </c>
      <c r="AC177" s="190">
        <f t="shared" si="173"/>
      </c>
      <c r="AD177" s="189">
        <f t="shared" si="218"/>
      </c>
      <c r="AE177" s="190">
        <f t="shared" si="440"/>
      </c>
      <c r="AF177" s="189">
        <f t="shared" si="60"/>
      </c>
      <c r="AG177" s="189">
        <f t="shared" si="323"/>
      </c>
      <c r="AH177" s="192">
        <v>6666</v>
      </c>
      <c r="AI177" s="192">
        <v>161</v>
      </c>
      <c r="AJ177" s="192">
        <v>176</v>
      </c>
      <c r="AK177" s="192">
        <v>64</v>
      </c>
      <c r="AL177" s="192">
        <v>4</v>
      </c>
      <c r="AM177" s="192">
        <v>4</v>
      </c>
      <c r="AN177" s="192">
        <v>45</v>
      </c>
      <c r="AO177" s="192">
        <v>84</v>
      </c>
      <c r="AP177" s="192">
        <v>6</v>
      </c>
      <c r="AQ177" s="187">
        <v>1</v>
      </c>
      <c r="AR177" s="213">
        <v>1</v>
      </c>
    </row>
    <row r="178">
      <c r="A178" s="182"/>
      <c r="B178" s="197" t="s">
        <v>197</v>
      </c>
      <c r="C178" s="197"/>
      <c r="D178" s="197"/>
      <c r="E178" s="197"/>
      <c r="F178" s="198">
        <f>SUM(F174:F177)</f>
      </c>
      <c r="G178" s="198">
        <f>SUM(G174:G177)</f>
      </c>
      <c r="H178" s="198">
        <f>SUM(H174:H177)</f>
      </c>
      <c r="I178" s="199">
        <f>SUM(I174:I177)</f>
      </c>
      <c r="J178" s="199">
        <f>SUM(J174:J177)</f>
      </c>
      <c r="K178" s="198">
        <f>SUM(K174:K177)</f>
      </c>
      <c r="L178" s="200">
        <f t="shared" si="188"/>
      </c>
      <c r="M178" s="201">
        <f t="shared" si="410"/>
      </c>
      <c r="N178" s="202">
        <f t="shared" si="0"/>
      </c>
      <c r="O178" s="202">
        <f t="shared" si="293"/>
      </c>
      <c r="P178" s="202">
        <f t="shared" si="338"/>
      </c>
      <c r="Q178" s="202">
        <f t="shared" si="233"/>
      </c>
      <c r="R178" s="202">
        <f t="shared" si="263"/>
      </c>
      <c r="S178" s="202">
        <f t="shared" si="158"/>
      </c>
      <c r="T178" s="202">
        <f t="shared" si="203"/>
      </c>
      <c r="U178" s="200">
        <f t="shared" si="425"/>
      </c>
      <c r="V178" s="200">
        <f t="shared" si="15"/>
      </c>
      <c r="W178" s="200">
        <f t="shared" si="30"/>
      </c>
      <c r="X178" s="200">
        <f t="shared" si="45"/>
      </c>
      <c r="Y178" s="200">
        <f t="shared" si="308"/>
      </c>
      <c r="Z178" s="200">
        <f t="shared" si="353"/>
      </c>
      <c r="AA178" s="201">
        <f t="shared" si="248"/>
      </c>
      <c r="AB178" s="201">
        <f t="shared" si="278"/>
      </c>
      <c r="AC178" s="201">
        <f t="shared" si="173"/>
      </c>
      <c r="AD178" s="200">
        <f t="shared" si="218"/>
      </c>
      <c r="AE178" s="201">
        <f t="shared" si="440"/>
      </c>
      <c r="AF178" s="200">
        <f t="shared" si="60"/>
      </c>
      <c r="AG178" s="200">
        <f t="shared" si="323"/>
      </c>
      <c r="AH178" s="199">
        <f>SUM(AH174:AH177)</f>
      </c>
      <c r="AI178" s="199">
        <f>SUM(AI174:AI177)</f>
      </c>
      <c r="AJ178" s="199">
        <f>SUM(AJ174:AJ177)</f>
      </c>
      <c r="AK178" s="199">
        <f>SUM(AK174:AK177)</f>
      </c>
      <c r="AL178" s="199">
        <f>SUM(AL174:AL177)</f>
      </c>
      <c r="AM178" s="199">
        <f>SUM(AM174:AM177)</f>
      </c>
      <c r="AN178" s="199">
        <f>SUM(AN174:AN177)</f>
      </c>
      <c r="AO178" s="199">
        <f>SUM(AO174:AO177)</f>
      </c>
      <c r="AP178" s="199">
        <f>SUM(AP174:AP177)</f>
      </c>
      <c r="AQ178" s="199">
        <f>SUM(AQ174:AQ177)</f>
      </c>
      <c r="AR178" s="203">
        <f>SUM(AR174:AR177)</f>
      </c>
    </row>
    <row r="179">
      <c r="A179" s="182"/>
      <c r="B179" s="205" t="s">
        <v>205</v>
      </c>
      <c r="C179" s="205"/>
      <c r="D179" s="205"/>
      <c r="E179" s="205"/>
      <c r="F179" s="206">
        <f t="shared" ref="F179:F183" si="116">H179+G179</f>
      </c>
      <c r="G179" s="206">
        <f>G178+G173</f>
      </c>
      <c r="H179" s="206">
        <f>H178+H173</f>
      </c>
      <c r="I179" s="206">
        <f>I178+I173</f>
      </c>
      <c r="J179" s="206">
        <f>J178+J173</f>
      </c>
      <c r="K179" s="206">
        <f>K178+K173</f>
      </c>
      <c r="L179" s="207">
        <f t="shared" si="188"/>
      </c>
      <c r="M179" s="208">
        <f t="shared" si="410"/>
      </c>
      <c r="N179" s="209">
        <f t="shared" si="0"/>
      </c>
      <c r="O179" s="209">
        <f t="shared" si="293"/>
      </c>
      <c r="P179" s="209">
        <f t="shared" si="338"/>
      </c>
      <c r="Q179" s="209">
        <f t="shared" si="233"/>
      </c>
      <c r="R179" s="209">
        <f t="shared" si="263"/>
      </c>
      <c r="S179" s="209">
        <f t="shared" si="158"/>
      </c>
      <c r="T179" s="209">
        <f t="shared" si="203"/>
      </c>
      <c r="U179" s="207">
        <f t="shared" si="425"/>
      </c>
      <c r="V179" s="207">
        <f t="shared" si="15"/>
      </c>
      <c r="W179" s="207">
        <f t="shared" si="30"/>
      </c>
      <c r="X179" s="207">
        <f t="shared" si="45"/>
      </c>
      <c r="Y179" s="207">
        <f t="shared" si="308"/>
      </c>
      <c r="Z179" s="207">
        <f t="shared" si="353"/>
      </c>
      <c r="AA179" s="208">
        <f t="shared" si="248"/>
      </c>
      <c r="AB179" s="208">
        <f t="shared" si="278"/>
      </c>
      <c r="AC179" s="208">
        <f t="shared" si="173"/>
      </c>
      <c r="AD179" s="207">
        <f t="shared" si="218"/>
      </c>
      <c r="AE179" s="208">
        <f t="shared" si="440"/>
      </c>
      <c r="AF179" s="207">
        <f t="shared" si="60"/>
      </c>
      <c r="AG179" s="207">
        <f t="shared" si="323"/>
      </c>
      <c r="AH179" s="203">
        <f>AH178+AH173</f>
      </c>
      <c r="AI179" s="203">
        <f>AI178+AI173</f>
      </c>
      <c r="AJ179" s="203">
        <f>AJ178+AJ173</f>
      </c>
      <c r="AK179" s="203">
        <f>AK178+AK173</f>
      </c>
      <c r="AL179" s="203">
        <f>AL178+AL173</f>
      </c>
      <c r="AM179" s="203">
        <f>AM178+AM173</f>
      </c>
      <c r="AN179" s="203">
        <f>AN178+AN173</f>
      </c>
      <c r="AO179" s="203">
        <f>AO178+AO173</f>
      </c>
      <c r="AP179" s="203">
        <f>AP178+AP173</f>
      </c>
      <c r="AQ179" s="203">
        <f>AQ178+AQ173</f>
      </c>
      <c r="AR179" s="203">
        <f>AR178+AR173</f>
      </c>
    </row>
    <row r="180">
      <c r="A180" s="182">
        <v>46281</v>
      </c>
      <c r="B180" s="184" t="s">
        <v>191</v>
      </c>
      <c r="C180" s="184" t="s">
        <v>192</v>
      </c>
      <c r="D180" s="183" t="s">
        <v>207</v>
      </c>
      <c r="E180" s="184" t="s">
        <v>194</v>
      </c>
      <c r="F180" s="185">
        <f t="shared" si="116"/>
      </c>
      <c r="G180" s="204">
        <v>1584.47</v>
      </c>
      <c r="H180" s="204">
        <v>593.01</v>
      </c>
      <c r="I180" s="187">
        <v>6</v>
      </c>
      <c r="J180" s="192">
        <v>5</v>
      </c>
      <c r="K180" s="196">
        <v>3493</v>
      </c>
      <c r="L180" s="189">
        <f t="shared" si="188"/>
      </c>
      <c r="M180" s="190">
        <f t="shared" si="410"/>
      </c>
      <c r="N180" s="191">
        <f t="shared" si="0"/>
      </c>
      <c r="O180" s="191">
        <f t="shared" si="293"/>
      </c>
      <c r="P180" s="191">
        <f t="shared" si="338"/>
      </c>
      <c r="Q180" s="191">
        <f t="shared" si="233"/>
      </c>
      <c r="R180" s="191">
        <f t="shared" si="263"/>
      </c>
      <c r="S180" s="191">
        <f t="shared" si="158"/>
      </c>
      <c r="T180" s="191">
        <f t="shared" si="203"/>
      </c>
      <c r="U180" s="189">
        <f t="shared" si="425"/>
      </c>
      <c r="V180" s="189">
        <f t="shared" si="15"/>
      </c>
      <c r="W180" s="189">
        <f t="shared" si="30"/>
      </c>
      <c r="X180" s="189">
        <f t="shared" si="45"/>
      </c>
      <c r="Y180" s="189">
        <f t="shared" si="308"/>
      </c>
      <c r="Z180" s="189">
        <f t="shared" si="353"/>
      </c>
      <c r="AA180" s="190">
        <f t="shared" si="248"/>
      </c>
      <c r="AB180" s="190">
        <f t="shared" si="278"/>
      </c>
      <c r="AC180" s="190">
        <f t="shared" si="173"/>
      </c>
      <c r="AD180" s="189">
        <f t="shared" si="218"/>
      </c>
      <c r="AE180" s="190">
        <f t="shared" si="440"/>
      </c>
      <c r="AF180" s="189">
        <f t="shared" si="60"/>
      </c>
      <c r="AG180" s="189">
        <f t="shared" si="323"/>
      </c>
      <c r="AH180" s="192">
        <v>10246</v>
      </c>
      <c r="AI180" s="193">
        <v>282</v>
      </c>
      <c r="AJ180" s="193">
        <v>309</v>
      </c>
      <c r="AK180" s="192">
        <v>68</v>
      </c>
      <c r="AL180" s="192">
        <v>6</v>
      </c>
      <c r="AM180" s="192">
        <v>4</v>
      </c>
      <c r="AN180" s="192">
        <v>78</v>
      </c>
      <c r="AO180" s="192">
        <v>86</v>
      </c>
      <c r="AP180" s="192">
        <v>7</v>
      </c>
      <c r="AQ180" s="187">
        <v>0</v>
      </c>
      <c r="AR180" s="213">
        <f t="shared" ref="AR180:AR183" si="368">COUNT(AQ180)</f>
      </c>
    </row>
    <row r="181">
      <c r="A181" s="182"/>
      <c r="B181" s="184" t="s">
        <v>191</v>
      </c>
      <c r="C181" s="184" t="s">
        <v>192</v>
      </c>
      <c r="D181" s="183" t="s">
        <v>207</v>
      </c>
      <c r="E181" s="184" t="s">
        <v>195</v>
      </c>
      <c r="F181" s="185">
        <f t="shared" si="116"/>
      </c>
      <c r="G181" s="212">
        <v>1118.03</v>
      </c>
      <c r="H181" s="204">
        <v>659.96</v>
      </c>
      <c r="I181" s="187">
        <v>3</v>
      </c>
      <c r="J181" s="192">
        <v>5</v>
      </c>
      <c r="K181" s="196">
        <v>2596.8</v>
      </c>
      <c r="L181" s="189">
        <f t="shared" si="188"/>
      </c>
      <c r="M181" s="190">
        <f t="shared" si="410"/>
      </c>
      <c r="N181" s="191">
        <f t="shared" si="0"/>
      </c>
      <c r="O181" s="191">
        <f t="shared" si="293"/>
      </c>
      <c r="P181" s="191">
        <f t="shared" si="338"/>
      </c>
      <c r="Q181" s="191">
        <f t="shared" si="233"/>
      </c>
      <c r="R181" s="191">
        <f t="shared" si="263"/>
      </c>
      <c r="S181" s="191">
        <f t="shared" si="158"/>
      </c>
      <c r="T181" s="191">
        <f t="shared" si="203"/>
      </c>
      <c r="U181" s="189">
        <f t="shared" si="425"/>
      </c>
      <c r="V181" s="189">
        <f t="shared" si="15"/>
      </c>
      <c r="W181" s="189">
        <f t="shared" si="30"/>
      </c>
      <c r="X181" s="189">
        <f t="shared" si="45"/>
      </c>
      <c r="Y181" s="189">
        <f t="shared" si="308"/>
      </c>
      <c r="Z181" s="189">
        <f t="shared" si="353"/>
      </c>
      <c r="AA181" s="190">
        <f t="shared" si="248"/>
      </c>
      <c r="AB181" s="190">
        <f t="shared" si="278"/>
      </c>
      <c r="AC181" s="190">
        <f t="shared" si="173"/>
      </c>
      <c r="AD181" s="189">
        <f t="shared" si="218"/>
      </c>
      <c r="AE181" s="190">
        <f t="shared" si="440"/>
      </c>
      <c r="AF181" s="189">
        <f t="shared" si="60"/>
      </c>
      <c r="AG181" s="189">
        <f t="shared" si="323"/>
      </c>
      <c r="AH181" s="192">
        <v>9637</v>
      </c>
      <c r="AI181" s="192">
        <v>318</v>
      </c>
      <c r="AJ181" s="192">
        <v>374</v>
      </c>
      <c r="AK181" s="192">
        <v>47</v>
      </c>
      <c r="AL181" s="192">
        <v>3</v>
      </c>
      <c r="AM181" s="192">
        <v>4</v>
      </c>
      <c r="AN181" s="192">
        <v>74</v>
      </c>
      <c r="AO181" s="192">
        <v>80</v>
      </c>
      <c r="AP181" s="192">
        <v>3</v>
      </c>
      <c r="AQ181" s="187">
        <v>2</v>
      </c>
      <c r="AR181" s="213">
        <f t="shared" si="368"/>
      </c>
    </row>
    <row r="182">
      <c r="A182" s="182"/>
      <c r="B182" s="184" t="s">
        <v>191</v>
      </c>
      <c r="C182" s="184" t="s">
        <v>192</v>
      </c>
      <c r="D182" s="183" t="s">
        <v>207</v>
      </c>
      <c r="E182" s="184" t="s">
        <v>196</v>
      </c>
      <c r="F182" s="185">
        <f t="shared" si="116"/>
      </c>
      <c r="G182" s="204">
        <v>821.12</v>
      </c>
      <c r="H182" s="204">
        <v>517.23</v>
      </c>
      <c r="I182" s="187">
        <v>2</v>
      </c>
      <c r="J182" s="187">
        <v>2</v>
      </c>
      <c r="K182" s="188">
        <v>1830.000000000001</v>
      </c>
      <c r="L182" s="189">
        <f t="shared" si="188"/>
      </c>
      <c r="M182" s="190">
        <f t="shared" si="410"/>
      </c>
      <c r="N182" s="191">
        <f t="shared" si="0"/>
      </c>
      <c r="O182" s="191">
        <f t="shared" si="293"/>
      </c>
      <c r="P182" s="191">
        <f t="shared" si="338"/>
      </c>
      <c r="Q182" s="191">
        <f t="shared" si="233"/>
      </c>
      <c r="R182" s="191">
        <f t="shared" si="263"/>
      </c>
      <c r="S182" s="191">
        <f t="shared" si="158"/>
      </c>
      <c r="T182" s="191">
        <f t="shared" si="203"/>
      </c>
      <c r="U182" s="189">
        <f t="shared" si="425"/>
      </c>
      <c r="V182" s="189">
        <f t="shared" si="15"/>
      </c>
      <c r="W182" s="189">
        <f t="shared" si="30"/>
      </c>
      <c r="X182" s="189">
        <f t="shared" si="45"/>
      </c>
      <c r="Y182" s="189">
        <f t="shared" si="308"/>
      </c>
      <c r="Z182" s="189">
        <f t="shared" si="353"/>
      </c>
      <c r="AA182" s="190">
        <f t="shared" si="248"/>
      </c>
      <c r="AB182" s="190">
        <f t="shared" si="278"/>
      </c>
      <c r="AC182" s="190">
        <f t="shared" si="173"/>
      </c>
      <c r="AD182" s="189">
        <f t="shared" si="218"/>
      </c>
      <c r="AE182" s="190">
        <f t="shared" si="440"/>
      </c>
      <c r="AF182" s="189">
        <f t="shared" si="60"/>
      </c>
      <c r="AG182" s="189">
        <f t="shared" si="323"/>
      </c>
      <c r="AH182" s="192">
        <v>8725</v>
      </c>
      <c r="AI182" s="192">
        <v>239</v>
      </c>
      <c r="AJ182" s="192">
        <v>289</v>
      </c>
      <c r="AK182" s="192">
        <v>46</v>
      </c>
      <c r="AL182" s="187">
        <v>2</v>
      </c>
      <c r="AM182" s="192">
        <v>2</v>
      </c>
      <c r="AN182" s="192">
        <v>46</v>
      </c>
      <c r="AO182" s="192">
        <v>27</v>
      </c>
      <c r="AP182" s="192">
        <v>1</v>
      </c>
      <c r="AQ182" s="187">
        <v>0</v>
      </c>
      <c r="AR182" s="213">
        <f t="shared" si="368"/>
      </c>
    </row>
    <row r="183">
      <c r="A183" s="182"/>
      <c r="B183" s="184" t="s">
        <v>191</v>
      </c>
      <c r="C183" s="184" t="s">
        <v>192</v>
      </c>
      <c r="D183" s="183" t="s">
        <v>207</v>
      </c>
      <c r="E183" s="184" t="s">
        <v>199</v>
      </c>
      <c r="F183" s="185">
        <f t="shared" si="116"/>
      </c>
      <c r="G183" s="204">
        <v>655.92</v>
      </c>
      <c r="H183" s="204">
        <v>511.95</v>
      </c>
      <c r="I183" s="187">
        <v>3</v>
      </c>
      <c r="J183" s="192">
        <v>4</v>
      </c>
      <c r="K183" s="196">
        <v>2737</v>
      </c>
      <c r="L183" s="189">
        <f t="shared" si="188"/>
      </c>
      <c r="M183" s="190">
        <f t="shared" si="410"/>
      </c>
      <c r="N183" s="191">
        <f t="shared" si="0"/>
      </c>
      <c r="O183" s="191">
        <f t="shared" si="293"/>
      </c>
      <c r="P183" s="191">
        <f t="shared" si="338"/>
      </c>
      <c r="Q183" s="191">
        <f t="shared" si="233"/>
      </c>
      <c r="R183" s="191">
        <f t="shared" si="263"/>
      </c>
      <c r="S183" s="191">
        <f t="shared" si="158"/>
      </c>
      <c r="T183" s="191">
        <f t="shared" si="203"/>
      </c>
      <c r="U183" s="189">
        <f t="shared" si="425"/>
      </c>
      <c r="V183" s="189">
        <f t="shared" si="15"/>
      </c>
      <c r="W183" s="189">
        <f t="shared" si="30"/>
      </c>
      <c r="X183" s="189">
        <f t="shared" si="45"/>
      </c>
      <c r="Y183" s="189">
        <f t="shared" si="308"/>
      </c>
      <c r="Z183" s="189">
        <f t="shared" si="353"/>
      </c>
      <c r="AA183" s="190">
        <f t="shared" si="248"/>
      </c>
      <c r="AB183" s="190">
        <f t="shared" si="278"/>
      </c>
      <c r="AC183" s="190">
        <f t="shared" si="173"/>
      </c>
      <c r="AD183" s="189">
        <f t="shared" si="218"/>
      </c>
      <c r="AE183" s="190">
        <f t="shared" si="440"/>
      </c>
      <c r="AF183" s="189">
        <f t="shared" si="60"/>
      </c>
      <c r="AG183" s="189">
        <f t="shared" si="323"/>
      </c>
      <c r="AH183" s="192">
        <v>7755</v>
      </c>
      <c r="AI183" s="192">
        <v>203</v>
      </c>
      <c r="AJ183" s="192">
        <v>253</v>
      </c>
      <c r="AK183" s="192">
        <v>30</v>
      </c>
      <c r="AL183" s="187">
        <v>3</v>
      </c>
      <c r="AM183" s="192">
        <v>3</v>
      </c>
      <c r="AN183" s="192">
        <v>32</v>
      </c>
      <c r="AO183" s="192">
        <v>63</v>
      </c>
      <c r="AP183" s="192">
        <v>2</v>
      </c>
      <c r="AQ183" s="187">
        <v>1</v>
      </c>
      <c r="AR183" s="213">
        <f t="shared" si="368"/>
      </c>
    </row>
    <row r="184">
      <c r="A184" s="182"/>
      <c r="B184" s="197" t="s">
        <v>197</v>
      </c>
      <c r="C184" s="197"/>
      <c r="D184" s="197"/>
      <c r="E184" s="197"/>
      <c r="F184" s="198">
        <f>SUM(F180:F183)</f>
      </c>
      <c r="G184" s="198">
        <f>SUM(G180:G183)</f>
      </c>
      <c r="H184" s="198">
        <f>SUM(H180:H183)</f>
      </c>
      <c r="I184" s="199">
        <f>SUM(I180:I183)</f>
      </c>
      <c r="J184" s="199">
        <f>SUM(J180:J183)</f>
      </c>
      <c r="K184" s="198">
        <f>SUM(K180:K183)</f>
      </c>
      <c r="L184" s="200">
        <f t="shared" si="188"/>
      </c>
      <c r="M184" s="201">
        <f t="shared" si="410"/>
      </c>
      <c r="N184" s="202">
        <f t="shared" si="0"/>
      </c>
      <c r="O184" s="202">
        <f t="shared" si="293"/>
      </c>
      <c r="P184" s="202">
        <f t="shared" si="338"/>
      </c>
      <c r="Q184" s="202">
        <f t="shared" si="233"/>
      </c>
      <c r="R184" s="202">
        <f t="shared" si="263"/>
      </c>
      <c r="S184" s="202">
        <f t="shared" si="158"/>
      </c>
      <c r="T184" s="202">
        <f t="shared" si="203"/>
      </c>
      <c r="U184" s="200">
        <f t="shared" si="425"/>
      </c>
      <c r="V184" s="200">
        <f t="shared" si="15"/>
      </c>
      <c r="W184" s="200">
        <f t="shared" si="30"/>
      </c>
      <c r="X184" s="200">
        <f t="shared" si="45"/>
      </c>
      <c r="Y184" s="200">
        <f t="shared" si="308"/>
      </c>
      <c r="Z184" s="200">
        <f t="shared" si="353"/>
      </c>
      <c r="AA184" s="201">
        <f t="shared" si="248"/>
      </c>
      <c r="AB184" s="201">
        <f t="shared" si="278"/>
      </c>
      <c r="AC184" s="201">
        <f t="shared" si="173"/>
      </c>
      <c r="AD184" s="200">
        <f t="shared" si="218"/>
      </c>
      <c r="AE184" s="201">
        <f t="shared" si="440"/>
      </c>
      <c r="AF184" s="200">
        <f t="shared" si="60"/>
      </c>
      <c r="AG184" s="200">
        <f t="shared" si="323"/>
      </c>
      <c r="AH184" s="199">
        <f>SUM(AH180:AH183)</f>
      </c>
      <c r="AI184" s="199">
        <f>SUM(AI180:AI183)</f>
      </c>
      <c r="AJ184" s="199">
        <f>SUM(AJ180:AJ183)</f>
      </c>
      <c r="AK184" s="199">
        <f>SUM(AK180:AK183)</f>
      </c>
      <c r="AL184" s="199">
        <f>SUM(AL180:AL183)</f>
      </c>
      <c r="AM184" s="199">
        <f>SUM(AM180:AM183)</f>
      </c>
      <c r="AN184" s="199">
        <f>SUM(AN180:AN183)</f>
      </c>
      <c r="AO184" s="199">
        <f>SUM(AO180:AO183)</f>
      </c>
      <c r="AP184" s="199">
        <f>SUM(AP180:AP183)</f>
      </c>
      <c r="AQ184" s="199">
        <f>SUM(AQ180:AQ183)</f>
      </c>
      <c r="AR184" s="203">
        <f>SUM(AR180:AR183)</f>
      </c>
    </row>
    <row r="185">
      <c r="A185" s="182"/>
      <c r="B185" s="184" t="s">
        <v>191</v>
      </c>
      <c r="C185" s="184" t="s">
        <v>192</v>
      </c>
      <c r="D185" s="184" t="s">
        <v>201</v>
      </c>
      <c r="E185" s="183" t="s">
        <v>200</v>
      </c>
      <c r="F185" s="185">
        <f t="shared" ref="F185:F188" si="117">H185+G185</f>
      </c>
      <c r="G185" s="204">
        <v>808.37</v>
      </c>
      <c r="H185" s="204">
        <v>471.87</v>
      </c>
      <c r="I185" s="187">
        <v>2</v>
      </c>
      <c r="J185" s="187">
        <v>2</v>
      </c>
      <c r="K185" s="188">
        <v>900</v>
      </c>
      <c r="L185" s="189">
        <f t="shared" si="188"/>
      </c>
      <c r="M185" s="190">
        <f t="shared" si="410"/>
      </c>
      <c r="N185" s="191">
        <f t="shared" si="0"/>
      </c>
      <c r="O185" s="191">
        <f t="shared" si="293"/>
      </c>
      <c r="P185" s="191">
        <f t="shared" si="338"/>
      </c>
      <c r="Q185" s="191">
        <f t="shared" si="233"/>
      </c>
      <c r="R185" s="191">
        <f t="shared" si="263"/>
      </c>
      <c r="S185" s="191">
        <f t="shared" si="158"/>
      </c>
      <c r="T185" s="191">
        <f t="shared" si="203"/>
      </c>
      <c r="U185" s="189">
        <f t="shared" si="425"/>
      </c>
      <c r="V185" s="189">
        <f t="shared" si="15"/>
      </c>
      <c r="W185" s="189">
        <f t="shared" si="30"/>
      </c>
      <c r="X185" s="189">
        <f t="shared" si="45"/>
      </c>
      <c r="Y185" s="189">
        <f t="shared" si="308"/>
      </c>
      <c r="Z185" s="189">
        <f t="shared" si="353"/>
      </c>
      <c r="AA185" s="190">
        <f t="shared" si="248"/>
      </c>
      <c r="AB185" s="190">
        <f t="shared" si="278"/>
      </c>
      <c r="AC185" s="190">
        <f t="shared" si="173"/>
      </c>
      <c r="AD185" s="189">
        <f t="shared" si="218"/>
      </c>
      <c r="AE185" s="190">
        <f t="shared" si="440"/>
      </c>
      <c r="AF185" s="189">
        <f t="shared" si="60"/>
      </c>
      <c r="AG185" s="189">
        <f t="shared" si="323"/>
      </c>
      <c r="AH185" s="192">
        <v>8402</v>
      </c>
      <c r="AI185" s="192">
        <v>183</v>
      </c>
      <c r="AJ185" s="192">
        <v>224</v>
      </c>
      <c r="AK185" s="192">
        <v>35</v>
      </c>
      <c r="AL185" s="192">
        <v>2</v>
      </c>
      <c r="AM185" s="192">
        <v>1</v>
      </c>
      <c r="AN185" s="192">
        <v>54</v>
      </c>
      <c r="AO185" s="192">
        <v>63</v>
      </c>
      <c r="AP185" s="192">
        <v>1</v>
      </c>
      <c r="AQ185" s="187">
        <v>1</v>
      </c>
      <c r="AR185" s="213">
        <f t="shared" ref="AR185:AR188" si="369">COUNT(AQ185)</f>
      </c>
    </row>
    <row r="186">
      <c r="A186" s="182"/>
      <c r="B186" s="184" t="s">
        <v>191</v>
      </c>
      <c r="C186" s="184" t="s">
        <v>192</v>
      </c>
      <c r="D186" s="184" t="s">
        <v>201</v>
      </c>
      <c r="E186" s="184" t="s">
        <v>202</v>
      </c>
      <c r="F186" s="185">
        <f t="shared" si="117"/>
      </c>
      <c r="G186" s="204">
        <v>1077.38</v>
      </c>
      <c r="H186" s="204">
        <v>643.4</v>
      </c>
      <c r="I186" s="187">
        <v>4</v>
      </c>
      <c r="J186" s="192">
        <v>5</v>
      </c>
      <c r="K186" s="196">
        <v>2599.2000000000007</v>
      </c>
      <c r="L186" s="189">
        <f t="shared" si="188"/>
      </c>
      <c r="M186" s="190">
        <f t="shared" si="410"/>
      </c>
      <c r="N186" s="191">
        <f t="shared" si="0"/>
      </c>
      <c r="O186" s="191">
        <f t="shared" si="293"/>
      </c>
      <c r="P186" s="191">
        <f t="shared" si="338"/>
      </c>
      <c r="Q186" s="191">
        <f t="shared" si="233"/>
      </c>
      <c r="R186" s="191">
        <f t="shared" si="263"/>
      </c>
      <c r="S186" s="191">
        <f t="shared" si="158"/>
      </c>
      <c r="T186" s="191">
        <f t="shared" si="203"/>
      </c>
      <c r="U186" s="189">
        <f t="shared" si="425"/>
      </c>
      <c r="V186" s="189">
        <f t="shared" si="15"/>
      </c>
      <c r="W186" s="189">
        <f t="shared" si="30"/>
      </c>
      <c r="X186" s="189">
        <f t="shared" si="45"/>
      </c>
      <c r="Y186" s="189">
        <f t="shared" si="308"/>
      </c>
      <c r="Z186" s="189">
        <f t="shared" si="353"/>
      </c>
      <c r="AA186" s="190">
        <f t="shared" si="248"/>
      </c>
      <c r="AB186" s="190">
        <f t="shared" si="278"/>
      </c>
      <c r="AC186" s="190">
        <f t="shared" si="173"/>
      </c>
      <c r="AD186" s="189">
        <f t="shared" si="218"/>
      </c>
      <c r="AE186" s="190">
        <f t="shared" si="440"/>
      </c>
      <c r="AF186" s="189">
        <f t="shared" si="60"/>
      </c>
      <c r="AG186" s="189">
        <f t="shared" si="323"/>
      </c>
      <c r="AH186" s="192">
        <v>10948</v>
      </c>
      <c r="AI186" s="192">
        <v>270</v>
      </c>
      <c r="AJ186" s="192">
        <v>336</v>
      </c>
      <c r="AK186" s="192">
        <v>64</v>
      </c>
      <c r="AL186" s="192">
        <v>4</v>
      </c>
      <c r="AM186" s="192">
        <v>4</v>
      </c>
      <c r="AN186" s="192">
        <v>62</v>
      </c>
      <c r="AO186" s="192">
        <v>62</v>
      </c>
      <c r="AP186" s="192">
        <v>4</v>
      </c>
      <c r="AQ186" s="187">
        <v>1</v>
      </c>
      <c r="AR186" s="213">
        <f t="shared" si="369"/>
      </c>
    </row>
    <row r="187">
      <c r="A187" s="182"/>
      <c r="B187" s="184" t="s">
        <v>191</v>
      </c>
      <c r="C187" s="184" t="s">
        <v>192</v>
      </c>
      <c r="D187" s="184" t="s">
        <v>201</v>
      </c>
      <c r="E187" s="184" t="s">
        <v>203</v>
      </c>
      <c r="F187" s="185">
        <f t="shared" si="117"/>
      </c>
      <c r="G187" s="204">
        <v>1666.74</v>
      </c>
      <c r="H187" s="204">
        <v>814.55</v>
      </c>
      <c r="I187" s="187">
        <v>4</v>
      </c>
      <c r="J187" s="192">
        <v>4</v>
      </c>
      <c r="K187" s="196">
        <v>3692.199999999999</v>
      </c>
      <c r="L187" s="189">
        <f t="shared" si="188"/>
      </c>
      <c r="M187" s="190">
        <f t="shared" si="410"/>
      </c>
      <c r="N187" s="191">
        <f t="shared" si="0"/>
      </c>
      <c r="O187" s="191">
        <f t="shared" si="293"/>
      </c>
      <c r="P187" s="191">
        <f t="shared" si="338"/>
      </c>
      <c r="Q187" s="191">
        <f t="shared" si="233"/>
      </c>
      <c r="R187" s="191">
        <f t="shared" si="263"/>
      </c>
      <c r="S187" s="191">
        <f t="shared" si="158"/>
      </c>
      <c r="T187" s="191">
        <f t="shared" si="203"/>
      </c>
      <c r="U187" s="189">
        <f t="shared" si="425"/>
      </c>
      <c r="V187" s="189">
        <f t="shared" si="15"/>
      </c>
      <c r="W187" s="189">
        <f t="shared" si="30"/>
      </c>
      <c r="X187" s="189">
        <f t="shared" si="45"/>
      </c>
      <c r="Y187" s="189">
        <f t="shared" si="308"/>
      </c>
      <c r="Z187" s="189">
        <f t="shared" si="353"/>
      </c>
      <c r="AA187" s="190">
        <f t="shared" si="248"/>
      </c>
      <c r="AB187" s="190">
        <f t="shared" si="278"/>
      </c>
      <c r="AC187" s="190">
        <f t="shared" si="173"/>
      </c>
      <c r="AD187" s="189">
        <f t="shared" si="218"/>
      </c>
      <c r="AE187" s="190">
        <f t="shared" si="440"/>
      </c>
      <c r="AF187" s="189">
        <f t="shared" si="60"/>
      </c>
      <c r="AG187" s="189">
        <f t="shared" si="323"/>
      </c>
      <c r="AH187" s="192">
        <v>15475</v>
      </c>
      <c r="AI187" s="192">
        <v>364</v>
      </c>
      <c r="AJ187" s="192">
        <v>434</v>
      </c>
      <c r="AK187" s="192">
        <v>86</v>
      </c>
      <c r="AL187" s="192">
        <v>3</v>
      </c>
      <c r="AM187" s="192">
        <v>3</v>
      </c>
      <c r="AN187" s="192">
        <v>90</v>
      </c>
      <c r="AO187" s="192">
        <v>71</v>
      </c>
      <c r="AP187" s="192">
        <v>3</v>
      </c>
      <c r="AQ187" s="187">
        <v>0</v>
      </c>
      <c r="AR187" s="213">
        <f t="shared" si="369"/>
      </c>
    </row>
    <row r="188">
      <c r="A188" s="182"/>
      <c r="B188" s="184" t="s">
        <v>191</v>
      </c>
      <c r="C188" s="184" t="s">
        <v>192</v>
      </c>
      <c r="D188" s="184" t="s">
        <v>201</v>
      </c>
      <c r="E188" s="184" t="s">
        <v>204</v>
      </c>
      <c r="F188" s="185">
        <f t="shared" si="117"/>
      </c>
      <c r="G188" s="204">
        <v>657.84</v>
      </c>
      <c r="H188" s="204">
        <v>258.13</v>
      </c>
      <c r="I188" s="187">
        <v>0</v>
      </c>
      <c r="J188" s="187">
        <v>0</v>
      </c>
      <c r="K188" s="188">
        <v>0</v>
      </c>
      <c r="L188" s="189">
        <f t="shared" si="188"/>
      </c>
      <c r="M188" s="190">
        <f t="shared" si="410"/>
      </c>
      <c r="N188" s="191">
        <f t="shared" si="0"/>
      </c>
      <c r="O188" s="191">
        <f t="shared" si="293"/>
      </c>
      <c r="P188" s="191">
        <f t="shared" si="338"/>
      </c>
      <c r="Q188" s="191">
        <f t="shared" si="233"/>
      </c>
      <c r="R188" s="191">
        <f t="shared" si="263"/>
      </c>
      <c r="S188" s="191">
        <f t="shared" si="158"/>
      </c>
      <c r="T188" s="191">
        <f t="shared" si="203"/>
      </c>
      <c r="U188" s="189">
        <f t="shared" si="425"/>
      </c>
      <c r="V188" s="189">
        <f t="shared" si="15"/>
      </c>
      <c r="W188" s="189">
        <f t="shared" si="30"/>
      </c>
      <c r="X188" s="189">
        <f t="shared" si="45"/>
      </c>
      <c r="Y188" s="189">
        <f t="shared" si="308"/>
      </c>
      <c r="Z188" s="189">
        <f t="shared" si="353"/>
      </c>
      <c r="AA188" s="190">
        <f t="shared" si="248"/>
      </c>
      <c r="AB188" s="190">
        <f t="shared" si="278"/>
      </c>
      <c r="AC188" s="190">
        <f t="shared" si="173"/>
      </c>
      <c r="AD188" s="189">
        <f t="shared" si="218"/>
      </c>
      <c r="AE188" s="190">
        <f t="shared" si="440"/>
      </c>
      <c r="AF188" s="189">
        <f t="shared" si="60"/>
      </c>
      <c r="AG188" s="189">
        <f t="shared" si="323"/>
      </c>
      <c r="AH188" s="192">
        <v>7327</v>
      </c>
      <c r="AI188" s="192">
        <v>151</v>
      </c>
      <c r="AJ188" s="192">
        <v>202</v>
      </c>
      <c r="AK188" s="192">
        <v>36</v>
      </c>
      <c r="AL188" s="192">
        <v>0</v>
      </c>
      <c r="AM188" s="192">
        <v>0</v>
      </c>
      <c r="AN188" s="192">
        <v>37</v>
      </c>
      <c r="AO188" s="192">
        <v>31</v>
      </c>
      <c r="AP188" s="192">
        <v>4</v>
      </c>
      <c r="AQ188" s="187">
        <v>0</v>
      </c>
      <c r="AR188" s="213">
        <f t="shared" si="369"/>
      </c>
    </row>
    <row r="189">
      <c r="A189" s="182"/>
      <c r="B189" s="197" t="s">
        <v>197</v>
      </c>
      <c r="C189" s="197"/>
      <c r="D189" s="197"/>
      <c r="E189" s="197"/>
      <c r="F189" s="198">
        <f>SUM(F185:F188)</f>
      </c>
      <c r="G189" s="198">
        <f>SUM(G185:G188)</f>
      </c>
      <c r="H189" s="198">
        <f>SUM(H185:H188)</f>
      </c>
      <c r="I189" s="199">
        <f>SUM(I185:I188)</f>
      </c>
      <c r="J189" s="199">
        <f>SUM(J185:J188)</f>
      </c>
      <c r="K189" s="198">
        <f>SUM(K185:K188)</f>
      </c>
      <c r="L189" s="200">
        <f t="shared" si="188"/>
      </c>
      <c r="M189" s="201">
        <f t="shared" si="410"/>
      </c>
      <c r="N189" s="202">
        <f t="shared" si="0"/>
      </c>
      <c r="O189" s="202">
        <f t="shared" si="293"/>
      </c>
      <c r="P189" s="202">
        <f t="shared" si="338"/>
      </c>
      <c r="Q189" s="202">
        <f t="shared" si="233"/>
      </c>
      <c r="R189" s="202">
        <f t="shared" si="263"/>
      </c>
      <c r="S189" s="202">
        <f t="shared" si="158"/>
      </c>
      <c r="T189" s="202">
        <f t="shared" si="203"/>
      </c>
      <c r="U189" s="200">
        <f t="shared" si="425"/>
      </c>
      <c r="V189" s="200">
        <f t="shared" si="15"/>
      </c>
      <c r="W189" s="200">
        <f t="shared" si="30"/>
      </c>
      <c r="X189" s="200">
        <f t="shared" si="45"/>
      </c>
      <c r="Y189" s="200">
        <f t="shared" si="308"/>
      </c>
      <c r="Z189" s="200">
        <f t="shared" si="353"/>
      </c>
      <c r="AA189" s="201">
        <f t="shared" si="248"/>
      </c>
      <c r="AB189" s="201">
        <f t="shared" si="278"/>
      </c>
      <c r="AC189" s="201">
        <f t="shared" si="173"/>
      </c>
      <c r="AD189" s="200">
        <f t="shared" si="218"/>
      </c>
      <c r="AE189" s="201">
        <f t="shared" si="440"/>
      </c>
      <c r="AF189" s="200">
        <f t="shared" si="60"/>
      </c>
      <c r="AG189" s="200">
        <f t="shared" si="323"/>
      </c>
      <c r="AH189" s="199">
        <f>SUM(AH185:AH188)</f>
      </c>
      <c r="AI189" s="199">
        <f>SUM(AI185:AI188)</f>
      </c>
      <c r="AJ189" s="199">
        <f>SUM(AJ185:AJ188)</f>
      </c>
      <c r="AK189" s="199">
        <f>SUM(AK185:AK188)</f>
      </c>
      <c r="AL189" s="199">
        <f>SUM(AL185:AL188)</f>
      </c>
      <c r="AM189" s="199">
        <f>SUM(AM185:AM188)</f>
      </c>
      <c r="AN189" s="199">
        <f>SUM(AN185:AN188)</f>
      </c>
      <c r="AO189" s="199">
        <f>SUM(AO185:AO188)</f>
      </c>
      <c r="AP189" s="199">
        <f>SUM(AP185:AP188)</f>
      </c>
      <c r="AQ189" s="199">
        <f>SUM(AQ185:AQ188)</f>
      </c>
      <c r="AR189" s="203">
        <f>SUM(AR185:AR188)</f>
      </c>
    </row>
    <row r="190">
      <c r="A190" s="182"/>
      <c r="B190" s="205" t="s">
        <v>205</v>
      </c>
      <c r="C190" s="205"/>
      <c r="D190" s="205"/>
      <c r="E190" s="205"/>
      <c r="F190" s="206">
        <f>H190+G190</f>
      </c>
      <c r="G190" s="206">
        <f>G189+G184</f>
      </c>
      <c r="H190" s="206">
        <f>H189+H184</f>
      </c>
      <c r="I190" s="206">
        <f>I189+I184</f>
      </c>
      <c r="J190" s="206">
        <f>J189+J184</f>
      </c>
      <c r="K190" s="206">
        <f>K189+K184</f>
      </c>
      <c r="L190" s="207">
        <f t="shared" si="188"/>
      </c>
      <c r="M190" s="208">
        <f t="shared" si="410"/>
      </c>
      <c r="N190" s="209">
        <f t="shared" si="0"/>
      </c>
      <c r="O190" s="209">
        <f t="shared" si="293"/>
      </c>
      <c r="P190" s="209">
        <f t="shared" si="338"/>
      </c>
      <c r="Q190" s="209">
        <f t="shared" si="233"/>
      </c>
      <c r="R190" s="209">
        <f t="shared" si="263"/>
      </c>
      <c r="S190" s="209">
        <f t="shared" si="158"/>
      </c>
      <c r="T190" s="209">
        <f t="shared" si="203"/>
      </c>
      <c r="U190" s="207">
        <f t="shared" si="425"/>
      </c>
      <c r="V190" s="207">
        <f t="shared" si="15"/>
      </c>
      <c r="W190" s="207">
        <f t="shared" si="30"/>
      </c>
      <c r="X190" s="207">
        <f t="shared" si="45"/>
      </c>
      <c r="Y190" s="207">
        <f t="shared" si="308"/>
      </c>
      <c r="Z190" s="207">
        <f t="shared" si="353"/>
      </c>
      <c r="AA190" s="208">
        <f t="shared" si="248"/>
      </c>
      <c r="AB190" s="208">
        <f t="shared" si="278"/>
      </c>
      <c r="AC190" s="208">
        <f t="shared" si="173"/>
      </c>
      <c r="AD190" s="207">
        <f t="shared" si="218"/>
      </c>
      <c r="AE190" s="208">
        <f t="shared" si="440"/>
      </c>
      <c r="AF190" s="207">
        <f t="shared" si="60"/>
      </c>
      <c r="AG190" s="207">
        <f t="shared" si="323"/>
      </c>
      <c r="AH190" s="203">
        <f>AH189+AH184</f>
      </c>
      <c r="AI190" s="203">
        <f>AI189+AI184</f>
      </c>
      <c r="AJ190" s="203">
        <f>AJ189+AJ184</f>
      </c>
      <c r="AK190" s="203">
        <f>AK189+AK184</f>
      </c>
      <c r="AL190" s="203">
        <f>AL189+AL184</f>
      </c>
      <c r="AM190" s="203">
        <f>AM189+AM184</f>
      </c>
      <c r="AN190" s="203">
        <f>AN189+AN184</f>
      </c>
      <c r="AO190" s="203">
        <f>AO189+AO184</f>
      </c>
      <c r="AP190" s="203">
        <f>AP189+AP184</f>
      </c>
      <c r="AQ190" s="203">
        <f>AQ189+AQ184</f>
      </c>
      <c r="AR190" s="203">
        <f>AR189+AR184</f>
      </c>
    </row>
    <row customHeight="true" ht="16.071428571428573" r="191">
      <c r="A191" s="159"/>
      <c r="B191" s="159"/>
      <c r="C191" s="159"/>
      <c r="D191" s="159"/>
      <c r="E191" s="159"/>
      <c r="F191" s="160" t="s">
        <v>143</v>
      </c>
      <c r="G191" s="160"/>
      <c r="H191" s="160"/>
      <c r="I191" s="160"/>
      <c r="J191" s="160"/>
      <c r="K191" s="160"/>
      <c r="L191" s="160"/>
      <c r="M191" s="160"/>
      <c r="N191" s="160"/>
      <c r="O191" s="160"/>
      <c r="P191" s="160"/>
      <c r="Q191" s="161" t="s">
        <v>144</v>
      </c>
      <c r="R191" s="161"/>
      <c r="S191" s="161"/>
      <c r="T191" s="161"/>
      <c r="U191" s="161"/>
      <c r="V191" s="161"/>
      <c r="W191" s="161"/>
      <c r="X191" s="161"/>
      <c r="Y191" s="161"/>
      <c r="Z191" s="161"/>
      <c r="AA191" s="161"/>
      <c r="AB191" s="161"/>
      <c r="AC191" s="162" t="s">
        <v>145</v>
      </c>
      <c r="AD191" s="162"/>
      <c r="AE191" s="162"/>
      <c r="AF191" s="162"/>
      <c r="AG191" s="162"/>
      <c r="AH191" s="163" t="s">
        <v>146</v>
      </c>
      <c r="AI191" s="163"/>
      <c r="AJ191" s="163"/>
      <c r="AK191" s="163"/>
      <c r="AL191" s="163"/>
      <c r="AM191" s="163"/>
      <c r="AN191" s="163"/>
      <c r="AO191" s="163"/>
      <c r="AP191" s="163"/>
      <c r="AQ191" s="163"/>
      <c r="AR191" s="163"/>
    </row>
    <row customHeight="true" ht="16.071428571428573" r="192">
      <c r="A192" s="164" t="s">
        <v>147</v>
      </c>
      <c r="B192" s="165" t="s">
        <v>148</v>
      </c>
      <c r="C192" s="165" t="s">
        <v>149</v>
      </c>
      <c r="D192" s="166" t="s">
        <v>150</v>
      </c>
      <c r="E192" s="167" t="s">
        <v>151</v>
      </c>
      <c r="F192" s="168" t="s">
        <v>152</v>
      </c>
      <c r="G192" s="169" t="s">
        <v>153</v>
      </c>
      <c r="H192" s="170" t="s">
        <v>154</v>
      </c>
      <c r="I192" s="171" t="s">
        <v>155</v>
      </c>
      <c r="J192" s="171" t="s">
        <v>156</v>
      </c>
      <c r="K192" s="170" t="s">
        <v>157</v>
      </c>
      <c r="L192" s="172" t="s">
        <v>158</v>
      </c>
      <c r="M192" s="173" t="s">
        <v>159</v>
      </c>
      <c r="N192" s="174" t="s">
        <v>160</v>
      </c>
      <c r="O192" s="174" t="s">
        <v>161</v>
      </c>
      <c r="P192" s="175" t="s">
        <v>162</v>
      </c>
      <c r="Q192" s="161" t="s">
        <v>163</v>
      </c>
      <c r="R192" s="176" t="s">
        <v>164</v>
      </c>
      <c r="S192" s="176" t="s">
        <v>165</v>
      </c>
      <c r="T192" s="176" t="s">
        <v>166</v>
      </c>
      <c r="U192" s="177" t="s">
        <v>167</v>
      </c>
      <c r="V192" s="177" t="s">
        <v>168</v>
      </c>
      <c r="W192" s="177" t="s">
        <v>169</v>
      </c>
      <c r="X192" s="177" t="s">
        <v>170</v>
      </c>
      <c r="Y192" s="177" t="s">
        <v>171</v>
      </c>
      <c r="Z192" s="177" t="s">
        <v>172</v>
      </c>
      <c r="AA192" s="178" t="s">
        <v>173</v>
      </c>
      <c r="AB192" s="178" t="s">
        <v>174</v>
      </c>
      <c r="AC192" s="162" t="s">
        <v>175</v>
      </c>
      <c r="AD192" s="179" t="s">
        <v>176</v>
      </c>
      <c r="AE192" s="162" t="s">
        <v>177</v>
      </c>
      <c r="AF192" s="179" t="s">
        <v>178</v>
      </c>
      <c r="AG192" s="179" t="s">
        <v>179</v>
      </c>
      <c r="AH192" s="180" t="s">
        <v>180</v>
      </c>
      <c r="AI192" s="180" t="s">
        <v>181</v>
      </c>
      <c r="AJ192" s="180" t="s">
        <v>182</v>
      </c>
      <c r="AK192" s="180" t="s">
        <v>183</v>
      </c>
      <c r="AL192" s="180" t="s">
        <v>184</v>
      </c>
      <c r="AM192" s="180" t="s">
        <v>185</v>
      </c>
      <c r="AN192" s="180" t="s">
        <v>186</v>
      </c>
      <c r="AO192" s="180" t="s">
        <v>187</v>
      </c>
      <c r="AP192" s="180" t="s">
        <v>188</v>
      </c>
      <c r="AQ192" s="180" t="s">
        <v>189</v>
      </c>
      <c r="AR192" s="181" t="s">
        <v>190</v>
      </c>
    </row>
    <row r="193">
      <c r="A193" s="182">
        <v>46282</v>
      </c>
      <c r="B193" s="184" t="s">
        <v>191</v>
      </c>
      <c r="C193" s="184" t="s">
        <v>192</v>
      </c>
      <c r="D193" s="183" t="s">
        <v>207</v>
      </c>
      <c r="E193" s="184" t="s">
        <v>194</v>
      </c>
      <c r="F193" s="185">
        <f t="shared" ref="F193:F196" si="118">H193+G193</f>
      </c>
      <c r="G193" s="204">
        <v>936.88</v>
      </c>
      <c r="H193" s="204">
        <v>643.06</v>
      </c>
      <c r="I193" s="187">
        <v>2</v>
      </c>
      <c r="J193" s="187">
        <v>2</v>
      </c>
      <c r="K193" s="188">
        <v>840</v>
      </c>
      <c r="L193" s="189">
        <f t="shared" ref="L193:L203" si="189">AQ193/J193</f>
      </c>
      <c r="M193" s="190">
        <f t="shared" ref="M193:M203" si="411">K193/J193</f>
      </c>
      <c r="N193" s="191">
        <f t="shared" ref="N193:N203" si="1">F193/J193</f>
      </c>
      <c r="O193" s="191">
        <f t="shared" ref="O193:O203" si="294">K193/F193</f>
      </c>
      <c r="P193" s="191">
        <f t="shared" ref="P193:P203" si="339">K193/((300*AR193)+F193)</f>
      </c>
      <c r="Q193" s="191">
        <f t="shared" ref="Q193:Q203" si="234">F193/AJ193</f>
      </c>
      <c r="R193" s="191">
        <f t="shared" ref="R193:R203" si="264">F193/AK193</f>
      </c>
      <c r="S193" s="191">
        <f t="shared" ref="S193:S203" si="159">F193/AL193</f>
      </c>
      <c r="T193" s="191">
        <f t="shared" ref="T193:T203" si="204">F193/AM193</f>
      </c>
      <c r="U193" s="189">
        <f t="shared" ref="U193:U203" si="426">AI193/AJ193</f>
      </c>
      <c r="V193" s="189">
        <f t="shared" ref="V193:V203" si="16">AK193/AJ193</f>
      </c>
      <c r="W193" s="189">
        <f t="shared" ref="W193:W203" si="31">AL193/AK193</f>
      </c>
      <c r="X193" s="189">
        <f t="shared" ref="X193:X203" si="46">AM193/AL193</f>
      </c>
      <c r="Y193" s="189">
        <f t="shared" ref="Y193:Y203" si="309">AI193/AH193</f>
      </c>
      <c r="Z193" s="189">
        <f t="shared" ref="Z193:Z203" si="354">AM193/AI193</f>
      </c>
      <c r="AA193" s="190">
        <f t="shared" ref="AA193:AA203" si="249">F193/AH193*1000</f>
      </c>
      <c r="AB193" s="190">
        <f t="shared" ref="AB193:AB203" si="279">F193/AI193</f>
      </c>
      <c r="AC193" s="190">
        <f t="shared" ref="AC193:AC203" si="174">F193/AN193</f>
      </c>
      <c r="AD193" s="189">
        <f t="shared" ref="AD193:AD203" si="219">AN193/AJ193</f>
      </c>
      <c r="AE193" s="190">
        <f t="shared" ref="AE193:AE203" si="441">F193/AO193</f>
      </c>
      <c r="AF193" s="189">
        <f t="shared" ref="AF193:AF203" si="61">AO193/AJ193</f>
      </c>
      <c r="AG193" s="189">
        <f t="shared" ref="AG193:AG203" si="324">AP193/AJ193</f>
      </c>
      <c r="AH193" s="192">
        <v>7476</v>
      </c>
      <c r="AI193" s="193">
        <v>198</v>
      </c>
      <c r="AJ193" s="193">
        <v>235</v>
      </c>
      <c r="AK193" s="192">
        <v>51</v>
      </c>
      <c r="AL193" s="192">
        <v>2</v>
      </c>
      <c r="AM193" s="192">
        <v>2</v>
      </c>
      <c r="AN193" s="192">
        <v>40</v>
      </c>
      <c r="AO193" s="192">
        <v>56</v>
      </c>
      <c r="AP193" s="192">
        <v>3</v>
      </c>
      <c r="AQ193" s="187">
        <v>0</v>
      </c>
      <c r="AR193" s="213">
        <f t="shared" ref="AR193:AR196" si="370">COUNT(AQ193)</f>
      </c>
    </row>
    <row r="194">
      <c r="A194" s="182"/>
      <c r="B194" s="184" t="s">
        <v>191</v>
      </c>
      <c r="C194" s="184" t="s">
        <v>192</v>
      </c>
      <c r="D194" s="183" t="s">
        <v>207</v>
      </c>
      <c r="E194" s="184" t="s">
        <v>195</v>
      </c>
      <c r="F194" s="185">
        <f t="shared" si="118"/>
      </c>
      <c r="G194" s="212">
        <v>922.34</v>
      </c>
      <c r="H194" s="204">
        <v>350.02</v>
      </c>
      <c r="I194" s="187">
        <v>4</v>
      </c>
      <c r="J194" s="187">
        <v>4</v>
      </c>
      <c r="K194" s="188">
        <v>3934.6</v>
      </c>
      <c r="L194" s="189">
        <f t="shared" si="189"/>
      </c>
      <c r="M194" s="190">
        <f t="shared" si="411"/>
      </c>
      <c r="N194" s="191">
        <f t="shared" si="1"/>
      </c>
      <c r="O194" s="191">
        <f t="shared" si="294"/>
      </c>
      <c r="P194" s="191">
        <f t="shared" si="339"/>
      </c>
      <c r="Q194" s="191">
        <f t="shared" si="234"/>
      </c>
      <c r="R194" s="191">
        <f t="shared" si="264"/>
      </c>
      <c r="S194" s="191">
        <f t="shared" si="159"/>
      </c>
      <c r="T194" s="191">
        <f t="shared" si="204"/>
      </c>
      <c r="U194" s="189">
        <f t="shared" si="426"/>
      </c>
      <c r="V194" s="189">
        <f t="shared" si="16"/>
      </c>
      <c r="W194" s="189">
        <f t="shared" si="31"/>
      </c>
      <c r="X194" s="189">
        <f t="shared" si="46"/>
      </c>
      <c r="Y194" s="189">
        <f t="shared" si="309"/>
      </c>
      <c r="Z194" s="189">
        <f t="shared" si="354"/>
      </c>
      <c r="AA194" s="190">
        <f t="shared" si="249"/>
      </c>
      <c r="AB194" s="190">
        <f t="shared" si="279"/>
      </c>
      <c r="AC194" s="190">
        <f t="shared" si="174"/>
      </c>
      <c r="AD194" s="189">
        <f t="shared" si="219"/>
      </c>
      <c r="AE194" s="190">
        <f t="shared" si="441"/>
      </c>
      <c r="AF194" s="189">
        <f t="shared" si="61"/>
      </c>
      <c r="AG194" s="189">
        <f t="shared" si="324"/>
      </c>
      <c r="AH194" s="192">
        <v>6746</v>
      </c>
      <c r="AI194" s="192">
        <v>183</v>
      </c>
      <c r="AJ194" s="192">
        <v>227</v>
      </c>
      <c r="AK194" s="192">
        <v>50</v>
      </c>
      <c r="AL194" s="192">
        <v>4</v>
      </c>
      <c r="AM194" s="192">
        <v>4</v>
      </c>
      <c r="AN194" s="192">
        <v>54</v>
      </c>
      <c r="AO194" s="192">
        <v>71</v>
      </c>
      <c r="AP194" s="192">
        <v>2</v>
      </c>
      <c r="AQ194" s="187">
        <v>0</v>
      </c>
      <c r="AR194" s="213">
        <f t="shared" si="370"/>
      </c>
    </row>
    <row r="195">
      <c r="A195" s="182"/>
      <c r="B195" s="184" t="s">
        <v>191</v>
      </c>
      <c r="C195" s="184" t="s">
        <v>192</v>
      </c>
      <c r="D195" s="183" t="s">
        <v>207</v>
      </c>
      <c r="E195" s="184" t="s">
        <v>196</v>
      </c>
      <c r="F195" s="185">
        <f t="shared" si="118"/>
      </c>
      <c r="G195" s="204">
        <v>817.44</v>
      </c>
      <c r="H195" s="204">
        <v>277.03</v>
      </c>
      <c r="I195" s="187">
        <v>3</v>
      </c>
      <c r="J195" s="187">
        <v>2</v>
      </c>
      <c r="K195" s="188">
        <v>525.6</v>
      </c>
      <c r="L195" s="189">
        <f t="shared" si="189"/>
      </c>
      <c r="M195" s="190">
        <f t="shared" si="411"/>
      </c>
      <c r="N195" s="191">
        <f t="shared" si="1"/>
      </c>
      <c r="O195" s="191">
        <f t="shared" si="294"/>
      </c>
      <c r="P195" s="191">
        <f t="shared" si="339"/>
      </c>
      <c r="Q195" s="191">
        <f t="shared" si="234"/>
      </c>
      <c r="R195" s="191">
        <f t="shared" si="264"/>
      </c>
      <c r="S195" s="191">
        <f t="shared" si="159"/>
      </c>
      <c r="T195" s="191">
        <f t="shared" si="204"/>
      </c>
      <c r="U195" s="189">
        <f t="shared" si="426"/>
      </c>
      <c r="V195" s="189">
        <f t="shared" si="16"/>
      </c>
      <c r="W195" s="189">
        <f t="shared" si="31"/>
      </c>
      <c r="X195" s="189">
        <f t="shared" si="46"/>
      </c>
      <c r="Y195" s="189">
        <f t="shared" si="309"/>
      </c>
      <c r="Z195" s="189">
        <f t="shared" si="354"/>
      </c>
      <c r="AA195" s="190">
        <f t="shared" si="249"/>
      </c>
      <c r="AB195" s="190">
        <f t="shared" si="279"/>
      </c>
      <c r="AC195" s="190">
        <f t="shared" si="174"/>
      </c>
      <c r="AD195" s="189">
        <f t="shared" si="219"/>
      </c>
      <c r="AE195" s="190">
        <f t="shared" si="441"/>
      </c>
      <c r="AF195" s="189">
        <f t="shared" si="61"/>
      </c>
      <c r="AG195" s="189">
        <f t="shared" si="324"/>
      </c>
      <c r="AH195" s="192">
        <v>6095</v>
      </c>
      <c r="AI195" s="192">
        <v>146</v>
      </c>
      <c r="AJ195" s="192">
        <v>174</v>
      </c>
      <c r="AK195" s="192">
        <v>40</v>
      </c>
      <c r="AL195" s="187">
        <v>3</v>
      </c>
      <c r="AM195" s="192">
        <v>2</v>
      </c>
      <c r="AN195" s="192">
        <v>38</v>
      </c>
      <c r="AO195" s="192">
        <v>60</v>
      </c>
      <c r="AP195" s="192">
        <v>1</v>
      </c>
      <c r="AQ195" s="187">
        <v>0</v>
      </c>
      <c r="AR195" s="213">
        <f t="shared" si="370"/>
      </c>
    </row>
    <row r="196">
      <c r="A196" s="182"/>
      <c r="B196" s="184" t="s">
        <v>191</v>
      </c>
      <c r="C196" s="184" t="s">
        <v>192</v>
      </c>
      <c r="D196" s="183" t="s">
        <v>207</v>
      </c>
      <c r="E196" s="184" t="s">
        <v>199</v>
      </c>
      <c r="F196" s="185">
        <f t="shared" si="118"/>
      </c>
      <c r="G196" s="204">
        <v>858.8</v>
      </c>
      <c r="H196" s="204">
        <v>273.98</v>
      </c>
      <c r="I196" s="187">
        <v>3</v>
      </c>
      <c r="J196" s="192">
        <v>2</v>
      </c>
      <c r="K196" s="196">
        <v>872.3999999999987</v>
      </c>
      <c r="L196" s="189">
        <f t="shared" si="189"/>
      </c>
      <c r="M196" s="190">
        <f t="shared" si="411"/>
      </c>
      <c r="N196" s="191">
        <f t="shared" si="1"/>
      </c>
      <c r="O196" s="191">
        <f t="shared" si="294"/>
      </c>
      <c r="P196" s="191">
        <f t="shared" si="339"/>
      </c>
      <c r="Q196" s="191">
        <f t="shared" si="234"/>
      </c>
      <c r="R196" s="191">
        <f t="shared" si="264"/>
      </c>
      <c r="S196" s="191">
        <f t="shared" si="159"/>
      </c>
      <c r="T196" s="191">
        <f t="shared" si="204"/>
      </c>
      <c r="U196" s="189">
        <f t="shared" si="426"/>
      </c>
      <c r="V196" s="189">
        <f t="shared" si="16"/>
      </c>
      <c r="W196" s="189">
        <f t="shared" si="31"/>
      </c>
      <c r="X196" s="189">
        <f t="shared" si="46"/>
      </c>
      <c r="Y196" s="189">
        <f t="shared" si="309"/>
      </c>
      <c r="Z196" s="189">
        <f t="shared" si="354"/>
      </c>
      <c r="AA196" s="190">
        <f t="shared" si="249"/>
      </c>
      <c r="AB196" s="190">
        <f t="shared" si="279"/>
      </c>
      <c r="AC196" s="190">
        <f t="shared" si="174"/>
      </c>
      <c r="AD196" s="189">
        <f t="shared" si="219"/>
      </c>
      <c r="AE196" s="190">
        <f t="shared" si="441"/>
      </c>
      <c r="AF196" s="189">
        <f t="shared" si="61"/>
      </c>
      <c r="AG196" s="189">
        <f t="shared" si="324"/>
      </c>
      <c r="AH196" s="192">
        <v>7228</v>
      </c>
      <c r="AI196" s="192">
        <v>169</v>
      </c>
      <c r="AJ196" s="192">
        <v>222</v>
      </c>
      <c r="AK196" s="192">
        <v>46</v>
      </c>
      <c r="AL196" s="187">
        <v>3</v>
      </c>
      <c r="AM196" s="192">
        <v>2</v>
      </c>
      <c r="AN196" s="192">
        <v>50</v>
      </c>
      <c r="AO196" s="192">
        <v>50</v>
      </c>
      <c r="AP196" s="192">
        <v>5</v>
      </c>
      <c r="AQ196" s="187">
        <v>0</v>
      </c>
      <c r="AR196" s="213">
        <f t="shared" si="370"/>
      </c>
    </row>
    <row r="197">
      <c r="A197" s="182"/>
      <c r="B197" s="197" t="s">
        <v>197</v>
      </c>
      <c r="C197" s="197"/>
      <c r="D197" s="197"/>
      <c r="E197" s="197"/>
      <c r="F197" s="198">
        <f>SUM(F193:F196)</f>
      </c>
      <c r="G197" s="198">
        <f>SUM(G193:G196)</f>
      </c>
      <c r="H197" s="198">
        <f>SUM(H193:H196)</f>
      </c>
      <c r="I197" s="199">
        <f>SUM(I193:I196)</f>
      </c>
      <c r="J197" s="199">
        <f>SUM(J193:J196)</f>
      </c>
      <c r="K197" s="198">
        <f>SUM(K193:K196)</f>
      </c>
      <c r="L197" s="200">
        <f t="shared" si="189"/>
      </c>
      <c r="M197" s="201">
        <f t="shared" si="411"/>
      </c>
      <c r="N197" s="202">
        <f t="shared" si="1"/>
      </c>
      <c r="O197" s="202">
        <f t="shared" si="294"/>
      </c>
      <c r="P197" s="202">
        <f t="shared" si="339"/>
      </c>
      <c r="Q197" s="202">
        <f t="shared" si="234"/>
      </c>
      <c r="R197" s="202">
        <f t="shared" si="264"/>
      </c>
      <c r="S197" s="202">
        <f t="shared" si="159"/>
      </c>
      <c r="T197" s="202">
        <f t="shared" si="204"/>
      </c>
      <c r="U197" s="200">
        <f t="shared" si="426"/>
      </c>
      <c r="V197" s="200">
        <f t="shared" si="16"/>
      </c>
      <c r="W197" s="200">
        <f t="shared" si="31"/>
      </c>
      <c r="X197" s="200">
        <f t="shared" si="46"/>
      </c>
      <c r="Y197" s="200">
        <f t="shared" si="309"/>
      </c>
      <c r="Z197" s="200">
        <f t="shared" si="354"/>
      </c>
      <c r="AA197" s="201">
        <f t="shared" si="249"/>
      </c>
      <c r="AB197" s="201">
        <f t="shared" si="279"/>
      </c>
      <c r="AC197" s="201">
        <f t="shared" si="174"/>
      </c>
      <c r="AD197" s="200">
        <f t="shared" si="219"/>
      </c>
      <c r="AE197" s="201">
        <f t="shared" si="441"/>
      </c>
      <c r="AF197" s="200">
        <f t="shared" si="61"/>
      </c>
      <c r="AG197" s="200">
        <f t="shared" si="324"/>
      </c>
      <c r="AH197" s="199">
        <f>SUM(AH193:AH196)</f>
      </c>
      <c r="AI197" s="199">
        <f>SUM(AI193:AI196)</f>
      </c>
      <c r="AJ197" s="199">
        <f>SUM(AJ193:AJ196)</f>
      </c>
      <c r="AK197" s="199">
        <f>SUM(AK193:AK196)</f>
      </c>
      <c r="AL197" s="199">
        <f>SUM(AL193:AL196)</f>
      </c>
      <c r="AM197" s="199">
        <f>SUM(AM193:AM196)</f>
      </c>
      <c r="AN197" s="199">
        <f>SUM(AN193:AN196)</f>
      </c>
      <c r="AO197" s="199">
        <f>SUM(AO193:AO196)</f>
      </c>
      <c r="AP197" s="199">
        <f>SUM(AP193:AP196)</f>
      </c>
      <c r="AQ197" s="199">
        <f>SUM(AQ193:AQ196)</f>
      </c>
      <c r="AR197" s="203">
        <f>SUM(AR193:AR196)</f>
      </c>
    </row>
    <row r="198">
      <c r="A198" s="182"/>
      <c r="B198" s="184" t="s">
        <v>191</v>
      </c>
      <c r="C198" s="184" t="s">
        <v>192</v>
      </c>
      <c r="D198" s="183" t="s">
        <v>206</v>
      </c>
      <c r="E198" s="183" t="s">
        <v>200</v>
      </c>
      <c r="F198" s="185">
        <f t="shared" ref="F198:F201" si="119">H198+G198</f>
      </c>
      <c r="G198" s="204">
        <v>840.55</v>
      </c>
      <c r="H198" s="204">
        <v>402.93</v>
      </c>
      <c r="I198" s="187">
        <v>3</v>
      </c>
      <c r="J198" s="187">
        <v>1</v>
      </c>
      <c r="K198" s="188">
        <v>862.8000000000002</v>
      </c>
      <c r="L198" s="189">
        <f t="shared" si="189"/>
      </c>
      <c r="M198" s="190">
        <f t="shared" si="411"/>
      </c>
      <c r="N198" s="191">
        <f t="shared" si="1"/>
      </c>
      <c r="O198" s="191">
        <f t="shared" si="294"/>
      </c>
      <c r="P198" s="191">
        <f t="shared" si="339"/>
      </c>
      <c r="Q198" s="191">
        <f t="shared" si="234"/>
      </c>
      <c r="R198" s="191">
        <f t="shared" si="264"/>
      </c>
      <c r="S198" s="191">
        <f t="shared" si="159"/>
      </c>
      <c r="T198" s="191">
        <f t="shared" si="204"/>
      </c>
      <c r="U198" s="189">
        <f t="shared" si="426"/>
      </c>
      <c r="V198" s="189">
        <f t="shared" si="16"/>
      </c>
      <c r="W198" s="189">
        <f t="shared" si="31"/>
      </c>
      <c r="X198" s="189">
        <f t="shared" si="46"/>
      </c>
      <c r="Y198" s="189">
        <f t="shared" si="309"/>
      </c>
      <c r="Z198" s="189">
        <f t="shared" si="354"/>
      </c>
      <c r="AA198" s="190">
        <f t="shared" si="249"/>
      </c>
      <c r="AB198" s="190">
        <f t="shared" si="279"/>
      </c>
      <c r="AC198" s="190">
        <f t="shared" si="174"/>
      </c>
      <c r="AD198" s="189">
        <f t="shared" si="219"/>
      </c>
      <c r="AE198" s="190">
        <f t="shared" si="441"/>
      </c>
      <c r="AF198" s="189">
        <f t="shared" si="61"/>
      </c>
      <c r="AG198" s="189">
        <f t="shared" si="324"/>
      </c>
      <c r="AH198" s="192">
        <v>7143</v>
      </c>
      <c r="AI198" s="192">
        <v>173</v>
      </c>
      <c r="AJ198" s="192">
        <v>219</v>
      </c>
      <c r="AK198" s="192">
        <v>47</v>
      </c>
      <c r="AL198" s="192">
        <v>2</v>
      </c>
      <c r="AM198" s="192">
        <v>0</v>
      </c>
      <c r="AN198" s="192">
        <v>40</v>
      </c>
      <c r="AO198" s="192">
        <v>21</v>
      </c>
      <c r="AP198" s="192">
        <v>6</v>
      </c>
      <c r="AQ198" s="187">
        <v>0</v>
      </c>
      <c r="AR198" s="213">
        <f t="shared" ref="AR198:AR201" si="371">COUNT(AQ198)</f>
      </c>
    </row>
    <row r="199">
      <c r="A199" s="182"/>
      <c r="B199" s="184" t="s">
        <v>191</v>
      </c>
      <c r="C199" s="184" t="s">
        <v>192</v>
      </c>
      <c r="D199" s="183" t="s">
        <v>206</v>
      </c>
      <c r="E199" s="184" t="s">
        <v>202</v>
      </c>
      <c r="F199" s="185">
        <f t="shared" si="119"/>
      </c>
      <c r="G199" s="204">
        <v>738.27</v>
      </c>
      <c r="H199" s="204">
        <v>462.45</v>
      </c>
      <c r="I199" s="187">
        <v>4</v>
      </c>
      <c r="J199" s="192">
        <v>1</v>
      </c>
      <c r="K199" s="196">
        <v>895</v>
      </c>
      <c r="L199" s="189">
        <f t="shared" si="189"/>
      </c>
      <c r="M199" s="190">
        <f t="shared" si="411"/>
      </c>
      <c r="N199" s="191">
        <f t="shared" si="1"/>
      </c>
      <c r="O199" s="191">
        <f t="shared" si="294"/>
      </c>
      <c r="P199" s="191">
        <f t="shared" si="339"/>
      </c>
      <c r="Q199" s="191">
        <f t="shared" si="234"/>
      </c>
      <c r="R199" s="191">
        <f t="shared" si="264"/>
      </c>
      <c r="S199" s="191">
        <f t="shared" si="159"/>
      </c>
      <c r="T199" s="191">
        <f t="shared" si="204"/>
      </c>
      <c r="U199" s="189">
        <f t="shared" si="426"/>
      </c>
      <c r="V199" s="189">
        <f t="shared" si="16"/>
      </c>
      <c r="W199" s="189">
        <f t="shared" si="31"/>
      </c>
      <c r="X199" s="189">
        <f t="shared" si="46"/>
      </c>
      <c r="Y199" s="189">
        <f t="shared" si="309"/>
      </c>
      <c r="Z199" s="189">
        <f t="shared" si="354"/>
      </c>
      <c r="AA199" s="190">
        <f t="shared" si="249"/>
      </c>
      <c r="AB199" s="190">
        <f t="shared" si="279"/>
      </c>
      <c r="AC199" s="190">
        <f t="shared" si="174"/>
      </c>
      <c r="AD199" s="189">
        <f t="shared" si="219"/>
      </c>
      <c r="AE199" s="190">
        <f t="shared" si="441"/>
      </c>
      <c r="AF199" s="189">
        <f t="shared" si="61"/>
      </c>
      <c r="AG199" s="189">
        <f t="shared" si="324"/>
      </c>
      <c r="AH199" s="192">
        <v>6436</v>
      </c>
      <c r="AI199" s="192">
        <v>187</v>
      </c>
      <c r="AJ199" s="192">
        <v>219</v>
      </c>
      <c r="AK199" s="192">
        <v>39</v>
      </c>
      <c r="AL199" s="192">
        <v>3</v>
      </c>
      <c r="AM199" s="192">
        <v>1</v>
      </c>
      <c r="AN199" s="192">
        <v>38</v>
      </c>
      <c r="AO199" s="192">
        <v>51</v>
      </c>
      <c r="AP199" s="192">
        <v>3</v>
      </c>
      <c r="AQ199" s="187">
        <v>0</v>
      </c>
      <c r="AR199" s="213">
        <f t="shared" si="371"/>
      </c>
    </row>
    <row r="200">
      <c r="A200" s="182"/>
      <c r="B200" s="184" t="s">
        <v>191</v>
      </c>
      <c r="C200" s="184" t="s">
        <v>192</v>
      </c>
      <c r="D200" s="183" t="s">
        <v>206</v>
      </c>
      <c r="E200" s="184" t="s">
        <v>203</v>
      </c>
      <c r="F200" s="185">
        <f t="shared" si="119"/>
      </c>
      <c r="G200" s="204">
        <v>649.15</v>
      </c>
      <c r="H200" s="204">
        <v>766.45</v>
      </c>
      <c r="I200" s="187">
        <v>2</v>
      </c>
      <c r="J200" s="192">
        <v>2</v>
      </c>
      <c r="K200" s="196">
        <v>1441.199999999999</v>
      </c>
      <c r="L200" s="189">
        <f t="shared" si="189"/>
      </c>
      <c r="M200" s="190">
        <f t="shared" si="411"/>
      </c>
      <c r="N200" s="191">
        <f t="shared" si="1"/>
      </c>
      <c r="O200" s="191">
        <f t="shared" si="294"/>
      </c>
      <c r="P200" s="191">
        <f t="shared" si="339"/>
      </c>
      <c r="Q200" s="191">
        <f t="shared" si="234"/>
      </c>
      <c r="R200" s="191">
        <f t="shared" si="264"/>
      </c>
      <c r="S200" s="191">
        <f t="shared" si="159"/>
      </c>
      <c r="T200" s="191">
        <f t="shared" si="204"/>
      </c>
      <c r="U200" s="189">
        <f t="shared" si="426"/>
      </c>
      <c r="V200" s="189">
        <f t="shared" si="16"/>
      </c>
      <c r="W200" s="189">
        <f t="shared" si="31"/>
      </c>
      <c r="X200" s="189">
        <f t="shared" si="46"/>
      </c>
      <c r="Y200" s="189">
        <f t="shared" si="309"/>
      </c>
      <c r="Z200" s="189">
        <f t="shared" si="354"/>
      </c>
      <c r="AA200" s="190">
        <f t="shared" si="249"/>
      </c>
      <c r="AB200" s="190">
        <f t="shared" si="279"/>
      </c>
      <c r="AC200" s="190">
        <f t="shared" si="174"/>
      </c>
      <c r="AD200" s="189">
        <f t="shared" si="219"/>
      </c>
      <c r="AE200" s="190">
        <f t="shared" si="441"/>
      </c>
      <c r="AF200" s="189">
        <f t="shared" si="61"/>
      </c>
      <c r="AG200" s="189">
        <f t="shared" si="324"/>
      </c>
      <c r="AH200" s="192">
        <v>7088</v>
      </c>
      <c r="AI200" s="192">
        <v>265</v>
      </c>
      <c r="AJ200" s="192">
        <v>301</v>
      </c>
      <c r="AK200" s="192">
        <v>49</v>
      </c>
      <c r="AL200" s="192">
        <v>2</v>
      </c>
      <c r="AM200" s="192">
        <v>2</v>
      </c>
      <c r="AN200" s="192">
        <v>46</v>
      </c>
      <c r="AO200" s="192">
        <v>60</v>
      </c>
      <c r="AP200" s="192">
        <v>7</v>
      </c>
      <c r="AQ200" s="187">
        <v>0</v>
      </c>
      <c r="AR200" s="213">
        <f t="shared" si="371"/>
      </c>
    </row>
    <row r="201">
      <c r="A201" s="182"/>
      <c r="B201" s="184" t="s">
        <v>191</v>
      </c>
      <c r="C201" s="184" t="s">
        <v>192</v>
      </c>
      <c r="D201" s="183" t="s">
        <v>206</v>
      </c>
      <c r="E201" s="184" t="s">
        <v>204</v>
      </c>
      <c r="F201" s="185">
        <f t="shared" si="119"/>
      </c>
      <c r="G201" s="204">
        <v>247.71</v>
      </c>
      <c r="H201" s="204">
        <v>492.21</v>
      </c>
      <c r="I201" s="187">
        <v>5</v>
      </c>
      <c r="J201" s="187">
        <v>5</v>
      </c>
      <c r="K201" s="188">
        <v>2870.7999999999993</v>
      </c>
      <c r="L201" s="189">
        <f t="shared" si="189"/>
      </c>
      <c r="M201" s="190">
        <f t="shared" si="411"/>
      </c>
      <c r="N201" s="191">
        <f t="shared" si="1"/>
      </c>
      <c r="O201" s="191">
        <f t="shared" si="294"/>
      </c>
      <c r="P201" s="191">
        <f t="shared" si="339"/>
      </c>
      <c r="Q201" s="191">
        <f t="shared" si="234"/>
      </c>
      <c r="R201" s="191">
        <f t="shared" si="264"/>
      </c>
      <c r="S201" s="191">
        <f t="shared" si="159"/>
      </c>
      <c r="T201" s="191">
        <f t="shared" si="204"/>
      </c>
      <c r="U201" s="189">
        <f t="shared" si="426"/>
      </c>
      <c r="V201" s="189">
        <f t="shared" si="16"/>
      </c>
      <c r="W201" s="189">
        <f t="shared" si="31"/>
      </c>
      <c r="X201" s="189">
        <f t="shared" si="46"/>
      </c>
      <c r="Y201" s="189">
        <f t="shared" si="309"/>
      </c>
      <c r="Z201" s="189">
        <f t="shared" si="354"/>
      </c>
      <c r="AA201" s="190">
        <f t="shared" si="249"/>
      </c>
      <c r="AB201" s="190">
        <f t="shared" si="279"/>
      </c>
      <c r="AC201" s="190">
        <f t="shared" si="174"/>
      </c>
      <c r="AD201" s="189">
        <f t="shared" si="219"/>
      </c>
      <c r="AE201" s="190">
        <f t="shared" si="441"/>
      </c>
      <c r="AF201" s="189">
        <f t="shared" si="61"/>
      </c>
      <c r="AG201" s="189">
        <f t="shared" si="324"/>
      </c>
      <c r="AH201" s="192">
        <v>4263</v>
      </c>
      <c r="AI201" s="192">
        <v>208</v>
      </c>
      <c r="AJ201" s="192">
        <v>238</v>
      </c>
      <c r="AK201" s="192">
        <v>46</v>
      </c>
      <c r="AL201" s="192">
        <v>3</v>
      </c>
      <c r="AM201" s="192">
        <v>3</v>
      </c>
      <c r="AN201" s="192">
        <v>29</v>
      </c>
      <c r="AO201" s="192">
        <v>63</v>
      </c>
      <c r="AP201" s="192">
        <v>2</v>
      </c>
      <c r="AQ201" s="187">
        <v>2</v>
      </c>
      <c r="AR201" s="213">
        <f t="shared" si="371"/>
      </c>
    </row>
    <row r="202">
      <c r="A202" s="182"/>
      <c r="B202" s="197" t="s">
        <v>197</v>
      </c>
      <c r="C202" s="197"/>
      <c r="D202" s="197"/>
      <c r="E202" s="197"/>
      <c r="F202" s="198">
        <f>SUM(F198:F201)</f>
      </c>
      <c r="G202" s="198">
        <f>SUM(G198:G201)</f>
      </c>
      <c r="H202" s="198">
        <f>SUM(H198:H201)</f>
      </c>
      <c r="I202" s="199">
        <f>SUM(I198:I201)</f>
      </c>
      <c r="J202" s="199">
        <f>SUM(J198:J201)</f>
      </c>
      <c r="K202" s="198">
        <f>SUM(K198:K201)</f>
      </c>
      <c r="L202" s="200">
        <f t="shared" si="189"/>
      </c>
      <c r="M202" s="201">
        <f t="shared" si="411"/>
      </c>
      <c r="N202" s="202">
        <f t="shared" si="1"/>
      </c>
      <c r="O202" s="202">
        <f t="shared" si="294"/>
      </c>
      <c r="P202" s="202">
        <f t="shared" si="339"/>
      </c>
      <c r="Q202" s="202">
        <f t="shared" si="234"/>
      </c>
      <c r="R202" s="202">
        <f t="shared" si="264"/>
      </c>
      <c r="S202" s="202">
        <f t="shared" si="159"/>
      </c>
      <c r="T202" s="202">
        <f t="shared" si="204"/>
      </c>
      <c r="U202" s="200">
        <f t="shared" si="426"/>
      </c>
      <c r="V202" s="200">
        <f t="shared" si="16"/>
      </c>
      <c r="W202" s="200">
        <f t="shared" si="31"/>
      </c>
      <c r="X202" s="200">
        <f t="shared" si="46"/>
      </c>
      <c r="Y202" s="200">
        <f t="shared" si="309"/>
      </c>
      <c r="Z202" s="200">
        <f t="shared" si="354"/>
      </c>
      <c r="AA202" s="201">
        <f t="shared" si="249"/>
      </c>
      <c r="AB202" s="201">
        <f t="shared" si="279"/>
      </c>
      <c r="AC202" s="201">
        <f t="shared" si="174"/>
      </c>
      <c r="AD202" s="200">
        <f t="shared" si="219"/>
      </c>
      <c r="AE202" s="201">
        <f t="shared" si="441"/>
      </c>
      <c r="AF202" s="200">
        <f t="shared" si="61"/>
      </c>
      <c r="AG202" s="200">
        <f t="shared" si="324"/>
      </c>
      <c r="AH202" s="199">
        <f>SUM(AH198:AH201)</f>
      </c>
      <c r="AI202" s="199">
        <f>SUM(AI198:AI201)</f>
      </c>
      <c r="AJ202" s="199">
        <f>SUM(AJ198:AJ201)</f>
      </c>
      <c r="AK202" s="199">
        <f>SUM(AK198:AK201)</f>
      </c>
      <c r="AL202" s="199">
        <f>SUM(AL198:AL201)</f>
      </c>
      <c r="AM202" s="199">
        <f>SUM(AM198:AM201)</f>
      </c>
      <c r="AN202" s="199">
        <f>SUM(AN198:AN201)</f>
      </c>
      <c r="AO202" s="199">
        <f>SUM(AO198:AO201)</f>
      </c>
      <c r="AP202" s="199">
        <f>SUM(AP198:AP201)</f>
      </c>
      <c r="AQ202" s="199">
        <f>SUM(AQ198:AQ201)</f>
      </c>
      <c r="AR202" s="203">
        <f>SUM(AR198:AR201)</f>
      </c>
    </row>
    <row r="203">
      <c r="A203" s="182"/>
      <c r="B203" s="205" t="s">
        <v>205</v>
      </c>
      <c r="C203" s="205"/>
      <c r="D203" s="205"/>
      <c r="E203" s="205"/>
      <c r="F203" s="206">
        <f>H203+G203</f>
      </c>
      <c r="G203" s="206">
        <f>G202+G197</f>
      </c>
      <c r="H203" s="206">
        <f>H202+H197</f>
      </c>
      <c r="I203" s="206">
        <f>I202+I197</f>
      </c>
      <c r="J203" s="206">
        <f>J202+J197</f>
      </c>
      <c r="K203" s="206">
        <f>K202+K197</f>
      </c>
      <c r="L203" s="207">
        <f t="shared" si="189"/>
      </c>
      <c r="M203" s="208">
        <f t="shared" si="411"/>
      </c>
      <c r="N203" s="209">
        <f t="shared" si="1"/>
      </c>
      <c r="O203" s="209">
        <f t="shared" si="294"/>
      </c>
      <c r="P203" s="209">
        <f t="shared" si="339"/>
      </c>
      <c r="Q203" s="209">
        <f t="shared" si="234"/>
      </c>
      <c r="R203" s="209">
        <f t="shared" si="264"/>
      </c>
      <c r="S203" s="209">
        <f t="shared" si="159"/>
      </c>
      <c r="T203" s="209">
        <f t="shared" si="204"/>
      </c>
      <c r="U203" s="207">
        <f t="shared" si="426"/>
      </c>
      <c r="V203" s="207">
        <f t="shared" si="16"/>
      </c>
      <c r="W203" s="207">
        <f t="shared" si="31"/>
      </c>
      <c r="X203" s="207">
        <f t="shared" si="46"/>
      </c>
      <c r="Y203" s="207">
        <f t="shared" si="309"/>
      </c>
      <c r="Z203" s="207">
        <f t="shared" si="354"/>
      </c>
      <c r="AA203" s="208">
        <f t="shared" si="249"/>
      </c>
      <c r="AB203" s="208">
        <f t="shared" si="279"/>
      </c>
      <c r="AC203" s="208">
        <f t="shared" si="174"/>
      </c>
      <c r="AD203" s="207">
        <f t="shared" si="219"/>
      </c>
      <c r="AE203" s="208">
        <f t="shared" si="441"/>
      </c>
      <c r="AF203" s="207">
        <f t="shared" si="61"/>
      </c>
      <c r="AG203" s="207">
        <f t="shared" si="324"/>
      </c>
      <c r="AH203" s="203">
        <f>AH202+AH197</f>
      </c>
      <c r="AI203" s="203">
        <f>AI202+AI197</f>
      </c>
      <c r="AJ203" s="203">
        <f>AJ202+AJ197</f>
      </c>
      <c r="AK203" s="203">
        <f>AK202+AK197</f>
      </c>
      <c r="AL203" s="203">
        <f>AL202+AL197</f>
      </c>
      <c r="AM203" s="203">
        <f>AM202+AM197</f>
      </c>
      <c r="AN203" s="203">
        <f>AN202+AN197</f>
      </c>
      <c r="AO203" s="203">
        <f>AO202+AO197</f>
      </c>
      <c r="AP203" s="203">
        <f>AP202+AP197</f>
      </c>
      <c r="AQ203" s="203">
        <f>AQ202+AQ197</f>
      </c>
      <c r="AR203" s="203">
        <f>AR202+AR197</f>
      </c>
    </row>
    <row r="204">
      <c r="A204" s="159"/>
      <c r="B204" s="159"/>
      <c r="C204" s="159"/>
      <c r="D204" s="159"/>
      <c r="E204" s="159"/>
      <c r="F204" s="160" t="s">
        <v>143</v>
      </c>
      <c r="G204" s="160"/>
      <c r="H204" s="160"/>
      <c r="I204" s="160"/>
      <c r="J204" s="160"/>
      <c r="K204" s="160"/>
      <c r="L204" s="160"/>
      <c r="M204" s="160"/>
      <c r="N204" s="160"/>
      <c r="O204" s="160"/>
      <c r="P204" s="160"/>
      <c r="Q204" s="161" t="s">
        <v>144</v>
      </c>
      <c r="R204" s="161"/>
      <c r="S204" s="161"/>
      <c r="T204" s="161"/>
      <c r="U204" s="161"/>
      <c r="V204" s="161"/>
      <c r="W204" s="161"/>
      <c r="X204" s="161"/>
      <c r="Y204" s="161"/>
      <c r="Z204" s="161"/>
      <c r="AA204" s="161"/>
      <c r="AB204" s="161"/>
      <c r="AC204" s="162" t="s">
        <v>145</v>
      </c>
      <c r="AD204" s="162"/>
      <c r="AE204" s="162"/>
      <c r="AF204" s="162"/>
      <c r="AG204" s="162"/>
      <c r="AH204" s="163" t="s">
        <v>146</v>
      </c>
      <c r="AI204" s="163"/>
      <c r="AJ204" s="163"/>
      <c r="AK204" s="163"/>
      <c r="AL204" s="163"/>
      <c r="AM204" s="163"/>
      <c r="AN204" s="163"/>
      <c r="AO204" s="163"/>
      <c r="AP204" s="163"/>
      <c r="AQ204" s="163"/>
      <c r="AR204" s="163"/>
    </row>
    <row r="205">
      <c r="A205" s="164" t="s">
        <v>147</v>
      </c>
      <c r="B205" s="165" t="s">
        <v>148</v>
      </c>
      <c r="C205" s="165" t="s">
        <v>149</v>
      </c>
      <c r="D205" s="166" t="s">
        <v>150</v>
      </c>
      <c r="E205" s="167" t="s">
        <v>151</v>
      </c>
      <c r="F205" s="168" t="s">
        <v>152</v>
      </c>
      <c r="G205" s="169" t="s">
        <v>153</v>
      </c>
      <c r="H205" s="170" t="s">
        <v>154</v>
      </c>
      <c r="I205" s="171" t="s">
        <v>155</v>
      </c>
      <c r="J205" s="171" t="s">
        <v>156</v>
      </c>
      <c r="K205" s="170" t="s">
        <v>157</v>
      </c>
      <c r="L205" s="172" t="s">
        <v>158</v>
      </c>
      <c r="M205" s="173" t="s">
        <v>159</v>
      </c>
      <c r="N205" s="174" t="s">
        <v>160</v>
      </c>
      <c r="O205" s="174" t="s">
        <v>161</v>
      </c>
      <c r="P205" s="175" t="s">
        <v>162</v>
      </c>
      <c r="Q205" s="161" t="s">
        <v>163</v>
      </c>
      <c r="R205" s="176" t="s">
        <v>164</v>
      </c>
      <c r="S205" s="176" t="s">
        <v>165</v>
      </c>
      <c r="T205" s="176" t="s">
        <v>166</v>
      </c>
      <c r="U205" s="177" t="s">
        <v>167</v>
      </c>
      <c r="V205" s="177" t="s">
        <v>168</v>
      </c>
      <c r="W205" s="177" t="s">
        <v>169</v>
      </c>
      <c r="X205" s="177" t="s">
        <v>170</v>
      </c>
      <c r="Y205" s="177" t="s">
        <v>171</v>
      </c>
      <c r="Z205" s="177" t="s">
        <v>172</v>
      </c>
      <c r="AA205" s="178" t="s">
        <v>173</v>
      </c>
      <c r="AB205" s="178" t="s">
        <v>174</v>
      </c>
      <c r="AC205" s="162" t="s">
        <v>175</v>
      </c>
      <c r="AD205" s="179" t="s">
        <v>176</v>
      </c>
      <c r="AE205" s="162" t="s">
        <v>177</v>
      </c>
      <c r="AF205" s="179" t="s">
        <v>178</v>
      </c>
      <c r="AG205" s="179" t="s">
        <v>179</v>
      </c>
      <c r="AH205" s="180" t="s">
        <v>180</v>
      </c>
      <c r="AI205" s="180" t="s">
        <v>181</v>
      </c>
      <c r="AJ205" s="180" t="s">
        <v>182</v>
      </c>
      <c r="AK205" s="180" t="s">
        <v>183</v>
      </c>
      <c r="AL205" s="180" t="s">
        <v>184</v>
      </c>
      <c r="AM205" s="180" t="s">
        <v>185</v>
      </c>
      <c r="AN205" s="180" t="s">
        <v>186</v>
      </c>
      <c r="AO205" s="180" t="s">
        <v>187</v>
      </c>
      <c r="AP205" s="180" t="s">
        <v>188</v>
      </c>
      <c r="AQ205" s="180" t="s">
        <v>189</v>
      </c>
      <c r="AR205" s="181" t="s">
        <v>190</v>
      </c>
    </row>
    <row r="206">
      <c r="A206" s="182">
        <v>46283</v>
      </c>
      <c r="B206" s="184" t="s">
        <v>191</v>
      </c>
      <c r="C206" s="184" t="s">
        <v>192</v>
      </c>
      <c r="D206" s="183" t="s">
        <v>206</v>
      </c>
      <c r="E206" s="184" t="s">
        <v>194</v>
      </c>
      <c r="F206" s="185">
        <f t="shared" ref="F206:F209" si="120">H206+G206</f>
      </c>
      <c r="G206" s="204">
        <v>804.44</v>
      </c>
      <c r="H206" s="204">
        <v>582.08</v>
      </c>
      <c r="I206" s="187">
        <v>2</v>
      </c>
      <c r="J206" s="187">
        <v>2</v>
      </c>
      <c r="K206" s="188">
        <v>1737.6000000000001</v>
      </c>
      <c r="L206" s="189">
        <f t="shared" ref="L206:L216" si="190">AQ206/J206</f>
      </c>
      <c r="M206" s="190">
        <f t="shared" ref="M206:M216" si="412">K206/J206</f>
      </c>
      <c r="N206" s="191">
        <f t="shared" ref="N206:N216" si="2">F206/J206</f>
      </c>
      <c r="O206" s="191">
        <f t="shared" ref="O206:O216" si="295">K206/F206</f>
      </c>
      <c r="P206" s="191">
        <f t="shared" ref="P206:P216" si="340">K206/((300*AR206)+F206)</f>
      </c>
      <c r="Q206" s="191">
        <f t="shared" ref="Q206:Q216" si="235">F206/AJ206</f>
      </c>
      <c r="R206" s="191">
        <f t="shared" ref="R206:R216" si="265">F206/AK206</f>
      </c>
      <c r="S206" s="191">
        <f t="shared" ref="S206:S216" si="160">F206/AL206</f>
      </c>
      <c r="T206" s="191">
        <f t="shared" ref="T206:T216" si="205">F206/AM206</f>
      </c>
      <c r="U206" s="189">
        <f t="shared" ref="U206:U216" si="427">AI206/AJ206</f>
      </c>
      <c r="V206" s="189">
        <f t="shared" ref="V206:V216" si="17">AK206/AJ206</f>
      </c>
      <c r="W206" s="189">
        <f t="shared" ref="W206:W216" si="32">AL206/AK206</f>
      </c>
      <c r="X206" s="189">
        <f t="shared" ref="X206:X216" si="47">AM206/AL206</f>
      </c>
      <c r="Y206" s="189">
        <f t="shared" ref="Y206:Y216" si="310">AI206/AH206</f>
      </c>
      <c r="Z206" s="189">
        <f t="shared" ref="Z206:Z216" si="355">AM206/AI206</f>
      </c>
      <c r="AA206" s="190">
        <f t="shared" ref="AA206:AA216" si="250">F206/AH206*1000</f>
      </c>
      <c r="AB206" s="190">
        <f t="shared" ref="AB206:AB216" si="280">F206/AI206</f>
      </c>
      <c r="AC206" s="190">
        <f t="shared" ref="AC206:AC216" si="175">F206/AN206</f>
      </c>
      <c r="AD206" s="189">
        <f t="shared" ref="AD206:AD216" si="220">AN206/AJ206</f>
      </c>
      <c r="AE206" s="190">
        <f t="shared" ref="AE206:AE216" si="442">F206/AO206</f>
      </c>
      <c r="AF206" s="189">
        <f t="shared" ref="AF206:AF216" si="62">AO206/AJ206</f>
      </c>
      <c r="AG206" s="189">
        <f t="shared" ref="AG206:AG216" si="325">AP206/AJ206</f>
      </c>
      <c r="AH206" s="192">
        <v>6861</v>
      </c>
      <c r="AI206" s="193">
        <v>203</v>
      </c>
      <c r="AJ206" s="193">
        <v>224</v>
      </c>
      <c r="AK206" s="192">
        <v>56</v>
      </c>
      <c r="AL206" s="192">
        <v>1</v>
      </c>
      <c r="AM206" s="192">
        <v>1</v>
      </c>
      <c r="AN206" s="192">
        <v>48</v>
      </c>
      <c r="AO206" s="192">
        <v>56</v>
      </c>
      <c r="AP206" s="192">
        <v>2</v>
      </c>
      <c r="AQ206" s="187">
        <v>1</v>
      </c>
      <c r="AR206" s="213">
        <f t="shared" ref="AR206:AR209" si="372">COUNT(AQ206)</f>
      </c>
    </row>
    <row r="207">
      <c r="A207" s="182"/>
      <c r="B207" s="184" t="s">
        <v>191</v>
      </c>
      <c r="C207" s="184" t="s">
        <v>192</v>
      </c>
      <c r="D207" s="183" t="s">
        <v>206</v>
      </c>
      <c r="E207" s="184" t="s">
        <v>195</v>
      </c>
      <c r="F207" s="185">
        <f t="shared" si="120"/>
      </c>
      <c r="G207" s="212">
        <v>667.41</v>
      </c>
      <c r="H207" s="204">
        <v>405.52</v>
      </c>
      <c r="I207" s="187">
        <v>1</v>
      </c>
      <c r="J207" s="187">
        <v>1</v>
      </c>
      <c r="K207" s="188">
        <v>967.2</v>
      </c>
      <c r="L207" s="189">
        <f t="shared" si="190"/>
      </c>
      <c r="M207" s="190">
        <f t="shared" si="412"/>
      </c>
      <c r="N207" s="191">
        <f t="shared" si="2"/>
      </c>
      <c r="O207" s="191">
        <f t="shared" si="295"/>
      </c>
      <c r="P207" s="191">
        <f t="shared" si="340"/>
      </c>
      <c r="Q207" s="191">
        <f t="shared" si="235"/>
      </c>
      <c r="R207" s="191">
        <f t="shared" si="265"/>
      </c>
      <c r="S207" s="191">
        <f t="shared" si="160"/>
      </c>
      <c r="T207" s="191">
        <f t="shared" si="205"/>
      </c>
      <c r="U207" s="189">
        <f t="shared" si="427"/>
      </c>
      <c r="V207" s="189">
        <f t="shared" si="17"/>
      </c>
      <c r="W207" s="189">
        <f t="shared" si="32"/>
      </c>
      <c r="X207" s="189">
        <f t="shared" si="47"/>
      </c>
      <c r="Y207" s="189">
        <f t="shared" si="310"/>
      </c>
      <c r="Z207" s="189">
        <f t="shared" si="355"/>
      </c>
      <c r="AA207" s="190">
        <f t="shared" si="250"/>
      </c>
      <c r="AB207" s="190">
        <f t="shared" si="280"/>
      </c>
      <c r="AC207" s="190">
        <f t="shared" si="175"/>
      </c>
      <c r="AD207" s="189">
        <f t="shared" si="220"/>
      </c>
      <c r="AE207" s="190">
        <f t="shared" si="442"/>
      </c>
      <c r="AF207" s="189">
        <f t="shared" si="62"/>
      </c>
      <c r="AG207" s="189">
        <f t="shared" si="325"/>
      </c>
      <c r="AH207" s="192">
        <v>5640</v>
      </c>
      <c r="AI207" s="192">
        <v>150</v>
      </c>
      <c r="AJ207" s="192">
        <v>159</v>
      </c>
      <c r="AK207" s="192">
        <v>43</v>
      </c>
      <c r="AL207" s="192">
        <v>1</v>
      </c>
      <c r="AM207" s="192">
        <v>1</v>
      </c>
      <c r="AN207" s="192">
        <v>34</v>
      </c>
      <c r="AO207" s="192">
        <v>48</v>
      </c>
      <c r="AP207" s="192">
        <v>2</v>
      </c>
      <c r="AQ207" s="187">
        <v>0</v>
      </c>
      <c r="AR207" s="213">
        <f t="shared" si="372"/>
      </c>
    </row>
    <row r="208">
      <c r="A208" s="182"/>
      <c r="B208" s="184" t="s">
        <v>191</v>
      </c>
      <c r="C208" s="184" t="s">
        <v>192</v>
      </c>
      <c r="D208" s="183" t="s">
        <v>206</v>
      </c>
      <c r="E208" s="184" t="s">
        <v>196</v>
      </c>
      <c r="F208" s="185">
        <f t="shared" si="120"/>
      </c>
      <c r="G208" s="204">
        <v>559.29</v>
      </c>
      <c r="H208" s="204">
        <v>170.95</v>
      </c>
      <c r="I208" s="187">
        <v>2</v>
      </c>
      <c r="J208" s="187">
        <v>2</v>
      </c>
      <c r="K208" s="188">
        <v>1367.9999999999995</v>
      </c>
      <c r="L208" s="189">
        <f t="shared" si="190"/>
      </c>
      <c r="M208" s="190">
        <f t="shared" si="412"/>
      </c>
      <c r="N208" s="191">
        <f t="shared" si="2"/>
      </c>
      <c r="O208" s="191">
        <f t="shared" si="295"/>
      </c>
      <c r="P208" s="191">
        <f t="shared" si="340"/>
      </c>
      <c r="Q208" s="191">
        <f t="shared" si="235"/>
      </c>
      <c r="R208" s="191">
        <f t="shared" si="265"/>
      </c>
      <c r="S208" s="191">
        <f t="shared" si="160"/>
      </c>
      <c r="T208" s="191">
        <f t="shared" si="205"/>
      </c>
      <c r="U208" s="189">
        <f t="shared" si="427"/>
      </c>
      <c r="V208" s="189">
        <f t="shared" si="17"/>
      </c>
      <c r="W208" s="189">
        <f t="shared" si="32"/>
      </c>
      <c r="X208" s="189">
        <f t="shared" si="47"/>
      </c>
      <c r="Y208" s="189">
        <f t="shared" si="310"/>
      </c>
      <c r="Z208" s="189">
        <f t="shared" si="355"/>
      </c>
      <c r="AA208" s="190">
        <f t="shared" si="250"/>
      </c>
      <c r="AB208" s="190">
        <f t="shared" si="280"/>
      </c>
      <c r="AC208" s="190">
        <f t="shared" si="175"/>
      </c>
      <c r="AD208" s="189">
        <f t="shared" si="220"/>
      </c>
      <c r="AE208" s="190">
        <f t="shared" si="442"/>
      </c>
      <c r="AF208" s="189">
        <f t="shared" si="62"/>
      </c>
      <c r="AG208" s="189">
        <f t="shared" si="325"/>
      </c>
      <c r="AH208" s="192">
        <v>4516</v>
      </c>
      <c r="AI208" s="192">
        <v>97</v>
      </c>
      <c r="AJ208" s="192">
        <v>109</v>
      </c>
      <c r="AK208" s="192">
        <v>30</v>
      </c>
      <c r="AL208" s="187">
        <v>1</v>
      </c>
      <c r="AM208" s="192">
        <v>1</v>
      </c>
      <c r="AN208" s="192">
        <v>23</v>
      </c>
      <c r="AO208" s="192">
        <v>44</v>
      </c>
      <c r="AP208" s="192">
        <v>2</v>
      </c>
      <c r="AQ208" s="187">
        <v>1</v>
      </c>
      <c r="AR208" s="213">
        <f t="shared" si="372"/>
      </c>
    </row>
    <row r="209">
      <c r="A209" s="182"/>
      <c r="B209" s="184" t="s">
        <v>191</v>
      </c>
      <c r="C209" s="184" t="s">
        <v>192</v>
      </c>
      <c r="D209" s="183" t="s">
        <v>206</v>
      </c>
      <c r="E209" s="184" t="s">
        <v>199</v>
      </c>
      <c r="F209" s="185">
        <f t="shared" si="120"/>
      </c>
      <c r="G209" s="204">
        <v>362.28</v>
      </c>
      <c r="H209" s="204">
        <v>204.24</v>
      </c>
      <c r="I209" s="187">
        <v>1</v>
      </c>
      <c r="J209" s="187">
        <v>0</v>
      </c>
      <c r="K209" s="188">
        <v>0</v>
      </c>
      <c r="L209" s="189">
        <f t="shared" si="190"/>
      </c>
      <c r="M209" s="190">
        <f t="shared" si="412"/>
      </c>
      <c r="N209" s="191">
        <f t="shared" si="2"/>
      </c>
      <c r="O209" s="191">
        <f t="shared" si="295"/>
      </c>
      <c r="P209" s="191">
        <f t="shared" si="340"/>
      </c>
      <c r="Q209" s="191">
        <f t="shared" si="235"/>
      </c>
      <c r="R209" s="191">
        <f t="shared" si="265"/>
      </c>
      <c r="S209" s="191">
        <f t="shared" si="160"/>
      </c>
      <c r="T209" s="191">
        <f t="shared" si="205"/>
      </c>
      <c r="U209" s="189">
        <f t="shared" si="427"/>
      </c>
      <c r="V209" s="189">
        <f t="shared" si="17"/>
      </c>
      <c r="W209" s="189">
        <f t="shared" si="32"/>
      </c>
      <c r="X209" s="189">
        <f t="shared" si="47"/>
      </c>
      <c r="Y209" s="189">
        <f t="shared" si="310"/>
      </c>
      <c r="Z209" s="189">
        <f t="shared" si="355"/>
      </c>
      <c r="AA209" s="190">
        <f t="shared" si="250"/>
      </c>
      <c r="AB209" s="190">
        <f t="shared" si="280"/>
      </c>
      <c r="AC209" s="190">
        <f t="shared" si="175"/>
      </c>
      <c r="AD209" s="189">
        <f t="shared" si="220"/>
      </c>
      <c r="AE209" s="190">
        <f t="shared" si="442"/>
      </c>
      <c r="AF209" s="189">
        <f t="shared" si="62"/>
      </c>
      <c r="AG209" s="189">
        <f t="shared" si="325"/>
      </c>
      <c r="AH209" s="192">
        <v>3323</v>
      </c>
      <c r="AI209" s="192">
        <v>74</v>
      </c>
      <c r="AJ209" s="192">
        <v>81</v>
      </c>
      <c r="AK209" s="192">
        <v>20</v>
      </c>
      <c r="AL209" s="187">
        <v>2</v>
      </c>
      <c r="AM209" s="192">
        <v>0</v>
      </c>
      <c r="AN209" s="192">
        <v>14</v>
      </c>
      <c r="AO209" s="192">
        <v>35</v>
      </c>
      <c r="AP209" s="192">
        <v>0</v>
      </c>
      <c r="AQ209" s="187">
        <v>0</v>
      </c>
      <c r="AR209" s="213">
        <f t="shared" si="372"/>
      </c>
    </row>
    <row r="210">
      <c r="A210" s="182"/>
      <c r="B210" s="197" t="s">
        <v>197</v>
      </c>
      <c r="C210" s="197"/>
      <c r="D210" s="197"/>
      <c r="E210" s="197"/>
      <c r="F210" s="198">
        <f>SUM(F206:F209)</f>
      </c>
      <c r="G210" s="198">
        <f>SUM(G206:G209)</f>
      </c>
      <c r="H210" s="198">
        <f>SUM(H206:H209)</f>
      </c>
      <c r="I210" s="199">
        <f>SUM(I206:I209)</f>
      </c>
      <c r="J210" s="199">
        <f>SUM(J206:J209)</f>
      </c>
      <c r="K210" s="198">
        <f>SUM(K206:K209)</f>
      </c>
      <c r="L210" s="200">
        <f t="shared" si="190"/>
      </c>
      <c r="M210" s="201">
        <f t="shared" si="412"/>
      </c>
      <c r="N210" s="202">
        <f t="shared" si="2"/>
      </c>
      <c r="O210" s="202">
        <f t="shared" si="295"/>
      </c>
      <c r="P210" s="202">
        <f t="shared" si="340"/>
      </c>
      <c r="Q210" s="202">
        <f t="shared" si="235"/>
      </c>
      <c r="R210" s="202">
        <f t="shared" si="265"/>
      </c>
      <c r="S210" s="202">
        <f t="shared" si="160"/>
      </c>
      <c r="T210" s="202">
        <f t="shared" si="205"/>
      </c>
      <c r="U210" s="200">
        <f t="shared" si="427"/>
      </c>
      <c r="V210" s="200">
        <f t="shared" si="17"/>
      </c>
      <c r="W210" s="200">
        <f t="shared" si="32"/>
      </c>
      <c r="X210" s="200">
        <f t="shared" si="47"/>
      </c>
      <c r="Y210" s="200">
        <f t="shared" si="310"/>
      </c>
      <c r="Z210" s="200">
        <f t="shared" si="355"/>
      </c>
      <c r="AA210" s="201">
        <f t="shared" si="250"/>
      </c>
      <c r="AB210" s="201">
        <f t="shared" si="280"/>
      </c>
      <c r="AC210" s="201">
        <f t="shared" si="175"/>
      </c>
      <c r="AD210" s="200">
        <f t="shared" si="220"/>
      </c>
      <c r="AE210" s="201">
        <f t="shared" si="442"/>
      </c>
      <c r="AF210" s="200">
        <f t="shared" si="62"/>
      </c>
      <c r="AG210" s="200">
        <f t="shared" si="325"/>
      </c>
      <c r="AH210" s="199">
        <f>SUM(AH206:AH209)</f>
      </c>
      <c r="AI210" s="199">
        <f>SUM(AI206:AI209)</f>
      </c>
      <c r="AJ210" s="199">
        <f>SUM(AJ206:AJ209)</f>
      </c>
      <c r="AK210" s="199">
        <f>SUM(AK206:AK209)</f>
      </c>
      <c r="AL210" s="199">
        <f>SUM(AL206:AL209)</f>
      </c>
      <c r="AM210" s="199">
        <f>SUM(AM206:AM209)</f>
      </c>
      <c r="AN210" s="199">
        <f>SUM(AN206:AN209)</f>
      </c>
      <c r="AO210" s="199">
        <f>SUM(AO206:AO209)</f>
      </c>
      <c r="AP210" s="199">
        <f>SUM(AP206:AP209)</f>
      </c>
      <c r="AQ210" s="199">
        <f>SUM(AQ206:AQ209)</f>
      </c>
      <c r="AR210" s="203">
        <f>SUM(AR206:AR209)</f>
      </c>
    </row>
    <row r="211">
      <c r="A211" s="182"/>
      <c r="B211" s="184" t="s">
        <v>191</v>
      </c>
      <c r="C211" s="184" t="s">
        <v>192</v>
      </c>
      <c r="D211" s="183" t="s">
        <v>201</v>
      </c>
      <c r="E211" s="183" t="s">
        <v>200</v>
      </c>
      <c r="F211" s="185">
        <f t="shared" ref="F211:F214" si="121">H211+G211</f>
      </c>
      <c r="G211" s="204">
        <v>480.22</v>
      </c>
      <c r="H211" s="204">
        <v>387.7</v>
      </c>
      <c r="I211" s="187">
        <v>1</v>
      </c>
      <c r="J211" s="187">
        <v>1</v>
      </c>
      <c r="K211" s="188">
        <v>862.8</v>
      </c>
      <c r="L211" s="189">
        <f t="shared" si="190"/>
      </c>
      <c r="M211" s="190">
        <f t="shared" si="412"/>
      </c>
      <c r="N211" s="191">
        <f t="shared" si="2"/>
      </c>
      <c r="O211" s="191">
        <f t="shared" si="295"/>
      </c>
      <c r="P211" s="191">
        <f t="shared" si="340"/>
      </c>
      <c r="Q211" s="191">
        <f t="shared" si="235"/>
      </c>
      <c r="R211" s="191">
        <f t="shared" si="265"/>
      </c>
      <c r="S211" s="191">
        <f t="shared" si="160"/>
      </c>
      <c r="T211" s="191">
        <f t="shared" si="205"/>
      </c>
      <c r="U211" s="189">
        <f t="shared" si="427"/>
      </c>
      <c r="V211" s="189">
        <f t="shared" si="17"/>
      </c>
      <c r="W211" s="189">
        <f t="shared" si="32"/>
      </c>
      <c r="X211" s="189">
        <f t="shared" si="47"/>
      </c>
      <c r="Y211" s="189">
        <f t="shared" si="310"/>
      </c>
      <c r="Z211" s="189">
        <f t="shared" si="355"/>
      </c>
      <c r="AA211" s="190">
        <f t="shared" si="250"/>
      </c>
      <c r="AB211" s="190">
        <f t="shared" si="280"/>
      </c>
      <c r="AC211" s="190">
        <f t="shared" si="175"/>
      </c>
      <c r="AD211" s="189">
        <f t="shared" si="220"/>
      </c>
      <c r="AE211" s="190">
        <f t="shared" si="442"/>
      </c>
      <c r="AF211" s="189">
        <f t="shared" si="62"/>
      </c>
      <c r="AG211" s="189">
        <f t="shared" si="325"/>
      </c>
      <c r="AH211" s="192">
        <v>4487</v>
      </c>
      <c r="AI211" s="192">
        <v>146</v>
      </c>
      <c r="AJ211" s="192">
        <v>150</v>
      </c>
      <c r="AK211" s="192">
        <v>29</v>
      </c>
      <c r="AL211" s="192">
        <v>1</v>
      </c>
      <c r="AM211" s="192">
        <v>1</v>
      </c>
      <c r="AN211" s="192">
        <v>23</v>
      </c>
      <c r="AO211" s="192">
        <v>31</v>
      </c>
      <c r="AP211" s="192">
        <v>2</v>
      </c>
      <c r="AQ211" s="187">
        <v>0</v>
      </c>
      <c r="AR211" s="213">
        <f t="shared" ref="AR211:AR214" si="373">COUNT(AQ211)</f>
      </c>
    </row>
    <row r="212">
      <c r="A212" s="182"/>
      <c r="B212" s="184" t="s">
        <v>191</v>
      </c>
      <c r="C212" s="184" t="s">
        <v>192</v>
      </c>
      <c r="D212" s="183" t="s">
        <v>201</v>
      </c>
      <c r="E212" s="184" t="s">
        <v>202</v>
      </c>
      <c r="F212" s="185">
        <f t="shared" si="121"/>
      </c>
      <c r="G212" s="204">
        <v>784.62</v>
      </c>
      <c r="H212" s="204">
        <v>527.11</v>
      </c>
      <c r="I212" s="187">
        <v>3</v>
      </c>
      <c r="J212" s="192">
        <v>2</v>
      </c>
      <c r="K212" s="196">
        <v>1725.6000000000004</v>
      </c>
      <c r="L212" s="189">
        <f t="shared" si="190"/>
      </c>
      <c r="M212" s="190">
        <f t="shared" si="412"/>
      </c>
      <c r="N212" s="191">
        <f t="shared" si="2"/>
      </c>
      <c r="O212" s="191">
        <f t="shared" si="295"/>
      </c>
      <c r="P212" s="191">
        <f t="shared" si="340"/>
      </c>
      <c r="Q212" s="191">
        <f t="shared" si="235"/>
      </c>
      <c r="R212" s="191">
        <f t="shared" si="265"/>
      </c>
      <c r="S212" s="191">
        <f t="shared" si="160"/>
      </c>
      <c r="T212" s="191">
        <f t="shared" si="205"/>
      </c>
      <c r="U212" s="189">
        <f t="shared" si="427"/>
      </c>
      <c r="V212" s="189">
        <f t="shared" si="17"/>
      </c>
      <c r="W212" s="189">
        <f t="shared" si="32"/>
      </c>
      <c r="X212" s="189">
        <f t="shared" si="47"/>
      </c>
      <c r="Y212" s="189">
        <f t="shared" si="310"/>
      </c>
      <c r="Z212" s="189">
        <f t="shared" si="355"/>
      </c>
      <c r="AA212" s="190">
        <f t="shared" si="250"/>
      </c>
      <c r="AB212" s="190">
        <f t="shared" si="280"/>
      </c>
      <c r="AC212" s="190">
        <f t="shared" si="175"/>
      </c>
      <c r="AD212" s="189">
        <f t="shared" si="220"/>
      </c>
      <c r="AE212" s="190">
        <f t="shared" si="442"/>
      </c>
      <c r="AF212" s="189">
        <f t="shared" si="62"/>
      </c>
      <c r="AG212" s="189">
        <f t="shared" si="325"/>
      </c>
      <c r="AH212" s="192">
        <v>7855</v>
      </c>
      <c r="AI212" s="192">
        <v>224</v>
      </c>
      <c r="AJ212" s="192">
        <v>252</v>
      </c>
      <c r="AK212" s="192">
        <v>66</v>
      </c>
      <c r="AL212" s="192">
        <v>3</v>
      </c>
      <c r="AM212" s="192">
        <v>2</v>
      </c>
      <c r="AN212" s="192">
        <v>54</v>
      </c>
      <c r="AO212" s="192">
        <v>64</v>
      </c>
      <c r="AP212" s="192">
        <v>0</v>
      </c>
      <c r="AQ212" s="187">
        <v>0</v>
      </c>
      <c r="AR212" s="213">
        <f t="shared" si="373"/>
      </c>
    </row>
    <row r="213">
      <c r="A213" s="182"/>
      <c r="B213" s="184" t="s">
        <v>191</v>
      </c>
      <c r="C213" s="184" t="s">
        <v>192</v>
      </c>
      <c r="D213" s="183" t="s">
        <v>201</v>
      </c>
      <c r="E213" s="184" t="s">
        <v>203</v>
      </c>
      <c r="F213" s="185">
        <f t="shared" si="121"/>
      </c>
      <c r="G213" s="204">
        <v>738.11</v>
      </c>
      <c r="H213" s="204">
        <v>388.43</v>
      </c>
      <c r="I213" s="187">
        <v>1</v>
      </c>
      <c r="J213" s="187">
        <v>0</v>
      </c>
      <c r="K213" s="188">
        <v>0</v>
      </c>
      <c r="L213" s="189">
        <f t="shared" si="190"/>
      </c>
      <c r="M213" s="190">
        <f t="shared" si="412"/>
      </c>
      <c r="N213" s="191">
        <f t="shared" si="2"/>
      </c>
      <c r="O213" s="191">
        <f t="shared" si="295"/>
      </c>
      <c r="P213" s="191">
        <f t="shared" si="340"/>
      </c>
      <c r="Q213" s="191">
        <f t="shared" si="235"/>
      </c>
      <c r="R213" s="191">
        <f t="shared" si="265"/>
      </c>
      <c r="S213" s="191">
        <f t="shared" si="160"/>
      </c>
      <c r="T213" s="191">
        <f t="shared" si="205"/>
      </c>
      <c r="U213" s="189">
        <f t="shared" si="427"/>
      </c>
      <c r="V213" s="189">
        <f t="shared" si="17"/>
      </c>
      <c r="W213" s="189">
        <f t="shared" si="32"/>
      </c>
      <c r="X213" s="189">
        <f t="shared" si="47"/>
      </c>
      <c r="Y213" s="189">
        <f t="shared" si="310"/>
      </c>
      <c r="Z213" s="189">
        <f t="shared" si="355"/>
      </c>
      <c r="AA213" s="190">
        <f t="shared" si="250"/>
      </c>
      <c r="AB213" s="190">
        <f t="shared" si="280"/>
      </c>
      <c r="AC213" s="190">
        <f t="shared" si="175"/>
      </c>
      <c r="AD213" s="189">
        <f t="shared" si="220"/>
      </c>
      <c r="AE213" s="190">
        <f t="shared" si="442"/>
      </c>
      <c r="AF213" s="189">
        <f t="shared" si="62"/>
      </c>
      <c r="AG213" s="189">
        <f t="shared" si="325"/>
      </c>
      <c r="AH213" s="192">
        <v>6281</v>
      </c>
      <c r="AI213" s="192">
        <v>160</v>
      </c>
      <c r="AJ213" s="192">
        <v>188</v>
      </c>
      <c r="AK213" s="192">
        <v>49</v>
      </c>
      <c r="AL213" s="192">
        <v>1</v>
      </c>
      <c r="AM213" s="192">
        <v>0</v>
      </c>
      <c r="AN213" s="192">
        <v>44</v>
      </c>
      <c r="AO213" s="192">
        <v>65</v>
      </c>
      <c r="AP213" s="192">
        <v>4</v>
      </c>
      <c r="AQ213" s="187">
        <v>0</v>
      </c>
      <c r="AR213" s="213">
        <f t="shared" si="373"/>
      </c>
    </row>
    <row r="214">
      <c r="A214" s="182"/>
      <c r="B214" s="184" t="s">
        <v>191</v>
      </c>
      <c r="C214" s="184" t="s">
        <v>192</v>
      </c>
      <c r="D214" s="183" t="s">
        <v>201</v>
      </c>
      <c r="E214" s="184" t="s">
        <v>204</v>
      </c>
      <c r="F214" s="185">
        <f t="shared" si="121"/>
      </c>
      <c r="G214" s="204">
        <v>349.19</v>
      </c>
      <c r="H214" s="204">
        <v>219.95</v>
      </c>
      <c r="I214" s="187">
        <v>1</v>
      </c>
      <c r="J214" s="187">
        <v>1</v>
      </c>
      <c r="K214" s="188">
        <v>473.9999999999991</v>
      </c>
      <c r="L214" s="189">
        <f t="shared" si="190"/>
      </c>
      <c r="M214" s="190">
        <f t="shared" si="412"/>
      </c>
      <c r="N214" s="191">
        <f t="shared" si="2"/>
      </c>
      <c r="O214" s="191">
        <f t="shared" si="295"/>
      </c>
      <c r="P214" s="191">
        <f t="shared" si="340"/>
      </c>
      <c r="Q214" s="191">
        <f t="shared" si="235"/>
      </c>
      <c r="R214" s="191">
        <f t="shared" si="265"/>
      </c>
      <c r="S214" s="191">
        <f t="shared" si="160"/>
      </c>
      <c r="T214" s="191">
        <f t="shared" si="205"/>
      </c>
      <c r="U214" s="189">
        <f t="shared" si="427"/>
      </c>
      <c r="V214" s="189">
        <f t="shared" si="17"/>
      </c>
      <c r="W214" s="189">
        <f t="shared" si="32"/>
      </c>
      <c r="X214" s="189">
        <f t="shared" si="47"/>
      </c>
      <c r="Y214" s="189">
        <f t="shared" si="310"/>
      </c>
      <c r="Z214" s="189">
        <f t="shared" si="355"/>
      </c>
      <c r="AA214" s="190">
        <f t="shared" si="250"/>
      </c>
      <c r="AB214" s="190">
        <f t="shared" si="280"/>
      </c>
      <c r="AC214" s="190">
        <f t="shared" si="175"/>
      </c>
      <c r="AD214" s="189">
        <f t="shared" si="220"/>
      </c>
      <c r="AE214" s="190">
        <f t="shared" si="442"/>
      </c>
      <c r="AF214" s="189">
        <f t="shared" si="62"/>
      </c>
      <c r="AG214" s="189">
        <f t="shared" si="325"/>
      </c>
      <c r="AH214" s="192">
        <v>3337</v>
      </c>
      <c r="AI214" s="192">
        <v>95</v>
      </c>
      <c r="AJ214" s="192">
        <v>110</v>
      </c>
      <c r="AK214" s="192">
        <v>33</v>
      </c>
      <c r="AL214" s="192">
        <v>1</v>
      </c>
      <c r="AM214" s="192">
        <v>1</v>
      </c>
      <c r="AN214" s="192">
        <v>22</v>
      </c>
      <c r="AO214" s="192">
        <v>51</v>
      </c>
      <c r="AP214" s="192">
        <v>1</v>
      </c>
      <c r="AQ214" s="187">
        <v>0</v>
      </c>
      <c r="AR214" s="213">
        <f t="shared" si="373"/>
      </c>
    </row>
    <row r="215">
      <c r="A215" s="182"/>
      <c r="B215" s="197" t="s">
        <v>197</v>
      </c>
      <c r="C215" s="197"/>
      <c r="D215" s="197"/>
      <c r="E215" s="197"/>
      <c r="F215" s="198">
        <f>SUM(F211:F214)</f>
      </c>
      <c r="G215" s="198">
        <f>SUM(G211:G214)</f>
      </c>
      <c r="H215" s="198">
        <f>SUM(H211:H214)</f>
      </c>
      <c r="I215" s="199">
        <f>SUM(I211:I214)</f>
      </c>
      <c r="J215" s="199">
        <f>SUM(J211:J214)</f>
      </c>
      <c r="K215" s="198">
        <f>SUM(K211:K214)</f>
      </c>
      <c r="L215" s="200">
        <f t="shared" si="190"/>
      </c>
      <c r="M215" s="201">
        <f t="shared" si="412"/>
      </c>
      <c r="N215" s="202">
        <f t="shared" si="2"/>
      </c>
      <c r="O215" s="202">
        <f t="shared" si="295"/>
      </c>
      <c r="P215" s="202">
        <f t="shared" si="340"/>
      </c>
      <c r="Q215" s="202">
        <f t="shared" si="235"/>
      </c>
      <c r="R215" s="202">
        <f t="shared" si="265"/>
      </c>
      <c r="S215" s="202">
        <f t="shared" si="160"/>
      </c>
      <c r="T215" s="202">
        <f t="shared" si="205"/>
      </c>
      <c r="U215" s="200">
        <f t="shared" si="427"/>
      </c>
      <c r="V215" s="200">
        <f t="shared" si="17"/>
      </c>
      <c r="W215" s="200">
        <f t="shared" si="32"/>
      </c>
      <c r="X215" s="200">
        <f t="shared" si="47"/>
      </c>
      <c r="Y215" s="200">
        <f t="shared" si="310"/>
      </c>
      <c r="Z215" s="200">
        <f t="shared" si="355"/>
      </c>
      <c r="AA215" s="201">
        <f t="shared" si="250"/>
      </c>
      <c r="AB215" s="201">
        <f t="shared" si="280"/>
      </c>
      <c r="AC215" s="201">
        <f t="shared" si="175"/>
      </c>
      <c r="AD215" s="200">
        <f t="shared" si="220"/>
      </c>
      <c r="AE215" s="201">
        <f t="shared" si="442"/>
      </c>
      <c r="AF215" s="200">
        <f t="shared" si="62"/>
      </c>
      <c r="AG215" s="200">
        <f t="shared" si="325"/>
      </c>
      <c r="AH215" s="199">
        <f>SUM(AH211:AH214)</f>
      </c>
      <c r="AI215" s="199">
        <f>SUM(AI211:AI214)</f>
      </c>
      <c r="AJ215" s="199">
        <f>SUM(AJ211:AJ214)</f>
      </c>
      <c r="AK215" s="199">
        <f>SUM(AK211:AK214)</f>
      </c>
      <c r="AL215" s="199">
        <f>SUM(AL211:AL214)</f>
      </c>
      <c r="AM215" s="199">
        <f>SUM(AM211:AM214)</f>
      </c>
      <c r="AN215" s="199">
        <f>SUM(AN211:AN214)</f>
      </c>
      <c r="AO215" s="199">
        <f>SUM(AO211:AO214)</f>
      </c>
      <c r="AP215" s="199">
        <f>SUM(AP211:AP214)</f>
      </c>
      <c r="AQ215" s="199">
        <f>SUM(AQ211:AQ214)</f>
      </c>
      <c r="AR215" s="203">
        <f>SUM(AR211:AR214)</f>
      </c>
    </row>
    <row r="216">
      <c r="A216" s="182"/>
      <c r="B216" s="205" t="s">
        <v>205</v>
      </c>
      <c r="C216" s="205"/>
      <c r="D216" s="205"/>
      <c r="E216" s="205"/>
      <c r="F216" s="206">
        <f>H216+G216</f>
      </c>
      <c r="G216" s="206">
        <f>G215+G210</f>
      </c>
      <c r="H216" s="206">
        <f>H215+H210</f>
      </c>
      <c r="I216" s="206">
        <f>I215+I210</f>
      </c>
      <c r="J216" s="206">
        <f>J215+J210</f>
      </c>
      <c r="K216" s="206">
        <f>K215+K210</f>
      </c>
      <c r="L216" s="207">
        <f t="shared" si="190"/>
      </c>
      <c r="M216" s="208">
        <f t="shared" si="412"/>
      </c>
      <c r="N216" s="209">
        <f t="shared" si="2"/>
      </c>
      <c r="O216" s="209">
        <f t="shared" si="295"/>
      </c>
      <c r="P216" s="209">
        <f t="shared" si="340"/>
      </c>
      <c r="Q216" s="209">
        <f t="shared" si="235"/>
      </c>
      <c r="R216" s="209">
        <f t="shared" si="265"/>
      </c>
      <c r="S216" s="209">
        <f t="shared" si="160"/>
      </c>
      <c r="T216" s="209">
        <f t="shared" si="205"/>
      </c>
      <c r="U216" s="207">
        <f t="shared" si="427"/>
      </c>
      <c r="V216" s="207">
        <f t="shared" si="17"/>
      </c>
      <c r="W216" s="207">
        <f t="shared" si="32"/>
      </c>
      <c r="X216" s="207">
        <f t="shared" si="47"/>
      </c>
      <c r="Y216" s="207">
        <f t="shared" si="310"/>
      </c>
      <c r="Z216" s="207">
        <f t="shared" si="355"/>
      </c>
      <c r="AA216" s="208">
        <f t="shared" si="250"/>
      </c>
      <c r="AB216" s="208">
        <f t="shared" si="280"/>
      </c>
      <c r="AC216" s="208">
        <f t="shared" si="175"/>
      </c>
      <c r="AD216" s="207">
        <f t="shared" si="220"/>
      </c>
      <c r="AE216" s="208">
        <f t="shared" si="442"/>
      </c>
      <c r="AF216" s="207">
        <f t="shared" si="62"/>
      </c>
      <c r="AG216" s="207">
        <f t="shared" si="325"/>
      </c>
      <c r="AH216" s="203">
        <f>AH215+AH210</f>
      </c>
      <c r="AI216" s="203">
        <f>AI215+AI210</f>
      </c>
      <c r="AJ216" s="203">
        <f>AJ215+AJ210</f>
      </c>
      <c r="AK216" s="203">
        <f>AK215+AK210</f>
      </c>
      <c r="AL216" s="203">
        <f>AL215+AL210</f>
      </c>
      <c r="AM216" s="203">
        <f>AM215+AM210</f>
      </c>
      <c r="AN216" s="203">
        <f>AN215+AN210</f>
      </c>
      <c r="AO216" s="203">
        <f>AO215+AO210</f>
      </c>
      <c r="AP216" s="203">
        <f>AP215+AP210</f>
      </c>
      <c r="AQ216" s="203">
        <f>AQ215+AQ210</f>
      </c>
      <c r="AR216" s="203">
        <f>AR215+AR210</f>
      </c>
    </row>
    <row r="217">
      <c r="A217" s="159"/>
      <c r="B217" s="159"/>
      <c r="C217" s="159"/>
      <c r="D217" s="159"/>
      <c r="E217" s="159"/>
      <c r="F217" s="160" t="s">
        <v>143</v>
      </c>
      <c r="G217" s="160"/>
      <c r="H217" s="160"/>
      <c r="I217" s="160"/>
      <c r="J217" s="160"/>
      <c r="K217" s="160"/>
      <c r="L217" s="160"/>
      <c r="M217" s="160"/>
      <c r="N217" s="160"/>
      <c r="O217" s="160"/>
      <c r="P217" s="160"/>
      <c r="Q217" s="161" t="s">
        <v>144</v>
      </c>
      <c r="R217" s="161"/>
      <c r="S217" s="161"/>
      <c r="T217" s="161"/>
      <c r="U217" s="161"/>
      <c r="V217" s="161"/>
      <c r="W217" s="161"/>
      <c r="X217" s="161"/>
      <c r="Y217" s="161"/>
      <c r="Z217" s="161"/>
      <c r="AA217" s="161"/>
      <c r="AB217" s="161"/>
      <c r="AC217" s="162" t="s">
        <v>145</v>
      </c>
      <c r="AD217" s="162"/>
      <c r="AE217" s="162"/>
      <c r="AF217" s="162"/>
      <c r="AG217" s="162"/>
      <c r="AH217" s="163" t="s">
        <v>146</v>
      </c>
      <c r="AI217" s="163"/>
      <c r="AJ217" s="163"/>
      <c r="AK217" s="163"/>
      <c r="AL217" s="163"/>
      <c r="AM217" s="163"/>
      <c r="AN217" s="163"/>
      <c r="AO217" s="163"/>
      <c r="AP217" s="163"/>
      <c r="AQ217" s="163"/>
      <c r="AR217" s="163"/>
    </row>
    <row r="218">
      <c r="A218" s="164" t="s">
        <v>147</v>
      </c>
      <c r="B218" s="165" t="s">
        <v>148</v>
      </c>
      <c r="C218" s="165" t="s">
        <v>149</v>
      </c>
      <c r="D218" s="166" t="s">
        <v>150</v>
      </c>
      <c r="E218" s="167" t="s">
        <v>151</v>
      </c>
      <c r="F218" s="168" t="s">
        <v>152</v>
      </c>
      <c r="G218" s="169" t="s">
        <v>153</v>
      </c>
      <c r="H218" s="170" t="s">
        <v>154</v>
      </c>
      <c r="I218" s="171" t="s">
        <v>155</v>
      </c>
      <c r="J218" s="171" t="s">
        <v>156</v>
      </c>
      <c r="K218" s="170" t="s">
        <v>157</v>
      </c>
      <c r="L218" s="172" t="s">
        <v>158</v>
      </c>
      <c r="M218" s="173" t="s">
        <v>159</v>
      </c>
      <c r="N218" s="174" t="s">
        <v>160</v>
      </c>
      <c r="O218" s="174" t="s">
        <v>161</v>
      </c>
      <c r="P218" s="175" t="s">
        <v>162</v>
      </c>
      <c r="Q218" s="161" t="s">
        <v>163</v>
      </c>
      <c r="R218" s="176" t="s">
        <v>164</v>
      </c>
      <c r="S218" s="176" t="s">
        <v>165</v>
      </c>
      <c r="T218" s="176" t="s">
        <v>166</v>
      </c>
      <c r="U218" s="177" t="s">
        <v>167</v>
      </c>
      <c r="V218" s="177" t="s">
        <v>168</v>
      </c>
      <c r="W218" s="177" t="s">
        <v>169</v>
      </c>
      <c r="X218" s="177" t="s">
        <v>170</v>
      </c>
      <c r="Y218" s="177" t="s">
        <v>171</v>
      </c>
      <c r="Z218" s="177" t="s">
        <v>172</v>
      </c>
      <c r="AA218" s="178" t="s">
        <v>173</v>
      </c>
      <c r="AB218" s="178" t="s">
        <v>174</v>
      </c>
      <c r="AC218" s="162" t="s">
        <v>175</v>
      </c>
      <c r="AD218" s="179" t="s">
        <v>176</v>
      </c>
      <c r="AE218" s="162" t="s">
        <v>177</v>
      </c>
      <c r="AF218" s="179" t="s">
        <v>178</v>
      </c>
      <c r="AG218" s="179" t="s">
        <v>179</v>
      </c>
      <c r="AH218" s="180" t="s">
        <v>180</v>
      </c>
      <c r="AI218" s="180" t="s">
        <v>181</v>
      </c>
      <c r="AJ218" s="180" t="s">
        <v>182</v>
      </c>
      <c r="AK218" s="180" t="s">
        <v>183</v>
      </c>
      <c r="AL218" s="180" t="s">
        <v>184</v>
      </c>
      <c r="AM218" s="180" t="s">
        <v>185</v>
      </c>
      <c r="AN218" s="180" t="s">
        <v>186</v>
      </c>
      <c r="AO218" s="180" t="s">
        <v>187</v>
      </c>
      <c r="AP218" s="180" t="s">
        <v>188</v>
      </c>
      <c r="AQ218" s="180" t="s">
        <v>189</v>
      </c>
      <c r="AR218" s="181" t="s">
        <v>190</v>
      </c>
    </row>
    <row r="219">
      <c r="A219" s="182">
        <v>46284</v>
      </c>
      <c r="B219" s="184" t="s">
        <v>191</v>
      </c>
      <c r="C219" s="184" t="s">
        <v>192</v>
      </c>
      <c r="D219" s="183" t="s">
        <v>206</v>
      </c>
      <c r="E219" s="183" t="s">
        <v>209</v>
      </c>
      <c r="F219" s="185">
        <f t="shared" ref="F219:F222" si="122">H219+G219</f>
      </c>
      <c r="G219" s="204">
        <v>476.01</v>
      </c>
      <c r="H219" s="204">
        <v>418.45</v>
      </c>
      <c r="I219" s="187">
        <v>2</v>
      </c>
      <c r="J219" s="187">
        <v>2</v>
      </c>
      <c r="K219" s="188">
        <v>1766.1999999999998</v>
      </c>
      <c r="L219" s="189">
        <f t="shared" ref="L219:L234" si="191">AQ219/J219</f>
      </c>
      <c r="M219" s="190">
        <f t="shared" ref="M219:M234" si="413">K219/J219</f>
      </c>
      <c r="N219" s="191">
        <f t="shared" ref="N219:N234" si="3">F219/J219</f>
      </c>
      <c r="O219" s="191">
        <f t="shared" ref="O219:O234" si="296">K219/F219</f>
      </c>
      <c r="P219" s="191">
        <f t="shared" ref="P219:P234" si="341">K219/((300*AR219)+F219)</f>
      </c>
      <c r="Q219" s="191">
        <f t="shared" ref="Q219:Q234" si="236">F219/AJ219</f>
      </c>
      <c r="R219" s="191">
        <f t="shared" ref="R219:R234" si="266">F219/AK219</f>
      </c>
      <c r="S219" s="191">
        <f t="shared" ref="S219:S234" si="161">F219/AL219</f>
      </c>
      <c r="T219" s="191">
        <f t="shared" ref="T219:T234" si="206">F219/AM219</f>
      </c>
      <c r="U219" s="189">
        <f t="shared" ref="U219:U234" si="428">AI219/AJ219</f>
      </c>
      <c r="V219" s="189">
        <f t="shared" ref="V219:V234" si="18">AK219/AJ219</f>
      </c>
      <c r="W219" s="189">
        <f t="shared" ref="W219:W234" si="33">AL219/AK219</f>
      </c>
      <c r="X219" s="189">
        <f t="shared" ref="X219:X234" si="48">AM219/AL219</f>
      </c>
      <c r="Y219" s="189">
        <f t="shared" ref="Y219:Y234" si="311">AI219/AH219</f>
      </c>
      <c r="Z219" s="189">
        <f t="shared" ref="Z219:Z234" si="356">AM219/AI219</f>
      </c>
      <c r="AA219" s="190">
        <f t="shared" ref="AA219:AA234" si="251">F219/AH219*1000</f>
      </c>
      <c r="AB219" s="190">
        <f t="shared" ref="AB219:AB234" si="281">F219/AI219</f>
      </c>
      <c r="AC219" s="190">
        <f t="shared" ref="AC219:AC234" si="176">F219/AN219</f>
      </c>
      <c r="AD219" s="189">
        <f t="shared" ref="AD219:AD234" si="221">AN219/AJ219</f>
      </c>
      <c r="AE219" s="190">
        <f t="shared" ref="AE219:AE234" si="443">F219/AO219</f>
      </c>
      <c r="AF219" s="189">
        <f t="shared" ref="AF219:AF234" si="63">AO219/AJ219</f>
      </c>
      <c r="AG219" s="189">
        <f t="shared" ref="AG219:AG234" si="326">AP219/AJ219</f>
      </c>
      <c r="AH219" s="192">
        <v>4660</v>
      </c>
      <c r="AI219" s="193">
        <v>156</v>
      </c>
      <c r="AJ219" s="193">
        <v>166</v>
      </c>
      <c r="AK219" s="192">
        <v>24</v>
      </c>
      <c r="AL219" s="192">
        <v>1</v>
      </c>
      <c r="AM219" s="192">
        <v>1</v>
      </c>
      <c r="AN219" s="192">
        <v>26</v>
      </c>
      <c r="AO219" s="192">
        <v>24</v>
      </c>
      <c r="AP219" s="192">
        <v>4</v>
      </c>
      <c r="AQ219" s="187">
        <v>0</v>
      </c>
      <c r="AR219" s="213">
        <f t="shared" ref="AR219:AR222" si="374">COUNT(AQ219)</f>
      </c>
    </row>
    <row r="220">
      <c r="A220" s="182"/>
      <c r="B220" s="184" t="s">
        <v>191</v>
      </c>
      <c r="C220" s="184" t="s">
        <v>192</v>
      </c>
      <c r="D220" s="183" t="s">
        <v>206</v>
      </c>
      <c r="E220" s="183" t="s">
        <v>210</v>
      </c>
      <c r="F220" s="185">
        <f t="shared" si="122"/>
      </c>
      <c r="G220" s="212">
        <v>530.39</v>
      </c>
      <c r="H220" s="204">
        <v>281.87</v>
      </c>
      <c r="I220" s="187">
        <v>1</v>
      </c>
      <c r="J220" s="187">
        <v>0</v>
      </c>
      <c r="K220" s="188">
        <v>0</v>
      </c>
      <c r="L220" s="189">
        <f t="shared" si="191"/>
      </c>
      <c r="M220" s="190">
        <f t="shared" si="413"/>
      </c>
      <c r="N220" s="191">
        <f t="shared" si="3"/>
      </c>
      <c r="O220" s="191">
        <f t="shared" si="296"/>
      </c>
      <c r="P220" s="191">
        <f t="shared" si="341"/>
      </c>
      <c r="Q220" s="191">
        <f t="shared" si="236"/>
      </c>
      <c r="R220" s="191">
        <f t="shared" si="266"/>
      </c>
      <c r="S220" s="191">
        <f t="shared" si="161"/>
      </c>
      <c r="T220" s="191">
        <f t="shared" si="206"/>
      </c>
      <c r="U220" s="189">
        <f t="shared" si="428"/>
      </c>
      <c r="V220" s="189">
        <f t="shared" si="18"/>
      </c>
      <c r="W220" s="189">
        <f t="shared" si="33"/>
      </c>
      <c r="X220" s="189">
        <f t="shared" si="48"/>
      </c>
      <c r="Y220" s="189">
        <f t="shared" si="311"/>
      </c>
      <c r="Z220" s="189">
        <f t="shared" si="356"/>
      </c>
      <c r="AA220" s="190">
        <f t="shared" si="251"/>
      </c>
      <c r="AB220" s="190">
        <f t="shared" si="281"/>
      </c>
      <c r="AC220" s="190">
        <f t="shared" si="176"/>
      </c>
      <c r="AD220" s="189">
        <f t="shared" si="221"/>
      </c>
      <c r="AE220" s="190">
        <f t="shared" si="443"/>
      </c>
      <c r="AF220" s="189">
        <f t="shared" si="63"/>
      </c>
      <c r="AG220" s="189">
        <f t="shared" si="326"/>
      </c>
      <c r="AH220" s="192">
        <v>4283</v>
      </c>
      <c r="AI220" s="192">
        <v>122</v>
      </c>
      <c r="AJ220" s="192">
        <v>133</v>
      </c>
      <c r="AK220" s="192">
        <v>30</v>
      </c>
      <c r="AL220" s="192">
        <v>1</v>
      </c>
      <c r="AM220" s="192">
        <v>0</v>
      </c>
      <c r="AN220" s="192">
        <v>22</v>
      </c>
      <c r="AO220" s="192">
        <v>41</v>
      </c>
      <c r="AP220" s="192">
        <v>2</v>
      </c>
      <c r="AQ220" s="187">
        <v>0</v>
      </c>
      <c r="AR220" s="213">
        <f t="shared" si="374"/>
      </c>
    </row>
    <row r="221">
      <c r="A221" s="182"/>
      <c r="B221" s="184" t="s">
        <v>191</v>
      </c>
      <c r="C221" s="184" t="s">
        <v>192</v>
      </c>
      <c r="D221" s="183" t="s">
        <v>206</v>
      </c>
      <c r="E221" s="183" t="s">
        <v>211</v>
      </c>
      <c r="F221" s="185">
        <f t="shared" si="122"/>
      </c>
      <c r="G221" s="204">
        <v>604.12</v>
      </c>
      <c r="H221" s="204">
        <v>386.63</v>
      </c>
      <c r="I221" s="187">
        <v>3</v>
      </c>
      <c r="J221" s="187">
        <v>4</v>
      </c>
      <c r="K221" s="188">
        <v>2629.2</v>
      </c>
      <c r="L221" s="189">
        <f t="shared" si="191"/>
      </c>
      <c r="M221" s="190">
        <f t="shared" si="413"/>
      </c>
      <c r="N221" s="191">
        <f t="shared" si="3"/>
      </c>
      <c r="O221" s="191">
        <f t="shared" si="296"/>
      </c>
      <c r="P221" s="191">
        <f t="shared" si="341"/>
      </c>
      <c r="Q221" s="191">
        <f t="shared" si="236"/>
      </c>
      <c r="R221" s="191">
        <f t="shared" si="266"/>
      </c>
      <c r="S221" s="191">
        <f t="shared" si="161"/>
      </c>
      <c r="T221" s="191">
        <f t="shared" si="206"/>
      </c>
      <c r="U221" s="189">
        <f t="shared" si="428"/>
      </c>
      <c r="V221" s="189">
        <f t="shared" si="18"/>
      </c>
      <c r="W221" s="189">
        <f t="shared" si="33"/>
      </c>
      <c r="X221" s="189">
        <f t="shared" si="48"/>
      </c>
      <c r="Y221" s="189">
        <f t="shared" si="311"/>
      </c>
      <c r="Z221" s="189">
        <f t="shared" si="356"/>
      </c>
      <c r="AA221" s="190">
        <f t="shared" si="251"/>
      </c>
      <c r="AB221" s="190">
        <f t="shared" si="281"/>
      </c>
      <c r="AC221" s="190">
        <f t="shared" si="176"/>
      </c>
      <c r="AD221" s="189">
        <f t="shared" si="221"/>
      </c>
      <c r="AE221" s="190">
        <f t="shared" si="443"/>
      </c>
      <c r="AF221" s="189">
        <f t="shared" si="63"/>
      </c>
      <c r="AG221" s="189">
        <f t="shared" si="326"/>
      </c>
      <c r="AH221" s="192">
        <v>5238</v>
      </c>
      <c r="AI221" s="192">
        <v>159</v>
      </c>
      <c r="AJ221" s="192">
        <v>168</v>
      </c>
      <c r="AK221" s="192">
        <v>40</v>
      </c>
      <c r="AL221" s="187">
        <v>3</v>
      </c>
      <c r="AM221" s="192">
        <v>3</v>
      </c>
      <c r="AN221" s="192">
        <v>30</v>
      </c>
      <c r="AO221" s="192">
        <v>37</v>
      </c>
      <c r="AP221" s="192">
        <v>5</v>
      </c>
      <c r="AQ221" s="187">
        <v>1</v>
      </c>
      <c r="AR221" s="213">
        <f t="shared" si="374"/>
      </c>
    </row>
    <row r="222">
      <c r="A222" s="182"/>
      <c r="B222" s="184" t="s">
        <v>191</v>
      </c>
      <c r="C222" s="184" t="s">
        <v>192</v>
      </c>
      <c r="D222" s="183" t="s">
        <v>206</v>
      </c>
      <c r="E222" s="183" t="s">
        <v>212</v>
      </c>
      <c r="F222" s="185">
        <f t="shared" si="122"/>
      </c>
      <c r="G222" s="204">
        <v>587.68</v>
      </c>
      <c r="H222" s="204">
        <v>459.13</v>
      </c>
      <c r="I222" s="187">
        <v>5</v>
      </c>
      <c r="J222" s="187">
        <v>4</v>
      </c>
      <c r="K222" s="188">
        <v>2710.800000000001</v>
      </c>
      <c r="L222" s="189">
        <f t="shared" si="191"/>
      </c>
      <c r="M222" s="190">
        <f t="shared" si="413"/>
      </c>
      <c r="N222" s="191">
        <f t="shared" si="3"/>
      </c>
      <c r="O222" s="191">
        <f t="shared" si="296"/>
      </c>
      <c r="P222" s="191">
        <f t="shared" si="341"/>
      </c>
      <c r="Q222" s="191">
        <f t="shared" si="236"/>
      </c>
      <c r="R222" s="191">
        <f t="shared" si="266"/>
      </c>
      <c r="S222" s="191">
        <f t="shared" si="161"/>
      </c>
      <c r="T222" s="191">
        <f t="shared" si="206"/>
      </c>
      <c r="U222" s="189">
        <f t="shared" si="428"/>
      </c>
      <c r="V222" s="189">
        <f t="shared" si="18"/>
      </c>
      <c r="W222" s="189">
        <f t="shared" si="33"/>
      </c>
      <c r="X222" s="189">
        <f t="shared" si="48"/>
      </c>
      <c r="Y222" s="189">
        <f t="shared" si="311"/>
      </c>
      <c r="Z222" s="189">
        <f t="shared" si="356"/>
      </c>
      <c r="AA222" s="190">
        <f t="shared" si="251"/>
      </c>
      <c r="AB222" s="190">
        <f t="shared" si="281"/>
      </c>
      <c r="AC222" s="190">
        <f t="shared" si="176"/>
      </c>
      <c r="AD222" s="189">
        <f t="shared" si="221"/>
      </c>
      <c r="AE222" s="190">
        <f t="shared" si="443"/>
      </c>
      <c r="AF222" s="189">
        <f t="shared" si="63"/>
      </c>
      <c r="AG222" s="189">
        <f t="shared" si="326"/>
      </c>
      <c r="AH222" s="192">
        <v>5371</v>
      </c>
      <c r="AI222" s="192">
        <v>164</v>
      </c>
      <c r="AJ222" s="192">
        <v>189</v>
      </c>
      <c r="AK222" s="192">
        <v>37</v>
      </c>
      <c r="AL222" s="187">
        <v>4</v>
      </c>
      <c r="AM222" s="192">
        <v>3</v>
      </c>
      <c r="AN222" s="192">
        <v>33</v>
      </c>
      <c r="AO222" s="192">
        <v>44</v>
      </c>
      <c r="AP222" s="192">
        <v>7</v>
      </c>
      <c r="AQ222" s="187">
        <v>1</v>
      </c>
      <c r="AR222" s="213">
        <f t="shared" si="374"/>
      </c>
    </row>
    <row r="223">
      <c r="A223" s="182"/>
      <c r="B223" s="197" t="s">
        <v>197</v>
      </c>
      <c r="C223" s="197"/>
      <c r="D223" s="197"/>
      <c r="E223" s="197"/>
      <c r="F223" s="198">
        <f>SUM(F219:F222)</f>
      </c>
      <c r="G223" s="198">
        <f>SUM(G219:G222)</f>
      </c>
      <c r="H223" s="198">
        <f>SUM(H219:H222)</f>
      </c>
      <c r="I223" s="199">
        <f>SUM(I219:I222)</f>
      </c>
      <c r="J223" s="199">
        <f>SUM(J219:J222)</f>
      </c>
      <c r="K223" s="198">
        <f>SUM(K219:K222)</f>
      </c>
      <c r="L223" s="200">
        <f t="shared" si="191"/>
      </c>
      <c r="M223" s="201">
        <f t="shared" si="413"/>
      </c>
      <c r="N223" s="202">
        <f t="shared" si="3"/>
      </c>
      <c r="O223" s="202">
        <f t="shared" si="296"/>
      </c>
      <c r="P223" s="202">
        <f t="shared" si="341"/>
      </c>
      <c r="Q223" s="202">
        <f t="shared" si="236"/>
      </c>
      <c r="R223" s="202">
        <f t="shared" si="266"/>
      </c>
      <c r="S223" s="202">
        <f t="shared" si="161"/>
      </c>
      <c r="T223" s="202">
        <f t="shared" si="206"/>
      </c>
      <c r="U223" s="200">
        <f t="shared" si="428"/>
      </c>
      <c r="V223" s="200">
        <f t="shared" si="18"/>
      </c>
      <c r="W223" s="200">
        <f t="shared" si="33"/>
      </c>
      <c r="X223" s="200">
        <f t="shared" si="48"/>
      </c>
      <c r="Y223" s="200">
        <f t="shared" si="311"/>
      </c>
      <c r="Z223" s="200">
        <f t="shared" si="356"/>
      </c>
      <c r="AA223" s="201">
        <f t="shared" si="251"/>
      </c>
      <c r="AB223" s="201">
        <f t="shared" si="281"/>
      </c>
      <c r="AC223" s="201">
        <f t="shared" si="176"/>
      </c>
      <c r="AD223" s="200">
        <f t="shared" si="221"/>
      </c>
      <c r="AE223" s="201">
        <f t="shared" si="443"/>
      </c>
      <c r="AF223" s="200">
        <f t="shared" si="63"/>
      </c>
      <c r="AG223" s="200">
        <f t="shared" si="326"/>
      </c>
      <c r="AH223" s="199">
        <f>SUM(AH219:AH222)</f>
      </c>
      <c r="AI223" s="199">
        <f>SUM(AI219:AI222)</f>
      </c>
      <c r="AJ223" s="199">
        <f>SUM(AJ219:AJ222)</f>
      </c>
      <c r="AK223" s="199">
        <f>SUM(AK219:AK222)</f>
      </c>
      <c r="AL223" s="199">
        <f>SUM(AL219:AL222)</f>
      </c>
      <c r="AM223" s="199">
        <f>SUM(AM219:AM222)</f>
      </c>
      <c r="AN223" s="199">
        <f>SUM(AN219:AN222)</f>
      </c>
      <c r="AO223" s="199">
        <f>SUM(AO219:AO222)</f>
      </c>
      <c r="AP223" s="199">
        <f>SUM(AP219:AP222)</f>
      </c>
      <c r="AQ223" s="199">
        <f>SUM(AQ219:AQ222)</f>
      </c>
      <c r="AR223" s="203">
        <f>SUM(AR219:AR222)</f>
      </c>
    </row>
    <row r="224">
      <c r="A224" s="182"/>
      <c r="B224" s="184" t="s">
        <v>191</v>
      </c>
      <c r="C224" s="184" t="s">
        <v>192</v>
      </c>
      <c r="D224" s="183" t="s">
        <v>207</v>
      </c>
      <c r="E224" s="183" t="s">
        <v>194</v>
      </c>
      <c r="F224" s="185">
        <f t="shared" ref="F224:F227" si="123">H224+G224</f>
      </c>
      <c r="G224" s="204">
        <v>706.75</v>
      </c>
      <c r="H224" s="204">
        <v>348.71</v>
      </c>
      <c r="I224" s="187">
        <v>2</v>
      </c>
      <c r="J224" s="187">
        <v>2</v>
      </c>
      <c r="K224" s="188">
        <v>1336.7999999999993</v>
      </c>
      <c r="L224" s="189">
        <f t="shared" si="191"/>
      </c>
      <c r="M224" s="190">
        <f t="shared" si="413"/>
      </c>
      <c r="N224" s="191">
        <f t="shared" si="3"/>
      </c>
      <c r="O224" s="191">
        <f t="shared" si="296"/>
      </c>
      <c r="P224" s="191">
        <f t="shared" si="341"/>
      </c>
      <c r="Q224" s="191">
        <f t="shared" si="236"/>
      </c>
      <c r="R224" s="191">
        <f t="shared" si="266"/>
      </c>
      <c r="S224" s="191">
        <f t="shared" si="161"/>
      </c>
      <c r="T224" s="191">
        <f t="shared" si="206"/>
      </c>
      <c r="U224" s="189">
        <f t="shared" si="428"/>
      </c>
      <c r="V224" s="189">
        <f t="shared" si="18"/>
      </c>
      <c r="W224" s="189">
        <f t="shared" si="33"/>
      </c>
      <c r="X224" s="189">
        <f t="shared" si="48"/>
      </c>
      <c r="Y224" s="189">
        <f t="shared" si="311"/>
      </c>
      <c r="Z224" s="189">
        <f t="shared" si="356"/>
      </c>
      <c r="AA224" s="190">
        <f t="shared" si="251"/>
      </c>
      <c r="AB224" s="190">
        <f t="shared" si="281"/>
      </c>
      <c r="AC224" s="190">
        <f t="shared" si="176"/>
      </c>
      <c r="AD224" s="189">
        <f t="shared" si="221"/>
      </c>
      <c r="AE224" s="190">
        <f t="shared" si="443"/>
      </c>
      <c r="AF224" s="189">
        <f t="shared" si="63"/>
      </c>
      <c r="AG224" s="189">
        <f t="shared" si="326"/>
      </c>
      <c r="AH224" s="192">
        <v>6520</v>
      </c>
      <c r="AI224" s="192">
        <v>193</v>
      </c>
      <c r="AJ224" s="192">
        <v>209</v>
      </c>
      <c r="AK224" s="192">
        <v>44</v>
      </c>
      <c r="AL224" s="192">
        <v>2</v>
      </c>
      <c r="AM224" s="192">
        <v>2</v>
      </c>
      <c r="AN224" s="192">
        <v>45</v>
      </c>
      <c r="AO224" s="192">
        <v>44</v>
      </c>
      <c r="AP224" s="192">
        <v>4</v>
      </c>
      <c r="AQ224" s="187">
        <v>0</v>
      </c>
      <c r="AR224" s="213">
        <f t="shared" ref="AR224:AR227" si="375">COUNT(AQ224)</f>
      </c>
    </row>
    <row r="225">
      <c r="A225" s="182"/>
      <c r="B225" s="184" t="s">
        <v>191</v>
      </c>
      <c r="C225" s="184" t="s">
        <v>192</v>
      </c>
      <c r="D225" s="183" t="s">
        <v>207</v>
      </c>
      <c r="E225" s="183" t="s">
        <v>195</v>
      </c>
      <c r="F225" s="185">
        <f t="shared" si="123"/>
      </c>
      <c r="G225" s="204">
        <v>767.93</v>
      </c>
      <c r="H225" s="204">
        <v>371.3</v>
      </c>
      <c r="I225" s="187">
        <v>2</v>
      </c>
      <c r="J225" s="192">
        <v>1</v>
      </c>
      <c r="K225" s="196">
        <v>895</v>
      </c>
      <c r="L225" s="189">
        <f t="shared" si="191"/>
      </c>
      <c r="M225" s="190">
        <f t="shared" si="413"/>
      </c>
      <c r="N225" s="191">
        <f t="shared" si="3"/>
      </c>
      <c r="O225" s="191">
        <f t="shared" si="296"/>
      </c>
      <c r="P225" s="191">
        <f t="shared" si="341"/>
      </c>
      <c r="Q225" s="191">
        <f t="shared" si="236"/>
      </c>
      <c r="R225" s="191">
        <f t="shared" si="266"/>
      </c>
      <c r="S225" s="191">
        <f t="shared" si="161"/>
      </c>
      <c r="T225" s="191">
        <f t="shared" si="206"/>
      </c>
      <c r="U225" s="189">
        <f t="shared" si="428"/>
      </c>
      <c r="V225" s="189">
        <f t="shared" si="18"/>
      </c>
      <c r="W225" s="189">
        <f t="shared" si="33"/>
      </c>
      <c r="X225" s="189">
        <f t="shared" si="48"/>
      </c>
      <c r="Y225" s="189">
        <f t="shared" si="311"/>
      </c>
      <c r="Z225" s="189">
        <f t="shared" si="356"/>
      </c>
      <c r="AA225" s="190">
        <f t="shared" si="251"/>
      </c>
      <c r="AB225" s="190">
        <f t="shared" si="281"/>
      </c>
      <c r="AC225" s="190">
        <f t="shared" si="176"/>
      </c>
      <c r="AD225" s="189">
        <f t="shared" si="221"/>
      </c>
      <c r="AE225" s="190">
        <f t="shared" si="443"/>
      </c>
      <c r="AF225" s="189">
        <f t="shared" si="63"/>
      </c>
      <c r="AG225" s="189">
        <f t="shared" si="326"/>
      </c>
      <c r="AH225" s="192">
        <v>7061</v>
      </c>
      <c r="AI225" s="192">
        <v>172</v>
      </c>
      <c r="AJ225" s="192">
        <v>207</v>
      </c>
      <c r="AK225" s="192">
        <v>30</v>
      </c>
      <c r="AL225" s="192">
        <v>1</v>
      </c>
      <c r="AM225" s="192">
        <v>0</v>
      </c>
      <c r="AN225" s="192">
        <v>27</v>
      </c>
      <c r="AO225" s="192">
        <v>20</v>
      </c>
      <c r="AP225" s="192">
        <v>2</v>
      </c>
      <c r="AQ225" s="187">
        <v>0</v>
      </c>
      <c r="AR225" s="213">
        <f t="shared" si="375"/>
      </c>
    </row>
    <row r="226">
      <c r="A226" s="182"/>
      <c r="B226" s="184" t="s">
        <v>191</v>
      </c>
      <c r="C226" s="184" t="s">
        <v>192</v>
      </c>
      <c r="D226" s="183" t="s">
        <v>207</v>
      </c>
      <c r="E226" s="183" t="s">
        <v>196</v>
      </c>
      <c r="F226" s="185">
        <f t="shared" si="123"/>
      </c>
      <c r="G226" s="204">
        <v>477.9</v>
      </c>
      <c r="H226" s="204">
        <v>372.55</v>
      </c>
      <c r="I226" s="187">
        <v>1</v>
      </c>
      <c r="J226" s="187">
        <v>1</v>
      </c>
      <c r="K226" s="188">
        <v>398.40000000000146</v>
      </c>
      <c r="L226" s="189">
        <f t="shared" si="191"/>
      </c>
      <c r="M226" s="190">
        <f t="shared" si="413"/>
      </c>
      <c r="N226" s="191">
        <f t="shared" si="3"/>
      </c>
      <c r="O226" s="191">
        <f t="shared" si="296"/>
      </c>
      <c r="P226" s="191">
        <f t="shared" si="341"/>
      </c>
      <c r="Q226" s="191">
        <f t="shared" si="236"/>
      </c>
      <c r="R226" s="191">
        <f t="shared" si="266"/>
      </c>
      <c r="S226" s="191">
        <f t="shared" si="161"/>
      </c>
      <c r="T226" s="191">
        <f t="shared" si="206"/>
      </c>
      <c r="U226" s="189">
        <f t="shared" si="428"/>
      </c>
      <c r="V226" s="189">
        <f t="shared" si="18"/>
      </c>
      <c r="W226" s="189">
        <f t="shared" si="33"/>
      </c>
      <c r="X226" s="189">
        <f t="shared" si="48"/>
      </c>
      <c r="Y226" s="189">
        <f t="shared" si="311"/>
      </c>
      <c r="Z226" s="189">
        <f t="shared" si="356"/>
      </c>
      <c r="AA226" s="190">
        <f t="shared" si="251"/>
      </c>
      <c r="AB226" s="190">
        <f t="shared" si="281"/>
      </c>
      <c r="AC226" s="190">
        <f t="shared" si="176"/>
      </c>
      <c r="AD226" s="189">
        <f t="shared" si="221"/>
      </c>
      <c r="AE226" s="190">
        <f t="shared" si="443"/>
      </c>
      <c r="AF226" s="189">
        <f t="shared" si="63"/>
      </c>
      <c r="AG226" s="189">
        <f t="shared" si="326"/>
      </c>
      <c r="AH226" s="192">
        <v>5840</v>
      </c>
      <c r="AI226" s="192">
        <v>167</v>
      </c>
      <c r="AJ226" s="192">
        <v>191</v>
      </c>
      <c r="AK226" s="192">
        <v>24</v>
      </c>
      <c r="AL226" s="192">
        <v>1</v>
      </c>
      <c r="AM226" s="192">
        <v>1</v>
      </c>
      <c r="AN226" s="192">
        <v>28</v>
      </c>
      <c r="AO226" s="192">
        <v>25</v>
      </c>
      <c r="AP226" s="192">
        <v>2</v>
      </c>
      <c r="AQ226" s="187">
        <v>0</v>
      </c>
      <c r="AR226" s="213">
        <f t="shared" si="375"/>
      </c>
    </row>
    <row r="227">
      <c r="A227" s="182"/>
      <c r="B227" s="184" t="s">
        <v>191</v>
      </c>
      <c r="C227" s="184" t="s">
        <v>192</v>
      </c>
      <c r="D227" s="183" t="s">
        <v>207</v>
      </c>
      <c r="E227" s="183" t="s">
        <v>199</v>
      </c>
      <c r="F227" s="185">
        <f t="shared" si="123"/>
      </c>
      <c r="G227" s="204">
        <v>613.15</v>
      </c>
      <c r="H227" s="204">
        <v>446.06</v>
      </c>
      <c r="I227" s="187">
        <v>7</v>
      </c>
      <c r="J227" s="187">
        <v>6</v>
      </c>
      <c r="K227" s="188">
        <v>3436.2000000000007</v>
      </c>
      <c r="L227" s="189">
        <f t="shared" si="191"/>
      </c>
      <c r="M227" s="190">
        <f t="shared" si="413"/>
      </c>
      <c r="N227" s="191">
        <f t="shared" si="3"/>
      </c>
      <c r="O227" s="191">
        <f t="shared" si="296"/>
      </c>
      <c r="P227" s="191">
        <f t="shared" si="341"/>
      </c>
      <c r="Q227" s="191">
        <f t="shared" si="236"/>
      </c>
      <c r="R227" s="191">
        <f t="shared" si="266"/>
      </c>
      <c r="S227" s="191">
        <f t="shared" si="161"/>
      </c>
      <c r="T227" s="191">
        <f t="shared" si="206"/>
      </c>
      <c r="U227" s="189">
        <f t="shared" si="428"/>
      </c>
      <c r="V227" s="189">
        <f t="shared" si="18"/>
      </c>
      <c r="W227" s="189">
        <f t="shared" si="33"/>
      </c>
      <c r="X227" s="189">
        <f t="shared" si="48"/>
      </c>
      <c r="Y227" s="189">
        <f t="shared" si="311"/>
      </c>
      <c r="Z227" s="189">
        <f t="shared" si="356"/>
      </c>
      <c r="AA227" s="190">
        <f t="shared" si="251"/>
      </c>
      <c r="AB227" s="190">
        <f t="shared" si="281"/>
      </c>
      <c r="AC227" s="190">
        <f t="shared" si="176"/>
      </c>
      <c r="AD227" s="189">
        <f t="shared" si="221"/>
      </c>
      <c r="AE227" s="190">
        <f t="shared" si="443"/>
      </c>
      <c r="AF227" s="189">
        <f t="shared" si="63"/>
      </c>
      <c r="AG227" s="189">
        <f t="shared" si="326"/>
      </c>
      <c r="AH227" s="192">
        <v>7888</v>
      </c>
      <c r="AI227" s="192">
        <v>203</v>
      </c>
      <c r="AJ227" s="192">
        <v>245</v>
      </c>
      <c r="AK227" s="192">
        <v>40</v>
      </c>
      <c r="AL227" s="192">
        <v>5</v>
      </c>
      <c r="AM227" s="192">
        <v>1</v>
      </c>
      <c r="AN227" s="192">
        <v>44</v>
      </c>
      <c r="AO227" s="192">
        <v>98</v>
      </c>
      <c r="AP227" s="192">
        <v>3</v>
      </c>
      <c r="AQ227" s="187">
        <v>2</v>
      </c>
      <c r="AR227" s="213">
        <f t="shared" si="375"/>
      </c>
    </row>
    <row r="228">
      <c r="A228" s="182"/>
      <c r="B228" s="197" t="s">
        <v>197</v>
      </c>
      <c r="C228" s="197"/>
      <c r="D228" s="197"/>
      <c r="E228" s="197"/>
      <c r="F228" s="198">
        <f>SUM(F224:F227)</f>
      </c>
      <c r="G228" s="198">
        <f>SUM(G224:G227)</f>
      </c>
      <c r="H228" s="198">
        <f>SUM(H224:H227)</f>
      </c>
      <c r="I228" s="199">
        <f>SUM(I224:I227)</f>
      </c>
      <c r="J228" s="199">
        <f>SUM(J224:J227)</f>
      </c>
      <c r="K228" s="198">
        <f>SUM(K224:K227)</f>
      </c>
      <c r="L228" s="200">
        <f t="shared" si="191"/>
      </c>
      <c r="M228" s="201">
        <f t="shared" si="413"/>
      </c>
      <c r="N228" s="202">
        <f t="shared" si="3"/>
      </c>
      <c r="O228" s="202">
        <f t="shared" si="296"/>
      </c>
      <c r="P228" s="202">
        <f t="shared" si="341"/>
      </c>
      <c r="Q228" s="202">
        <f t="shared" si="236"/>
      </c>
      <c r="R228" s="202">
        <f t="shared" si="266"/>
      </c>
      <c r="S228" s="202">
        <f t="shared" si="161"/>
      </c>
      <c r="T228" s="202">
        <f t="shared" si="206"/>
      </c>
      <c r="U228" s="200">
        <f t="shared" si="428"/>
      </c>
      <c r="V228" s="200">
        <f t="shared" si="18"/>
      </c>
      <c r="W228" s="200">
        <f t="shared" si="33"/>
      </c>
      <c r="X228" s="200">
        <f t="shared" si="48"/>
      </c>
      <c r="Y228" s="200">
        <f t="shared" si="311"/>
      </c>
      <c r="Z228" s="200">
        <f t="shared" si="356"/>
      </c>
      <c r="AA228" s="201">
        <f t="shared" si="251"/>
      </c>
      <c r="AB228" s="201">
        <f t="shared" si="281"/>
      </c>
      <c r="AC228" s="201">
        <f t="shared" si="176"/>
      </c>
      <c r="AD228" s="200">
        <f t="shared" si="221"/>
      </c>
      <c r="AE228" s="201">
        <f t="shared" si="443"/>
      </c>
      <c r="AF228" s="200">
        <f t="shared" si="63"/>
      </c>
      <c r="AG228" s="200">
        <f t="shared" si="326"/>
      </c>
      <c r="AH228" s="199">
        <f>SUM(AH224:AH227)</f>
      </c>
      <c r="AI228" s="199">
        <f>SUM(AI224:AI227)</f>
      </c>
      <c r="AJ228" s="199">
        <f>SUM(AJ224:AJ227)</f>
      </c>
      <c r="AK228" s="199">
        <f>SUM(AK224:AK227)</f>
      </c>
      <c r="AL228" s="199">
        <f>SUM(AL224:AL227)</f>
      </c>
      <c r="AM228" s="199">
        <f>SUM(AM224:AM227)</f>
      </c>
      <c r="AN228" s="199">
        <f>SUM(AN224:AN227)</f>
      </c>
      <c r="AO228" s="199">
        <f>SUM(AO224:AO227)</f>
      </c>
      <c r="AP228" s="199">
        <f>SUM(AP224:AP227)</f>
      </c>
      <c r="AQ228" s="199">
        <f>SUM(AQ224:AQ227)</f>
      </c>
      <c r="AR228" s="203">
        <f>SUM(AR224:AR227)</f>
      </c>
    </row>
    <row customHeight="true" ht="16.071428571428573" r="229">
      <c r="A229" s="182"/>
      <c r="B229" s="184" t="s">
        <v>191</v>
      </c>
      <c r="C229" s="184" t="s">
        <v>192</v>
      </c>
      <c r="D229" s="183" t="s">
        <v>201</v>
      </c>
      <c r="E229" s="183" t="s">
        <v>200</v>
      </c>
      <c r="F229" s="185">
        <f t="shared" ref="F229:F232" si="124">H229+G229</f>
      </c>
      <c r="G229" s="204">
        <v>867.58</v>
      </c>
      <c r="H229" s="204">
        <v>610.98</v>
      </c>
      <c r="I229" s="187">
        <v>3</v>
      </c>
      <c r="J229" s="192">
        <v>2</v>
      </c>
      <c r="K229" s="196">
        <v>1243.2000000000007</v>
      </c>
      <c r="L229" s="189">
        <f t="shared" si="191"/>
      </c>
      <c r="M229" s="190">
        <f t="shared" si="413"/>
      </c>
      <c r="N229" s="191">
        <f t="shared" si="3"/>
      </c>
      <c r="O229" s="191">
        <f t="shared" si="296"/>
      </c>
      <c r="P229" s="191">
        <f t="shared" si="341"/>
      </c>
      <c r="Q229" s="191">
        <f t="shared" si="236"/>
      </c>
      <c r="R229" s="191">
        <f t="shared" si="266"/>
      </c>
      <c r="S229" s="191">
        <f t="shared" si="161"/>
      </c>
      <c r="T229" s="191">
        <f t="shared" si="206"/>
      </c>
      <c r="U229" s="189">
        <f t="shared" si="428"/>
      </c>
      <c r="V229" s="189">
        <f t="shared" si="18"/>
      </c>
      <c r="W229" s="189">
        <f t="shared" si="33"/>
      </c>
      <c r="X229" s="189">
        <f t="shared" si="48"/>
      </c>
      <c r="Y229" s="189">
        <f t="shared" si="311"/>
      </c>
      <c r="Z229" s="189">
        <f t="shared" si="356"/>
      </c>
      <c r="AA229" s="190">
        <f t="shared" si="251"/>
      </c>
      <c r="AB229" s="190">
        <f t="shared" si="281"/>
      </c>
      <c r="AC229" s="190">
        <f t="shared" si="176"/>
      </c>
      <c r="AD229" s="189">
        <f t="shared" si="221"/>
      </c>
      <c r="AE229" s="190">
        <f t="shared" si="443"/>
      </c>
      <c r="AF229" s="189">
        <f t="shared" si="63"/>
      </c>
      <c r="AG229" s="189">
        <f t="shared" si="326"/>
      </c>
      <c r="AH229" s="192">
        <v>9943</v>
      </c>
      <c r="AI229" s="192">
        <v>248</v>
      </c>
      <c r="AJ229" s="192">
        <v>290</v>
      </c>
      <c r="AK229" s="192">
        <v>47</v>
      </c>
      <c r="AL229" s="192">
        <v>4</v>
      </c>
      <c r="AM229" s="192">
        <v>4</v>
      </c>
      <c r="AN229" s="192">
        <v>40</v>
      </c>
      <c r="AO229" s="192">
        <v>30</v>
      </c>
      <c r="AP229" s="192">
        <v>8</v>
      </c>
      <c r="AQ229" s="187">
        <v>0</v>
      </c>
      <c r="AR229" s="213">
        <f t="shared" ref="AR229:AR232" si="376">COUNT(AQ229)</f>
      </c>
    </row>
    <row customHeight="true" ht="16.071428571428573" r="230">
      <c r="A230" s="182"/>
      <c r="B230" s="184" t="s">
        <v>191</v>
      </c>
      <c r="C230" s="184" t="s">
        <v>192</v>
      </c>
      <c r="D230" s="183" t="s">
        <v>201</v>
      </c>
      <c r="E230" s="184" t="s">
        <v>202</v>
      </c>
      <c r="F230" s="185">
        <f t="shared" si="124"/>
      </c>
      <c r="G230" s="204">
        <v>933.19</v>
      </c>
      <c r="H230" s="204">
        <v>936.97</v>
      </c>
      <c r="I230" s="187">
        <v>6</v>
      </c>
      <c r="J230" s="192">
        <v>4</v>
      </c>
      <c r="K230" s="188">
        <v>3061.8</v>
      </c>
      <c r="L230" s="189">
        <f t="shared" si="191"/>
      </c>
      <c r="M230" s="190">
        <f t="shared" si="413"/>
      </c>
      <c r="N230" s="191">
        <f t="shared" si="3"/>
      </c>
      <c r="O230" s="191">
        <f t="shared" si="296"/>
      </c>
      <c r="P230" s="191">
        <f t="shared" si="341"/>
      </c>
      <c r="Q230" s="191">
        <f t="shared" si="236"/>
      </c>
      <c r="R230" s="191">
        <f t="shared" si="266"/>
      </c>
      <c r="S230" s="191">
        <f t="shared" si="161"/>
      </c>
      <c r="T230" s="191">
        <f t="shared" si="206"/>
      </c>
      <c r="U230" s="189">
        <f t="shared" si="428"/>
      </c>
      <c r="V230" s="189">
        <f t="shared" si="18"/>
      </c>
      <c r="W230" s="189">
        <f t="shared" si="33"/>
      </c>
      <c r="X230" s="189">
        <f t="shared" si="48"/>
      </c>
      <c r="Y230" s="189">
        <f t="shared" si="311"/>
      </c>
      <c r="Z230" s="189">
        <f t="shared" si="356"/>
      </c>
      <c r="AA230" s="190">
        <f t="shared" si="251"/>
      </c>
      <c r="AB230" s="190">
        <f t="shared" si="281"/>
      </c>
      <c r="AC230" s="190">
        <f t="shared" si="176"/>
      </c>
      <c r="AD230" s="189">
        <f t="shared" si="221"/>
      </c>
      <c r="AE230" s="190">
        <f t="shared" si="443"/>
      </c>
      <c r="AF230" s="189">
        <f t="shared" si="63"/>
      </c>
      <c r="AG230" s="189">
        <f t="shared" si="326"/>
      </c>
      <c r="AH230" s="192">
        <v>10808</v>
      </c>
      <c r="AI230" s="192">
        <v>307</v>
      </c>
      <c r="AJ230" s="192">
        <v>360</v>
      </c>
      <c r="AK230" s="192">
        <v>51</v>
      </c>
      <c r="AL230" s="192">
        <v>5</v>
      </c>
      <c r="AM230" s="192">
        <v>4</v>
      </c>
      <c r="AN230" s="192">
        <v>56</v>
      </c>
      <c r="AO230" s="192">
        <v>50</v>
      </c>
      <c r="AP230" s="192">
        <v>3</v>
      </c>
      <c r="AQ230" s="187">
        <v>0</v>
      </c>
      <c r="AR230" s="213">
        <f t="shared" si="376"/>
      </c>
    </row>
    <row customHeight="true" ht="16.071428571428573" r="231">
      <c r="A231" s="182"/>
      <c r="B231" s="184" t="s">
        <v>191</v>
      </c>
      <c r="C231" s="184" t="s">
        <v>192</v>
      </c>
      <c r="D231" s="183" t="s">
        <v>201</v>
      </c>
      <c r="E231" s="184" t="s">
        <v>203</v>
      </c>
      <c r="F231" s="185">
        <f t="shared" si="124"/>
      </c>
      <c r="G231" s="204">
        <v>1274.2</v>
      </c>
      <c r="H231" s="204">
        <v>947.52</v>
      </c>
      <c r="I231" s="187">
        <v>4</v>
      </c>
      <c r="J231" s="192">
        <v>1</v>
      </c>
      <c r="K231" s="188">
        <v>799</v>
      </c>
      <c r="L231" s="189">
        <f t="shared" si="191"/>
      </c>
      <c r="M231" s="190">
        <f t="shared" si="413"/>
      </c>
      <c r="N231" s="191">
        <f t="shared" si="3"/>
      </c>
      <c r="O231" s="191">
        <f t="shared" si="296"/>
      </c>
      <c r="P231" s="191">
        <f t="shared" si="341"/>
      </c>
      <c r="Q231" s="191">
        <f t="shared" si="236"/>
      </c>
      <c r="R231" s="191">
        <f t="shared" si="266"/>
      </c>
      <c r="S231" s="191">
        <f t="shared" si="161"/>
      </c>
      <c r="T231" s="191">
        <f t="shared" si="206"/>
      </c>
      <c r="U231" s="189">
        <f t="shared" si="428"/>
      </c>
      <c r="V231" s="189">
        <f t="shared" si="18"/>
      </c>
      <c r="W231" s="189">
        <f t="shared" si="33"/>
      </c>
      <c r="X231" s="189">
        <f t="shared" si="48"/>
      </c>
      <c r="Y231" s="189">
        <f t="shared" si="311"/>
      </c>
      <c r="Z231" s="189">
        <f t="shared" si="356"/>
      </c>
      <c r="AA231" s="190">
        <f t="shared" si="251"/>
      </c>
      <c r="AB231" s="190">
        <f t="shared" si="281"/>
      </c>
      <c r="AC231" s="190">
        <f t="shared" si="176"/>
      </c>
      <c r="AD231" s="189">
        <f t="shared" si="221"/>
      </c>
      <c r="AE231" s="190">
        <f t="shared" si="443"/>
      </c>
      <c r="AF231" s="189">
        <f t="shared" si="63"/>
      </c>
      <c r="AG231" s="189">
        <f t="shared" si="326"/>
      </c>
      <c r="AH231" s="192">
        <v>14925</v>
      </c>
      <c r="AI231" s="192">
        <v>470</v>
      </c>
      <c r="AJ231" s="192">
        <v>540</v>
      </c>
      <c r="AK231" s="192">
        <v>74</v>
      </c>
      <c r="AL231" s="192">
        <v>4</v>
      </c>
      <c r="AM231" s="192">
        <v>0</v>
      </c>
      <c r="AN231" s="192">
        <v>88</v>
      </c>
      <c r="AO231" s="192">
        <v>78</v>
      </c>
      <c r="AP231" s="192">
        <v>6</v>
      </c>
      <c r="AQ231" s="187">
        <v>0</v>
      </c>
      <c r="AR231" s="213">
        <f t="shared" si="376"/>
      </c>
    </row>
    <row customHeight="true" ht="16.071428571428573" r="232">
      <c r="A232" s="182"/>
      <c r="B232" s="184" t="s">
        <v>191</v>
      </c>
      <c r="C232" s="184" t="s">
        <v>192</v>
      </c>
      <c r="D232" s="183" t="s">
        <v>201</v>
      </c>
      <c r="E232" s="183" t="s">
        <v>204</v>
      </c>
      <c r="F232" s="185">
        <f t="shared" si="124"/>
      </c>
      <c r="G232" s="204">
        <v>445.95</v>
      </c>
      <c r="H232" s="204">
        <v>519.48</v>
      </c>
      <c r="I232" s="187">
        <v>3</v>
      </c>
      <c r="J232" s="192">
        <v>1</v>
      </c>
      <c r="K232" s="196">
        <v>799</v>
      </c>
      <c r="L232" s="189">
        <f t="shared" si="191"/>
      </c>
      <c r="M232" s="190">
        <f t="shared" si="413"/>
      </c>
      <c r="N232" s="191">
        <f t="shared" si="3"/>
      </c>
      <c r="O232" s="191">
        <f t="shared" si="296"/>
      </c>
      <c r="P232" s="191">
        <f t="shared" si="341"/>
      </c>
      <c r="Q232" s="191">
        <f t="shared" si="236"/>
      </c>
      <c r="R232" s="191">
        <f t="shared" si="266"/>
      </c>
      <c r="S232" s="191">
        <f t="shared" si="161"/>
      </c>
      <c r="T232" s="191">
        <f t="shared" si="206"/>
      </c>
      <c r="U232" s="189">
        <f t="shared" si="428"/>
      </c>
      <c r="V232" s="189">
        <f t="shared" si="18"/>
      </c>
      <c r="W232" s="189">
        <f t="shared" si="33"/>
      </c>
      <c r="X232" s="189">
        <f t="shared" si="48"/>
      </c>
      <c r="Y232" s="189">
        <f t="shared" si="311"/>
      </c>
      <c r="Z232" s="189">
        <f t="shared" si="356"/>
      </c>
      <c r="AA232" s="190">
        <f t="shared" si="251"/>
      </c>
      <c r="AB232" s="190">
        <f t="shared" si="281"/>
      </c>
      <c r="AC232" s="190">
        <f t="shared" si="176"/>
      </c>
      <c r="AD232" s="189">
        <f t="shared" si="221"/>
      </c>
      <c r="AE232" s="190">
        <f t="shared" si="443"/>
      </c>
      <c r="AF232" s="189">
        <f t="shared" si="63"/>
      </c>
      <c r="AG232" s="189">
        <f t="shared" si="326"/>
      </c>
      <c r="AH232" s="192">
        <v>7029</v>
      </c>
      <c r="AI232" s="192">
        <v>217</v>
      </c>
      <c r="AJ232" s="192">
        <v>249</v>
      </c>
      <c r="AK232" s="192">
        <v>35</v>
      </c>
      <c r="AL232" s="192">
        <v>2</v>
      </c>
      <c r="AM232" s="192">
        <v>1</v>
      </c>
      <c r="AN232" s="192">
        <v>25</v>
      </c>
      <c r="AO232" s="192">
        <v>30</v>
      </c>
      <c r="AP232" s="192">
        <v>5</v>
      </c>
      <c r="AQ232" s="192"/>
      <c r="AR232" s="213">
        <f t="shared" si="376"/>
      </c>
    </row>
    <row customHeight="true" ht="16.071428571428573" r="233">
      <c r="A233" s="182"/>
      <c r="B233" s="197" t="s">
        <v>197</v>
      </c>
      <c r="C233" s="197"/>
      <c r="D233" s="197"/>
      <c r="E233" s="197"/>
      <c r="F233" s="198">
        <f>SUM(F229:F232)</f>
      </c>
      <c r="G233" s="198">
        <f>SUM(G229:G232)</f>
      </c>
      <c r="H233" s="198">
        <f>SUM(H229:H232)</f>
      </c>
      <c r="I233" s="199">
        <f>SUM(I229:I232)</f>
      </c>
      <c r="J233" s="199">
        <f>SUM(J229:J232)</f>
      </c>
      <c r="K233" s="198">
        <f>SUM(K229:K232)</f>
      </c>
      <c r="L233" s="200">
        <f t="shared" si="191"/>
      </c>
      <c r="M233" s="201">
        <f t="shared" si="413"/>
      </c>
      <c r="N233" s="202">
        <f t="shared" si="3"/>
      </c>
      <c r="O233" s="202">
        <f t="shared" si="296"/>
      </c>
      <c r="P233" s="202">
        <f t="shared" si="341"/>
      </c>
      <c r="Q233" s="202">
        <f t="shared" si="236"/>
      </c>
      <c r="R233" s="202">
        <f t="shared" si="266"/>
      </c>
      <c r="S233" s="202">
        <f t="shared" si="161"/>
      </c>
      <c r="T233" s="202">
        <f t="shared" si="206"/>
      </c>
      <c r="U233" s="200">
        <f t="shared" si="428"/>
      </c>
      <c r="V233" s="200">
        <f t="shared" si="18"/>
      </c>
      <c r="W233" s="200">
        <f t="shared" si="33"/>
      </c>
      <c r="X233" s="200">
        <f t="shared" si="48"/>
      </c>
      <c r="Y233" s="200">
        <f t="shared" si="311"/>
      </c>
      <c r="Z233" s="200">
        <f t="shared" si="356"/>
      </c>
      <c r="AA233" s="201">
        <f t="shared" si="251"/>
      </c>
      <c r="AB233" s="201">
        <f t="shared" si="281"/>
      </c>
      <c r="AC233" s="201">
        <f t="shared" si="176"/>
      </c>
      <c r="AD233" s="200">
        <f t="shared" si="221"/>
      </c>
      <c r="AE233" s="201">
        <f t="shared" si="443"/>
      </c>
      <c r="AF233" s="200">
        <f t="shared" si="63"/>
      </c>
      <c r="AG233" s="200">
        <f t="shared" si="326"/>
      </c>
      <c r="AH233" s="199">
        <f>SUM(AH229:AH232)</f>
      </c>
      <c r="AI233" s="199">
        <f>SUM(AI229:AI232)</f>
      </c>
      <c r="AJ233" s="199">
        <f>SUM(AJ229:AJ232)</f>
      </c>
      <c r="AK233" s="199">
        <f>SUM(AK229:AK232)</f>
      </c>
      <c r="AL233" s="199">
        <f>SUM(AL229:AL232)</f>
      </c>
      <c r="AM233" s="199">
        <f>SUM(AM229:AM232)</f>
      </c>
      <c r="AN233" s="199">
        <f>SUM(AN229:AN232)</f>
      </c>
      <c r="AO233" s="199">
        <f>SUM(AO229:AO232)</f>
      </c>
      <c r="AP233" s="199">
        <f>SUM(AP229:AP232)</f>
      </c>
      <c r="AQ233" s="199">
        <f>SUM(AQ229:AQ232)</f>
      </c>
      <c r="AR233" s="203">
        <f>SUM(AR229:AR232)</f>
      </c>
    </row>
    <row r="234">
      <c r="A234" s="182"/>
      <c r="B234" s="205" t="s">
        <v>205</v>
      </c>
      <c r="C234" s="205"/>
      <c r="D234" s="205"/>
      <c r="E234" s="205"/>
      <c r="F234" s="206">
        <f>H234+G234</f>
      </c>
      <c r="G234" s="206">
        <f>G228+G223+G233</f>
      </c>
      <c r="H234" s="206">
        <f>H228+H223+H233</f>
      </c>
      <c r="I234" s="206">
        <f>I228+I223+I233</f>
      </c>
      <c r="J234" s="206">
        <f>J228+J223+J233</f>
      </c>
      <c r="K234" s="206">
        <f>K228+K223+K233</f>
      </c>
      <c r="L234" s="207">
        <f t="shared" si="191"/>
      </c>
      <c r="M234" s="208">
        <f t="shared" si="413"/>
      </c>
      <c r="N234" s="209">
        <f t="shared" si="3"/>
      </c>
      <c r="O234" s="209">
        <f t="shared" si="296"/>
      </c>
      <c r="P234" s="209">
        <f t="shared" si="341"/>
      </c>
      <c r="Q234" s="209">
        <f t="shared" si="236"/>
      </c>
      <c r="R234" s="209">
        <f t="shared" si="266"/>
      </c>
      <c r="S234" s="209">
        <f t="shared" si="161"/>
      </c>
      <c r="T234" s="209">
        <f t="shared" si="206"/>
      </c>
      <c r="U234" s="207">
        <f t="shared" si="428"/>
      </c>
      <c r="V234" s="207">
        <f t="shared" si="18"/>
      </c>
      <c r="W234" s="207">
        <f t="shared" si="33"/>
      </c>
      <c r="X234" s="207">
        <f t="shared" si="48"/>
      </c>
      <c r="Y234" s="207">
        <f t="shared" si="311"/>
      </c>
      <c r="Z234" s="207">
        <f t="shared" si="356"/>
      </c>
      <c r="AA234" s="208">
        <f t="shared" si="251"/>
      </c>
      <c r="AB234" s="208">
        <f t="shared" si="281"/>
      </c>
      <c r="AC234" s="208">
        <f t="shared" si="176"/>
      </c>
      <c r="AD234" s="207">
        <f t="shared" si="221"/>
      </c>
      <c r="AE234" s="208">
        <f t="shared" si="443"/>
      </c>
      <c r="AF234" s="207">
        <f t="shared" si="63"/>
      </c>
      <c r="AG234" s="207">
        <f t="shared" si="326"/>
      </c>
      <c r="AH234" s="203">
        <f>AH228+AH223+AH233</f>
      </c>
      <c r="AI234" s="203">
        <f>AI228+AI223+AI233</f>
      </c>
      <c r="AJ234" s="203">
        <f>AJ228+AJ223+AJ233</f>
      </c>
      <c r="AK234" s="203">
        <f>AK228+AK223+AK233</f>
      </c>
      <c r="AL234" s="203">
        <f>AL228+AL223+AL233</f>
      </c>
      <c r="AM234" s="203">
        <f>AM228+AM223+AM233</f>
      </c>
      <c r="AN234" s="203">
        <f>AN228+AN223+AN233</f>
      </c>
      <c r="AO234" s="203">
        <f>AO228+AO223+AO233</f>
      </c>
      <c r="AP234" s="203">
        <f>AP228+AP223+AP233</f>
      </c>
      <c r="AQ234" s="203">
        <f>AQ228+AQ223+AQ233</f>
      </c>
      <c r="AR234" s="203">
        <f>AR228+AR223+AR233</f>
      </c>
    </row>
    <row r="235">
      <c r="A235" s="159"/>
      <c r="B235" s="159"/>
      <c r="C235" s="159"/>
      <c r="D235" s="159"/>
      <c r="E235" s="159"/>
      <c r="F235" s="160" t="s">
        <v>143</v>
      </c>
      <c r="G235" s="160"/>
      <c r="H235" s="160"/>
      <c r="I235" s="160"/>
      <c r="J235" s="160"/>
      <c r="K235" s="160"/>
      <c r="L235" s="160"/>
      <c r="M235" s="160"/>
      <c r="N235" s="160"/>
      <c r="O235" s="160"/>
      <c r="P235" s="160"/>
      <c r="Q235" s="161" t="s">
        <v>144</v>
      </c>
      <c r="R235" s="161"/>
      <c r="S235" s="161"/>
      <c r="T235" s="161"/>
      <c r="U235" s="161"/>
      <c r="V235" s="161"/>
      <c r="W235" s="161"/>
      <c r="X235" s="161"/>
      <c r="Y235" s="161"/>
      <c r="Z235" s="161"/>
      <c r="AA235" s="161"/>
      <c r="AB235" s="161"/>
      <c r="AC235" s="162" t="s">
        <v>145</v>
      </c>
      <c r="AD235" s="162"/>
      <c r="AE235" s="162"/>
      <c r="AF235" s="162"/>
      <c r="AG235" s="162"/>
      <c r="AH235" s="163" t="s">
        <v>146</v>
      </c>
      <c r="AI235" s="163"/>
      <c r="AJ235" s="163"/>
      <c r="AK235" s="163"/>
      <c r="AL235" s="163"/>
      <c r="AM235" s="163"/>
      <c r="AN235" s="163"/>
      <c r="AO235" s="163"/>
      <c r="AP235" s="163"/>
      <c r="AQ235" s="163"/>
      <c r="AR235" s="163"/>
    </row>
    <row r="236">
      <c r="A236" s="164" t="s">
        <v>147</v>
      </c>
      <c r="B236" s="165" t="s">
        <v>148</v>
      </c>
      <c r="C236" s="165" t="s">
        <v>149</v>
      </c>
      <c r="D236" s="166" t="s">
        <v>150</v>
      </c>
      <c r="E236" s="167" t="s">
        <v>151</v>
      </c>
      <c r="F236" s="168" t="s">
        <v>152</v>
      </c>
      <c r="G236" s="169" t="s">
        <v>153</v>
      </c>
      <c r="H236" s="170" t="s">
        <v>154</v>
      </c>
      <c r="I236" s="171" t="s">
        <v>155</v>
      </c>
      <c r="J236" s="171" t="s">
        <v>156</v>
      </c>
      <c r="K236" s="170" t="s">
        <v>157</v>
      </c>
      <c r="L236" s="172" t="s">
        <v>158</v>
      </c>
      <c r="M236" s="173" t="s">
        <v>159</v>
      </c>
      <c r="N236" s="174" t="s">
        <v>160</v>
      </c>
      <c r="O236" s="174" t="s">
        <v>161</v>
      </c>
      <c r="P236" s="175" t="s">
        <v>162</v>
      </c>
      <c r="Q236" s="161" t="s">
        <v>163</v>
      </c>
      <c r="R236" s="176" t="s">
        <v>164</v>
      </c>
      <c r="S236" s="176" t="s">
        <v>165</v>
      </c>
      <c r="T236" s="176" t="s">
        <v>166</v>
      </c>
      <c r="U236" s="177" t="s">
        <v>167</v>
      </c>
      <c r="V236" s="177" t="s">
        <v>168</v>
      </c>
      <c r="W236" s="177" t="s">
        <v>169</v>
      </c>
      <c r="X236" s="177" t="s">
        <v>170</v>
      </c>
      <c r="Y236" s="177" t="s">
        <v>171</v>
      </c>
      <c r="Z236" s="177" t="s">
        <v>172</v>
      </c>
      <c r="AA236" s="178" t="s">
        <v>173</v>
      </c>
      <c r="AB236" s="178" t="s">
        <v>174</v>
      </c>
      <c r="AC236" s="162" t="s">
        <v>175</v>
      </c>
      <c r="AD236" s="179" t="s">
        <v>176</v>
      </c>
      <c r="AE236" s="162" t="s">
        <v>177</v>
      </c>
      <c r="AF236" s="179" t="s">
        <v>178</v>
      </c>
      <c r="AG236" s="179" t="s">
        <v>179</v>
      </c>
      <c r="AH236" s="180" t="s">
        <v>180</v>
      </c>
      <c r="AI236" s="180" t="s">
        <v>181</v>
      </c>
      <c r="AJ236" s="180" t="s">
        <v>182</v>
      </c>
      <c r="AK236" s="180" t="s">
        <v>183</v>
      </c>
      <c r="AL236" s="180" t="s">
        <v>184</v>
      </c>
      <c r="AM236" s="180" t="s">
        <v>185</v>
      </c>
      <c r="AN236" s="180" t="s">
        <v>186</v>
      </c>
      <c r="AO236" s="180" t="s">
        <v>187</v>
      </c>
      <c r="AP236" s="180" t="s">
        <v>188</v>
      </c>
      <c r="AQ236" s="180" t="s">
        <v>189</v>
      </c>
      <c r="AR236" s="181" t="s">
        <v>190</v>
      </c>
    </row>
    <row r="237">
      <c r="A237" s="182">
        <v>46285</v>
      </c>
      <c r="B237" s="184" t="s">
        <v>191</v>
      </c>
      <c r="C237" s="184" t="s">
        <v>192</v>
      </c>
      <c r="D237" s="183" t="s">
        <v>207</v>
      </c>
      <c r="E237" s="183" t="s">
        <v>209</v>
      </c>
      <c r="F237" s="185">
        <f t="shared" ref="F237:F240" si="125">H237+G237</f>
      </c>
      <c r="G237" s="204">
        <v>763.97</v>
      </c>
      <c r="H237" s="204">
        <v>684.98</v>
      </c>
      <c r="I237" s="187">
        <v>4</v>
      </c>
      <c r="J237" s="187">
        <v>1</v>
      </c>
      <c r="K237" s="188">
        <v>862.8000000000001</v>
      </c>
      <c r="L237" s="189">
        <f t="shared" ref="L237:L252" si="192">AQ237/J237</f>
      </c>
      <c r="M237" s="190">
        <f t="shared" ref="M237:M252" si="414">K237/J237</f>
      </c>
      <c r="N237" s="191">
        <f t="shared" ref="N237:N252" si="4">F237/J237</f>
      </c>
      <c r="O237" s="191">
        <f t="shared" ref="O237:O252" si="297">K237/F237</f>
      </c>
      <c r="P237" s="191">
        <f t="shared" ref="P237:P252" si="342">K237/((300*AR237)+F237)</f>
      </c>
      <c r="Q237" s="191">
        <f t="shared" ref="Q237:Q252" si="237">F237/AJ237</f>
      </c>
      <c r="R237" s="191">
        <f t="shared" ref="R237:R252" si="267">F237/AK237</f>
      </c>
      <c r="S237" s="191">
        <f t="shared" ref="S237:S252" si="162">F237/AL237</f>
      </c>
      <c r="T237" s="191">
        <f t="shared" ref="T237:T252" si="207">F237/AM237</f>
      </c>
      <c r="U237" s="189">
        <f t="shared" ref="U237:U252" si="429">AI237/AJ237</f>
      </c>
      <c r="V237" s="189">
        <f t="shared" ref="V237:V252" si="19">AK237/AJ237</f>
      </c>
      <c r="W237" s="189">
        <f t="shared" ref="W237:W252" si="34">AL237/AK237</f>
      </c>
      <c r="X237" s="189">
        <f t="shared" ref="X237:X252" si="49">AM237/AL237</f>
      </c>
      <c r="Y237" s="189">
        <f t="shared" ref="Y237:Y252" si="312">AI237/AH237</f>
      </c>
      <c r="Z237" s="189">
        <f t="shared" ref="Z237:Z252" si="357">AM237/AI237</f>
      </c>
      <c r="AA237" s="190">
        <f t="shared" ref="AA237:AA252" si="252">F237/AH237*1000</f>
      </c>
      <c r="AB237" s="190">
        <f t="shared" ref="AB237:AB252" si="282">F237/AI237</f>
      </c>
      <c r="AC237" s="190">
        <f t="shared" ref="AC237:AC252" si="177">F237/AN237</f>
      </c>
      <c r="AD237" s="189">
        <f t="shared" ref="AD237:AD252" si="222">AN237/AJ237</f>
      </c>
      <c r="AE237" s="190">
        <f t="shared" ref="AE237:AE252" si="444">F237/AO237</f>
      </c>
      <c r="AF237" s="189">
        <f t="shared" ref="AF237:AF252" si="64">AO237/AJ237</f>
      </c>
      <c r="AG237" s="189">
        <f t="shared" ref="AG237:AG252" si="327">AP237/AJ237</f>
      </c>
      <c r="AH237" s="192">
        <v>7811</v>
      </c>
      <c r="AI237" s="193">
        <v>191</v>
      </c>
      <c r="AJ237" s="193">
        <v>218</v>
      </c>
      <c r="AK237" s="192">
        <v>38</v>
      </c>
      <c r="AL237" s="192">
        <v>4</v>
      </c>
      <c r="AM237" s="192">
        <v>1</v>
      </c>
      <c r="AN237" s="192">
        <v>41</v>
      </c>
      <c r="AO237" s="192">
        <v>39</v>
      </c>
      <c r="AP237" s="192">
        <v>3</v>
      </c>
      <c r="AQ237" s="187">
        <v>0</v>
      </c>
      <c r="AR237" s="213">
        <f t="shared" ref="AR237:AR240" si="377">COUNT(AQ237)</f>
      </c>
    </row>
    <row r="238">
      <c r="A238" s="182"/>
      <c r="B238" s="184" t="s">
        <v>191</v>
      </c>
      <c r="C238" s="184" t="s">
        <v>192</v>
      </c>
      <c r="D238" s="183" t="s">
        <v>207</v>
      </c>
      <c r="E238" s="183" t="s">
        <v>210</v>
      </c>
      <c r="F238" s="185">
        <f t="shared" si="125"/>
      </c>
      <c r="G238" s="212">
        <v>1272.91</v>
      </c>
      <c r="H238" s="204">
        <v>442.15</v>
      </c>
      <c r="I238" s="187">
        <v>6</v>
      </c>
      <c r="J238" s="187">
        <v>9</v>
      </c>
      <c r="K238" s="188">
        <v>6570.999999999999</v>
      </c>
      <c r="L238" s="189">
        <f t="shared" si="192"/>
      </c>
      <c r="M238" s="190">
        <f t="shared" si="414"/>
      </c>
      <c r="N238" s="191">
        <f t="shared" si="4"/>
      </c>
      <c r="O238" s="191">
        <f t="shared" si="297"/>
      </c>
      <c r="P238" s="191">
        <f t="shared" si="342"/>
      </c>
      <c r="Q238" s="191">
        <f t="shared" si="237"/>
      </c>
      <c r="R238" s="191">
        <f t="shared" si="267"/>
      </c>
      <c r="S238" s="191">
        <f t="shared" si="162"/>
      </c>
      <c r="T238" s="191">
        <f t="shared" si="207"/>
      </c>
      <c r="U238" s="189">
        <f t="shared" si="429"/>
      </c>
      <c r="V238" s="189">
        <f t="shared" si="19"/>
      </c>
      <c r="W238" s="189">
        <f t="shared" si="34"/>
      </c>
      <c r="X238" s="189">
        <f t="shared" si="49"/>
      </c>
      <c r="Y238" s="189">
        <f t="shared" si="312"/>
      </c>
      <c r="Z238" s="189">
        <f t="shared" si="357"/>
      </c>
      <c r="AA238" s="190">
        <f t="shared" si="252"/>
      </c>
      <c r="AB238" s="190">
        <f t="shared" si="282"/>
      </c>
      <c r="AC238" s="190">
        <f t="shared" si="177"/>
      </c>
      <c r="AD238" s="189">
        <f t="shared" si="222"/>
      </c>
      <c r="AE238" s="190">
        <f t="shared" si="444"/>
      </c>
      <c r="AF238" s="189">
        <f t="shared" si="64"/>
      </c>
      <c r="AG238" s="189">
        <f t="shared" si="327"/>
      </c>
      <c r="AH238" s="192">
        <v>10907</v>
      </c>
      <c r="AI238" s="192">
        <v>253</v>
      </c>
      <c r="AJ238" s="192">
        <v>273</v>
      </c>
      <c r="AK238" s="192">
        <v>74</v>
      </c>
      <c r="AL238" s="192">
        <v>6</v>
      </c>
      <c r="AM238" s="192">
        <v>6</v>
      </c>
      <c r="AN238" s="192">
        <v>62</v>
      </c>
      <c r="AO238" s="192">
        <v>87</v>
      </c>
      <c r="AP238" s="192">
        <v>6</v>
      </c>
      <c r="AQ238" s="187">
        <v>3</v>
      </c>
      <c r="AR238" s="213">
        <f t="shared" si="377"/>
      </c>
    </row>
    <row r="239">
      <c r="A239" s="182"/>
      <c r="B239" s="184" t="s">
        <v>191</v>
      </c>
      <c r="C239" s="184" t="s">
        <v>192</v>
      </c>
      <c r="D239" s="183" t="s">
        <v>207</v>
      </c>
      <c r="E239" s="183" t="s">
        <v>211</v>
      </c>
      <c r="F239" s="185">
        <f t="shared" si="125"/>
      </c>
      <c r="G239" s="204">
        <v>1046.88</v>
      </c>
      <c r="H239" s="204">
        <v>386.87</v>
      </c>
      <c r="I239" s="187">
        <v>3</v>
      </c>
      <c r="J239" s="187">
        <v>3</v>
      </c>
      <c r="K239" s="188">
        <v>1308</v>
      </c>
      <c r="L239" s="189">
        <f t="shared" si="192"/>
      </c>
      <c r="M239" s="190">
        <f t="shared" si="414"/>
      </c>
      <c r="N239" s="191">
        <f t="shared" si="4"/>
      </c>
      <c r="O239" s="191">
        <f t="shared" si="297"/>
      </c>
      <c r="P239" s="191">
        <f t="shared" si="342"/>
      </c>
      <c r="Q239" s="191">
        <f t="shared" si="237"/>
      </c>
      <c r="R239" s="191">
        <f t="shared" si="267"/>
      </c>
      <c r="S239" s="191">
        <f t="shared" si="162"/>
      </c>
      <c r="T239" s="191">
        <f t="shared" si="207"/>
      </c>
      <c r="U239" s="189">
        <f t="shared" si="429"/>
      </c>
      <c r="V239" s="189">
        <f t="shared" si="19"/>
      </c>
      <c r="W239" s="189">
        <f t="shared" si="34"/>
      </c>
      <c r="X239" s="189">
        <f t="shared" si="49"/>
      </c>
      <c r="Y239" s="189">
        <f t="shared" si="312"/>
      </c>
      <c r="Z239" s="189">
        <f t="shared" si="357"/>
      </c>
      <c r="AA239" s="190">
        <f t="shared" si="252"/>
      </c>
      <c r="AB239" s="190">
        <f t="shared" si="282"/>
      </c>
      <c r="AC239" s="190">
        <f t="shared" si="177"/>
      </c>
      <c r="AD239" s="189">
        <f t="shared" si="222"/>
      </c>
      <c r="AE239" s="190">
        <f t="shared" si="444"/>
      </c>
      <c r="AF239" s="189">
        <f t="shared" si="64"/>
      </c>
      <c r="AG239" s="189">
        <f t="shared" si="327"/>
      </c>
      <c r="AH239" s="192">
        <v>9808</v>
      </c>
      <c r="AI239" s="192">
        <v>204</v>
      </c>
      <c r="AJ239" s="192">
        <v>225</v>
      </c>
      <c r="AK239" s="192">
        <v>43</v>
      </c>
      <c r="AL239" s="187">
        <v>3</v>
      </c>
      <c r="AM239" s="192">
        <v>2</v>
      </c>
      <c r="AN239" s="192">
        <v>55</v>
      </c>
      <c r="AO239" s="192">
        <v>89</v>
      </c>
      <c r="AP239" s="192">
        <v>8</v>
      </c>
      <c r="AQ239" s="187">
        <v>1</v>
      </c>
      <c r="AR239" s="213">
        <f t="shared" si="377"/>
      </c>
    </row>
    <row r="240">
      <c r="A240" s="182"/>
      <c r="B240" s="184" t="s">
        <v>191</v>
      </c>
      <c r="C240" s="184" t="s">
        <v>192</v>
      </c>
      <c r="D240" s="183" t="s">
        <v>207</v>
      </c>
      <c r="E240" s="183" t="s">
        <v>212</v>
      </c>
      <c r="F240" s="185">
        <f t="shared" si="125"/>
      </c>
      <c r="G240" s="204">
        <v>1419.51</v>
      </c>
      <c r="H240" s="204">
        <v>733.8</v>
      </c>
      <c r="I240" s="187">
        <v>8</v>
      </c>
      <c r="J240" s="187">
        <v>6</v>
      </c>
      <c r="K240" s="188">
        <v>3978.2000000000007</v>
      </c>
      <c r="L240" s="189">
        <f t="shared" si="192"/>
      </c>
      <c r="M240" s="190">
        <f t="shared" si="414"/>
      </c>
      <c r="N240" s="191">
        <f t="shared" si="4"/>
      </c>
      <c r="O240" s="191">
        <f t="shared" si="297"/>
      </c>
      <c r="P240" s="191">
        <f t="shared" si="342"/>
      </c>
      <c r="Q240" s="191">
        <f t="shared" si="237"/>
      </c>
      <c r="R240" s="191">
        <f t="shared" si="267"/>
      </c>
      <c r="S240" s="191">
        <f t="shared" si="162"/>
      </c>
      <c r="T240" s="191">
        <f t="shared" si="207"/>
      </c>
      <c r="U240" s="189">
        <f t="shared" si="429"/>
      </c>
      <c r="V240" s="189">
        <f t="shared" si="19"/>
      </c>
      <c r="W240" s="189">
        <f t="shared" si="34"/>
      </c>
      <c r="X240" s="189">
        <f t="shared" si="49"/>
      </c>
      <c r="Y240" s="189">
        <f t="shared" si="312"/>
      </c>
      <c r="Z240" s="189">
        <f t="shared" si="357"/>
      </c>
      <c r="AA240" s="190">
        <f t="shared" si="252"/>
      </c>
      <c r="AB240" s="190">
        <f t="shared" si="282"/>
      </c>
      <c r="AC240" s="190">
        <f t="shared" si="177"/>
      </c>
      <c r="AD240" s="189">
        <f t="shared" si="222"/>
      </c>
      <c r="AE240" s="190">
        <f t="shared" si="444"/>
      </c>
      <c r="AF240" s="189">
        <f t="shared" si="64"/>
      </c>
      <c r="AG240" s="189">
        <f t="shared" si="327"/>
      </c>
      <c r="AH240" s="192">
        <v>14817</v>
      </c>
      <c r="AI240" s="192">
        <v>387</v>
      </c>
      <c r="AJ240" s="192">
        <v>434</v>
      </c>
      <c r="AK240" s="192">
        <v>50</v>
      </c>
      <c r="AL240" s="187">
        <v>7</v>
      </c>
      <c r="AM240" s="192">
        <v>4</v>
      </c>
      <c r="AN240" s="192">
        <v>93</v>
      </c>
      <c r="AO240" s="192">
        <v>124</v>
      </c>
      <c r="AP240" s="192">
        <v>13</v>
      </c>
      <c r="AQ240" s="187">
        <v>0</v>
      </c>
      <c r="AR240" s="213">
        <f t="shared" si="377"/>
      </c>
    </row>
    <row r="241">
      <c r="A241" s="182"/>
      <c r="B241" s="197" t="s">
        <v>197</v>
      </c>
      <c r="C241" s="197"/>
      <c r="D241" s="197"/>
      <c r="E241" s="197"/>
      <c r="F241" s="198">
        <f>SUM(F237:F240)</f>
      </c>
      <c r="G241" s="198">
        <f>SUM(G237:G240)</f>
      </c>
      <c r="H241" s="198">
        <f>SUM(H237:H240)</f>
      </c>
      <c r="I241" s="199">
        <f>SUM(I237:I240)</f>
      </c>
      <c r="J241" s="199">
        <f>SUM(J237:J240)</f>
      </c>
      <c r="K241" s="198">
        <f>SUM(K237:K240)</f>
      </c>
      <c r="L241" s="200">
        <f t="shared" si="192"/>
      </c>
      <c r="M241" s="201">
        <f t="shared" si="414"/>
      </c>
      <c r="N241" s="202">
        <f t="shared" si="4"/>
      </c>
      <c r="O241" s="202">
        <f t="shared" si="297"/>
      </c>
      <c r="P241" s="202">
        <f t="shared" si="342"/>
      </c>
      <c r="Q241" s="202">
        <f t="shared" si="237"/>
      </c>
      <c r="R241" s="202">
        <f t="shared" si="267"/>
      </c>
      <c r="S241" s="202">
        <f t="shared" si="162"/>
      </c>
      <c r="T241" s="202">
        <f t="shared" si="207"/>
      </c>
      <c r="U241" s="200">
        <f t="shared" si="429"/>
      </c>
      <c r="V241" s="200">
        <f t="shared" si="19"/>
      </c>
      <c r="W241" s="200">
        <f t="shared" si="34"/>
      </c>
      <c r="X241" s="200">
        <f t="shared" si="49"/>
      </c>
      <c r="Y241" s="200">
        <f t="shared" si="312"/>
      </c>
      <c r="Z241" s="200">
        <f t="shared" si="357"/>
      </c>
      <c r="AA241" s="201">
        <f t="shared" si="252"/>
      </c>
      <c r="AB241" s="201">
        <f t="shared" si="282"/>
      </c>
      <c r="AC241" s="201">
        <f t="shared" si="177"/>
      </c>
      <c r="AD241" s="200">
        <f t="shared" si="222"/>
      </c>
      <c r="AE241" s="201">
        <f t="shared" si="444"/>
      </c>
      <c r="AF241" s="200">
        <f t="shared" si="64"/>
      </c>
      <c r="AG241" s="200">
        <f t="shared" si="327"/>
      </c>
      <c r="AH241" s="199">
        <f>SUM(AH237:AH240)</f>
      </c>
      <c r="AI241" s="199">
        <f>SUM(AI237:AI240)</f>
      </c>
      <c r="AJ241" s="199">
        <f>SUM(AJ237:AJ240)</f>
      </c>
      <c r="AK241" s="199">
        <f>SUM(AK237:AK240)</f>
      </c>
      <c r="AL241" s="199">
        <f>SUM(AL237:AL240)</f>
      </c>
      <c r="AM241" s="199">
        <f>SUM(AM237:AM240)</f>
      </c>
      <c r="AN241" s="199">
        <f>SUM(AN237:AN240)</f>
      </c>
      <c r="AO241" s="199">
        <f>SUM(AO237:AO240)</f>
      </c>
      <c r="AP241" s="199">
        <f>SUM(AP237:AP240)</f>
      </c>
      <c r="AQ241" s="199">
        <f>SUM(AQ237:AQ240)</f>
      </c>
      <c r="AR241" s="203">
        <f>SUM(AR237:AR240)</f>
      </c>
    </row>
    <row r="242">
      <c r="A242" s="182"/>
      <c r="B242" s="184" t="s">
        <v>191</v>
      </c>
      <c r="C242" s="184" t="s">
        <v>192</v>
      </c>
      <c r="D242" s="183" t="s">
        <v>201</v>
      </c>
      <c r="E242" s="183" t="s">
        <v>194</v>
      </c>
      <c r="F242" s="185">
        <f t="shared" ref="F242:F245" si="126">H242+G242</f>
      </c>
      <c r="G242" s="204">
        <v>1328.86</v>
      </c>
      <c r="H242" s="204">
        <v>987</v>
      </c>
      <c r="I242" s="187">
        <v>4</v>
      </c>
      <c r="J242" s="187">
        <v>2</v>
      </c>
      <c r="K242" s="188">
        <v>1830</v>
      </c>
      <c r="L242" s="189">
        <f t="shared" si="192"/>
      </c>
      <c r="M242" s="190">
        <f t="shared" si="414"/>
      </c>
      <c r="N242" s="191">
        <f t="shared" si="4"/>
      </c>
      <c r="O242" s="191">
        <f t="shared" si="297"/>
      </c>
      <c r="P242" s="191">
        <f t="shared" si="342"/>
      </c>
      <c r="Q242" s="191">
        <f t="shared" si="237"/>
      </c>
      <c r="R242" s="191">
        <f t="shared" si="267"/>
      </c>
      <c r="S242" s="191">
        <f t="shared" si="162"/>
      </c>
      <c r="T242" s="191">
        <f t="shared" si="207"/>
      </c>
      <c r="U242" s="189">
        <f t="shared" si="429"/>
      </c>
      <c r="V242" s="189">
        <f t="shared" si="19"/>
      </c>
      <c r="W242" s="189">
        <f t="shared" si="34"/>
      </c>
      <c r="X242" s="189">
        <f t="shared" si="49"/>
      </c>
      <c r="Y242" s="189">
        <f t="shared" si="312"/>
      </c>
      <c r="Z242" s="189">
        <f t="shared" si="357"/>
      </c>
      <c r="AA242" s="190">
        <f t="shared" si="252"/>
      </c>
      <c r="AB242" s="190">
        <f t="shared" si="282"/>
      </c>
      <c r="AC242" s="190">
        <f t="shared" si="177"/>
      </c>
      <c r="AD242" s="189">
        <f t="shared" si="222"/>
      </c>
      <c r="AE242" s="190">
        <f t="shared" si="444"/>
      </c>
      <c r="AF242" s="189">
        <f t="shared" si="64"/>
      </c>
      <c r="AG242" s="189">
        <f t="shared" si="327"/>
      </c>
      <c r="AH242" s="192">
        <v>17555</v>
      </c>
      <c r="AI242" s="192">
        <v>467</v>
      </c>
      <c r="AJ242" s="192">
        <v>529</v>
      </c>
      <c r="AK242" s="192">
        <v>54</v>
      </c>
      <c r="AL242" s="192">
        <v>5</v>
      </c>
      <c r="AM242" s="192">
        <v>3</v>
      </c>
      <c r="AN242" s="192">
        <v>71</v>
      </c>
      <c r="AO242" s="192">
        <v>77</v>
      </c>
      <c r="AP242" s="192">
        <v>9</v>
      </c>
      <c r="AQ242" s="187">
        <v>0</v>
      </c>
      <c r="AR242" s="213">
        <f t="shared" ref="AR242:AR245" si="378">COUNT(AQ242)</f>
      </c>
    </row>
    <row r="243">
      <c r="A243" s="182"/>
      <c r="B243" s="184" t="s">
        <v>191</v>
      </c>
      <c r="C243" s="184" t="s">
        <v>192</v>
      </c>
      <c r="D243" s="183" t="s">
        <v>201</v>
      </c>
      <c r="E243" s="183" t="s">
        <v>195</v>
      </c>
      <c r="F243" s="185">
        <f t="shared" si="126"/>
      </c>
      <c r="G243" s="204">
        <v>827.81</v>
      </c>
      <c r="H243" s="204">
        <v>656.21</v>
      </c>
      <c r="I243" s="187">
        <v>2</v>
      </c>
      <c r="J243" s="192">
        <v>0</v>
      </c>
      <c r="K243" s="196">
        <v>0</v>
      </c>
      <c r="L243" s="189">
        <f t="shared" si="192"/>
      </c>
      <c r="M243" s="190">
        <f t="shared" si="414"/>
      </c>
      <c r="N243" s="191">
        <f t="shared" si="4"/>
      </c>
      <c r="O243" s="191">
        <f t="shared" si="297"/>
      </c>
      <c r="P243" s="191">
        <f t="shared" si="342"/>
      </c>
      <c r="Q243" s="191">
        <f t="shared" si="237"/>
      </c>
      <c r="R243" s="191">
        <f t="shared" si="267"/>
      </c>
      <c r="S243" s="191">
        <f t="shared" si="162"/>
      </c>
      <c r="T243" s="191">
        <f t="shared" si="207"/>
      </c>
      <c r="U243" s="189">
        <f t="shared" si="429"/>
      </c>
      <c r="V243" s="189">
        <f t="shared" si="19"/>
      </c>
      <c r="W243" s="189">
        <f t="shared" si="34"/>
      </c>
      <c r="X243" s="189">
        <f t="shared" si="49"/>
      </c>
      <c r="Y243" s="189">
        <f t="shared" si="312"/>
      </c>
      <c r="Z243" s="189">
        <f t="shared" si="357"/>
      </c>
      <c r="AA243" s="190">
        <f t="shared" si="252"/>
      </c>
      <c r="AB243" s="190">
        <f t="shared" si="282"/>
      </c>
      <c r="AC243" s="190">
        <f t="shared" si="177"/>
      </c>
      <c r="AD243" s="189">
        <f t="shared" si="222"/>
      </c>
      <c r="AE243" s="190">
        <f t="shared" si="444"/>
      </c>
      <c r="AF243" s="189">
        <f t="shared" si="64"/>
      </c>
      <c r="AG243" s="189">
        <f t="shared" si="327"/>
      </c>
      <c r="AH243" s="192">
        <v>10073</v>
      </c>
      <c r="AI243" s="192">
        <v>266</v>
      </c>
      <c r="AJ243" s="192">
        <v>291</v>
      </c>
      <c r="AK243" s="192">
        <v>32</v>
      </c>
      <c r="AL243" s="192">
        <v>2</v>
      </c>
      <c r="AM243" s="192">
        <v>1</v>
      </c>
      <c r="AN243" s="192">
        <v>36</v>
      </c>
      <c r="AO243" s="192">
        <v>22</v>
      </c>
      <c r="AP243" s="192">
        <v>3</v>
      </c>
      <c r="AQ243" s="187">
        <v>0</v>
      </c>
      <c r="AR243" s="213">
        <f t="shared" si="378"/>
      </c>
    </row>
    <row r="244">
      <c r="A244" s="182"/>
      <c r="B244" s="184" t="s">
        <v>191</v>
      </c>
      <c r="C244" s="184" t="s">
        <v>192</v>
      </c>
      <c r="D244" s="183" t="s">
        <v>201</v>
      </c>
      <c r="E244" s="183" t="s">
        <v>196</v>
      </c>
      <c r="F244" s="185">
        <f t="shared" si="126"/>
      </c>
      <c r="G244" s="204">
        <v>919.78</v>
      </c>
      <c r="H244" s="204">
        <v>349.66</v>
      </c>
      <c r="I244" s="187">
        <v>1</v>
      </c>
      <c r="J244" s="187">
        <v>2</v>
      </c>
      <c r="K244" s="188">
        <v>1441.2000000000007</v>
      </c>
      <c r="L244" s="189">
        <f t="shared" si="192"/>
      </c>
      <c r="M244" s="190">
        <f t="shared" si="414"/>
      </c>
      <c r="N244" s="191">
        <f t="shared" si="4"/>
      </c>
      <c r="O244" s="191">
        <f t="shared" si="297"/>
      </c>
      <c r="P244" s="191">
        <f t="shared" si="342"/>
      </c>
      <c r="Q244" s="191">
        <f t="shared" si="237"/>
      </c>
      <c r="R244" s="191">
        <f t="shared" si="267"/>
      </c>
      <c r="S244" s="191">
        <f t="shared" si="162"/>
      </c>
      <c r="T244" s="191">
        <f t="shared" si="207"/>
      </c>
      <c r="U244" s="189">
        <f t="shared" si="429"/>
      </c>
      <c r="V244" s="189">
        <f t="shared" si="19"/>
      </c>
      <c r="W244" s="189">
        <f t="shared" si="34"/>
      </c>
      <c r="X244" s="189">
        <f t="shared" si="49"/>
      </c>
      <c r="Y244" s="189">
        <f t="shared" si="312"/>
      </c>
      <c r="Z244" s="189">
        <f t="shared" si="357"/>
      </c>
      <c r="AA244" s="190">
        <f t="shared" si="252"/>
      </c>
      <c r="AB244" s="190">
        <f t="shared" si="282"/>
      </c>
      <c r="AC244" s="190">
        <f t="shared" si="177"/>
      </c>
      <c r="AD244" s="189">
        <f t="shared" si="222"/>
      </c>
      <c r="AE244" s="190">
        <f t="shared" si="444"/>
      </c>
      <c r="AF244" s="189">
        <f t="shared" si="64"/>
      </c>
      <c r="AG244" s="189">
        <f t="shared" si="327"/>
      </c>
      <c r="AH244" s="192">
        <v>10877</v>
      </c>
      <c r="AI244" s="192">
        <v>227</v>
      </c>
      <c r="AJ244" s="192">
        <v>281</v>
      </c>
      <c r="AK244" s="192">
        <v>30</v>
      </c>
      <c r="AL244" s="192">
        <v>1</v>
      </c>
      <c r="AM244" s="192">
        <v>2</v>
      </c>
      <c r="AN244" s="192">
        <v>48</v>
      </c>
      <c r="AO244" s="192">
        <v>57</v>
      </c>
      <c r="AP244" s="192">
        <v>11</v>
      </c>
      <c r="AQ244" s="187">
        <v>0</v>
      </c>
      <c r="AR244" s="213">
        <f t="shared" si="378"/>
      </c>
    </row>
    <row r="245">
      <c r="A245" s="182"/>
      <c r="B245" s="184" t="s">
        <v>191</v>
      </c>
      <c r="C245" s="184" t="s">
        <v>192</v>
      </c>
      <c r="D245" s="183" t="s">
        <v>201</v>
      </c>
      <c r="E245" s="183" t="s">
        <v>199</v>
      </c>
      <c r="F245" s="185">
        <f t="shared" si="126"/>
      </c>
      <c r="G245" s="204">
        <v>965</v>
      </c>
      <c r="H245" s="204">
        <v>216.08</v>
      </c>
      <c r="I245" s="187">
        <v>3</v>
      </c>
      <c r="J245" s="187">
        <v>2</v>
      </c>
      <c r="K245" s="188">
        <v>1369</v>
      </c>
      <c r="L245" s="189">
        <f t="shared" si="192"/>
      </c>
      <c r="M245" s="190">
        <f t="shared" si="414"/>
      </c>
      <c r="N245" s="191">
        <f t="shared" si="4"/>
      </c>
      <c r="O245" s="191">
        <f t="shared" si="297"/>
      </c>
      <c r="P245" s="191">
        <f t="shared" si="342"/>
      </c>
      <c r="Q245" s="191">
        <f t="shared" si="237"/>
      </c>
      <c r="R245" s="191">
        <f t="shared" si="267"/>
      </c>
      <c r="S245" s="191">
        <f t="shared" si="162"/>
      </c>
      <c r="T245" s="191">
        <f t="shared" si="207"/>
      </c>
      <c r="U245" s="189">
        <f t="shared" si="429"/>
      </c>
      <c r="V245" s="189">
        <f t="shared" si="19"/>
      </c>
      <c r="W245" s="189">
        <f t="shared" si="34"/>
      </c>
      <c r="X245" s="189">
        <f t="shared" si="49"/>
      </c>
      <c r="Y245" s="189">
        <f t="shared" si="312"/>
      </c>
      <c r="Z245" s="189">
        <f t="shared" si="357"/>
      </c>
      <c r="AA245" s="190">
        <f t="shared" si="252"/>
      </c>
      <c r="AB245" s="190">
        <f t="shared" si="282"/>
      </c>
      <c r="AC245" s="190">
        <f t="shared" si="177"/>
      </c>
      <c r="AD245" s="189">
        <f t="shared" si="222"/>
      </c>
      <c r="AE245" s="190">
        <f t="shared" si="444"/>
      </c>
      <c r="AF245" s="189">
        <f t="shared" si="64"/>
      </c>
      <c r="AG245" s="189">
        <f t="shared" si="327"/>
      </c>
      <c r="AH245" s="192">
        <v>9665</v>
      </c>
      <c r="AI245" s="192">
        <v>198</v>
      </c>
      <c r="AJ245" s="192">
        <v>215</v>
      </c>
      <c r="AK245" s="192">
        <v>39</v>
      </c>
      <c r="AL245" s="192">
        <v>3</v>
      </c>
      <c r="AM245" s="192">
        <v>2</v>
      </c>
      <c r="AN245" s="192">
        <v>49</v>
      </c>
      <c r="AO245" s="192">
        <v>51</v>
      </c>
      <c r="AP245" s="192">
        <v>4</v>
      </c>
      <c r="AQ245" s="187">
        <v>0</v>
      </c>
      <c r="AR245" s="213">
        <f t="shared" si="378"/>
      </c>
    </row>
    <row r="246">
      <c r="A246" s="182"/>
      <c r="B246" s="197" t="s">
        <v>197</v>
      </c>
      <c r="C246" s="197"/>
      <c r="D246" s="197"/>
      <c r="E246" s="197"/>
      <c r="F246" s="198">
        <f>SUM(F242:F245)</f>
      </c>
      <c r="G246" s="198">
        <f>SUM(G242:G245)</f>
      </c>
      <c r="H246" s="198">
        <f>SUM(H242:H245)</f>
      </c>
      <c r="I246" s="199">
        <f>SUM(I242:I245)</f>
      </c>
      <c r="J246" s="199">
        <f>SUM(J242:J245)</f>
      </c>
      <c r="K246" s="198">
        <f>SUM(K242:K245)</f>
      </c>
      <c r="L246" s="200">
        <f t="shared" si="192"/>
      </c>
      <c r="M246" s="201">
        <f t="shared" si="414"/>
      </c>
      <c r="N246" s="202">
        <f t="shared" si="4"/>
      </c>
      <c r="O246" s="202">
        <f t="shared" si="297"/>
      </c>
      <c r="P246" s="202">
        <f t="shared" si="342"/>
      </c>
      <c r="Q246" s="202">
        <f t="shared" si="237"/>
      </c>
      <c r="R246" s="202">
        <f t="shared" si="267"/>
      </c>
      <c r="S246" s="202">
        <f t="shared" si="162"/>
      </c>
      <c r="T246" s="202">
        <f t="shared" si="207"/>
      </c>
      <c r="U246" s="200">
        <f t="shared" si="429"/>
      </c>
      <c r="V246" s="200">
        <f t="shared" si="19"/>
      </c>
      <c r="W246" s="200">
        <f t="shared" si="34"/>
      </c>
      <c r="X246" s="200">
        <f t="shared" si="49"/>
      </c>
      <c r="Y246" s="200">
        <f t="shared" si="312"/>
      </c>
      <c r="Z246" s="200">
        <f t="shared" si="357"/>
      </c>
      <c r="AA246" s="201">
        <f t="shared" si="252"/>
      </c>
      <c r="AB246" s="201">
        <f t="shared" si="282"/>
      </c>
      <c r="AC246" s="201">
        <f t="shared" si="177"/>
      </c>
      <c r="AD246" s="200">
        <f t="shared" si="222"/>
      </c>
      <c r="AE246" s="201">
        <f t="shared" si="444"/>
      </c>
      <c r="AF246" s="200">
        <f t="shared" si="64"/>
      </c>
      <c r="AG246" s="200">
        <f t="shared" si="327"/>
      </c>
      <c r="AH246" s="199">
        <f>SUM(AH242:AH245)</f>
      </c>
      <c r="AI246" s="199">
        <f>SUM(AI242:AI245)</f>
      </c>
      <c r="AJ246" s="199">
        <f>SUM(AJ242:AJ245)</f>
      </c>
      <c r="AK246" s="199">
        <f>SUM(AK242:AK245)</f>
      </c>
      <c r="AL246" s="199">
        <f>SUM(AL242:AL245)</f>
      </c>
      <c r="AM246" s="199">
        <f>SUM(AM242:AM245)</f>
      </c>
      <c r="AN246" s="199">
        <f>SUM(AN242:AN245)</f>
      </c>
      <c r="AO246" s="199">
        <f>SUM(AO242:AO245)</f>
      </c>
      <c r="AP246" s="199">
        <f>SUM(AP242:AP245)</f>
      </c>
      <c r="AQ246" s="199">
        <f>SUM(AQ242:AQ245)</f>
      </c>
      <c r="AR246" s="203">
        <f>SUM(AR242:AR245)</f>
      </c>
    </row>
    <row r="247">
      <c r="A247" s="182"/>
      <c r="B247" s="184" t="s">
        <v>191</v>
      </c>
      <c r="C247" s="184" t="s">
        <v>192</v>
      </c>
      <c r="D247" s="183" t="s">
        <v>206</v>
      </c>
      <c r="E247" s="183" t="s">
        <v>200</v>
      </c>
      <c r="F247" s="185">
        <f t="shared" ref="F247:F250" si="127">H247+G247</f>
      </c>
      <c r="G247" s="204">
        <v>1545.17</v>
      </c>
      <c r="H247" s="204">
        <v>249.3</v>
      </c>
      <c r="I247" s="187">
        <v>3</v>
      </c>
      <c r="J247" s="192">
        <v>2</v>
      </c>
      <c r="K247" s="196">
        <v>1441.2000000000007</v>
      </c>
      <c r="L247" s="189">
        <f t="shared" si="192"/>
      </c>
      <c r="M247" s="190">
        <f t="shared" si="414"/>
      </c>
      <c r="N247" s="191">
        <f t="shared" si="4"/>
      </c>
      <c r="O247" s="191">
        <f t="shared" si="297"/>
      </c>
      <c r="P247" s="191">
        <f t="shared" si="342"/>
      </c>
      <c r="Q247" s="191">
        <f t="shared" si="237"/>
      </c>
      <c r="R247" s="191">
        <f t="shared" si="267"/>
      </c>
      <c r="S247" s="191">
        <f t="shared" si="162"/>
      </c>
      <c r="T247" s="191">
        <f t="shared" si="207"/>
      </c>
      <c r="U247" s="189">
        <f t="shared" si="429"/>
      </c>
      <c r="V247" s="189">
        <f t="shared" si="19"/>
      </c>
      <c r="W247" s="189">
        <f t="shared" si="34"/>
      </c>
      <c r="X247" s="189">
        <f t="shared" si="49"/>
      </c>
      <c r="Y247" s="189">
        <f t="shared" si="312"/>
      </c>
      <c r="Z247" s="189">
        <f t="shared" si="357"/>
      </c>
      <c r="AA247" s="190">
        <f t="shared" si="252"/>
      </c>
      <c r="AB247" s="190">
        <f t="shared" si="282"/>
      </c>
      <c r="AC247" s="190">
        <f t="shared" si="177"/>
      </c>
      <c r="AD247" s="189">
        <f t="shared" si="222"/>
      </c>
      <c r="AE247" s="190">
        <f t="shared" si="444"/>
      </c>
      <c r="AF247" s="189">
        <f t="shared" si="64"/>
      </c>
      <c r="AG247" s="189">
        <f t="shared" si="327"/>
      </c>
      <c r="AH247" s="192">
        <v>15911</v>
      </c>
      <c r="AI247" s="192">
        <v>275</v>
      </c>
      <c r="AJ247" s="192">
        <v>334</v>
      </c>
      <c r="AK247" s="192">
        <v>28</v>
      </c>
      <c r="AL247" s="192">
        <v>3</v>
      </c>
      <c r="AM247" s="192">
        <v>2</v>
      </c>
      <c r="AN247" s="192">
        <v>62</v>
      </c>
      <c r="AO247" s="192">
        <v>58</v>
      </c>
      <c r="AP247" s="192">
        <v>10</v>
      </c>
      <c r="AQ247" s="187">
        <v>0</v>
      </c>
      <c r="AR247" s="213">
        <f t="shared" ref="AR247:AR250" si="379">COUNT(AQ247)</f>
      </c>
    </row>
    <row r="248">
      <c r="A248" s="182"/>
      <c r="B248" s="184" t="s">
        <v>191</v>
      </c>
      <c r="C248" s="184" t="s">
        <v>192</v>
      </c>
      <c r="D248" s="183" t="s">
        <v>206</v>
      </c>
      <c r="E248" s="184" t="s">
        <v>202</v>
      </c>
      <c r="F248" s="185">
        <f t="shared" si="127"/>
      </c>
      <c r="G248" s="204">
        <v>1693.8</v>
      </c>
      <c r="H248" s="204">
        <v>356.42</v>
      </c>
      <c r="I248" s="187">
        <v>9</v>
      </c>
      <c r="J248" s="192">
        <v>6</v>
      </c>
      <c r="K248" s="188">
        <v>3717.2000000000007</v>
      </c>
      <c r="L248" s="189">
        <f t="shared" si="192"/>
      </c>
      <c r="M248" s="190">
        <f t="shared" si="414"/>
      </c>
      <c r="N248" s="191">
        <f t="shared" si="4"/>
      </c>
      <c r="O248" s="191">
        <f t="shared" si="297"/>
      </c>
      <c r="P248" s="191">
        <f t="shared" si="342"/>
      </c>
      <c r="Q248" s="191">
        <f t="shared" si="237"/>
      </c>
      <c r="R248" s="191">
        <f t="shared" si="267"/>
      </c>
      <c r="S248" s="191">
        <f t="shared" si="162"/>
      </c>
      <c r="T248" s="191">
        <f t="shared" si="207"/>
      </c>
      <c r="U248" s="189">
        <f t="shared" si="429"/>
      </c>
      <c r="V248" s="189">
        <f t="shared" si="19"/>
      </c>
      <c r="W248" s="189">
        <f t="shared" si="34"/>
      </c>
      <c r="X248" s="189">
        <f t="shared" si="49"/>
      </c>
      <c r="Y248" s="189">
        <f t="shared" si="312"/>
      </c>
      <c r="Z248" s="189">
        <f t="shared" si="357"/>
      </c>
      <c r="AA248" s="190">
        <f t="shared" si="252"/>
      </c>
      <c r="AB248" s="190">
        <f t="shared" si="282"/>
      </c>
      <c r="AC248" s="190">
        <f t="shared" si="177"/>
      </c>
      <c r="AD248" s="189">
        <f t="shared" si="222"/>
      </c>
      <c r="AE248" s="190">
        <f t="shared" si="444"/>
      </c>
      <c r="AF248" s="189">
        <f t="shared" si="64"/>
      </c>
      <c r="AG248" s="189">
        <f t="shared" si="327"/>
      </c>
      <c r="AH248" s="192">
        <v>17252</v>
      </c>
      <c r="AI248" s="192">
        <v>310</v>
      </c>
      <c r="AJ248" s="192">
        <v>383</v>
      </c>
      <c r="AK248" s="192">
        <v>37</v>
      </c>
      <c r="AL248" s="192">
        <v>3</v>
      </c>
      <c r="AM248" s="192">
        <v>3</v>
      </c>
      <c r="AN248" s="192">
        <v>64</v>
      </c>
      <c r="AO248" s="192">
        <v>66</v>
      </c>
      <c r="AP248" s="192">
        <v>9</v>
      </c>
      <c r="AQ248" s="187">
        <v>2</v>
      </c>
      <c r="AR248" s="213">
        <f t="shared" si="379"/>
      </c>
    </row>
    <row r="249">
      <c r="A249" s="182"/>
      <c r="B249" s="184" t="s">
        <v>191</v>
      </c>
      <c r="C249" s="184" t="s">
        <v>192</v>
      </c>
      <c r="D249" s="183" t="s">
        <v>206</v>
      </c>
      <c r="E249" s="184" t="s">
        <v>203</v>
      </c>
      <c r="F249" s="185">
        <f t="shared" si="127"/>
      </c>
      <c r="G249" s="204">
        <v>977.64</v>
      </c>
      <c r="H249" s="204">
        <v>967.83</v>
      </c>
      <c r="I249" s="187">
        <v>8</v>
      </c>
      <c r="J249" s="192">
        <v>4</v>
      </c>
      <c r="K249" s="188">
        <v>3028.7999999999993</v>
      </c>
      <c r="L249" s="189">
        <f t="shared" si="192"/>
      </c>
      <c r="M249" s="190">
        <f t="shared" si="414"/>
      </c>
      <c r="N249" s="191">
        <f t="shared" si="4"/>
      </c>
      <c r="O249" s="191">
        <f t="shared" si="297"/>
      </c>
      <c r="P249" s="191">
        <f t="shared" si="342"/>
      </c>
      <c r="Q249" s="191">
        <f t="shared" si="237"/>
      </c>
      <c r="R249" s="191">
        <f t="shared" si="267"/>
      </c>
      <c r="S249" s="191">
        <f t="shared" si="162"/>
      </c>
      <c r="T249" s="191">
        <f t="shared" si="207"/>
      </c>
      <c r="U249" s="189">
        <f t="shared" si="429"/>
      </c>
      <c r="V249" s="189">
        <f t="shared" si="19"/>
      </c>
      <c r="W249" s="189">
        <f t="shared" si="34"/>
      </c>
      <c r="X249" s="189">
        <f t="shared" si="49"/>
      </c>
      <c r="Y249" s="189">
        <f t="shared" si="312"/>
      </c>
      <c r="Z249" s="189">
        <f t="shared" si="357"/>
      </c>
      <c r="AA249" s="190">
        <f t="shared" si="252"/>
      </c>
      <c r="AB249" s="190">
        <f t="shared" si="282"/>
      </c>
      <c r="AC249" s="190">
        <f t="shared" si="177"/>
      </c>
      <c r="AD249" s="189">
        <f t="shared" si="222"/>
      </c>
      <c r="AE249" s="190">
        <f t="shared" si="444"/>
      </c>
      <c r="AF249" s="189">
        <f t="shared" si="64"/>
      </c>
      <c r="AG249" s="189">
        <f t="shared" si="327"/>
      </c>
      <c r="AH249" s="192">
        <v>15035</v>
      </c>
      <c r="AI249" s="192">
        <v>517</v>
      </c>
      <c r="AJ249" s="192">
        <v>597</v>
      </c>
      <c r="AK249" s="192">
        <v>57</v>
      </c>
      <c r="AL249" s="192">
        <v>6</v>
      </c>
      <c r="AM249" s="192">
        <v>2</v>
      </c>
      <c r="AN249" s="192">
        <v>73</v>
      </c>
      <c r="AO249" s="192">
        <v>87</v>
      </c>
      <c r="AP249" s="192">
        <v>5</v>
      </c>
      <c r="AQ249" s="187">
        <v>0</v>
      </c>
      <c r="AR249" s="213">
        <f t="shared" si="379"/>
      </c>
    </row>
    <row r="250">
      <c r="A250" s="182"/>
      <c r="B250" s="184" t="s">
        <v>191</v>
      </c>
      <c r="C250" s="184" t="s">
        <v>192</v>
      </c>
      <c r="D250" s="183" t="s">
        <v>206</v>
      </c>
      <c r="E250" s="183" t="s">
        <v>204</v>
      </c>
      <c r="F250" s="185">
        <f t="shared" si="127"/>
      </c>
      <c r="G250" s="204">
        <v>800.37</v>
      </c>
      <c r="H250" s="204">
        <v>536.71</v>
      </c>
      <c r="I250" s="187">
        <v>5</v>
      </c>
      <c r="J250" s="192">
        <v>5</v>
      </c>
      <c r="K250" s="196">
        <v>3147.5999999999985</v>
      </c>
      <c r="L250" s="189">
        <f t="shared" si="192"/>
      </c>
      <c r="M250" s="190">
        <f t="shared" si="414"/>
      </c>
      <c r="N250" s="191">
        <f t="shared" si="4"/>
      </c>
      <c r="O250" s="191">
        <f t="shared" si="297"/>
      </c>
      <c r="P250" s="191">
        <f t="shared" si="342"/>
      </c>
      <c r="Q250" s="191">
        <f t="shared" si="237"/>
      </c>
      <c r="R250" s="191">
        <f t="shared" si="267"/>
      </c>
      <c r="S250" s="191">
        <f t="shared" si="162"/>
      </c>
      <c r="T250" s="191">
        <f t="shared" si="207"/>
      </c>
      <c r="U250" s="189">
        <f t="shared" si="429"/>
      </c>
      <c r="V250" s="189">
        <f t="shared" si="19"/>
      </c>
      <c r="W250" s="189">
        <f t="shared" si="34"/>
      </c>
      <c r="X250" s="189">
        <f t="shared" si="49"/>
      </c>
      <c r="Y250" s="189">
        <f t="shared" si="312"/>
      </c>
      <c r="Z250" s="189">
        <f t="shared" si="357"/>
      </c>
      <c r="AA250" s="190">
        <f t="shared" si="252"/>
      </c>
      <c r="AB250" s="190">
        <f t="shared" si="282"/>
      </c>
      <c r="AC250" s="190">
        <f t="shared" si="177"/>
      </c>
      <c r="AD250" s="189">
        <f t="shared" si="222"/>
      </c>
      <c r="AE250" s="190">
        <f t="shared" si="444"/>
      </c>
      <c r="AF250" s="189">
        <f t="shared" si="64"/>
      </c>
      <c r="AG250" s="189">
        <f t="shared" si="327"/>
      </c>
      <c r="AH250" s="192">
        <v>9943</v>
      </c>
      <c r="AI250" s="192">
        <v>349</v>
      </c>
      <c r="AJ250" s="192">
        <v>412</v>
      </c>
      <c r="AK250" s="192">
        <v>34</v>
      </c>
      <c r="AL250" s="192">
        <v>3</v>
      </c>
      <c r="AM250" s="192">
        <v>4</v>
      </c>
      <c r="AN250" s="192">
        <v>57</v>
      </c>
      <c r="AO250" s="192">
        <v>75</v>
      </c>
      <c r="AP250" s="192">
        <v>3</v>
      </c>
      <c r="AQ250" s="187">
        <v>0</v>
      </c>
      <c r="AR250" s="213">
        <f t="shared" si="379"/>
      </c>
    </row>
    <row r="251">
      <c r="A251" s="182"/>
      <c r="B251" s="197" t="s">
        <v>197</v>
      </c>
      <c r="C251" s="197"/>
      <c r="D251" s="197"/>
      <c r="E251" s="197"/>
      <c r="F251" s="198">
        <f>SUM(F247:F250)</f>
      </c>
      <c r="G251" s="198">
        <f>SUM(G247:G250)</f>
      </c>
      <c r="H251" s="198">
        <f>SUM(H247:H250)</f>
      </c>
      <c r="I251" s="199">
        <f>SUM(I247:I250)</f>
      </c>
      <c r="J251" s="199">
        <f>SUM(J247:J250)</f>
      </c>
      <c r="K251" s="198">
        <f>SUM(K247:K250)</f>
      </c>
      <c r="L251" s="200">
        <f t="shared" si="192"/>
      </c>
      <c r="M251" s="201">
        <f t="shared" si="414"/>
      </c>
      <c r="N251" s="202">
        <f t="shared" si="4"/>
      </c>
      <c r="O251" s="202">
        <f t="shared" si="297"/>
      </c>
      <c r="P251" s="202">
        <f t="shared" si="342"/>
      </c>
      <c r="Q251" s="202">
        <f t="shared" si="237"/>
      </c>
      <c r="R251" s="202">
        <f t="shared" si="267"/>
      </c>
      <c r="S251" s="202">
        <f t="shared" si="162"/>
      </c>
      <c r="T251" s="202">
        <f t="shared" si="207"/>
      </c>
      <c r="U251" s="200">
        <f t="shared" si="429"/>
      </c>
      <c r="V251" s="200">
        <f t="shared" si="19"/>
      </c>
      <c r="W251" s="200">
        <f t="shared" si="34"/>
      </c>
      <c r="X251" s="200">
        <f t="shared" si="49"/>
      </c>
      <c r="Y251" s="200">
        <f t="shared" si="312"/>
      </c>
      <c r="Z251" s="200">
        <f t="shared" si="357"/>
      </c>
      <c r="AA251" s="201">
        <f t="shared" si="252"/>
      </c>
      <c r="AB251" s="201">
        <f t="shared" si="282"/>
      </c>
      <c r="AC251" s="201">
        <f t="shared" si="177"/>
      </c>
      <c r="AD251" s="200">
        <f t="shared" si="222"/>
      </c>
      <c r="AE251" s="201">
        <f t="shared" si="444"/>
      </c>
      <c r="AF251" s="200">
        <f t="shared" si="64"/>
      </c>
      <c r="AG251" s="200">
        <f t="shared" si="327"/>
      </c>
      <c r="AH251" s="199">
        <f>SUM(AH247:AH250)</f>
      </c>
      <c r="AI251" s="199">
        <f>SUM(AI247:AI250)</f>
      </c>
      <c r="AJ251" s="199">
        <f>SUM(AJ247:AJ250)</f>
      </c>
      <c r="AK251" s="199">
        <f>SUM(AK247:AK250)</f>
      </c>
      <c r="AL251" s="199">
        <f>SUM(AL247:AL250)</f>
      </c>
      <c r="AM251" s="199">
        <f>SUM(AM247:AM250)</f>
      </c>
      <c r="AN251" s="199">
        <f>SUM(AN247:AN250)</f>
      </c>
      <c r="AO251" s="199">
        <f>SUM(AO247:AO250)</f>
      </c>
      <c r="AP251" s="199">
        <f>SUM(AP247:AP250)</f>
      </c>
      <c r="AQ251" s="199">
        <f>SUM(AQ247:AQ250)</f>
      </c>
      <c r="AR251" s="203">
        <f>SUM(AR247:AR250)</f>
      </c>
    </row>
    <row r="252">
      <c r="A252" s="182"/>
      <c r="B252" s="205" t="s">
        <v>205</v>
      </c>
      <c r="C252" s="205"/>
      <c r="D252" s="205"/>
      <c r="E252" s="205"/>
      <c r="F252" s="206">
        <f>H252+G252</f>
      </c>
      <c r="G252" s="206">
        <f>G246+G241+G251</f>
      </c>
      <c r="H252" s="206">
        <f>H246+H241+H251</f>
      </c>
      <c r="I252" s="206">
        <f>I246+I241+I251</f>
      </c>
      <c r="J252" s="206">
        <f>J246+J241+J251</f>
      </c>
      <c r="K252" s="206">
        <f>K246+K241+K251</f>
      </c>
      <c r="L252" s="207">
        <f t="shared" si="192"/>
      </c>
      <c r="M252" s="208">
        <f t="shared" si="414"/>
      </c>
      <c r="N252" s="209">
        <f t="shared" si="4"/>
      </c>
      <c r="O252" s="209">
        <f t="shared" si="297"/>
      </c>
      <c r="P252" s="209">
        <f t="shared" si="342"/>
      </c>
      <c r="Q252" s="209">
        <f t="shared" si="237"/>
      </c>
      <c r="R252" s="209">
        <f t="shared" si="267"/>
      </c>
      <c r="S252" s="209">
        <f t="shared" si="162"/>
      </c>
      <c r="T252" s="209">
        <f t="shared" si="207"/>
      </c>
      <c r="U252" s="207">
        <f t="shared" si="429"/>
      </c>
      <c r="V252" s="207">
        <f t="shared" si="19"/>
      </c>
      <c r="W252" s="207">
        <f t="shared" si="34"/>
      </c>
      <c r="X252" s="207">
        <f t="shared" si="49"/>
      </c>
      <c r="Y252" s="207">
        <f t="shared" si="312"/>
      </c>
      <c r="Z252" s="207">
        <f t="shared" si="357"/>
      </c>
      <c r="AA252" s="208">
        <f t="shared" si="252"/>
      </c>
      <c r="AB252" s="208">
        <f t="shared" si="282"/>
      </c>
      <c r="AC252" s="208">
        <f t="shared" si="177"/>
      </c>
      <c r="AD252" s="207">
        <f t="shared" si="222"/>
      </c>
      <c r="AE252" s="208">
        <f t="shared" si="444"/>
      </c>
      <c r="AF252" s="207">
        <f t="shared" si="64"/>
      </c>
      <c r="AG252" s="207">
        <f t="shared" si="327"/>
      </c>
      <c r="AH252" s="203">
        <f>AH246+AH241+AH251</f>
      </c>
      <c r="AI252" s="203">
        <f>AI246+AI241+AI251</f>
      </c>
      <c r="AJ252" s="203">
        <f>AJ246+AJ241+AJ251</f>
      </c>
      <c r="AK252" s="203">
        <f>AK246+AK241+AK251</f>
      </c>
      <c r="AL252" s="203">
        <f>AL246+AL241+AL251</f>
      </c>
      <c r="AM252" s="203">
        <f>AM246+AM241+AM251</f>
      </c>
      <c r="AN252" s="203">
        <f>AN246+AN241+AN251</f>
      </c>
      <c r="AO252" s="203">
        <f>AO246+AO241+AO251</f>
      </c>
      <c r="AP252" s="203">
        <f>AP246+AP241+AP251</f>
      </c>
      <c r="AQ252" s="203">
        <f>AQ246+AQ241+AQ251</f>
      </c>
      <c r="AR252" s="203">
        <f>AR246+AR241+AR251</f>
      </c>
    </row>
    <row r="253">
      <c r="A253" s="159"/>
      <c r="B253" s="159"/>
      <c r="C253" s="159"/>
      <c r="D253" s="159"/>
      <c r="E253" s="159"/>
      <c r="F253" s="160" t="s">
        <v>143</v>
      </c>
      <c r="G253" s="160"/>
      <c r="H253" s="160"/>
      <c r="I253" s="160"/>
      <c r="J253" s="160"/>
      <c r="K253" s="160"/>
      <c r="L253" s="160"/>
      <c r="M253" s="160"/>
      <c r="N253" s="160"/>
      <c r="O253" s="160"/>
      <c r="P253" s="160"/>
      <c r="Q253" s="161" t="s">
        <v>144</v>
      </c>
      <c r="R253" s="161"/>
      <c r="S253" s="161"/>
      <c r="T253" s="161"/>
      <c r="U253" s="161"/>
      <c r="V253" s="161"/>
      <c r="W253" s="161"/>
      <c r="X253" s="161"/>
      <c r="Y253" s="161"/>
      <c r="Z253" s="161"/>
      <c r="AA253" s="161"/>
      <c r="AB253" s="161"/>
      <c r="AC253" s="162" t="s">
        <v>145</v>
      </c>
      <c r="AD253" s="162"/>
      <c r="AE253" s="162"/>
      <c r="AF253" s="162"/>
      <c r="AG253" s="162"/>
      <c r="AH253" s="163" t="s">
        <v>146</v>
      </c>
      <c r="AI253" s="163"/>
      <c r="AJ253" s="163"/>
      <c r="AK253" s="163"/>
      <c r="AL253" s="163"/>
      <c r="AM253" s="163"/>
      <c r="AN253" s="163"/>
      <c r="AO253" s="163"/>
      <c r="AP253" s="163"/>
      <c r="AQ253" s="163"/>
      <c r="AR253" s="163"/>
    </row>
    <row r="254">
      <c r="A254" s="164" t="s">
        <v>147</v>
      </c>
      <c r="B254" s="165" t="s">
        <v>148</v>
      </c>
      <c r="C254" s="165" t="s">
        <v>149</v>
      </c>
      <c r="D254" s="166" t="s">
        <v>150</v>
      </c>
      <c r="E254" s="167" t="s">
        <v>151</v>
      </c>
      <c r="F254" s="168" t="s">
        <v>152</v>
      </c>
      <c r="G254" s="169" t="s">
        <v>153</v>
      </c>
      <c r="H254" s="170" t="s">
        <v>154</v>
      </c>
      <c r="I254" s="171" t="s">
        <v>155</v>
      </c>
      <c r="J254" s="171" t="s">
        <v>156</v>
      </c>
      <c r="K254" s="170" t="s">
        <v>157</v>
      </c>
      <c r="L254" s="172" t="s">
        <v>158</v>
      </c>
      <c r="M254" s="173" t="s">
        <v>159</v>
      </c>
      <c r="N254" s="174" t="s">
        <v>160</v>
      </c>
      <c r="O254" s="174" t="s">
        <v>161</v>
      </c>
      <c r="P254" s="175" t="s">
        <v>162</v>
      </c>
      <c r="Q254" s="161" t="s">
        <v>163</v>
      </c>
      <c r="R254" s="176" t="s">
        <v>164</v>
      </c>
      <c r="S254" s="176" t="s">
        <v>165</v>
      </c>
      <c r="T254" s="176" t="s">
        <v>166</v>
      </c>
      <c r="U254" s="177" t="s">
        <v>167</v>
      </c>
      <c r="V254" s="177" t="s">
        <v>168</v>
      </c>
      <c r="W254" s="177" t="s">
        <v>169</v>
      </c>
      <c r="X254" s="177" t="s">
        <v>170</v>
      </c>
      <c r="Y254" s="177" t="s">
        <v>171</v>
      </c>
      <c r="Z254" s="177" t="s">
        <v>172</v>
      </c>
      <c r="AA254" s="178" t="s">
        <v>173</v>
      </c>
      <c r="AB254" s="178" t="s">
        <v>174</v>
      </c>
      <c r="AC254" s="162" t="s">
        <v>175</v>
      </c>
      <c r="AD254" s="179" t="s">
        <v>176</v>
      </c>
      <c r="AE254" s="162" t="s">
        <v>177</v>
      </c>
      <c r="AF254" s="179" t="s">
        <v>178</v>
      </c>
      <c r="AG254" s="179" t="s">
        <v>179</v>
      </c>
      <c r="AH254" s="180" t="s">
        <v>180</v>
      </c>
      <c r="AI254" s="180" t="s">
        <v>181</v>
      </c>
      <c r="AJ254" s="180" t="s">
        <v>182</v>
      </c>
      <c r="AK254" s="180" t="s">
        <v>183</v>
      </c>
      <c r="AL254" s="180" t="s">
        <v>184</v>
      </c>
      <c r="AM254" s="180" t="s">
        <v>185</v>
      </c>
      <c r="AN254" s="180" t="s">
        <v>186</v>
      </c>
      <c r="AO254" s="180" t="s">
        <v>187</v>
      </c>
      <c r="AP254" s="180" t="s">
        <v>188</v>
      </c>
      <c r="AQ254" s="180" t="s">
        <v>189</v>
      </c>
      <c r="AR254" s="181" t="s">
        <v>190</v>
      </c>
    </row>
    <row r="255">
      <c r="A255" s="182">
        <v>46286</v>
      </c>
      <c r="B255" s="184" t="s">
        <v>191</v>
      </c>
      <c r="C255" s="184" t="s">
        <v>192</v>
      </c>
      <c r="D255" s="183" t="s">
        <v>207</v>
      </c>
      <c r="E255" s="183" t="s">
        <v>209</v>
      </c>
      <c r="F255" s="185">
        <f t="shared" ref="F255:F258" si="128">H255+G255</f>
      </c>
      <c r="G255" s="204">
        <v>1649.81</v>
      </c>
      <c r="H255" s="204">
        <v>729.32</v>
      </c>
      <c r="I255" s="187">
        <v>3</v>
      </c>
      <c r="J255" s="187">
        <v>2</v>
      </c>
      <c r="K255" s="188">
        <v>1737.6000000000001</v>
      </c>
      <c r="L255" s="189">
        <f t="shared" ref="L255:L270" si="193">AQ255/J255</f>
      </c>
      <c r="M255" s="190">
        <f t="shared" ref="M255:M270" si="415">K255/J255</f>
      </c>
      <c r="N255" s="191">
        <f t="shared" ref="N255:N270" si="5">F255/J255</f>
      </c>
      <c r="O255" s="191">
        <f t="shared" ref="O255:O270" si="298">K255/F255</f>
      </c>
      <c r="P255" s="191">
        <f t="shared" ref="P255:P270" si="343">K255/((300*AR255)+F255)</f>
      </c>
      <c r="Q255" s="191">
        <f t="shared" ref="Q255:Q270" si="238">F255/AJ255</f>
      </c>
      <c r="R255" s="191">
        <f t="shared" ref="R255:R270" si="268">F255/AK255</f>
      </c>
      <c r="S255" s="191">
        <f t="shared" ref="S255:S270" si="163">F255/AL255</f>
      </c>
      <c r="T255" s="191">
        <f t="shared" ref="T255:T270" si="208">F255/AM255</f>
      </c>
      <c r="U255" s="189">
        <f t="shared" ref="U255:U270" si="430">AI255/AJ255</f>
      </c>
      <c r="V255" s="189">
        <f t="shared" ref="V255:V270" si="20">AK255/AJ255</f>
      </c>
      <c r="W255" s="189">
        <f t="shared" ref="W255:W270" si="35">AL255/AK255</f>
      </c>
      <c r="X255" s="189">
        <f t="shared" ref="X255:X270" si="50">AM255/AL255</f>
      </c>
      <c r="Y255" s="189">
        <f t="shared" ref="Y255:Y270" si="313">AI255/AH255</f>
      </c>
      <c r="Z255" s="189">
        <f t="shared" ref="Z255:Z270" si="358">AM255/AI255</f>
      </c>
      <c r="AA255" s="190">
        <f t="shared" ref="AA255:AA270" si="253">F255/AH255*1000</f>
      </c>
      <c r="AB255" s="190">
        <f t="shared" ref="AB255:AB270" si="283">F255/AI255</f>
      </c>
      <c r="AC255" s="190">
        <f t="shared" ref="AC255:AC270" si="178">F255/AN255</f>
      </c>
      <c r="AD255" s="189">
        <f t="shared" ref="AD255:AD270" si="223">AN255/AJ255</f>
      </c>
      <c r="AE255" s="190">
        <f t="shared" ref="AE255:AE270" si="445">F255/AO255</f>
      </c>
      <c r="AF255" s="189">
        <f t="shared" ref="AF255:AF270" si="65">AO255/AJ255</f>
      </c>
      <c r="AG255" s="189">
        <f t="shared" ref="AG255:AG270" si="328">AP255/AJ255</f>
      </c>
      <c r="AH255" s="192">
        <v>15547</v>
      </c>
      <c r="AI255" s="193">
        <v>360</v>
      </c>
      <c r="AJ255" s="193">
        <v>383</v>
      </c>
      <c r="AK255" s="192">
        <v>44</v>
      </c>
      <c r="AL255" s="192">
        <v>3</v>
      </c>
      <c r="AM255" s="192">
        <v>1</v>
      </c>
      <c r="AN255" s="192">
        <v>73</v>
      </c>
      <c r="AO255" s="192">
        <v>63</v>
      </c>
      <c r="AP255" s="192">
        <v>14</v>
      </c>
      <c r="AQ255" s="187">
        <v>1</v>
      </c>
      <c r="AR255" s="213">
        <f t="shared" ref="AR255:AR258" si="380">COUNT(AQ255)</f>
      </c>
    </row>
    <row r="256">
      <c r="A256" s="182"/>
      <c r="B256" s="184" t="s">
        <v>191</v>
      </c>
      <c r="C256" s="184" t="s">
        <v>192</v>
      </c>
      <c r="D256" s="183" t="s">
        <v>207</v>
      </c>
      <c r="E256" s="183" t="s">
        <v>210</v>
      </c>
      <c r="F256" s="185">
        <f t="shared" si="128"/>
      </c>
      <c r="G256" s="212">
        <v>1632.18</v>
      </c>
      <c r="H256" s="204">
        <v>395.68</v>
      </c>
      <c r="I256" s="187">
        <v>5</v>
      </c>
      <c r="J256" s="187">
        <v>5</v>
      </c>
      <c r="K256" s="188">
        <v>4195.199999999999</v>
      </c>
      <c r="L256" s="189">
        <f t="shared" si="193"/>
      </c>
      <c r="M256" s="190">
        <f t="shared" si="415"/>
      </c>
      <c r="N256" s="191">
        <f t="shared" si="5"/>
      </c>
      <c r="O256" s="191">
        <f t="shared" si="298"/>
      </c>
      <c r="P256" s="191">
        <f t="shared" si="343"/>
      </c>
      <c r="Q256" s="191">
        <f t="shared" si="238"/>
      </c>
      <c r="R256" s="191">
        <f t="shared" si="268"/>
      </c>
      <c r="S256" s="191">
        <f t="shared" si="163"/>
      </c>
      <c r="T256" s="191">
        <f t="shared" si="208"/>
      </c>
      <c r="U256" s="189">
        <f t="shared" si="430"/>
      </c>
      <c r="V256" s="189">
        <f t="shared" si="20"/>
      </c>
      <c r="W256" s="189">
        <f t="shared" si="35"/>
      </c>
      <c r="X256" s="189">
        <f t="shared" si="50"/>
      </c>
      <c r="Y256" s="189">
        <f t="shared" si="313"/>
      </c>
      <c r="Z256" s="189">
        <f t="shared" si="358"/>
      </c>
      <c r="AA256" s="190">
        <f t="shared" si="253"/>
      </c>
      <c r="AB256" s="190">
        <f t="shared" si="283"/>
      </c>
      <c r="AC256" s="190">
        <f t="shared" si="178"/>
      </c>
      <c r="AD256" s="189">
        <f t="shared" si="223"/>
      </c>
      <c r="AE256" s="190">
        <f t="shared" si="445"/>
      </c>
      <c r="AF256" s="189">
        <f t="shared" si="65"/>
      </c>
      <c r="AG256" s="189">
        <f t="shared" si="328"/>
      </c>
      <c r="AH256" s="192">
        <v>14173</v>
      </c>
      <c r="AI256" s="192">
        <v>309</v>
      </c>
      <c r="AJ256" s="192">
        <v>324</v>
      </c>
      <c r="AK256" s="192">
        <v>63</v>
      </c>
      <c r="AL256" s="192">
        <v>3</v>
      </c>
      <c r="AM256" s="192">
        <v>4</v>
      </c>
      <c r="AN256" s="192">
        <v>80</v>
      </c>
      <c r="AO256" s="192">
        <v>92</v>
      </c>
      <c r="AP256" s="192">
        <v>10</v>
      </c>
      <c r="AQ256" s="187">
        <v>1</v>
      </c>
      <c r="AR256" s="213">
        <f t="shared" si="380"/>
      </c>
    </row>
    <row r="257">
      <c r="A257" s="182"/>
      <c r="B257" s="184" t="s">
        <v>191</v>
      </c>
      <c r="C257" s="184" t="s">
        <v>192</v>
      </c>
      <c r="D257" s="183" t="s">
        <v>207</v>
      </c>
      <c r="E257" s="183" t="s">
        <v>211</v>
      </c>
      <c r="F257" s="185">
        <f t="shared" si="128"/>
      </c>
      <c r="G257" s="204">
        <v>824.24</v>
      </c>
      <c r="H257" s="204">
        <v>393.13</v>
      </c>
      <c r="I257" s="187">
        <v>5</v>
      </c>
      <c r="J257" s="187">
        <v>5</v>
      </c>
      <c r="K257" s="188">
        <v>4171.200000000001</v>
      </c>
      <c r="L257" s="189">
        <f t="shared" si="193"/>
      </c>
      <c r="M257" s="190">
        <f t="shared" si="415"/>
      </c>
      <c r="N257" s="191">
        <f t="shared" si="5"/>
      </c>
      <c r="O257" s="191">
        <f t="shared" si="298"/>
      </c>
      <c r="P257" s="191">
        <f t="shared" si="343"/>
      </c>
      <c r="Q257" s="191">
        <f t="shared" si="238"/>
      </c>
      <c r="R257" s="191">
        <f t="shared" si="268"/>
      </c>
      <c r="S257" s="191">
        <f t="shared" si="163"/>
      </c>
      <c r="T257" s="191">
        <f t="shared" si="208"/>
      </c>
      <c r="U257" s="189">
        <f t="shared" si="430"/>
      </c>
      <c r="V257" s="189">
        <f t="shared" si="20"/>
      </c>
      <c r="W257" s="189">
        <f t="shared" si="35"/>
      </c>
      <c r="X257" s="189">
        <f t="shared" si="50"/>
      </c>
      <c r="Y257" s="189">
        <f t="shared" si="313"/>
      </c>
      <c r="Z257" s="189">
        <f t="shared" si="358"/>
      </c>
      <c r="AA257" s="190">
        <f t="shared" si="253"/>
      </c>
      <c r="AB257" s="190">
        <f t="shared" si="283"/>
      </c>
      <c r="AC257" s="190">
        <f t="shared" si="178"/>
      </c>
      <c r="AD257" s="189">
        <f t="shared" si="223"/>
      </c>
      <c r="AE257" s="190">
        <f t="shared" si="445"/>
      </c>
      <c r="AF257" s="189">
        <f t="shared" si="65"/>
      </c>
      <c r="AG257" s="189">
        <f t="shared" si="328"/>
      </c>
      <c r="AH257" s="192">
        <v>7113</v>
      </c>
      <c r="AI257" s="192">
        <v>176</v>
      </c>
      <c r="AJ257" s="192">
        <v>217</v>
      </c>
      <c r="AK257" s="192">
        <v>35</v>
      </c>
      <c r="AL257" s="187">
        <v>4</v>
      </c>
      <c r="AM257" s="192">
        <v>3</v>
      </c>
      <c r="AN257" s="192">
        <v>54</v>
      </c>
      <c r="AO257" s="192">
        <v>82</v>
      </c>
      <c r="AP257" s="192">
        <v>7</v>
      </c>
      <c r="AQ257" s="187">
        <v>2</v>
      </c>
      <c r="AR257" s="213">
        <f t="shared" si="380"/>
      </c>
    </row>
    <row r="258">
      <c r="A258" s="182"/>
      <c r="B258" s="184" t="s">
        <v>191</v>
      </c>
      <c r="C258" s="184" t="s">
        <v>192</v>
      </c>
      <c r="D258" s="183" t="s">
        <v>207</v>
      </c>
      <c r="E258" s="183" t="s">
        <v>212</v>
      </c>
      <c r="F258" s="185">
        <f t="shared" si="128"/>
      </c>
      <c r="G258" s="204">
        <v>1119.34</v>
      </c>
      <c r="H258" s="204">
        <v>433.18</v>
      </c>
      <c r="I258" s="187">
        <v>5</v>
      </c>
      <c r="J258" s="187">
        <v>5</v>
      </c>
      <c r="K258" s="188">
        <v>4070.199999999999</v>
      </c>
      <c r="L258" s="189">
        <f t="shared" si="193"/>
      </c>
      <c r="M258" s="190">
        <f t="shared" si="415"/>
      </c>
      <c r="N258" s="191">
        <f t="shared" si="5"/>
      </c>
      <c r="O258" s="191">
        <f t="shared" si="298"/>
      </c>
      <c r="P258" s="191">
        <f t="shared" si="343"/>
      </c>
      <c r="Q258" s="191">
        <f t="shared" si="238"/>
      </c>
      <c r="R258" s="191">
        <f t="shared" si="268"/>
      </c>
      <c r="S258" s="191">
        <f t="shared" si="163"/>
      </c>
      <c r="T258" s="191">
        <f t="shared" si="208"/>
      </c>
      <c r="U258" s="189">
        <f t="shared" si="430"/>
      </c>
      <c r="V258" s="189">
        <f t="shared" si="20"/>
      </c>
      <c r="W258" s="189">
        <f t="shared" si="35"/>
      </c>
      <c r="X258" s="189">
        <f t="shared" si="50"/>
      </c>
      <c r="Y258" s="189">
        <f t="shared" si="313"/>
      </c>
      <c r="Z258" s="189">
        <f t="shared" si="358"/>
      </c>
      <c r="AA258" s="190">
        <f t="shared" si="253"/>
      </c>
      <c r="AB258" s="190">
        <f t="shared" si="283"/>
      </c>
      <c r="AC258" s="190">
        <f t="shared" si="178"/>
      </c>
      <c r="AD258" s="189">
        <f t="shared" si="223"/>
      </c>
      <c r="AE258" s="190">
        <f t="shared" si="445"/>
      </c>
      <c r="AF258" s="189">
        <f t="shared" si="65"/>
      </c>
      <c r="AG258" s="189">
        <f t="shared" si="328"/>
      </c>
      <c r="AH258" s="192">
        <v>9295</v>
      </c>
      <c r="AI258" s="192">
        <v>245</v>
      </c>
      <c r="AJ258" s="192">
        <v>293</v>
      </c>
      <c r="AK258" s="192">
        <v>41</v>
      </c>
      <c r="AL258" s="187">
        <v>4</v>
      </c>
      <c r="AM258" s="192">
        <v>3</v>
      </c>
      <c r="AN258" s="192">
        <v>59</v>
      </c>
      <c r="AO258" s="192">
        <v>79</v>
      </c>
      <c r="AP258" s="192">
        <v>11</v>
      </c>
      <c r="AQ258" s="187">
        <v>0</v>
      </c>
      <c r="AR258" s="213">
        <f t="shared" si="380"/>
      </c>
    </row>
    <row r="259">
      <c r="A259" s="182"/>
      <c r="B259" s="197" t="s">
        <v>197</v>
      </c>
      <c r="C259" s="197"/>
      <c r="D259" s="197"/>
      <c r="E259" s="197"/>
      <c r="F259" s="198">
        <f>SUM(F255:F258)</f>
      </c>
      <c r="G259" s="198">
        <f>SUM(G255:G258)</f>
      </c>
      <c r="H259" s="198">
        <f>SUM(H255:H258)</f>
      </c>
      <c r="I259" s="199">
        <f>SUM(I255:I258)</f>
      </c>
      <c r="J259" s="199">
        <f>SUM(J255:J258)</f>
      </c>
      <c r="K259" s="198">
        <f>SUM(K255:K258)</f>
      </c>
      <c r="L259" s="200">
        <f t="shared" si="193"/>
      </c>
      <c r="M259" s="201">
        <f t="shared" si="415"/>
      </c>
      <c r="N259" s="202">
        <f t="shared" si="5"/>
      </c>
      <c r="O259" s="202">
        <f t="shared" si="298"/>
      </c>
      <c r="P259" s="202">
        <f t="shared" si="343"/>
      </c>
      <c r="Q259" s="202">
        <f t="shared" si="238"/>
      </c>
      <c r="R259" s="202">
        <f t="shared" si="268"/>
      </c>
      <c r="S259" s="202">
        <f t="shared" si="163"/>
      </c>
      <c r="T259" s="202">
        <f t="shared" si="208"/>
      </c>
      <c r="U259" s="200">
        <f t="shared" si="430"/>
      </c>
      <c r="V259" s="200">
        <f t="shared" si="20"/>
      </c>
      <c r="W259" s="200">
        <f t="shared" si="35"/>
      </c>
      <c r="X259" s="200">
        <f t="shared" si="50"/>
      </c>
      <c r="Y259" s="200">
        <f t="shared" si="313"/>
      </c>
      <c r="Z259" s="200">
        <f t="shared" si="358"/>
      </c>
      <c r="AA259" s="201">
        <f t="shared" si="253"/>
      </c>
      <c r="AB259" s="201">
        <f t="shared" si="283"/>
      </c>
      <c r="AC259" s="201">
        <f t="shared" si="178"/>
      </c>
      <c r="AD259" s="200">
        <f t="shared" si="223"/>
      </c>
      <c r="AE259" s="201">
        <f t="shared" si="445"/>
      </c>
      <c r="AF259" s="200">
        <f t="shared" si="65"/>
      </c>
      <c r="AG259" s="200">
        <f t="shared" si="328"/>
      </c>
      <c r="AH259" s="199">
        <f>SUM(AH255:AH258)</f>
      </c>
      <c r="AI259" s="199">
        <f>SUM(AI255:AI258)</f>
      </c>
      <c r="AJ259" s="199">
        <f>SUM(AJ255:AJ258)</f>
      </c>
      <c r="AK259" s="199">
        <f>SUM(AK255:AK258)</f>
      </c>
      <c r="AL259" s="199">
        <f>SUM(AL255:AL258)</f>
      </c>
      <c r="AM259" s="199">
        <f>SUM(AM255:AM258)</f>
      </c>
      <c r="AN259" s="199">
        <f>SUM(AN255:AN258)</f>
      </c>
      <c r="AO259" s="199">
        <f>SUM(AO255:AO258)</f>
      </c>
      <c r="AP259" s="199">
        <f>SUM(AP255:AP258)</f>
      </c>
      <c r="AQ259" s="199">
        <f>SUM(AQ255:AQ258)</f>
      </c>
      <c r="AR259" s="203">
        <f>SUM(AR255:AR258)</f>
      </c>
    </row>
    <row r="260">
      <c r="A260" s="182"/>
      <c r="B260" s="184" t="s">
        <v>191</v>
      </c>
      <c r="C260" s="184" t="s">
        <v>192</v>
      </c>
      <c r="D260" s="183" t="s">
        <v>206</v>
      </c>
      <c r="E260" s="183" t="s">
        <v>194</v>
      </c>
      <c r="F260" s="185">
        <f t="shared" ref="F260:F263" si="129">H260+G260</f>
      </c>
      <c r="G260" s="204">
        <v>1525.13</v>
      </c>
      <c r="H260" s="204">
        <v>610.72</v>
      </c>
      <c r="I260" s="187">
        <v>5</v>
      </c>
      <c r="J260" s="187">
        <v>3</v>
      </c>
      <c r="K260" s="188">
        <v>1915.199999999999</v>
      </c>
      <c r="L260" s="189">
        <f t="shared" si="193"/>
      </c>
      <c r="M260" s="190">
        <f t="shared" si="415"/>
      </c>
      <c r="N260" s="191">
        <f t="shared" si="5"/>
      </c>
      <c r="O260" s="191">
        <f t="shared" si="298"/>
      </c>
      <c r="P260" s="191">
        <f t="shared" si="343"/>
      </c>
      <c r="Q260" s="191">
        <f t="shared" si="238"/>
      </c>
      <c r="R260" s="191">
        <f t="shared" si="268"/>
      </c>
      <c r="S260" s="191">
        <f t="shared" si="163"/>
      </c>
      <c r="T260" s="191">
        <f t="shared" si="208"/>
      </c>
      <c r="U260" s="189">
        <f t="shared" si="430"/>
      </c>
      <c r="V260" s="189">
        <f t="shared" si="20"/>
      </c>
      <c r="W260" s="189">
        <f t="shared" si="35"/>
      </c>
      <c r="X260" s="189">
        <f t="shared" si="50"/>
      </c>
      <c r="Y260" s="189">
        <f t="shared" si="313"/>
      </c>
      <c r="Z260" s="189">
        <f t="shared" si="358"/>
      </c>
      <c r="AA260" s="190">
        <f t="shared" si="253"/>
      </c>
      <c r="AB260" s="190">
        <f t="shared" si="283"/>
      </c>
      <c r="AC260" s="190">
        <f t="shared" si="178"/>
      </c>
      <c r="AD260" s="189">
        <f t="shared" si="223"/>
      </c>
      <c r="AE260" s="190">
        <f t="shared" si="445"/>
      </c>
      <c r="AF260" s="189">
        <f t="shared" si="65"/>
      </c>
      <c r="AG260" s="189">
        <f t="shared" si="328"/>
      </c>
      <c r="AH260" s="192">
        <v>17411</v>
      </c>
      <c r="AI260" s="192">
        <v>391</v>
      </c>
      <c r="AJ260" s="192">
        <v>515</v>
      </c>
      <c r="AK260" s="192">
        <v>39</v>
      </c>
      <c r="AL260" s="192">
        <v>5</v>
      </c>
      <c r="AM260" s="192">
        <v>3</v>
      </c>
      <c r="AN260" s="192">
        <v>76</v>
      </c>
      <c r="AO260" s="192">
        <v>57</v>
      </c>
      <c r="AP260" s="192">
        <v>11</v>
      </c>
      <c r="AQ260" s="187">
        <v>0</v>
      </c>
      <c r="AR260" s="213">
        <f t="shared" ref="AR260:AR263" si="381">COUNT(AQ260)</f>
      </c>
    </row>
    <row r="261">
      <c r="A261" s="182"/>
      <c r="B261" s="184" t="s">
        <v>191</v>
      </c>
      <c r="C261" s="184" t="s">
        <v>192</v>
      </c>
      <c r="D261" s="183" t="s">
        <v>206</v>
      </c>
      <c r="E261" s="183" t="s">
        <v>195</v>
      </c>
      <c r="F261" s="185">
        <f t="shared" si="129"/>
      </c>
      <c r="G261" s="204">
        <v>1815.85</v>
      </c>
      <c r="H261" s="204">
        <v>535.96</v>
      </c>
      <c r="I261" s="187">
        <v>7</v>
      </c>
      <c r="J261" s="192">
        <v>5</v>
      </c>
      <c r="K261" s="196">
        <v>3678.0000000000036</v>
      </c>
      <c r="L261" s="189">
        <f t="shared" si="193"/>
      </c>
      <c r="M261" s="190">
        <f t="shared" si="415"/>
      </c>
      <c r="N261" s="191">
        <f t="shared" si="5"/>
      </c>
      <c r="O261" s="191">
        <f t="shared" si="298"/>
      </c>
      <c r="P261" s="191">
        <f t="shared" si="343"/>
      </c>
      <c r="Q261" s="191">
        <f t="shared" si="238"/>
      </c>
      <c r="R261" s="191">
        <f t="shared" si="268"/>
      </c>
      <c r="S261" s="191">
        <f t="shared" si="163"/>
      </c>
      <c r="T261" s="191">
        <f t="shared" si="208"/>
      </c>
      <c r="U261" s="189">
        <f t="shared" si="430"/>
      </c>
      <c r="V261" s="189">
        <f t="shared" si="20"/>
      </c>
      <c r="W261" s="189">
        <f t="shared" si="35"/>
      </c>
      <c r="X261" s="189">
        <f t="shared" si="50"/>
      </c>
      <c r="Y261" s="189">
        <f t="shared" si="313"/>
      </c>
      <c r="Z261" s="189">
        <f t="shared" si="358"/>
      </c>
      <c r="AA261" s="190">
        <f t="shared" si="253"/>
      </c>
      <c r="AB261" s="190">
        <f t="shared" si="283"/>
      </c>
      <c r="AC261" s="190">
        <f t="shared" si="178"/>
      </c>
      <c r="AD261" s="189">
        <f t="shared" si="223"/>
      </c>
      <c r="AE261" s="190">
        <f t="shared" si="445"/>
      </c>
      <c r="AF261" s="189">
        <f t="shared" si="65"/>
      </c>
      <c r="AG261" s="189">
        <f t="shared" si="328"/>
      </c>
      <c r="AH261" s="192">
        <v>22402</v>
      </c>
      <c r="AI261" s="192">
        <v>456</v>
      </c>
      <c r="AJ261" s="192">
        <v>588</v>
      </c>
      <c r="AK261" s="192">
        <v>39</v>
      </c>
      <c r="AL261" s="192">
        <v>6</v>
      </c>
      <c r="AM261" s="192">
        <v>3</v>
      </c>
      <c r="AN261" s="192">
        <v>91</v>
      </c>
      <c r="AO261" s="192">
        <v>76</v>
      </c>
      <c r="AP261" s="192">
        <v>7</v>
      </c>
      <c r="AQ261" s="187">
        <v>2</v>
      </c>
      <c r="AR261" s="213">
        <f t="shared" si="381"/>
      </c>
    </row>
    <row r="262">
      <c r="A262" s="182"/>
      <c r="B262" s="184" t="s">
        <v>191</v>
      </c>
      <c r="C262" s="184" t="s">
        <v>192</v>
      </c>
      <c r="D262" s="183" t="s">
        <v>206</v>
      </c>
      <c r="E262" s="183" t="s">
        <v>196</v>
      </c>
      <c r="F262" s="185">
        <f t="shared" si="129"/>
      </c>
      <c r="G262" s="204">
        <v>2660.12</v>
      </c>
      <c r="H262" s="204">
        <v>265.85</v>
      </c>
      <c r="I262" s="187">
        <v>5</v>
      </c>
      <c r="J262" s="187">
        <v>4</v>
      </c>
      <c r="K262" s="188">
        <v>2165.7999999999956</v>
      </c>
      <c r="L262" s="189">
        <f t="shared" si="193"/>
      </c>
      <c r="M262" s="190">
        <f t="shared" si="415"/>
      </c>
      <c r="N262" s="191">
        <f t="shared" si="5"/>
      </c>
      <c r="O262" s="191">
        <f t="shared" si="298"/>
      </c>
      <c r="P262" s="191">
        <f t="shared" si="343"/>
      </c>
      <c r="Q262" s="191">
        <f t="shared" si="238"/>
      </c>
      <c r="R262" s="191">
        <f t="shared" si="268"/>
      </c>
      <c r="S262" s="191">
        <f t="shared" si="163"/>
      </c>
      <c r="T262" s="191">
        <f t="shared" si="208"/>
      </c>
      <c r="U262" s="189">
        <f t="shared" si="430"/>
      </c>
      <c r="V262" s="189">
        <f t="shared" si="20"/>
      </c>
      <c r="W262" s="189">
        <f t="shared" si="35"/>
      </c>
      <c r="X262" s="189">
        <f t="shared" si="50"/>
      </c>
      <c r="Y262" s="189">
        <f t="shared" si="313"/>
      </c>
      <c r="Z262" s="189">
        <f t="shared" si="358"/>
      </c>
      <c r="AA262" s="190">
        <f t="shared" si="253"/>
      </c>
      <c r="AB262" s="190">
        <f t="shared" si="283"/>
      </c>
      <c r="AC262" s="190">
        <f t="shared" si="178"/>
      </c>
      <c r="AD262" s="189">
        <f t="shared" si="223"/>
      </c>
      <c r="AE262" s="190">
        <f t="shared" si="445"/>
      </c>
      <c r="AF262" s="189">
        <f t="shared" si="65"/>
      </c>
      <c r="AG262" s="189">
        <f t="shared" si="328"/>
      </c>
      <c r="AH262" s="192">
        <v>36172</v>
      </c>
      <c r="AI262" s="192">
        <v>538</v>
      </c>
      <c r="AJ262" s="192">
        <v>696</v>
      </c>
      <c r="AK262" s="192">
        <v>12</v>
      </c>
      <c r="AL262" s="192">
        <v>4</v>
      </c>
      <c r="AM262" s="192">
        <v>3</v>
      </c>
      <c r="AN262" s="192">
        <v>111</v>
      </c>
      <c r="AO262" s="192">
        <v>90</v>
      </c>
      <c r="AP262" s="192">
        <v>10</v>
      </c>
      <c r="AQ262" s="187">
        <v>0</v>
      </c>
      <c r="AR262" s="213">
        <f t="shared" si="381"/>
      </c>
    </row>
    <row r="263">
      <c r="A263" s="182"/>
      <c r="B263" s="184" t="s">
        <v>191</v>
      </c>
      <c r="C263" s="184" t="s">
        <v>192</v>
      </c>
      <c r="D263" s="183" t="s">
        <v>206</v>
      </c>
      <c r="E263" s="183" t="s">
        <v>199</v>
      </c>
      <c r="F263" s="185">
        <f t="shared" si="129"/>
      </c>
      <c r="G263" s="204">
        <v>2783.75</v>
      </c>
      <c r="H263" s="204">
        <v>291.9</v>
      </c>
      <c r="I263" s="187">
        <v>7</v>
      </c>
      <c r="J263" s="187">
        <v>5</v>
      </c>
      <c r="K263" s="188">
        <v>3004.800000000003</v>
      </c>
      <c r="L263" s="189">
        <f t="shared" si="193"/>
      </c>
      <c r="M263" s="190">
        <f t="shared" si="415"/>
      </c>
      <c r="N263" s="191">
        <f t="shared" si="5"/>
      </c>
      <c r="O263" s="191">
        <f t="shared" si="298"/>
      </c>
      <c r="P263" s="191">
        <f t="shared" si="343"/>
      </c>
      <c r="Q263" s="191">
        <f t="shared" si="238"/>
      </c>
      <c r="R263" s="191">
        <f t="shared" si="268"/>
      </c>
      <c r="S263" s="191">
        <f t="shared" si="163"/>
      </c>
      <c r="T263" s="191">
        <f t="shared" si="208"/>
      </c>
      <c r="U263" s="189">
        <f t="shared" si="430"/>
      </c>
      <c r="V263" s="189">
        <f t="shared" si="20"/>
      </c>
      <c r="W263" s="189">
        <f t="shared" si="35"/>
      </c>
      <c r="X263" s="189">
        <f t="shared" si="50"/>
      </c>
      <c r="Y263" s="189">
        <f t="shared" si="313"/>
      </c>
      <c r="Z263" s="189">
        <f t="shared" si="358"/>
      </c>
      <c r="AA263" s="190">
        <f t="shared" si="253"/>
      </c>
      <c r="AB263" s="190">
        <f t="shared" si="283"/>
      </c>
      <c r="AC263" s="190">
        <f t="shared" si="178"/>
      </c>
      <c r="AD263" s="189">
        <f t="shared" si="223"/>
      </c>
      <c r="AE263" s="190">
        <f t="shared" si="445"/>
      </c>
      <c r="AF263" s="189">
        <f t="shared" si="65"/>
      </c>
      <c r="AG263" s="189">
        <f t="shared" si="328"/>
      </c>
      <c r="AH263" s="192">
        <v>33259</v>
      </c>
      <c r="AI263" s="192">
        <v>526</v>
      </c>
      <c r="AJ263" s="192">
        <v>702</v>
      </c>
      <c r="AK263" s="192">
        <v>25</v>
      </c>
      <c r="AL263" s="192">
        <v>6</v>
      </c>
      <c r="AM263" s="192">
        <v>5</v>
      </c>
      <c r="AN263" s="192">
        <v>99</v>
      </c>
      <c r="AO263" s="192">
        <v>91</v>
      </c>
      <c r="AP263" s="192">
        <v>14</v>
      </c>
      <c r="AQ263" s="187">
        <v>1</v>
      </c>
      <c r="AR263" s="213">
        <f t="shared" si="381"/>
      </c>
    </row>
    <row r="264">
      <c r="A264" s="182"/>
      <c r="B264" s="197" t="s">
        <v>197</v>
      </c>
      <c r="C264" s="197"/>
      <c r="D264" s="197"/>
      <c r="E264" s="197"/>
      <c r="F264" s="198">
        <f>SUM(F260:F263)</f>
      </c>
      <c r="G264" s="198">
        <f>SUM(G260:G263)</f>
      </c>
      <c r="H264" s="198">
        <f>SUM(H260:H263)</f>
      </c>
      <c r="I264" s="199">
        <f>SUM(I260:I263)</f>
      </c>
      <c r="J264" s="199">
        <f>SUM(J260:J263)</f>
      </c>
      <c r="K264" s="198">
        <f>SUM(K260:K263)</f>
      </c>
      <c r="L264" s="200">
        <f t="shared" si="193"/>
      </c>
      <c r="M264" s="201">
        <f t="shared" si="415"/>
      </c>
      <c r="N264" s="202">
        <f t="shared" si="5"/>
      </c>
      <c r="O264" s="202">
        <f t="shared" si="298"/>
      </c>
      <c r="P264" s="202">
        <f t="shared" si="343"/>
      </c>
      <c r="Q264" s="202">
        <f t="shared" si="238"/>
      </c>
      <c r="R264" s="202">
        <f t="shared" si="268"/>
      </c>
      <c r="S264" s="202">
        <f t="shared" si="163"/>
      </c>
      <c r="T264" s="202">
        <f t="shared" si="208"/>
      </c>
      <c r="U264" s="200">
        <f t="shared" si="430"/>
      </c>
      <c r="V264" s="200">
        <f t="shared" si="20"/>
      </c>
      <c r="W264" s="200">
        <f t="shared" si="35"/>
      </c>
      <c r="X264" s="200">
        <f t="shared" si="50"/>
      </c>
      <c r="Y264" s="200">
        <f t="shared" si="313"/>
      </c>
      <c r="Z264" s="200">
        <f t="shared" si="358"/>
      </c>
      <c r="AA264" s="201">
        <f t="shared" si="253"/>
      </c>
      <c r="AB264" s="201">
        <f t="shared" si="283"/>
      </c>
      <c r="AC264" s="201">
        <f t="shared" si="178"/>
      </c>
      <c r="AD264" s="200">
        <f t="shared" si="223"/>
      </c>
      <c r="AE264" s="201">
        <f t="shared" si="445"/>
      </c>
      <c r="AF264" s="200">
        <f t="shared" si="65"/>
      </c>
      <c r="AG264" s="200">
        <f t="shared" si="328"/>
      </c>
      <c r="AH264" s="199">
        <f>SUM(AH260:AH263)</f>
      </c>
      <c r="AI264" s="199">
        <f>SUM(AI260:AI263)</f>
      </c>
      <c r="AJ264" s="199">
        <f>SUM(AJ260:AJ263)</f>
      </c>
      <c r="AK264" s="199">
        <f>SUM(AK260:AK263)</f>
      </c>
      <c r="AL264" s="199">
        <f>SUM(AL260:AL263)</f>
      </c>
      <c r="AM264" s="199">
        <f>SUM(AM260:AM263)</f>
      </c>
      <c r="AN264" s="199">
        <f>SUM(AN260:AN263)</f>
      </c>
      <c r="AO264" s="199">
        <f>SUM(AO260:AO263)</f>
      </c>
      <c r="AP264" s="199">
        <f>SUM(AP260:AP263)</f>
      </c>
      <c r="AQ264" s="199">
        <f>SUM(AQ260:AQ263)</f>
      </c>
      <c r="AR264" s="203">
        <f>SUM(AR260:AR263)</f>
      </c>
    </row>
    <row r="265">
      <c r="A265" s="182"/>
      <c r="B265" s="184" t="s">
        <v>191</v>
      </c>
      <c r="C265" s="184" t="s">
        <v>192</v>
      </c>
      <c r="D265" s="183" t="s">
        <v>201</v>
      </c>
      <c r="E265" s="183" t="s">
        <v>200</v>
      </c>
      <c r="F265" s="185">
        <f t="shared" ref="F265:F268" si="130">H265+G265</f>
      </c>
      <c r="G265" s="204">
        <v>2105.76</v>
      </c>
      <c r="H265" s="204">
        <v>328.12</v>
      </c>
      <c r="I265" s="187">
        <v>4</v>
      </c>
      <c r="J265" s="192">
        <v>3</v>
      </c>
      <c r="K265" s="196">
        <v>1630.7999999999993</v>
      </c>
      <c r="L265" s="189">
        <f t="shared" si="193"/>
      </c>
      <c r="M265" s="190">
        <f t="shared" si="415"/>
      </c>
      <c r="N265" s="191">
        <f t="shared" si="5"/>
      </c>
      <c r="O265" s="191">
        <f t="shared" si="298"/>
      </c>
      <c r="P265" s="191">
        <f t="shared" si="343"/>
      </c>
      <c r="Q265" s="191">
        <f t="shared" si="238"/>
      </c>
      <c r="R265" s="191">
        <f t="shared" si="268"/>
      </c>
      <c r="S265" s="191">
        <f t="shared" si="163"/>
      </c>
      <c r="T265" s="191">
        <f t="shared" si="208"/>
      </c>
      <c r="U265" s="189">
        <f t="shared" si="430"/>
      </c>
      <c r="V265" s="189">
        <f t="shared" si="20"/>
      </c>
      <c r="W265" s="189">
        <f t="shared" si="35"/>
      </c>
      <c r="X265" s="189">
        <f t="shared" si="50"/>
      </c>
      <c r="Y265" s="189">
        <f t="shared" si="313"/>
      </c>
      <c r="Z265" s="189">
        <f t="shared" si="358"/>
      </c>
      <c r="AA265" s="190">
        <f t="shared" si="253"/>
      </c>
      <c r="AB265" s="190">
        <f t="shared" si="283"/>
      </c>
      <c r="AC265" s="190">
        <f t="shared" si="178"/>
      </c>
      <c r="AD265" s="189">
        <f t="shared" si="223"/>
      </c>
      <c r="AE265" s="190">
        <f t="shared" si="445"/>
      </c>
      <c r="AF265" s="189">
        <f t="shared" si="65"/>
      </c>
      <c r="AG265" s="189">
        <f t="shared" si="328"/>
      </c>
      <c r="AH265" s="192">
        <v>24821</v>
      </c>
      <c r="AI265" s="192">
        <v>401</v>
      </c>
      <c r="AJ265" s="192">
        <v>553</v>
      </c>
      <c r="AK265" s="192">
        <v>27</v>
      </c>
      <c r="AL265" s="192">
        <v>2</v>
      </c>
      <c r="AM265" s="192">
        <v>1</v>
      </c>
      <c r="AN265" s="192">
        <v>83</v>
      </c>
      <c r="AO265" s="192">
        <v>41</v>
      </c>
      <c r="AP265" s="192">
        <v>5</v>
      </c>
      <c r="AQ265" s="187">
        <v>1</v>
      </c>
      <c r="AR265" s="213">
        <f t="shared" ref="AR265:AR268" si="382">COUNT(AQ265)</f>
      </c>
    </row>
    <row r="266">
      <c r="A266" s="182"/>
      <c r="B266" s="184" t="s">
        <v>191</v>
      </c>
      <c r="C266" s="184" t="s">
        <v>192</v>
      </c>
      <c r="D266" s="183" t="s">
        <v>201</v>
      </c>
      <c r="E266" s="184" t="s">
        <v>202</v>
      </c>
      <c r="F266" s="185">
        <f t="shared" si="130"/>
      </c>
      <c r="G266" s="204">
        <v>1582.94</v>
      </c>
      <c r="H266" s="204">
        <v>540.55</v>
      </c>
      <c r="I266" s="187">
        <v>4</v>
      </c>
      <c r="J266" s="192">
        <v>3</v>
      </c>
      <c r="K266" s="188">
        <v>1735.2000000000007</v>
      </c>
      <c r="L266" s="189">
        <f t="shared" si="193"/>
      </c>
      <c r="M266" s="190">
        <f t="shared" si="415"/>
      </c>
      <c r="N266" s="191">
        <f t="shared" si="5"/>
      </c>
      <c r="O266" s="191">
        <f t="shared" si="298"/>
      </c>
      <c r="P266" s="191">
        <f t="shared" si="343"/>
      </c>
      <c r="Q266" s="191">
        <f t="shared" si="238"/>
      </c>
      <c r="R266" s="191">
        <f t="shared" si="268"/>
      </c>
      <c r="S266" s="191">
        <f t="shared" si="163"/>
      </c>
      <c r="T266" s="191">
        <f t="shared" si="208"/>
      </c>
      <c r="U266" s="189">
        <f t="shared" si="430"/>
      </c>
      <c r="V266" s="189">
        <f t="shared" si="20"/>
      </c>
      <c r="W266" s="189">
        <f t="shared" si="35"/>
      </c>
      <c r="X266" s="189">
        <f t="shared" si="50"/>
      </c>
      <c r="Y266" s="189">
        <f t="shared" si="313"/>
      </c>
      <c r="Z266" s="189">
        <f t="shared" si="358"/>
      </c>
      <c r="AA266" s="190">
        <f t="shared" si="253"/>
      </c>
      <c r="AB266" s="190">
        <f t="shared" si="283"/>
      </c>
      <c r="AC266" s="190">
        <f t="shared" si="178"/>
      </c>
      <c r="AD266" s="189">
        <f t="shared" si="223"/>
      </c>
      <c r="AE266" s="190">
        <f t="shared" si="445"/>
      </c>
      <c r="AF266" s="189">
        <f t="shared" si="65"/>
      </c>
      <c r="AG266" s="189">
        <f t="shared" si="328"/>
      </c>
      <c r="AH266" s="192">
        <v>16682</v>
      </c>
      <c r="AI266" s="192">
        <v>328</v>
      </c>
      <c r="AJ266" s="192">
        <v>423</v>
      </c>
      <c r="AK266" s="192">
        <v>30</v>
      </c>
      <c r="AL266" s="192">
        <v>3</v>
      </c>
      <c r="AM266" s="192">
        <v>2</v>
      </c>
      <c r="AN266" s="192">
        <v>71</v>
      </c>
      <c r="AO266" s="192">
        <v>48</v>
      </c>
      <c r="AP266" s="192">
        <v>4</v>
      </c>
      <c r="AQ266" s="187">
        <v>1</v>
      </c>
      <c r="AR266" s="213">
        <f t="shared" si="382"/>
      </c>
    </row>
    <row r="267">
      <c r="A267" s="182"/>
      <c r="B267" s="184" t="s">
        <v>191</v>
      </c>
      <c r="C267" s="184" t="s">
        <v>192</v>
      </c>
      <c r="D267" s="183" t="s">
        <v>201</v>
      </c>
      <c r="E267" s="184" t="s">
        <v>203</v>
      </c>
      <c r="F267" s="185">
        <f t="shared" si="130"/>
      </c>
      <c r="G267" s="204">
        <v>2043.43</v>
      </c>
      <c r="H267" s="204">
        <v>488.45</v>
      </c>
      <c r="I267" s="187">
        <v>5</v>
      </c>
      <c r="J267" s="192">
        <v>3</v>
      </c>
      <c r="K267" s="188">
        <v>2085</v>
      </c>
      <c r="L267" s="189">
        <f t="shared" si="193"/>
      </c>
      <c r="M267" s="190">
        <f t="shared" si="415"/>
      </c>
      <c r="N267" s="191">
        <f t="shared" si="5"/>
      </c>
      <c r="O267" s="191">
        <f t="shared" si="298"/>
      </c>
      <c r="P267" s="191">
        <f t="shared" si="343"/>
      </c>
      <c r="Q267" s="191">
        <f t="shared" si="238"/>
      </c>
      <c r="R267" s="191">
        <f t="shared" si="268"/>
      </c>
      <c r="S267" s="191">
        <f t="shared" si="163"/>
      </c>
      <c r="T267" s="191">
        <f t="shared" si="208"/>
      </c>
      <c r="U267" s="189">
        <f t="shared" si="430"/>
      </c>
      <c r="V267" s="189">
        <f t="shared" si="20"/>
      </c>
      <c r="W267" s="189">
        <f t="shared" si="35"/>
      </c>
      <c r="X267" s="189">
        <f t="shared" si="50"/>
      </c>
      <c r="Y267" s="189">
        <f t="shared" si="313"/>
      </c>
      <c r="Z267" s="189">
        <f t="shared" si="358"/>
      </c>
      <c r="AA267" s="190">
        <f t="shared" si="253"/>
      </c>
      <c r="AB267" s="190">
        <f t="shared" si="283"/>
      </c>
      <c r="AC267" s="190">
        <f t="shared" si="178"/>
      </c>
      <c r="AD267" s="189">
        <f t="shared" si="223"/>
      </c>
      <c r="AE267" s="190">
        <f t="shared" si="445"/>
      </c>
      <c r="AF267" s="189">
        <f t="shared" si="65"/>
      </c>
      <c r="AG267" s="189">
        <f t="shared" si="328"/>
      </c>
      <c r="AH267" s="192">
        <v>18043</v>
      </c>
      <c r="AI267" s="192">
        <v>368</v>
      </c>
      <c r="AJ267" s="192">
        <v>500</v>
      </c>
      <c r="AK267" s="192">
        <v>37</v>
      </c>
      <c r="AL267" s="192">
        <v>4</v>
      </c>
      <c r="AM267" s="192">
        <v>3</v>
      </c>
      <c r="AN267" s="192">
        <v>65</v>
      </c>
      <c r="AO267" s="192">
        <v>65</v>
      </c>
      <c r="AP267" s="192">
        <v>7</v>
      </c>
      <c r="AQ267" s="187">
        <v>1</v>
      </c>
      <c r="AR267" s="213">
        <f t="shared" si="382"/>
      </c>
    </row>
    <row r="268">
      <c r="A268" s="182"/>
      <c r="B268" s="184" t="s">
        <v>191</v>
      </c>
      <c r="C268" s="184" t="s">
        <v>192</v>
      </c>
      <c r="D268" s="183" t="s">
        <v>201</v>
      </c>
      <c r="E268" s="183" t="s">
        <v>204</v>
      </c>
      <c r="F268" s="185">
        <f t="shared" si="130"/>
      </c>
      <c r="G268" s="204">
        <v>959.87</v>
      </c>
      <c r="H268" s="204">
        <v>278.18</v>
      </c>
      <c r="I268" s="187">
        <v>5</v>
      </c>
      <c r="J268" s="192">
        <v>4</v>
      </c>
      <c r="K268" s="196">
        <v>2249.2000000000007</v>
      </c>
      <c r="L268" s="189">
        <f t="shared" si="193"/>
      </c>
      <c r="M268" s="190">
        <f t="shared" si="415"/>
      </c>
      <c r="N268" s="191">
        <f t="shared" si="5"/>
      </c>
      <c r="O268" s="191">
        <f t="shared" si="298"/>
      </c>
      <c r="P268" s="191">
        <f t="shared" si="343"/>
      </c>
      <c r="Q268" s="191">
        <f t="shared" si="238"/>
      </c>
      <c r="R268" s="191">
        <f t="shared" si="268"/>
      </c>
      <c r="S268" s="191">
        <f t="shared" si="163"/>
      </c>
      <c r="T268" s="191">
        <f t="shared" si="208"/>
      </c>
      <c r="U268" s="189">
        <f t="shared" si="430"/>
      </c>
      <c r="V268" s="189">
        <f t="shared" si="20"/>
      </c>
      <c r="W268" s="189">
        <f t="shared" si="35"/>
      </c>
      <c r="X268" s="189">
        <f t="shared" si="50"/>
      </c>
      <c r="Y268" s="189">
        <f t="shared" si="313"/>
      </c>
      <c r="Z268" s="189">
        <f t="shared" si="358"/>
      </c>
      <c r="AA268" s="190">
        <f t="shared" si="253"/>
      </c>
      <c r="AB268" s="190">
        <f t="shared" si="283"/>
      </c>
      <c r="AC268" s="190">
        <f t="shared" si="178"/>
      </c>
      <c r="AD268" s="189">
        <f t="shared" si="223"/>
      </c>
      <c r="AE268" s="190">
        <f t="shared" si="445"/>
      </c>
      <c r="AF268" s="189">
        <f t="shared" si="65"/>
      </c>
      <c r="AG268" s="189">
        <f t="shared" si="328"/>
      </c>
      <c r="AH268" s="192">
        <v>10574</v>
      </c>
      <c r="AI268" s="192">
        <v>233</v>
      </c>
      <c r="AJ268" s="192">
        <v>337</v>
      </c>
      <c r="AK268" s="192">
        <v>24</v>
      </c>
      <c r="AL268" s="192">
        <v>5</v>
      </c>
      <c r="AM268" s="192">
        <v>4</v>
      </c>
      <c r="AN268" s="192">
        <v>53</v>
      </c>
      <c r="AO268" s="192">
        <v>71</v>
      </c>
      <c r="AP268" s="192">
        <v>3</v>
      </c>
      <c r="AQ268" s="187">
        <v>0</v>
      </c>
      <c r="AR268" s="213">
        <f t="shared" si="382"/>
      </c>
    </row>
    <row r="269">
      <c r="A269" s="182"/>
      <c r="B269" s="197" t="s">
        <v>197</v>
      </c>
      <c r="C269" s="197"/>
      <c r="D269" s="197"/>
      <c r="E269" s="197"/>
      <c r="F269" s="198">
        <f>SUM(F265:F268)</f>
      </c>
      <c r="G269" s="198">
        <f>SUM(G265:G268)</f>
      </c>
      <c r="H269" s="198">
        <f>SUM(H265:H268)</f>
      </c>
      <c r="I269" s="199">
        <f>SUM(I265:I268)</f>
      </c>
      <c r="J269" s="199">
        <f>SUM(J265:J268)</f>
      </c>
      <c r="K269" s="198">
        <f>SUM(K265:K268)</f>
      </c>
      <c r="L269" s="200">
        <f t="shared" si="193"/>
      </c>
      <c r="M269" s="201">
        <f t="shared" si="415"/>
      </c>
      <c r="N269" s="202">
        <f t="shared" si="5"/>
      </c>
      <c r="O269" s="202">
        <f t="shared" si="298"/>
      </c>
      <c r="P269" s="202">
        <f t="shared" si="343"/>
      </c>
      <c r="Q269" s="202">
        <f t="shared" si="238"/>
      </c>
      <c r="R269" s="202">
        <f t="shared" si="268"/>
      </c>
      <c r="S269" s="202">
        <f t="shared" si="163"/>
      </c>
      <c r="T269" s="202">
        <f t="shared" si="208"/>
      </c>
      <c r="U269" s="200">
        <f t="shared" si="430"/>
      </c>
      <c r="V269" s="200">
        <f t="shared" si="20"/>
      </c>
      <c r="W269" s="200">
        <f t="shared" si="35"/>
      </c>
      <c r="X269" s="200">
        <f t="shared" si="50"/>
      </c>
      <c r="Y269" s="200">
        <f t="shared" si="313"/>
      </c>
      <c r="Z269" s="200">
        <f t="shared" si="358"/>
      </c>
      <c r="AA269" s="201">
        <f t="shared" si="253"/>
      </c>
      <c r="AB269" s="201">
        <f t="shared" si="283"/>
      </c>
      <c r="AC269" s="201">
        <f t="shared" si="178"/>
      </c>
      <c r="AD269" s="200">
        <f t="shared" si="223"/>
      </c>
      <c r="AE269" s="201">
        <f t="shared" si="445"/>
      </c>
      <c r="AF269" s="200">
        <f t="shared" si="65"/>
      </c>
      <c r="AG269" s="200">
        <f t="shared" si="328"/>
      </c>
      <c r="AH269" s="199">
        <f>SUM(AH265:AH268)</f>
      </c>
      <c r="AI269" s="199">
        <f>SUM(AI265:AI268)</f>
      </c>
      <c r="AJ269" s="199">
        <f>SUM(AJ265:AJ268)</f>
      </c>
      <c r="AK269" s="199">
        <f>SUM(AK265:AK268)</f>
      </c>
      <c r="AL269" s="199">
        <f>SUM(AL265:AL268)</f>
      </c>
      <c r="AM269" s="199">
        <f>SUM(AM265:AM268)</f>
      </c>
      <c r="AN269" s="199">
        <f>SUM(AN265:AN268)</f>
      </c>
      <c r="AO269" s="199">
        <f>SUM(AO265:AO268)</f>
      </c>
      <c r="AP269" s="199">
        <f>SUM(AP265:AP268)</f>
      </c>
      <c r="AQ269" s="199">
        <f>SUM(AQ265:AQ268)</f>
      </c>
      <c r="AR269" s="203">
        <f>SUM(AR265:AR268)</f>
      </c>
    </row>
    <row r="270">
      <c r="A270" s="182"/>
      <c r="B270" s="205" t="s">
        <v>205</v>
      </c>
      <c r="C270" s="205"/>
      <c r="D270" s="205"/>
      <c r="E270" s="205"/>
      <c r="F270" s="206">
        <f>H270+G270</f>
      </c>
      <c r="G270" s="206">
        <f>G264+G259+G269</f>
      </c>
      <c r="H270" s="206">
        <f>H264+H259+H269</f>
      </c>
      <c r="I270" s="206">
        <f>I264+I259+I269</f>
      </c>
      <c r="J270" s="206">
        <f>J264+J259+J269</f>
      </c>
      <c r="K270" s="206">
        <f>K264+K259+K269</f>
      </c>
      <c r="L270" s="207">
        <f t="shared" si="193"/>
      </c>
      <c r="M270" s="208">
        <f t="shared" si="415"/>
      </c>
      <c r="N270" s="209">
        <f t="shared" si="5"/>
      </c>
      <c r="O270" s="209">
        <f t="shared" si="298"/>
      </c>
      <c r="P270" s="209">
        <f t="shared" si="343"/>
      </c>
      <c r="Q270" s="209">
        <f t="shared" si="238"/>
      </c>
      <c r="R270" s="209">
        <f t="shared" si="268"/>
      </c>
      <c r="S270" s="209">
        <f t="shared" si="163"/>
      </c>
      <c r="T270" s="209">
        <f t="shared" si="208"/>
      </c>
      <c r="U270" s="207">
        <f t="shared" si="430"/>
      </c>
      <c r="V270" s="207">
        <f t="shared" si="20"/>
      </c>
      <c r="W270" s="207">
        <f t="shared" si="35"/>
      </c>
      <c r="X270" s="207">
        <f t="shared" si="50"/>
      </c>
      <c r="Y270" s="207">
        <f t="shared" si="313"/>
      </c>
      <c r="Z270" s="207">
        <f t="shared" si="358"/>
      </c>
      <c r="AA270" s="208">
        <f t="shared" si="253"/>
      </c>
      <c r="AB270" s="208">
        <f t="shared" si="283"/>
      </c>
      <c r="AC270" s="208">
        <f t="shared" si="178"/>
      </c>
      <c r="AD270" s="207">
        <f t="shared" si="223"/>
      </c>
      <c r="AE270" s="208">
        <f t="shared" si="445"/>
      </c>
      <c r="AF270" s="207">
        <f t="shared" si="65"/>
      </c>
      <c r="AG270" s="207">
        <f t="shared" si="328"/>
      </c>
      <c r="AH270" s="203">
        <f>AH264+AH259+AH269</f>
      </c>
      <c r="AI270" s="203">
        <f>AI264+AI259+AI269</f>
      </c>
      <c r="AJ270" s="203">
        <f>AJ264+AJ259+AJ269</f>
      </c>
      <c r="AK270" s="203">
        <f>AK264+AK259+AK269</f>
      </c>
      <c r="AL270" s="203">
        <f>AL264+AL259+AL269</f>
      </c>
      <c r="AM270" s="203">
        <f>AM264+AM259+AM269</f>
      </c>
      <c r="AN270" s="203">
        <f>AN264+AN259+AN269</f>
      </c>
      <c r="AO270" s="203">
        <f>AO264+AO259+AO269</f>
      </c>
      <c r="AP270" s="203">
        <f>AP264+AP259+AP269</f>
      </c>
      <c r="AQ270" s="203">
        <f>AQ264+AQ259+AQ269</f>
      </c>
      <c r="AR270" s="203">
        <f>AR264+AR259+AR269</f>
      </c>
    </row>
    <row r="271">
      <c r="A271" s="159"/>
      <c r="B271" s="159"/>
      <c r="C271" s="159"/>
      <c r="D271" s="159"/>
      <c r="E271" s="159"/>
      <c r="F271" s="160" t="s">
        <v>143</v>
      </c>
      <c r="G271" s="160"/>
      <c r="H271" s="160"/>
      <c r="I271" s="160"/>
      <c r="J271" s="160"/>
      <c r="K271" s="160"/>
      <c r="L271" s="160"/>
      <c r="M271" s="160"/>
      <c r="N271" s="160"/>
      <c r="O271" s="160"/>
      <c r="P271" s="160"/>
      <c r="Q271" s="161" t="s">
        <v>144</v>
      </c>
      <c r="R271" s="161"/>
      <c r="S271" s="161"/>
      <c r="T271" s="161"/>
      <c r="U271" s="161"/>
      <c r="V271" s="161"/>
      <c r="W271" s="161"/>
      <c r="X271" s="161"/>
      <c r="Y271" s="161"/>
      <c r="Z271" s="161"/>
      <c r="AA271" s="161"/>
      <c r="AB271" s="161"/>
      <c r="AC271" s="162" t="s">
        <v>145</v>
      </c>
      <c r="AD271" s="162"/>
      <c r="AE271" s="162"/>
      <c r="AF271" s="162"/>
      <c r="AG271" s="162"/>
      <c r="AH271" s="163" t="s">
        <v>146</v>
      </c>
      <c r="AI271" s="163"/>
      <c r="AJ271" s="163"/>
      <c r="AK271" s="163"/>
      <c r="AL271" s="163"/>
      <c r="AM271" s="163"/>
      <c r="AN271" s="163"/>
      <c r="AO271" s="163"/>
      <c r="AP271" s="163"/>
      <c r="AQ271" s="163"/>
      <c r="AR271" s="163"/>
    </row>
    <row r="272">
      <c r="A272" s="164" t="s">
        <v>147</v>
      </c>
      <c r="B272" s="165" t="s">
        <v>148</v>
      </c>
      <c r="C272" s="165" t="s">
        <v>149</v>
      </c>
      <c r="D272" s="166" t="s">
        <v>150</v>
      </c>
      <c r="E272" s="167" t="s">
        <v>151</v>
      </c>
      <c r="F272" s="168" t="s">
        <v>152</v>
      </c>
      <c r="G272" s="169" t="s">
        <v>153</v>
      </c>
      <c r="H272" s="170" t="s">
        <v>154</v>
      </c>
      <c r="I272" s="171" t="s">
        <v>155</v>
      </c>
      <c r="J272" s="171" t="s">
        <v>156</v>
      </c>
      <c r="K272" s="170" t="s">
        <v>157</v>
      </c>
      <c r="L272" s="172" t="s">
        <v>158</v>
      </c>
      <c r="M272" s="173" t="s">
        <v>159</v>
      </c>
      <c r="N272" s="174" t="s">
        <v>160</v>
      </c>
      <c r="O272" s="174" t="s">
        <v>161</v>
      </c>
      <c r="P272" s="175" t="s">
        <v>162</v>
      </c>
      <c r="Q272" s="161" t="s">
        <v>163</v>
      </c>
      <c r="R272" s="176" t="s">
        <v>164</v>
      </c>
      <c r="S272" s="176" t="s">
        <v>165</v>
      </c>
      <c r="T272" s="176" t="s">
        <v>166</v>
      </c>
      <c r="U272" s="177" t="s">
        <v>167</v>
      </c>
      <c r="V272" s="177" t="s">
        <v>168</v>
      </c>
      <c r="W272" s="177" t="s">
        <v>169</v>
      </c>
      <c r="X272" s="177" t="s">
        <v>170</v>
      </c>
      <c r="Y272" s="177" t="s">
        <v>171</v>
      </c>
      <c r="Z272" s="177" t="s">
        <v>172</v>
      </c>
      <c r="AA272" s="178" t="s">
        <v>173</v>
      </c>
      <c r="AB272" s="178" t="s">
        <v>174</v>
      </c>
      <c r="AC272" s="162" t="s">
        <v>175</v>
      </c>
      <c r="AD272" s="179" t="s">
        <v>176</v>
      </c>
      <c r="AE272" s="162" t="s">
        <v>177</v>
      </c>
      <c r="AF272" s="179" t="s">
        <v>178</v>
      </c>
      <c r="AG272" s="179" t="s">
        <v>179</v>
      </c>
      <c r="AH272" s="180" t="s">
        <v>180</v>
      </c>
      <c r="AI272" s="180" t="s">
        <v>181</v>
      </c>
      <c r="AJ272" s="180" t="s">
        <v>182</v>
      </c>
      <c r="AK272" s="180" t="s">
        <v>183</v>
      </c>
      <c r="AL272" s="180" t="s">
        <v>184</v>
      </c>
      <c r="AM272" s="180" t="s">
        <v>185</v>
      </c>
      <c r="AN272" s="180" t="s">
        <v>186</v>
      </c>
      <c r="AO272" s="180" t="s">
        <v>187</v>
      </c>
      <c r="AP272" s="180" t="s">
        <v>188</v>
      </c>
      <c r="AQ272" s="180" t="s">
        <v>189</v>
      </c>
      <c r="AR272" s="181" t="s">
        <v>190</v>
      </c>
    </row>
    <row r="273">
      <c r="A273" s="182">
        <v>46287</v>
      </c>
      <c r="B273" s="184" t="s">
        <v>191</v>
      </c>
      <c r="C273" s="184" t="s">
        <v>192</v>
      </c>
      <c r="D273" s="183" t="s">
        <v>207</v>
      </c>
      <c r="E273" s="183" t="s">
        <v>209</v>
      </c>
      <c r="F273" s="185">
        <f t="shared" ref="F273:F276" si="131">H273+G273</f>
      </c>
      <c r="G273" s="204">
        <v>1849.66</v>
      </c>
      <c r="H273" s="204">
        <v>620.67</v>
      </c>
      <c r="I273" s="187">
        <v>4</v>
      </c>
      <c r="J273" s="187">
        <v>2</v>
      </c>
      <c r="K273" s="188">
        <v>1830</v>
      </c>
      <c r="L273" s="189">
        <f t="shared" ref="L273:L288" si="194">AQ273/J273</f>
      </c>
      <c r="M273" s="190">
        <f t="shared" ref="M273:M288" si="416">K273/J273</f>
      </c>
      <c r="N273" s="191">
        <f t="shared" ref="N273:N288" si="6">F273/J273</f>
      </c>
      <c r="O273" s="191">
        <f t="shared" ref="O273:O288" si="299">K273/F273</f>
      </c>
      <c r="P273" s="191">
        <f t="shared" ref="P273:P288" si="344">K273/((300*AR273)+F273)</f>
      </c>
      <c r="Q273" s="191">
        <f t="shared" ref="Q273:Q288" si="239">F273/AJ273</f>
      </c>
      <c r="R273" s="191">
        <f t="shared" ref="R273:R288" si="269">F273/AK273</f>
      </c>
      <c r="S273" s="191">
        <f t="shared" ref="S273:S288" si="164">F273/AL273</f>
      </c>
      <c r="T273" s="191">
        <f t="shared" ref="T273:T288" si="209">F273/AM273</f>
      </c>
      <c r="U273" s="189">
        <f t="shared" ref="U273:U288" si="431">AI273/AJ273</f>
      </c>
      <c r="V273" s="189">
        <f t="shared" ref="V273:V288" si="21">AK273/AJ273</f>
      </c>
      <c r="W273" s="189">
        <f t="shared" ref="W273:W288" si="36">AL273/AK273</f>
      </c>
      <c r="X273" s="189">
        <f t="shared" ref="X273:X288" si="51">AM273/AL273</f>
      </c>
      <c r="Y273" s="189">
        <f t="shared" ref="Y273:Y288" si="314">AI273/AH273</f>
      </c>
      <c r="Z273" s="189">
        <f t="shared" ref="Z273:Z288" si="359">AM273/AI273</f>
      </c>
      <c r="AA273" s="190">
        <f t="shared" ref="AA273:AA288" si="254">F273/AH273*1000</f>
      </c>
      <c r="AB273" s="190">
        <f t="shared" ref="AB273:AB288" si="284">F273/AI273</f>
      </c>
      <c r="AC273" s="190">
        <f t="shared" ref="AC273:AC288" si="179">F273/AN273</f>
      </c>
      <c r="AD273" s="189">
        <f t="shared" ref="AD273:AD288" si="224">AN273/AJ273</f>
      </c>
      <c r="AE273" s="190">
        <f t="shared" ref="AE273:AE288" si="446">F273/AO273</f>
      </c>
      <c r="AF273" s="189">
        <f t="shared" ref="AF273:AF288" si="66">AO273/AJ273</f>
      </c>
      <c r="AG273" s="189">
        <f t="shared" ref="AG273:AG288" si="329">AP273/AJ273</f>
      </c>
      <c r="AH273" s="192">
        <v>16953</v>
      </c>
      <c r="AI273" s="193">
        <v>321</v>
      </c>
      <c r="AJ273" s="193">
        <v>363</v>
      </c>
      <c r="AK273" s="192">
        <v>48</v>
      </c>
      <c r="AL273" s="192">
        <v>4</v>
      </c>
      <c r="AM273" s="192">
        <v>2</v>
      </c>
      <c r="AN273" s="192">
        <v>68</v>
      </c>
      <c r="AO273" s="192">
        <v>60</v>
      </c>
      <c r="AP273" s="192">
        <v>10</v>
      </c>
      <c r="AQ273" s="187">
        <v>0</v>
      </c>
      <c r="AR273" s="213">
        <f t="shared" ref="AR273:AR276" si="383">COUNT(AQ273)</f>
      </c>
    </row>
    <row r="274">
      <c r="A274" s="182"/>
      <c r="B274" s="184" t="s">
        <v>191</v>
      </c>
      <c r="C274" s="184" t="s">
        <v>192</v>
      </c>
      <c r="D274" s="183" t="s">
        <v>207</v>
      </c>
      <c r="E274" s="183" t="s">
        <v>210</v>
      </c>
      <c r="F274" s="185">
        <f t="shared" si="131"/>
      </c>
      <c r="G274" s="212">
        <v>1556.2</v>
      </c>
      <c r="H274" s="204">
        <v>429.21</v>
      </c>
      <c r="I274" s="187">
        <v>4</v>
      </c>
      <c r="J274" s="187">
        <v>3</v>
      </c>
      <c r="K274" s="188">
        <v>2629</v>
      </c>
      <c r="L274" s="189">
        <f t="shared" si="194"/>
      </c>
      <c r="M274" s="190">
        <f t="shared" si="416"/>
      </c>
      <c r="N274" s="191">
        <f t="shared" si="6"/>
      </c>
      <c r="O274" s="191">
        <f t="shared" si="299"/>
      </c>
      <c r="P274" s="191">
        <f t="shared" si="344"/>
      </c>
      <c r="Q274" s="191">
        <f t="shared" si="239"/>
      </c>
      <c r="R274" s="191">
        <f t="shared" si="269"/>
      </c>
      <c r="S274" s="191">
        <f t="shared" si="164"/>
      </c>
      <c r="T274" s="191">
        <f t="shared" si="209"/>
      </c>
      <c r="U274" s="189">
        <f t="shared" si="431"/>
      </c>
      <c r="V274" s="189">
        <f t="shared" si="21"/>
      </c>
      <c r="W274" s="189">
        <f t="shared" si="36"/>
      </c>
      <c r="X274" s="189">
        <f t="shared" si="51"/>
      </c>
      <c r="Y274" s="189">
        <f t="shared" si="314"/>
      </c>
      <c r="Z274" s="189">
        <f t="shared" si="359"/>
      </c>
      <c r="AA274" s="190">
        <f t="shared" si="254"/>
      </c>
      <c r="AB274" s="190">
        <f t="shared" si="284"/>
      </c>
      <c r="AC274" s="190">
        <f t="shared" si="179"/>
      </c>
      <c r="AD274" s="189">
        <f t="shared" si="224"/>
      </c>
      <c r="AE274" s="190">
        <f t="shared" si="446"/>
      </c>
      <c r="AF274" s="189">
        <f t="shared" si="66"/>
      </c>
      <c r="AG274" s="189">
        <f t="shared" si="329"/>
      </c>
      <c r="AH274" s="192">
        <v>13381</v>
      </c>
      <c r="AI274" s="192">
        <v>289</v>
      </c>
      <c r="AJ274" s="192">
        <v>353</v>
      </c>
      <c r="AK274" s="192">
        <v>51</v>
      </c>
      <c r="AL274" s="192">
        <v>4</v>
      </c>
      <c r="AM274" s="192">
        <v>3</v>
      </c>
      <c r="AN274" s="192">
        <v>62</v>
      </c>
      <c r="AO274" s="192">
        <v>53</v>
      </c>
      <c r="AP274" s="192">
        <v>3</v>
      </c>
      <c r="AQ274" s="187">
        <v>0</v>
      </c>
      <c r="AR274" s="213">
        <f t="shared" si="383"/>
      </c>
    </row>
    <row r="275">
      <c r="A275" s="182"/>
      <c r="B275" s="184" t="s">
        <v>191</v>
      </c>
      <c r="C275" s="184" t="s">
        <v>192</v>
      </c>
      <c r="D275" s="183" t="s">
        <v>207</v>
      </c>
      <c r="E275" s="183" t="s">
        <v>211</v>
      </c>
      <c r="F275" s="185">
        <f t="shared" si="131"/>
      </c>
      <c r="G275" s="204">
        <v>1816.71</v>
      </c>
      <c r="H275" s="204">
        <v>313.81</v>
      </c>
      <c r="I275" s="187">
        <v>6</v>
      </c>
      <c r="J275" s="187">
        <v>6</v>
      </c>
      <c r="K275" s="188">
        <v>4442.800000000001</v>
      </c>
      <c r="L275" s="189">
        <f t="shared" si="194"/>
      </c>
      <c r="M275" s="190">
        <f t="shared" si="416"/>
      </c>
      <c r="N275" s="191">
        <f t="shared" si="6"/>
      </c>
      <c r="O275" s="191">
        <f t="shared" si="299"/>
      </c>
      <c r="P275" s="191">
        <f t="shared" si="344"/>
      </c>
      <c r="Q275" s="191">
        <f t="shared" si="239"/>
      </c>
      <c r="R275" s="191">
        <f t="shared" si="269"/>
      </c>
      <c r="S275" s="191">
        <f t="shared" si="164"/>
      </c>
      <c r="T275" s="191">
        <f t="shared" si="209"/>
      </c>
      <c r="U275" s="189">
        <f t="shared" si="431"/>
      </c>
      <c r="V275" s="189">
        <f t="shared" si="21"/>
      </c>
      <c r="W275" s="189">
        <f t="shared" si="36"/>
      </c>
      <c r="X275" s="189">
        <f t="shared" si="51"/>
      </c>
      <c r="Y275" s="189">
        <f t="shared" si="314"/>
      </c>
      <c r="Z275" s="189">
        <f t="shared" si="359"/>
      </c>
      <c r="AA275" s="190">
        <f t="shared" si="254"/>
      </c>
      <c r="AB275" s="190">
        <f t="shared" si="284"/>
      </c>
      <c r="AC275" s="190">
        <f t="shared" si="179"/>
      </c>
      <c r="AD275" s="189">
        <f t="shared" si="224"/>
      </c>
      <c r="AE275" s="190">
        <f t="shared" si="446"/>
      </c>
      <c r="AF275" s="189">
        <f t="shared" si="66"/>
      </c>
      <c r="AG275" s="189">
        <f t="shared" si="329"/>
      </c>
      <c r="AH275" s="192">
        <v>15132</v>
      </c>
      <c r="AI275" s="192">
        <v>301</v>
      </c>
      <c r="AJ275" s="192">
        <v>373</v>
      </c>
      <c r="AK275" s="192">
        <v>66</v>
      </c>
      <c r="AL275" s="187">
        <v>5</v>
      </c>
      <c r="AM275" s="192">
        <v>5</v>
      </c>
      <c r="AN275" s="192">
        <v>74</v>
      </c>
      <c r="AO275" s="192">
        <v>71</v>
      </c>
      <c r="AP275" s="192">
        <v>7</v>
      </c>
      <c r="AQ275" s="187">
        <v>1</v>
      </c>
      <c r="AR275" s="213">
        <f t="shared" si="383"/>
      </c>
    </row>
    <row r="276">
      <c r="A276" s="182"/>
      <c r="B276" s="184" t="s">
        <v>191</v>
      </c>
      <c r="C276" s="184" t="s">
        <v>192</v>
      </c>
      <c r="D276" s="183" t="s">
        <v>207</v>
      </c>
      <c r="E276" s="183" t="s">
        <v>212</v>
      </c>
      <c r="F276" s="185">
        <f t="shared" si="131"/>
      </c>
      <c r="G276" s="204">
        <v>2311.63</v>
      </c>
      <c r="H276" s="204">
        <v>314.95</v>
      </c>
      <c r="I276" s="187">
        <v>6</v>
      </c>
      <c r="J276" s="187">
        <v>4</v>
      </c>
      <c r="K276" s="188">
        <v>2174.2000000000007</v>
      </c>
      <c r="L276" s="189">
        <f t="shared" si="194"/>
      </c>
      <c r="M276" s="190">
        <f t="shared" si="416"/>
      </c>
      <c r="N276" s="191">
        <f t="shared" si="6"/>
      </c>
      <c r="O276" s="191">
        <f t="shared" si="299"/>
      </c>
      <c r="P276" s="191">
        <f t="shared" si="344"/>
      </c>
      <c r="Q276" s="191">
        <f t="shared" si="239"/>
      </c>
      <c r="R276" s="191">
        <f t="shared" si="269"/>
      </c>
      <c r="S276" s="191">
        <f t="shared" si="164"/>
      </c>
      <c r="T276" s="191">
        <f t="shared" si="209"/>
      </c>
      <c r="U276" s="189">
        <f t="shared" si="431"/>
      </c>
      <c r="V276" s="189">
        <f t="shared" si="21"/>
      </c>
      <c r="W276" s="189">
        <f t="shared" si="36"/>
      </c>
      <c r="X276" s="189">
        <f t="shared" si="51"/>
      </c>
      <c r="Y276" s="189">
        <f t="shared" si="314"/>
      </c>
      <c r="Z276" s="189">
        <f t="shared" si="359"/>
      </c>
      <c r="AA276" s="190">
        <f t="shared" si="254"/>
      </c>
      <c r="AB276" s="190">
        <f t="shared" si="284"/>
      </c>
      <c r="AC276" s="190">
        <f t="shared" si="179"/>
      </c>
      <c r="AD276" s="189">
        <f t="shared" si="224"/>
      </c>
      <c r="AE276" s="190">
        <f t="shared" si="446"/>
      </c>
      <c r="AF276" s="189">
        <f t="shared" si="66"/>
      </c>
      <c r="AG276" s="189">
        <f t="shared" si="329"/>
      </c>
      <c r="AH276" s="192">
        <v>18820</v>
      </c>
      <c r="AI276" s="192">
        <v>287</v>
      </c>
      <c r="AJ276" s="192">
        <v>363</v>
      </c>
      <c r="AK276" s="192">
        <v>77</v>
      </c>
      <c r="AL276" s="187">
        <v>5</v>
      </c>
      <c r="AM276" s="192">
        <v>3</v>
      </c>
      <c r="AN276" s="192">
        <v>69</v>
      </c>
      <c r="AO276" s="192">
        <v>63</v>
      </c>
      <c r="AP276" s="192">
        <v>8</v>
      </c>
      <c r="AQ276" s="187">
        <v>1</v>
      </c>
      <c r="AR276" s="213">
        <f t="shared" si="383"/>
      </c>
    </row>
    <row r="277">
      <c r="A277" s="182"/>
      <c r="B277" s="197" t="s">
        <v>197</v>
      </c>
      <c r="C277" s="197"/>
      <c r="D277" s="197"/>
      <c r="E277" s="197"/>
      <c r="F277" s="198">
        <f>SUM(F273:F276)</f>
      </c>
      <c r="G277" s="198">
        <f>SUM(G273:G276)</f>
      </c>
      <c r="H277" s="198">
        <f>SUM(H273:H276)</f>
      </c>
      <c r="I277" s="199">
        <f>SUM(I273:I276)</f>
      </c>
      <c r="J277" s="199">
        <f>SUM(J273:J276)</f>
      </c>
      <c r="K277" s="198">
        <f>SUM(K273:K276)</f>
      </c>
      <c r="L277" s="200">
        <f t="shared" si="194"/>
      </c>
      <c r="M277" s="201">
        <f t="shared" si="416"/>
      </c>
      <c r="N277" s="202">
        <f t="shared" si="6"/>
      </c>
      <c r="O277" s="202">
        <f t="shared" si="299"/>
      </c>
      <c r="P277" s="202">
        <f t="shared" si="344"/>
      </c>
      <c r="Q277" s="202">
        <f t="shared" si="239"/>
      </c>
      <c r="R277" s="202">
        <f t="shared" si="269"/>
      </c>
      <c r="S277" s="202">
        <f t="shared" si="164"/>
      </c>
      <c r="T277" s="202">
        <f t="shared" si="209"/>
      </c>
      <c r="U277" s="200">
        <f t="shared" si="431"/>
      </c>
      <c r="V277" s="200">
        <f t="shared" si="21"/>
      </c>
      <c r="W277" s="200">
        <f t="shared" si="36"/>
      </c>
      <c r="X277" s="200">
        <f t="shared" si="51"/>
      </c>
      <c r="Y277" s="200">
        <f t="shared" si="314"/>
      </c>
      <c r="Z277" s="200">
        <f t="shared" si="359"/>
      </c>
      <c r="AA277" s="201">
        <f t="shared" si="254"/>
      </c>
      <c r="AB277" s="201">
        <f t="shared" si="284"/>
      </c>
      <c r="AC277" s="201">
        <f t="shared" si="179"/>
      </c>
      <c r="AD277" s="200">
        <f t="shared" si="224"/>
      </c>
      <c r="AE277" s="201">
        <f t="shared" si="446"/>
      </c>
      <c r="AF277" s="200">
        <f t="shared" si="66"/>
      </c>
      <c r="AG277" s="200">
        <f t="shared" si="329"/>
      </c>
      <c r="AH277" s="199">
        <f>SUM(AH273:AH276)</f>
      </c>
      <c r="AI277" s="199">
        <f>SUM(AI273:AI276)</f>
      </c>
      <c r="AJ277" s="199">
        <f>SUM(AJ273:AJ276)</f>
      </c>
      <c r="AK277" s="199">
        <f>SUM(AK273:AK276)</f>
      </c>
      <c r="AL277" s="199">
        <f>SUM(AL273:AL276)</f>
      </c>
      <c r="AM277" s="199">
        <f>SUM(AM273:AM276)</f>
      </c>
      <c r="AN277" s="199">
        <f>SUM(AN273:AN276)</f>
      </c>
      <c r="AO277" s="199">
        <f>SUM(AO273:AO276)</f>
      </c>
      <c r="AP277" s="199">
        <f>SUM(AP273:AP276)</f>
      </c>
      <c r="AQ277" s="199">
        <f>SUM(AQ273:AQ276)</f>
      </c>
      <c r="AR277" s="203">
        <f>SUM(AR273:AR276)</f>
      </c>
    </row>
    <row r="278">
      <c r="A278" s="182"/>
      <c r="B278" s="184" t="s">
        <v>191</v>
      </c>
      <c r="C278" s="184" t="s">
        <v>192</v>
      </c>
      <c r="D278" s="183" t="s">
        <v>201</v>
      </c>
      <c r="E278" s="183" t="s">
        <v>194</v>
      </c>
      <c r="F278" s="185">
        <f t="shared" ref="F278:F281" si="132">H278+G278</f>
      </c>
      <c r="G278" s="204">
        <v>1859.29</v>
      </c>
      <c r="H278" s="204">
        <v>298.17</v>
      </c>
      <c r="I278" s="187">
        <v>6</v>
      </c>
      <c r="J278" s="187">
        <v>6</v>
      </c>
      <c r="K278" s="188">
        <v>4101.6</v>
      </c>
      <c r="L278" s="189">
        <f t="shared" si="194"/>
      </c>
      <c r="M278" s="190">
        <f t="shared" si="416"/>
      </c>
      <c r="N278" s="191">
        <f t="shared" si="6"/>
      </c>
      <c r="O278" s="191">
        <f t="shared" si="299"/>
      </c>
      <c r="P278" s="191">
        <f t="shared" si="344"/>
      </c>
      <c r="Q278" s="191">
        <f t="shared" si="239"/>
      </c>
      <c r="R278" s="191">
        <f t="shared" si="269"/>
      </c>
      <c r="S278" s="191">
        <f t="shared" si="164"/>
      </c>
      <c r="T278" s="191">
        <f t="shared" si="209"/>
      </c>
      <c r="U278" s="189">
        <f t="shared" si="431"/>
      </c>
      <c r="V278" s="189">
        <f t="shared" si="21"/>
      </c>
      <c r="W278" s="189">
        <f t="shared" si="36"/>
      </c>
      <c r="X278" s="189">
        <f t="shared" si="51"/>
      </c>
      <c r="Y278" s="189">
        <f t="shared" si="314"/>
      </c>
      <c r="Z278" s="189">
        <f t="shared" si="359"/>
      </c>
      <c r="AA278" s="190">
        <f t="shared" si="254"/>
      </c>
      <c r="AB278" s="190">
        <f t="shared" si="284"/>
      </c>
      <c r="AC278" s="190">
        <f t="shared" si="179"/>
      </c>
      <c r="AD278" s="189">
        <f t="shared" si="224"/>
      </c>
      <c r="AE278" s="190">
        <f t="shared" si="446"/>
      </c>
      <c r="AF278" s="189">
        <f t="shared" si="66"/>
      </c>
      <c r="AG278" s="189">
        <f t="shared" si="329"/>
      </c>
      <c r="AH278" s="192">
        <v>17302</v>
      </c>
      <c r="AI278" s="192">
        <v>236</v>
      </c>
      <c r="AJ278" s="192">
        <v>306</v>
      </c>
      <c r="AK278" s="192">
        <v>64</v>
      </c>
      <c r="AL278" s="192">
        <v>4</v>
      </c>
      <c r="AM278" s="192">
        <v>4</v>
      </c>
      <c r="AN278" s="192">
        <v>57</v>
      </c>
      <c r="AO278" s="192">
        <v>58</v>
      </c>
      <c r="AP278" s="192">
        <v>3</v>
      </c>
      <c r="AQ278" s="187">
        <v>1</v>
      </c>
      <c r="AR278" s="213">
        <f t="shared" ref="AR278:AR281" si="384">COUNT(AQ278)</f>
      </c>
    </row>
    <row r="279">
      <c r="A279" s="182"/>
      <c r="B279" s="184" t="s">
        <v>191</v>
      </c>
      <c r="C279" s="184" t="s">
        <v>192</v>
      </c>
      <c r="D279" s="183" t="s">
        <v>201</v>
      </c>
      <c r="E279" s="183" t="s">
        <v>195</v>
      </c>
      <c r="F279" s="185">
        <f t="shared" si="132"/>
      </c>
      <c r="G279" s="204">
        <v>1625.43</v>
      </c>
      <c r="H279" s="204">
        <v>248.37</v>
      </c>
      <c r="I279" s="187">
        <v>2</v>
      </c>
      <c r="J279" s="192">
        <v>1</v>
      </c>
      <c r="K279" s="196">
        <v>895</v>
      </c>
      <c r="L279" s="189">
        <f t="shared" si="194"/>
      </c>
      <c r="M279" s="190">
        <f t="shared" si="416"/>
      </c>
      <c r="N279" s="191">
        <f t="shared" si="6"/>
      </c>
      <c r="O279" s="191">
        <f t="shared" si="299"/>
      </c>
      <c r="P279" s="191">
        <f t="shared" si="344"/>
      </c>
      <c r="Q279" s="191">
        <f t="shared" si="239"/>
      </c>
      <c r="R279" s="191">
        <f t="shared" si="269"/>
      </c>
      <c r="S279" s="191">
        <f t="shared" si="164"/>
      </c>
      <c r="T279" s="191">
        <f t="shared" si="209"/>
      </c>
      <c r="U279" s="189">
        <f t="shared" si="431"/>
      </c>
      <c r="V279" s="189">
        <f t="shared" si="21"/>
      </c>
      <c r="W279" s="189">
        <f t="shared" si="36"/>
      </c>
      <c r="X279" s="189">
        <f t="shared" si="51"/>
      </c>
      <c r="Y279" s="189">
        <f t="shared" si="314"/>
      </c>
      <c r="Z279" s="189">
        <f t="shared" si="359"/>
      </c>
      <c r="AA279" s="190">
        <f t="shared" si="254"/>
      </c>
      <c r="AB279" s="190">
        <f t="shared" si="284"/>
      </c>
      <c r="AC279" s="190">
        <f t="shared" si="179"/>
      </c>
      <c r="AD279" s="189">
        <f t="shared" si="224"/>
      </c>
      <c r="AE279" s="190">
        <f t="shared" si="446"/>
      </c>
      <c r="AF279" s="189">
        <f t="shared" si="66"/>
      </c>
      <c r="AG279" s="189">
        <f t="shared" si="329"/>
      </c>
      <c r="AH279" s="192">
        <v>15528</v>
      </c>
      <c r="AI279" s="192">
        <v>244</v>
      </c>
      <c r="AJ279" s="192">
        <v>318</v>
      </c>
      <c r="AK279" s="192">
        <v>54</v>
      </c>
      <c r="AL279" s="192">
        <v>2</v>
      </c>
      <c r="AM279" s="192">
        <v>0</v>
      </c>
      <c r="AN279" s="192">
        <v>51</v>
      </c>
      <c r="AO279" s="192">
        <v>28</v>
      </c>
      <c r="AP279" s="192">
        <v>5</v>
      </c>
      <c r="AQ279" s="187">
        <v>0</v>
      </c>
      <c r="AR279" s="213">
        <f t="shared" si="384"/>
      </c>
    </row>
    <row r="280">
      <c r="A280" s="182"/>
      <c r="B280" s="184" t="s">
        <v>191</v>
      </c>
      <c r="C280" s="184" t="s">
        <v>192</v>
      </c>
      <c r="D280" s="183" t="s">
        <v>201</v>
      </c>
      <c r="E280" s="183" t="s">
        <v>196</v>
      </c>
      <c r="F280" s="185">
        <f t="shared" si="132"/>
      </c>
      <c r="G280" s="204">
        <v>911.97</v>
      </c>
      <c r="H280" s="204">
        <v>257.26</v>
      </c>
      <c r="I280" s="187">
        <v>2</v>
      </c>
      <c r="J280" s="187">
        <v>1</v>
      </c>
      <c r="K280" s="188">
        <v>895</v>
      </c>
      <c r="L280" s="189">
        <f t="shared" si="194"/>
      </c>
      <c r="M280" s="190">
        <f t="shared" si="416"/>
      </c>
      <c r="N280" s="191">
        <f t="shared" si="6"/>
      </c>
      <c r="O280" s="191">
        <f t="shared" si="299"/>
      </c>
      <c r="P280" s="191">
        <f t="shared" si="344"/>
      </c>
      <c r="Q280" s="191">
        <f t="shared" si="239"/>
      </c>
      <c r="R280" s="191">
        <f t="shared" si="269"/>
      </c>
      <c r="S280" s="191">
        <f t="shared" si="164"/>
      </c>
      <c r="T280" s="191">
        <f t="shared" si="209"/>
      </c>
      <c r="U280" s="189">
        <f t="shared" si="431"/>
      </c>
      <c r="V280" s="189">
        <f t="shared" si="21"/>
      </c>
      <c r="W280" s="189">
        <f t="shared" si="36"/>
      </c>
      <c r="X280" s="189">
        <f t="shared" si="51"/>
      </c>
      <c r="Y280" s="189">
        <f t="shared" si="314"/>
      </c>
      <c r="Z280" s="189">
        <f t="shared" si="359"/>
      </c>
      <c r="AA280" s="190">
        <f t="shared" si="254"/>
      </c>
      <c r="AB280" s="190">
        <f t="shared" si="284"/>
      </c>
      <c r="AC280" s="190">
        <f t="shared" si="179"/>
      </c>
      <c r="AD280" s="189">
        <f t="shared" si="224"/>
      </c>
      <c r="AE280" s="190">
        <f t="shared" si="446"/>
      </c>
      <c r="AF280" s="189">
        <f t="shared" si="66"/>
      </c>
      <c r="AG280" s="189">
        <f t="shared" si="329"/>
      </c>
      <c r="AH280" s="192">
        <v>9566</v>
      </c>
      <c r="AI280" s="192">
        <v>203</v>
      </c>
      <c r="AJ280" s="192">
        <v>282</v>
      </c>
      <c r="AK280" s="192">
        <v>38</v>
      </c>
      <c r="AL280" s="192">
        <v>1</v>
      </c>
      <c r="AM280" s="192">
        <v>2</v>
      </c>
      <c r="AN280" s="192">
        <v>48</v>
      </c>
      <c r="AO280" s="192">
        <v>39</v>
      </c>
      <c r="AP280" s="192">
        <v>6</v>
      </c>
      <c r="AQ280" s="187">
        <v>0</v>
      </c>
      <c r="AR280" s="213">
        <f t="shared" si="384"/>
      </c>
    </row>
    <row r="281">
      <c r="A281" s="182"/>
      <c r="B281" s="184" t="s">
        <v>191</v>
      </c>
      <c r="C281" s="184" t="s">
        <v>192</v>
      </c>
      <c r="D281" s="183" t="s">
        <v>201</v>
      </c>
      <c r="E281" s="183" t="s">
        <v>199</v>
      </c>
      <c r="F281" s="185">
        <f t="shared" si="132"/>
      </c>
      <c r="G281" s="204">
        <v>837.25</v>
      </c>
      <c r="H281" s="204">
        <v>244.44</v>
      </c>
      <c r="I281" s="187">
        <v>5</v>
      </c>
      <c r="J281" s="187">
        <v>3</v>
      </c>
      <c r="K281" s="188">
        <v>1705.7999999999993</v>
      </c>
      <c r="L281" s="189">
        <f t="shared" si="194"/>
      </c>
      <c r="M281" s="190">
        <f t="shared" si="416"/>
      </c>
      <c r="N281" s="191">
        <f t="shared" si="6"/>
      </c>
      <c r="O281" s="191">
        <f t="shared" si="299"/>
      </c>
      <c r="P281" s="191">
        <f t="shared" si="344"/>
      </c>
      <c r="Q281" s="191">
        <f t="shared" si="239"/>
      </c>
      <c r="R281" s="191">
        <f t="shared" si="269"/>
      </c>
      <c r="S281" s="191">
        <f t="shared" si="164"/>
      </c>
      <c r="T281" s="191">
        <f t="shared" si="209"/>
      </c>
      <c r="U281" s="189">
        <f t="shared" si="431"/>
      </c>
      <c r="V281" s="189">
        <f t="shared" si="21"/>
      </c>
      <c r="W281" s="189">
        <f t="shared" si="36"/>
      </c>
      <c r="X281" s="189">
        <f t="shared" si="51"/>
      </c>
      <c r="Y281" s="189">
        <f t="shared" si="314"/>
      </c>
      <c r="Z281" s="189">
        <f t="shared" si="359"/>
      </c>
      <c r="AA281" s="190">
        <f t="shared" si="254"/>
      </c>
      <c r="AB281" s="190">
        <f t="shared" si="284"/>
      </c>
      <c r="AC281" s="190">
        <f t="shared" si="179"/>
      </c>
      <c r="AD281" s="189">
        <f t="shared" si="224"/>
      </c>
      <c r="AE281" s="190">
        <f t="shared" si="446"/>
      </c>
      <c r="AF281" s="189">
        <f t="shared" si="66"/>
      </c>
      <c r="AG281" s="189">
        <f t="shared" si="329"/>
      </c>
      <c r="AH281" s="192">
        <v>8742</v>
      </c>
      <c r="AI281" s="192">
        <v>179</v>
      </c>
      <c r="AJ281" s="192">
        <v>303</v>
      </c>
      <c r="AK281" s="192">
        <v>33</v>
      </c>
      <c r="AL281" s="192">
        <v>5</v>
      </c>
      <c r="AM281" s="192">
        <v>2</v>
      </c>
      <c r="AN281" s="192">
        <v>45</v>
      </c>
      <c r="AO281" s="192">
        <v>47</v>
      </c>
      <c r="AP281" s="192">
        <v>4</v>
      </c>
      <c r="AQ281" s="187">
        <v>0</v>
      </c>
      <c r="AR281" s="213">
        <f t="shared" si="384"/>
      </c>
    </row>
    <row r="282">
      <c r="A282" s="182"/>
      <c r="B282" s="197" t="s">
        <v>197</v>
      </c>
      <c r="C282" s="197"/>
      <c r="D282" s="197"/>
      <c r="E282" s="197"/>
      <c r="F282" s="198">
        <f>SUM(F278:F281)</f>
      </c>
      <c r="G282" s="198">
        <f>SUM(G278:G281)</f>
      </c>
      <c r="H282" s="198">
        <f>SUM(H278:H281)</f>
      </c>
      <c r="I282" s="199">
        <f>SUM(I278:I281)</f>
      </c>
      <c r="J282" s="199">
        <f>SUM(J278:J281)</f>
      </c>
      <c r="K282" s="198">
        <f>SUM(K278:K281)</f>
      </c>
      <c r="L282" s="200">
        <f t="shared" si="194"/>
      </c>
      <c r="M282" s="201">
        <f t="shared" si="416"/>
      </c>
      <c r="N282" s="202">
        <f t="shared" si="6"/>
      </c>
      <c r="O282" s="202">
        <f t="shared" si="299"/>
      </c>
      <c r="P282" s="202">
        <f t="shared" si="344"/>
      </c>
      <c r="Q282" s="202">
        <f t="shared" si="239"/>
      </c>
      <c r="R282" s="202">
        <f t="shared" si="269"/>
      </c>
      <c r="S282" s="202">
        <f t="shared" si="164"/>
      </c>
      <c r="T282" s="202">
        <f t="shared" si="209"/>
      </c>
      <c r="U282" s="200">
        <f t="shared" si="431"/>
      </c>
      <c r="V282" s="200">
        <f t="shared" si="21"/>
      </c>
      <c r="W282" s="200">
        <f t="shared" si="36"/>
      </c>
      <c r="X282" s="200">
        <f t="shared" si="51"/>
      </c>
      <c r="Y282" s="200">
        <f t="shared" si="314"/>
      </c>
      <c r="Z282" s="200">
        <f t="shared" si="359"/>
      </c>
      <c r="AA282" s="201">
        <f t="shared" si="254"/>
      </c>
      <c r="AB282" s="201">
        <f t="shared" si="284"/>
      </c>
      <c r="AC282" s="201">
        <f t="shared" si="179"/>
      </c>
      <c r="AD282" s="200">
        <f t="shared" si="224"/>
      </c>
      <c r="AE282" s="201">
        <f t="shared" si="446"/>
      </c>
      <c r="AF282" s="200">
        <f t="shared" si="66"/>
      </c>
      <c r="AG282" s="200">
        <f t="shared" si="329"/>
      </c>
      <c r="AH282" s="199">
        <f>SUM(AH278:AH281)</f>
      </c>
      <c r="AI282" s="199">
        <f>SUM(AI278:AI281)</f>
      </c>
      <c r="AJ282" s="199">
        <f>SUM(AJ278:AJ281)</f>
      </c>
      <c r="AK282" s="199">
        <f>SUM(AK278:AK281)</f>
      </c>
      <c r="AL282" s="199">
        <f>SUM(AL278:AL281)</f>
      </c>
      <c r="AM282" s="199">
        <f>SUM(AM278:AM281)</f>
      </c>
      <c r="AN282" s="199">
        <f>SUM(AN278:AN281)</f>
      </c>
      <c r="AO282" s="199">
        <f>SUM(AO278:AO281)</f>
      </c>
      <c r="AP282" s="199">
        <f>SUM(AP278:AP281)</f>
      </c>
      <c r="AQ282" s="199">
        <f>SUM(AQ278:AQ281)</f>
      </c>
      <c r="AR282" s="203">
        <f>SUM(AR278:AR281)</f>
      </c>
    </row>
    <row r="283">
      <c r="A283" s="182"/>
      <c r="B283" s="184" t="s">
        <v>191</v>
      </c>
      <c r="C283" s="184" t="s">
        <v>192</v>
      </c>
      <c r="D283" s="183" t="s">
        <v>206</v>
      </c>
      <c r="E283" s="183" t="s">
        <v>200</v>
      </c>
      <c r="F283" s="185">
        <f t="shared" ref="F283:F286" si="133">H283+G283</f>
      </c>
      <c r="G283" s="204">
        <v>1129.17</v>
      </c>
      <c r="H283" s="204">
        <v>295.61</v>
      </c>
      <c r="I283" s="187">
        <v>2</v>
      </c>
      <c r="J283" s="192">
        <v>2</v>
      </c>
      <c r="K283" s="196">
        <v>1441.199999999997</v>
      </c>
      <c r="L283" s="189">
        <f t="shared" si="194"/>
      </c>
      <c r="M283" s="190">
        <f t="shared" si="416"/>
      </c>
      <c r="N283" s="191">
        <f t="shared" si="6"/>
      </c>
      <c r="O283" s="191">
        <f t="shared" si="299"/>
      </c>
      <c r="P283" s="191">
        <f t="shared" si="344"/>
      </c>
      <c r="Q283" s="191">
        <f t="shared" si="239"/>
      </c>
      <c r="R283" s="191">
        <f t="shared" si="269"/>
      </c>
      <c r="S283" s="191">
        <f t="shared" si="164"/>
      </c>
      <c r="T283" s="191">
        <f t="shared" si="209"/>
      </c>
      <c r="U283" s="189">
        <f t="shared" si="431"/>
      </c>
      <c r="V283" s="189">
        <f t="shared" si="21"/>
      </c>
      <c r="W283" s="189">
        <f t="shared" si="36"/>
      </c>
      <c r="X283" s="189">
        <f t="shared" si="51"/>
      </c>
      <c r="Y283" s="189">
        <f t="shared" si="314"/>
      </c>
      <c r="Z283" s="189">
        <f t="shared" si="359"/>
      </c>
      <c r="AA283" s="190">
        <f t="shared" si="254"/>
      </c>
      <c r="AB283" s="190">
        <f t="shared" si="284"/>
      </c>
      <c r="AC283" s="190">
        <f t="shared" si="179"/>
      </c>
      <c r="AD283" s="189">
        <f t="shared" si="224"/>
      </c>
      <c r="AE283" s="190">
        <f t="shared" si="446"/>
      </c>
      <c r="AF283" s="189">
        <f t="shared" si="66"/>
      </c>
      <c r="AG283" s="189">
        <f t="shared" si="329"/>
      </c>
      <c r="AH283" s="192">
        <v>11433</v>
      </c>
      <c r="AI283" s="192">
        <v>231</v>
      </c>
      <c r="AJ283" s="192">
        <v>317</v>
      </c>
      <c r="AK283" s="192">
        <v>47</v>
      </c>
      <c r="AL283" s="192">
        <v>3</v>
      </c>
      <c r="AM283" s="192">
        <v>3</v>
      </c>
      <c r="AN283" s="192">
        <v>49</v>
      </c>
      <c r="AO283" s="192">
        <v>58</v>
      </c>
      <c r="AP283" s="192">
        <v>4</v>
      </c>
      <c r="AQ283" s="187">
        <v>0</v>
      </c>
      <c r="AR283" s="213">
        <f t="shared" ref="AR283:AR286" si="385">COUNT(AQ283)</f>
      </c>
    </row>
    <row r="284">
      <c r="A284" s="182"/>
      <c r="B284" s="184" t="s">
        <v>191</v>
      </c>
      <c r="C284" s="184" t="s">
        <v>192</v>
      </c>
      <c r="D284" s="183" t="s">
        <v>206</v>
      </c>
      <c r="E284" s="184" t="s">
        <v>202</v>
      </c>
      <c r="F284" s="185">
        <f t="shared" si="133"/>
      </c>
      <c r="G284" s="204">
        <v>1546.18</v>
      </c>
      <c r="H284" s="204">
        <v>426.17</v>
      </c>
      <c r="I284" s="187">
        <v>6</v>
      </c>
      <c r="J284" s="192">
        <v>5</v>
      </c>
      <c r="K284" s="188">
        <v>2579.600000000002</v>
      </c>
      <c r="L284" s="189">
        <f t="shared" si="194"/>
      </c>
      <c r="M284" s="190">
        <f t="shared" si="416"/>
      </c>
      <c r="N284" s="191">
        <f t="shared" si="6"/>
      </c>
      <c r="O284" s="191">
        <f t="shared" si="299"/>
      </c>
      <c r="P284" s="191">
        <f t="shared" si="344"/>
      </c>
      <c r="Q284" s="191">
        <f t="shared" si="239"/>
      </c>
      <c r="R284" s="191">
        <f t="shared" si="269"/>
      </c>
      <c r="S284" s="191">
        <f t="shared" si="164"/>
      </c>
      <c r="T284" s="191">
        <f t="shared" si="209"/>
      </c>
      <c r="U284" s="189">
        <f t="shared" si="431"/>
      </c>
      <c r="V284" s="189">
        <f t="shared" si="21"/>
      </c>
      <c r="W284" s="189">
        <f t="shared" si="36"/>
      </c>
      <c r="X284" s="189">
        <f t="shared" si="51"/>
      </c>
      <c r="Y284" s="189">
        <f t="shared" si="314"/>
      </c>
      <c r="Z284" s="189">
        <f t="shared" si="359"/>
      </c>
      <c r="AA284" s="190">
        <f t="shared" si="254"/>
      </c>
      <c r="AB284" s="190">
        <f t="shared" si="284"/>
      </c>
      <c r="AC284" s="190">
        <f t="shared" si="179"/>
      </c>
      <c r="AD284" s="189">
        <f t="shared" si="224"/>
      </c>
      <c r="AE284" s="190">
        <f t="shared" si="446"/>
      </c>
      <c r="AF284" s="189">
        <f t="shared" si="66"/>
      </c>
      <c r="AG284" s="189">
        <f t="shared" si="329"/>
      </c>
      <c r="AH284" s="192">
        <v>15587</v>
      </c>
      <c r="AI284" s="192">
        <v>258</v>
      </c>
      <c r="AJ284" s="192">
        <v>381</v>
      </c>
      <c r="AK284" s="192">
        <v>54</v>
      </c>
      <c r="AL284" s="192">
        <v>6</v>
      </c>
      <c r="AM284" s="192">
        <v>4</v>
      </c>
      <c r="AN284" s="192">
        <v>62</v>
      </c>
      <c r="AO284" s="192">
        <v>97</v>
      </c>
      <c r="AP284" s="192">
        <v>5</v>
      </c>
      <c r="AQ284" s="187">
        <v>1</v>
      </c>
      <c r="AR284" s="213">
        <f t="shared" si="385"/>
      </c>
    </row>
    <row r="285">
      <c r="A285" s="182"/>
      <c r="B285" s="184" t="s">
        <v>191</v>
      </c>
      <c r="C285" s="184" t="s">
        <v>192</v>
      </c>
      <c r="D285" s="183" t="s">
        <v>206</v>
      </c>
      <c r="E285" s="184" t="s">
        <v>203</v>
      </c>
      <c r="F285" s="185">
        <f t="shared" si="133"/>
      </c>
      <c r="G285" s="204">
        <v>1596.46</v>
      </c>
      <c r="H285" s="204">
        <v>729.08</v>
      </c>
      <c r="I285" s="187">
        <v>3</v>
      </c>
      <c r="J285" s="192">
        <v>2</v>
      </c>
      <c r="K285" s="188">
        <v>1757.7999999999993</v>
      </c>
      <c r="L285" s="189">
        <f t="shared" si="194"/>
      </c>
      <c r="M285" s="190">
        <f t="shared" si="416"/>
      </c>
      <c r="N285" s="191">
        <f t="shared" si="6"/>
      </c>
      <c r="O285" s="191">
        <f t="shared" si="299"/>
      </c>
      <c r="P285" s="191">
        <f t="shared" si="344"/>
      </c>
      <c r="Q285" s="191">
        <f t="shared" si="239"/>
      </c>
      <c r="R285" s="191">
        <f t="shared" si="269"/>
      </c>
      <c r="S285" s="191">
        <f t="shared" si="164"/>
      </c>
      <c r="T285" s="191">
        <f t="shared" si="209"/>
      </c>
      <c r="U285" s="189">
        <f t="shared" si="431"/>
      </c>
      <c r="V285" s="189">
        <f t="shared" si="21"/>
      </c>
      <c r="W285" s="189">
        <f t="shared" si="36"/>
      </c>
      <c r="X285" s="189">
        <f t="shared" si="51"/>
      </c>
      <c r="Y285" s="189">
        <f t="shared" si="314"/>
      </c>
      <c r="Z285" s="189">
        <f t="shared" si="359"/>
      </c>
      <c r="AA285" s="190">
        <f t="shared" si="254"/>
      </c>
      <c r="AB285" s="190">
        <f t="shared" si="284"/>
      </c>
      <c r="AC285" s="190">
        <f t="shared" si="179"/>
      </c>
      <c r="AD285" s="189">
        <f t="shared" si="224"/>
      </c>
      <c r="AE285" s="190">
        <f t="shared" si="446"/>
      </c>
      <c r="AF285" s="189">
        <f t="shared" si="66"/>
      </c>
      <c r="AG285" s="189">
        <f t="shared" si="329"/>
      </c>
      <c r="AH285" s="192">
        <v>20596</v>
      </c>
      <c r="AI285" s="192">
        <v>472</v>
      </c>
      <c r="AJ285" s="192">
        <v>701</v>
      </c>
      <c r="AK285" s="192">
        <v>74</v>
      </c>
      <c r="AL285" s="192">
        <v>4</v>
      </c>
      <c r="AM285" s="192">
        <v>1</v>
      </c>
      <c r="AN285" s="192">
        <v>82</v>
      </c>
      <c r="AO285" s="192">
        <v>119</v>
      </c>
      <c r="AP285" s="192">
        <v>4</v>
      </c>
      <c r="AQ285" s="187">
        <v>0</v>
      </c>
      <c r="AR285" s="213">
        <f t="shared" si="385"/>
      </c>
    </row>
    <row r="286">
      <c r="A286" s="182"/>
      <c r="B286" s="184" t="s">
        <v>191</v>
      </c>
      <c r="C286" s="184" t="s">
        <v>192</v>
      </c>
      <c r="D286" s="183" t="s">
        <v>206</v>
      </c>
      <c r="E286" s="183" t="s">
        <v>204</v>
      </c>
      <c r="F286" s="185">
        <f t="shared" si="133"/>
      </c>
      <c r="G286" s="204">
        <v>1116.1</v>
      </c>
      <c r="H286" s="204">
        <v>278.19</v>
      </c>
      <c r="I286" s="187">
        <v>8</v>
      </c>
      <c r="J286" s="192">
        <v>5</v>
      </c>
      <c r="K286" s="196">
        <v>4563.4000000000015</v>
      </c>
      <c r="L286" s="189">
        <f t="shared" si="194"/>
      </c>
      <c r="M286" s="190">
        <f t="shared" si="416"/>
      </c>
      <c r="N286" s="191">
        <f t="shared" si="6"/>
      </c>
      <c r="O286" s="191">
        <f t="shared" si="299"/>
      </c>
      <c r="P286" s="191">
        <f t="shared" si="344"/>
      </c>
      <c r="Q286" s="191">
        <f t="shared" si="239"/>
      </c>
      <c r="R286" s="191">
        <f t="shared" si="269"/>
      </c>
      <c r="S286" s="191">
        <f t="shared" si="164"/>
      </c>
      <c r="T286" s="191">
        <f t="shared" si="209"/>
      </c>
      <c r="U286" s="189">
        <f t="shared" si="431"/>
      </c>
      <c r="V286" s="189">
        <f t="shared" si="21"/>
      </c>
      <c r="W286" s="189">
        <f t="shared" si="36"/>
      </c>
      <c r="X286" s="189">
        <f t="shared" si="51"/>
      </c>
      <c r="Y286" s="189">
        <f t="shared" si="314"/>
      </c>
      <c r="Z286" s="189">
        <f t="shared" si="359"/>
      </c>
      <c r="AA286" s="190">
        <f t="shared" si="254"/>
      </c>
      <c r="AB286" s="190">
        <f t="shared" si="284"/>
      </c>
      <c r="AC286" s="190">
        <f t="shared" si="179"/>
      </c>
      <c r="AD286" s="189">
        <f t="shared" si="224"/>
      </c>
      <c r="AE286" s="190">
        <f t="shared" si="446"/>
      </c>
      <c r="AF286" s="189">
        <f t="shared" si="66"/>
      </c>
      <c r="AG286" s="189">
        <f t="shared" si="329"/>
      </c>
      <c r="AH286" s="192">
        <v>15493</v>
      </c>
      <c r="AI286" s="192">
        <v>306</v>
      </c>
      <c r="AJ286" s="192">
        <v>446</v>
      </c>
      <c r="AK286" s="192">
        <v>44</v>
      </c>
      <c r="AL286" s="192">
        <v>7</v>
      </c>
      <c r="AM286" s="192">
        <v>5</v>
      </c>
      <c r="AN286" s="192">
        <v>54</v>
      </c>
      <c r="AO286" s="192">
        <v>109</v>
      </c>
      <c r="AP286" s="192">
        <v>2</v>
      </c>
      <c r="AQ286" s="187">
        <v>0</v>
      </c>
      <c r="AR286" s="213">
        <f t="shared" si="385"/>
      </c>
    </row>
    <row r="287">
      <c r="A287" s="182"/>
      <c r="B287" s="197" t="s">
        <v>197</v>
      </c>
      <c r="C287" s="197"/>
      <c r="D287" s="197"/>
      <c r="E287" s="197"/>
      <c r="F287" s="198">
        <f>SUM(F283:F286)</f>
      </c>
      <c r="G287" s="198">
        <f>SUM(G283:G286)</f>
      </c>
      <c r="H287" s="198">
        <f>SUM(H283:H286)</f>
      </c>
      <c r="I287" s="199">
        <f>SUM(I283:I286)</f>
      </c>
      <c r="J287" s="199">
        <f>SUM(J283:J286)</f>
      </c>
      <c r="K287" s="198">
        <f>SUM(K283:K286)</f>
      </c>
      <c r="L287" s="200">
        <f t="shared" si="194"/>
      </c>
      <c r="M287" s="201">
        <f t="shared" si="416"/>
      </c>
      <c r="N287" s="202">
        <f t="shared" si="6"/>
      </c>
      <c r="O287" s="202">
        <f t="shared" si="299"/>
      </c>
      <c r="P287" s="202">
        <f t="shared" si="344"/>
      </c>
      <c r="Q287" s="202">
        <f t="shared" si="239"/>
      </c>
      <c r="R287" s="202">
        <f t="shared" si="269"/>
      </c>
      <c r="S287" s="202">
        <f t="shared" si="164"/>
      </c>
      <c r="T287" s="202">
        <f t="shared" si="209"/>
      </c>
      <c r="U287" s="200">
        <f t="shared" si="431"/>
      </c>
      <c r="V287" s="200">
        <f t="shared" si="21"/>
      </c>
      <c r="W287" s="200">
        <f t="shared" si="36"/>
      </c>
      <c r="X287" s="200">
        <f t="shared" si="51"/>
      </c>
      <c r="Y287" s="200">
        <f t="shared" si="314"/>
      </c>
      <c r="Z287" s="200">
        <f t="shared" si="359"/>
      </c>
      <c r="AA287" s="201">
        <f t="shared" si="254"/>
      </c>
      <c r="AB287" s="201">
        <f t="shared" si="284"/>
      </c>
      <c r="AC287" s="201">
        <f t="shared" si="179"/>
      </c>
      <c r="AD287" s="200">
        <f t="shared" si="224"/>
      </c>
      <c r="AE287" s="201">
        <f t="shared" si="446"/>
      </c>
      <c r="AF287" s="200">
        <f t="shared" si="66"/>
      </c>
      <c r="AG287" s="200">
        <f t="shared" si="329"/>
      </c>
      <c r="AH287" s="199">
        <f>SUM(AH283:AH286)</f>
      </c>
      <c r="AI287" s="199">
        <f>SUM(AI283:AI286)</f>
      </c>
      <c r="AJ287" s="199">
        <f>SUM(AJ283:AJ286)</f>
      </c>
      <c r="AK287" s="199">
        <f>SUM(AK283:AK286)</f>
      </c>
      <c r="AL287" s="199">
        <f>SUM(AL283:AL286)</f>
      </c>
      <c r="AM287" s="199">
        <f>SUM(AM283:AM286)</f>
      </c>
      <c r="AN287" s="199">
        <f>SUM(AN283:AN286)</f>
      </c>
      <c r="AO287" s="199">
        <f>SUM(AO283:AO286)</f>
      </c>
      <c r="AP287" s="199">
        <f>SUM(AP283:AP286)</f>
      </c>
      <c r="AQ287" s="199">
        <f>SUM(AQ283:AQ286)</f>
      </c>
      <c r="AR287" s="203">
        <f>SUM(AR283:AR286)</f>
      </c>
    </row>
    <row r="288">
      <c r="A288" s="182"/>
      <c r="B288" s="205" t="s">
        <v>205</v>
      </c>
      <c r="C288" s="205"/>
      <c r="D288" s="205"/>
      <c r="E288" s="205"/>
      <c r="F288" s="206">
        <f>H288+G288</f>
      </c>
      <c r="G288" s="206">
        <f>G282+G277+G287</f>
      </c>
      <c r="H288" s="206">
        <f>H282+H277+H287</f>
      </c>
      <c r="I288" s="206">
        <f>I282+I277+I287</f>
      </c>
      <c r="J288" s="206">
        <f>J282+J277+J287</f>
      </c>
      <c r="K288" s="206">
        <f>K282+K277+K287</f>
      </c>
      <c r="L288" s="207">
        <f t="shared" si="194"/>
      </c>
      <c r="M288" s="208">
        <f t="shared" si="416"/>
      </c>
      <c r="N288" s="209">
        <f t="shared" si="6"/>
      </c>
      <c r="O288" s="209">
        <f t="shared" si="299"/>
      </c>
      <c r="P288" s="209">
        <f t="shared" si="344"/>
      </c>
      <c r="Q288" s="209">
        <f t="shared" si="239"/>
      </c>
      <c r="R288" s="209">
        <f t="shared" si="269"/>
      </c>
      <c r="S288" s="209">
        <f t="shared" si="164"/>
      </c>
      <c r="T288" s="209">
        <f t="shared" si="209"/>
      </c>
      <c r="U288" s="207">
        <f t="shared" si="431"/>
      </c>
      <c r="V288" s="207">
        <f t="shared" si="21"/>
      </c>
      <c r="W288" s="207">
        <f t="shared" si="36"/>
      </c>
      <c r="X288" s="207">
        <f t="shared" si="51"/>
      </c>
      <c r="Y288" s="207">
        <f t="shared" si="314"/>
      </c>
      <c r="Z288" s="207">
        <f t="shared" si="359"/>
      </c>
      <c r="AA288" s="208">
        <f t="shared" si="254"/>
      </c>
      <c r="AB288" s="208">
        <f t="shared" si="284"/>
      </c>
      <c r="AC288" s="208">
        <f t="shared" si="179"/>
      </c>
      <c r="AD288" s="207">
        <f t="shared" si="224"/>
      </c>
      <c r="AE288" s="208">
        <f t="shared" si="446"/>
      </c>
      <c r="AF288" s="207">
        <f t="shared" si="66"/>
      </c>
      <c r="AG288" s="207">
        <f t="shared" si="329"/>
      </c>
      <c r="AH288" s="203">
        <f>AH282+AH277+AH287</f>
      </c>
      <c r="AI288" s="203">
        <f>AI282+AI277+AI287</f>
      </c>
      <c r="AJ288" s="203">
        <f>AJ282+AJ277+AJ287</f>
      </c>
      <c r="AK288" s="203">
        <f>AK282+AK277+AK287</f>
      </c>
      <c r="AL288" s="203">
        <f>AL282+AL277+AL287</f>
      </c>
      <c r="AM288" s="203">
        <f>AM282+AM277+AM287</f>
      </c>
      <c r="AN288" s="203">
        <f>AN282+AN277+AN287</f>
      </c>
      <c r="AO288" s="203">
        <f>AO282+AO277+AO287</f>
      </c>
      <c r="AP288" s="203">
        <f>AP282+AP277+AP287</f>
      </c>
      <c r="AQ288" s="203">
        <f>AQ282+AQ277+AQ287</f>
      </c>
      <c r="AR288" s="203">
        <f>AR282+AR277+AR287</f>
      </c>
    </row>
    <row r="289">
      <c r="A289" s="159"/>
      <c r="B289" s="159"/>
      <c r="C289" s="159"/>
      <c r="D289" s="159"/>
      <c r="E289" s="159"/>
      <c r="F289" s="160" t="s">
        <v>143</v>
      </c>
      <c r="G289" s="160"/>
      <c r="H289" s="160"/>
      <c r="I289" s="160"/>
      <c r="J289" s="160"/>
      <c r="K289" s="160"/>
      <c r="L289" s="160"/>
      <c r="M289" s="160"/>
      <c r="N289" s="160"/>
      <c r="O289" s="160"/>
      <c r="P289" s="160"/>
      <c r="Q289" s="161" t="s">
        <v>144</v>
      </c>
      <c r="R289" s="161"/>
      <c r="S289" s="161"/>
      <c r="T289" s="161"/>
      <c r="U289" s="161"/>
      <c r="V289" s="161"/>
      <c r="W289" s="161"/>
      <c r="X289" s="161"/>
      <c r="Y289" s="161"/>
      <c r="Z289" s="161"/>
      <c r="AA289" s="161"/>
      <c r="AB289" s="161"/>
      <c r="AC289" s="162" t="s">
        <v>145</v>
      </c>
      <c r="AD289" s="162"/>
      <c r="AE289" s="162"/>
      <c r="AF289" s="162"/>
      <c r="AG289" s="162"/>
      <c r="AH289" s="163" t="s">
        <v>146</v>
      </c>
      <c r="AI289" s="163"/>
      <c r="AJ289" s="163"/>
      <c r="AK289" s="163"/>
      <c r="AL289" s="163"/>
      <c r="AM289" s="163"/>
      <c r="AN289" s="163"/>
      <c r="AO289" s="163"/>
      <c r="AP289" s="163"/>
      <c r="AQ289" s="163"/>
      <c r="AR289" s="163"/>
    </row>
    <row r="290">
      <c r="A290" s="164" t="s">
        <v>147</v>
      </c>
      <c r="B290" s="165" t="s">
        <v>148</v>
      </c>
      <c r="C290" s="165" t="s">
        <v>149</v>
      </c>
      <c r="D290" s="166" t="s">
        <v>150</v>
      </c>
      <c r="E290" s="167" t="s">
        <v>151</v>
      </c>
      <c r="F290" s="168" t="s">
        <v>152</v>
      </c>
      <c r="G290" s="169" t="s">
        <v>153</v>
      </c>
      <c r="H290" s="170" t="s">
        <v>154</v>
      </c>
      <c r="I290" s="171" t="s">
        <v>155</v>
      </c>
      <c r="J290" s="171" t="s">
        <v>156</v>
      </c>
      <c r="K290" s="170" t="s">
        <v>157</v>
      </c>
      <c r="L290" s="172" t="s">
        <v>158</v>
      </c>
      <c r="M290" s="173" t="s">
        <v>159</v>
      </c>
      <c r="N290" s="174" t="s">
        <v>160</v>
      </c>
      <c r="O290" s="174" t="s">
        <v>161</v>
      </c>
      <c r="P290" s="175" t="s">
        <v>162</v>
      </c>
      <c r="Q290" s="161" t="s">
        <v>163</v>
      </c>
      <c r="R290" s="176" t="s">
        <v>164</v>
      </c>
      <c r="S290" s="176" t="s">
        <v>165</v>
      </c>
      <c r="T290" s="176" t="s">
        <v>166</v>
      </c>
      <c r="U290" s="177" t="s">
        <v>167</v>
      </c>
      <c r="V290" s="177" t="s">
        <v>168</v>
      </c>
      <c r="W290" s="177" t="s">
        <v>169</v>
      </c>
      <c r="X290" s="177" t="s">
        <v>170</v>
      </c>
      <c r="Y290" s="177" t="s">
        <v>171</v>
      </c>
      <c r="Z290" s="177" t="s">
        <v>172</v>
      </c>
      <c r="AA290" s="178" t="s">
        <v>173</v>
      </c>
      <c r="AB290" s="178" t="s">
        <v>174</v>
      </c>
      <c r="AC290" s="162" t="s">
        <v>175</v>
      </c>
      <c r="AD290" s="179" t="s">
        <v>176</v>
      </c>
      <c r="AE290" s="162" t="s">
        <v>177</v>
      </c>
      <c r="AF290" s="179" t="s">
        <v>178</v>
      </c>
      <c r="AG290" s="179" t="s">
        <v>179</v>
      </c>
      <c r="AH290" s="180" t="s">
        <v>180</v>
      </c>
      <c r="AI290" s="180" t="s">
        <v>181</v>
      </c>
      <c r="AJ290" s="180" t="s">
        <v>182</v>
      </c>
      <c r="AK290" s="180" t="s">
        <v>183</v>
      </c>
      <c r="AL290" s="180" t="s">
        <v>184</v>
      </c>
      <c r="AM290" s="180" t="s">
        <v>185</v>
      </c>
      <c r="AN290" s="180" t="s">
        <v>186</v>
      </c>
      <c r="AO290" s="180" t="s">
        <v>187</v>
      </c>
      <c r="AP290" s="180" t="s">
        <v>188</v>
      </c>
      <c r="AQ290" s="180" t="s">
        <v>189</v>
      </c>
      <c r="AR290" s="181" t="s">
        <v>190</v>
      </c>
    </row>
    <row r="291">
      <c r="A291" s="182">
        <v>46288</v>
      </c>
      <c r="B291" s="184" t="s">
        <v>191</v>
      </c>
      <c r="C291" s="184" t="s">
        <v>192</v>
      </c>
      <c r="D291" s="183" t="s">
        <v>207</v>
      </c>
      <c r="E291" s="183" t="s">
        <v>209</v>
      </c>
      <c r="F291" s="185">
        <f t="shared" ref="F291:F294" si="134">H291+G291</f>
      </c>
      <c r="G291" s="204">
        <v>1355.79</v>
      </c>
      <c r="H291" s="204">
        <v>558.12</v>
      </c>
      <c r="I291" s="187">
        <v>5</v>
      </c>
      <c r="J291" s="187">
        <v>3</v>
      </c>
      <c r="K291" s="188">
        <v>2661.2</v>
      </c>
      <c r="L291" s="189">
        <f t="shared" ref="L291:L306" si="195">AQ291/J291</f>
      </c>
      <c r="M291" s="190">
        <f t="shared" ref="M291:M306" si="417">K291/J291</f>
      </c>
      <c r="N291" s="191">
        <f t="shared" ref="N291:N306" si="7">F291/J291</f>
      </c>
      <c r="O291" s="191">
        <f t="shared" ref="O291:O306" si="300">K291/F291</f>
      </c>
      <c r="P291" s="191">
        <f t="shared" ref="P291:P306" si="345">K291/((300*AR291)+F291)</f>
      </c>
      <c r="Q291" s="191">
        <f t="shared" ref="Q291:Q306" si="240">F291/AJ291</f>
      </c>
      <c r="R291" s="191">
        <f t="shared" ref="R291:R306" si="270">F291/AK291</f>
      </c>
      <c r="S291" s="191">
        <f t="shared" ref="S291:S306" si="165">F291/AL291</f>
      </c>
      <c r="T291" s="191">
        <f t="shared" ref="T291:T306" si="210">F291/AM291</f>
      </c>
      <c r="U291" s="189">
        <f t="shared" ref="U291:U306" si="432">AI291/AJ291</f>
      </c>
      <c r="V291" s="189">
        <f t="shared" ref="V291:V306" si="22">AK291/AJ291</f>
      </c>
      <c r="W291" s="189">
        <f t="shared" ref="W291:W306" si="37">AL291/AK291</f>
      </c>
      <c r="X291" s="189">
        <f t="shared" ref="X291:X306" si="52">AM291/AL291</f>
      </c>
      <c r="Y291" s="189">
        <f t="shared" ref="Y291:Y306" si="315">AI291/AH291</f>
      </c>
      <c r="Z291" s="189">
        <f t="shared" ref="Z291:Z306" si="360">AM291/AI291</f>
      </c>
      <c r="AA291" s="190">
        <f t="shared" ref="AA291:AA306" si="255">F291/AH291*1000</f>
      </c>
      <c r="AB291" s="190">
        <f t="shared" ref="AB291:AB306" si="285">F291/AI291</f>
      </c>
      <c r="AC291" s="190">
        <f t="shared" ref="AC291:AC306" si="180">F291/AN291</f>
      </c>
      <c r="AD291" s="189">
        <f t="shared" ref="AD291:AD306" si="225">AN291/AJ291</f>
      </c>
      <c r="AE291" s="190">
        <f t="shared" ref="AE291:AE306" si="447">F291/AO291</f>
      </c>
      <c r="AF291" s="189">
        <f t="shared" ref="AF291:AF306" si="67">AO291/AJ291</f>
      </c>
      <c r="AG291" s="189">
        <f t="shared" ref="AG291:AG306" si="330">AP291/AJ291</f>
      </c>
      <c r="AH291" s="192">
        <v>13046</v>
      </c>
      <c r="AI291" s="193">
        <v>319</v>
      </c>
      <c r="AJ291" s="193">
        <v>377</v>
      </c>
      <c r="AK291" s="192">
        <v>59</v>
      </c>
      <c r="AL291" s="192">
        <v>5</v>
      </c>
      <c r="AM291" s="192">
        <v>3</v>
      </c>
      <c r="AN291" s="192">
        <v>71</v>
      </c>
      <c r="AO291" s="192">
        <v>69</v>
      </c>
      <c r="AP291" s="192">
        <v>5</v>
      </c>
      <c r="AQ291" s="187">
        <v>0</v>
      </c>
      <c r="AR291" s="213">
        <f t="shared" ref="AR291:AR294" si="386">COUNT(AQ291)</f>
      </c>
    </row>
    <row r="292">
      <c r="A292" s="182"/>
      <c r="B292" s="184" t="s">
        <v>191</v>
      </c>
      <c r="C292" s="184" t="s">
        <v>192</v>
      </c>
      <c r="D292" s="183" t="s">
        <v>207</v>
      </c>
      <c r="E292" s="183" t="s">
        <v>210</v>
      </c>
      <c r="F292" s="185">
        <f t="shared" si="134"/>
      </c>
      <c r="G292" s="212">
        <v>1513.52</v>
      </c>
      <c r="H292" s="204">
        <v>555.54</v>
      </c>
      <c r="I292" s="187">
        <v>3</v>
      </c>
      <c r="J292" s="187">
        <v>2</v>
      </c>
      <c r="K292" s="188">
        <v>837.4000000000001</v>
      </c>
      <c r="L292" s="189">
        <f t="shared" si="195"/>
      </c>
      <c r="M292" s="190">
        <f t="shared" si="417"/>
      </c>
      <c r="N292" s="191">
        <f t="shared" si="7"/>
      </c>
      <c r="O292" s="191">
        <f t="shared" si="300"/>
      </c>
      <c r="P292" s="191">
        <f t="shared" si="345"/>
      </c>
      <c r="Q292" s="191">
        <f t="shared" si="240"/>
      </c>
      <c r="R292" s="191">
        <f t="shared" si="270"/>
      </c>
      <c r="S292" s="191">
        <f t="shared" si="165"/>
      </c>
      <c r="T292" s="191">
        <f t="shared" si="210"/>
      </c>
      <c r="U292" s="189">
        <f t="shared" si="432"/>
      </c>
      <c r="V292" s="189">
        <f t="shared" si="22"/>
      </c>
      <c r="W292" s="189">
        <f t="shared" si="37"/>
      </c>
      <c r="X292" s="189">
        <f t="shared" si="52"/>
      </c>
      <c r="Y292" s="189">
        <f t="shared" si="315"/>
      </c>
      <c r="Z292" s="189">
        <f t="shared" si="360"/>
      </c>
      <c r="AA292" s="190">
        <f t="shared" si="255"/>
      </c>
      <c r="AB292" s="190">
        <f t="shared" si="285"/>
      </c>
      <c r="AC292" s="190">
        <f t="shared" si="180"/>
      </c>
      <c r="AD292" s="189">
        <f t="shared" si="225"/>
      </c>
      <c r="AE292" s="190">
        <f t="shared" si="447"/>
      </c>
      <c r="AF292" s="189">
        <f t="shared" si="67"/>
      </c>
      <c r="AG292" s="189">
        <f t="shared" si="330"/>
      </c>
      <c r="AH292" s="192">
        <v>12744</v>
      </c>
      <c r="AI292" s="192">
        <v>308</v>
      </c>
      <c r="AJ292" s="192">
        <v>373</v>
      </c>
      <c r="AK292" s="192">
        <v>54</v>
      </c>
      <c r="AL292" s="192">
        <v>3</v>
      </c>
      <c r="AM292" s="192">
        <v>2</v>
      </c>
      <c r="AN292" s="192">
        <v>67</v>
      </c>
      <c r="AO292" s="192">
        <v>62</v>
      </c>
      <c r="AP292" s="192">
        <v>6</v>
      </c>
      <c r="AQ292" s="187">
        <v>0</v>
      </c>
      <c r="AR292" s="213">
        <f t="shared" si="386"/>
      </c>
    </row>
    <row r="293">
      <c r="A293" s="182"/>
      <c r="B293" s="184" t="s">
        <v>191</v>
      </c>
      <c r="C293" s="184" t="s">
        <v>192</v>
      </c>
      <c r="D293" s="183" t="s">
        <v>207</v>
      </c>
      <c r="E293" s="183" t="s">
        <v>211</v>
      </c>
      <c r="F293" s="185">
        <f t="shared" si="134"/>
      </c>
      <c r="G293" s="204">
        <v>1711.47</v>
      </c>
      <c r="H293" s="204">
        <v>541.31</v>
      </c>
      <c r="I293" s="187">
        <v>6</v>
      </c>
      <c r="J293" s="187">
        <v>5</v>
      </c>
      <c r="K293" s="188">
        <v>2872.9999999999995</v>
      </c>
      <c r="L293" s="189">
        <f t="shared" si="195"/>
      </c>
      <c r="M293" s="190">
        <f t="shared" si="417"/>
      </c>
      <c r="N293" s="191">
        <f t="shared" si="7"/>
      </c>
      <c r="O293" s="191">
        <f t="shared" si="300"/>
      </c>
      <c r="P293" s="191">
        <f t="shared" si="345"/>
      </c>
      <c r="Q293" s="191">
        <f t="shared" si="240"/>
      </c>
      <c r="R293" s="191">
        <f t="shared" si="270"/>
      </c>
      <c r="S293" s="191">
        <f t="shared" si="165"/>
      </c>
      <c r="T293" s="191">
        <f t="shared" si="210"/>
      </c>
      <c r="U293" s="189">
        <f t="shared" si="432"/>
      </c>
      <c r="V293" s="189">
        <f t="shared" si="22"/>
      </c>
      <c r="W293" s="189">
        <f t="shared" si="37"/>
      </c>
      <c r="X293" s="189">
        <f t="shared" si="52"/>
      </c>
      <c r="Y293" s="189">
        <f t="shared" si="315"/>
      </c>
      <c r="Z293" s="189">
        <f t="shared" si="360"/>
      </c>
      <c r="AA293" s="190">
        <f t="shared" si="255"/>
      </c>
      <c r="AB293" s="190">
        <f t="shared" si="285"/>
      </c>
      <c r="AC293" s="190">
        <f t="shared" si="180"/>
      </c>
      <c r="AD293" s="189">
        <f t="shared" si="225"/>
      </c>
      <c r="AE293" s="190">
        <f t="shared" si="447"/>
      </c>
      <c r="AF293" s="189">
        <f t="shared" si="67"/>
      </c>
      <c r="AG293" s="189">
        <f t="shared" si="330"/>
      </c>
      <c r="AH293" s="192">
        <v>13946</v>
      </c>
      <c r="AI293" s="192">
        <v>294</v>
      </c>
      <c r="AJ293" s="192">
        <v>380</v>
      </c>
      <c r="AK293" s="192">
        <v>58</v>
      </c>
      <c r="AL293" s="187">
        <v>5</v>
      </c>
      <c r="AM293" s="192">
        <v>4</v>
      </c>
      <c r="AN293" s="192">
        <v>73</v>
      </c>
      <c r="AO293" s="192">
        <v>115</v>
      </c>
      <c r="AP293" s="192">
        <v>10</v>
      </c>
      <c r="AQ293" s="187">
        <v>0</v>
      </c>
      <c r="AR293" s="213">
        <f t="shared" si="386"/>
      </c>
    </row>
    <row r="294">
      <c r="A294" s="182"/>
      <c r="B294" s="184" t="s">
        <v>191</v>
      </c>
      <c r="C294" s="184" t="s">
        <v>192</v>
      </c>
      <c r="D294" s="183" t="s">
        <v>207</v>
      </c>
      <c r="E294" s="183" t="s">
        <v>212</v>
      </c>
      <c r="F294" s="185">
        <f t="shared" si="134"/>
      </c>
      <c r="G294" s="204">
        <v>1429.66</v>
      </c>
      <c r="H294" s="204">
        <v>575.31</v>
      </c>
      <c r="I294" s="187">
        <v>9</v>
      </c>
      <c r="J294" s="187">
        <v>7</v>
      </c>
      <c r="K294" s="188">
        <v>4286.2</v>
      </c>
      <c r="L294" s="189">
        <f t="shared" si="195"/>
      </c>
      <c r="M294" s="190">
        <f t="shared" si="417"/>
      </c>
      <c r="N294" s="191">
        <f t="shared" si="7"/>
      </c>
      <c r="O294" s="191">
        <f t="shared" si="300"/>
      </c>
      <c r="P294" s="191">
        <f t="shared" si="345"/>
      </c>
      <c r="Q294" s="191">
        <f t="shared" si="240"/>
      </c>
      <c r="R294" s="191">
        <f t="shared" si="270"/>
      </c>
      <c r="S294" s="191">
        <f t="shared" si="165"/>
      </c>
      <c r="T294" s="191">
        <f t="shared" si="210"/>
      </c>
      <c r="U294" s="189">
        <f t="shared" si="432"/>
      </c>
      <c r="V294" s="189">
        <f t="shared" si="22"/>
      </c>
      <c r="W294" s="189">
        <f t="shared" si="37"/>
      </c>
      <c r="X294" s="189">
        <f t="shared" si="52"/>
      </c>
      <c r="Y294" s="189">
        <f t="shared" si="315"/>
      </c>
      <c r="Z294" s="189">
        <f t="shared" si="360"/>
      </c>
      <c r="AA294" s="190">
        <f t="shared" si="255"/>
      </c>
      <c r="AB294" s="190">
        <f t="shared" si="285"/>
      </c>
      <c r="AC294" s="190">
        <f t="shared" si="180"/>
      </c>
      <c r="AD294" s="189">
        <f t="shared" si="225"/>
      </c>
      <c r="AE294" s="190">
        <f t="shared" si="447"/>
      </c>
      <c r="AF294" s="189">
        <f t="shared" si="67"/>
      </c>
      <c r="AG294" s="189">
        <f t="shared" si="330"/>
      </c>
      <c r="AH294" s="192">
        <v>14067</v>
      </c>
      <c r="AI294" s="192">
        <v>323</v>
      </c>
      <c r="AJ294" s="192">
        <v>437</v>
      </c>
      <c r="AK294" s="192">
        <v>66</v>
      </c>
      <c r="AL294" s="187">
        <v>6</v>
      </c>
      <c r="AM294" s="192">
        <v>4</v>
      </c>
      <c r="AN294" s="192">
        <v>67</v>
      </c>
      <c r="AO294" s="192">
        <v>93</v>
      </c>
      <c r="AP294" s="192">
        <v>9</v>
      </c>
      <c r="AQ294" s="187">
        <v>1</v>
      </c>
      <c r="AR294" s="213">
        <f t="shared" si="386"/>
      </c>
    </row>
    <row r="295">
      <c r="A295" s="182"/>
      <c r="B295" s="197" t="s">
        <v>197</v>
      </c>
      <c r="C295" s="197"/>
      <c r="D295" s="197"/>
      <c r="E295" s="197"/>
      <c r="F295" s="198">
        <f>SUM(F291:F294)</f>
      </c>
      <c r="G295" s="198">
        <f>SUM(G291:G294)</f>
      </c>
      <c r="H295" s="198">
        <f>SUM(H291:H294)</f>
      </c>
      <c r="I295" s="199">
        <f>SUM(I291:I294)</f>
      </c>
      <c r="J295" s="199">
        <f>SUM(J291:J294)</f>
      </c>
      <c r="K295" s="198">
        <f>SUM(K291:K294)</f>
      </c>
      <c r="L295" s="200">
        <f t="shared" si="195"/>
      </c>
      <c r="M295" s="201">
        <f t="shared" si="417"/>
      </c>
      <c r="N295" s="202">
        <f t="shared" si="7"/>
      </c>
      <c r="O295" s="202">
        <f t="shared" si="300"/>
      </c>
      <c r="P295" s="202">
        <f t="shared" si="345"/>
      </c>
      <c r="Q295" s="202">
        <f t="shared" si="240"/>
      </c>
      <c r="R295" s="202">
        <f t="shared" si="270"/>
      </c>
      <c r="S295" s="202">
        <f t="shared" si="165"/>
      </c>
      <c r="T295" s="202">
        <f t="shared" si="210"/>
      </c>
      <c r="U295" s="200">
        <f t="shared" si="432"/>
      </c>
      <c r="V295" s="200">
        <f t="shared" si="22"/>
      </c>
      <c r="W295" s="200">
        <f t="shared" si="37"/>
      </c>
      <c r="X295" s="200">
        <f t="shared" si="52"/>
      </c>
      <c r="Y295" s="200">
        <f t="shared" si="315"/>
      </c>
      <c r="Z295" s="200">
        <f t="shared" si="360"/>
      </c>
      <c r="AA295" s="201">
        <f t="shared" si="255"/>
      </c>
      <c r="AB295" s="201">
        <f t="shared" si="285"/>
      </c>
      <c r="AC295" s="201">
        <f t="shared" si="180"/>
      </c>
      <c r="AD295" s="200">
        <f t="shared" si="225"/>
      </c>
      <c r="AE295" s="201">
        <f t="shared" si="447"/>
      </c>
      <c r="AF295" s="200">
        <f t="shared" si="67"/>
      </c>
      <c r="AG295" s="200">
        <f t="shared" si="330"/>
      </c>
      <c r="AH295" s="199">
        <f>SUM(AH291:AH294)</f>
      </c>
      <c r="AI295" s="199">
        <f>SUM(AI291:AI294)</f>
      </c>
      <c r="AJ295" s="199">
        <f>SUM(AJ291:AJ294)</f>
      </c>
      <c r="AK295" s="199">
        <f>SUM(AK291:AK294)</f>
      </c>
      <c r="AL295" s="199">
        <f>SUM(AL291:AL294)</f>
      </c>
      <c r="AM295" s="199">
        <f>SUM(AM291:AM294)</f>
      </c>
      <c r="AN295" s="199">
        <f>SUM(AN291:AN294)</f>
      </c>
      <c r="AO295" s="199">
        <f>SUM(AO291:AO294)</f>
      </c>
      <c r="AP295" s="199">
        <f>SUM(AP291:AP294)</f>
      </c>
      <c r="AQ295" s="199">
        <f>SUM(AQ291:AQ294)</f>
      </c>
      <c r="AR295" s="203">
        <f>SUM(AR291:AR294)</f>
      </c>
    </row>
    <row r="296">
      <c r="A296" s="182"/>
      <c r="B296" s="184" t="s">
        <v>191</v>
      </c>
      <c r="C296" s="184" t="s">
        <v>192</v>
      </c>
      <c r="D296" s="183" t="s">
        <v>201</v>
      </c>
      <c r="E296" s="183" t="s">
        <v>194</v>
      </c>
      <c r="F296" s="185">
        <f t="shared" ref="F296:F299" si="135">H296+G296</f>
      </c>
      <c r="G296" s="204">
        <v>936.88</v>
      </c>
      <c r="H296" s="204">
        <v>537.94</v>
      </c>
      <c r="I296" s="187">
        <v>2</v>
      </c>
      <c r="J296" s="187">
        <v>2</v>
      </c>
      <c r="K296" s="188">
        <v>837.3999999999996</v>
      </c>
      <c r="L296" s="189">
        <f t="shared" si="195"/>
      </c>
      <c r="M296" s="190">
        <f t="shared" si="417"/>
      </c>
      <c r="N296" s="191">
        <f t="shared" si="7"/>
      </c>
      <c r="O296" s="191">
        <f t="shared" si="300"/>
      </c>
      <c r="P296" s="191">
        <f t="shared" si="345"/>
      </c>
      <c r="Q296" s="191">
        <f t="shared" si="240"/>
      </c>
      <c r="R296" s="191">
        <f t="shared" si="270"/>
      </c>
      <c r="S296" s="191">
        <f t="shared" si="165"/>
      </c>
      <c r="T296" s="191">
        <f t="shared" si="210"/>
      </c>
      <c r="U296" s="189">
        <f t="shared" si="432"/>
      </c>
      <c r="V296" s="189">
        <f t="shared" si="22"/>
      </c>
      <c r="W296" s="189">
        <f t="shared" si="37"/>
      </c>
      <c r="X296" s="189">
        <f t="shared" si="52"/>
      </c>
      <c r="Y296" s="189">
        <f t="shared" si="315"/>
      </c>
      <c r="Z296" s="189">
        <f t="shared" si="360"/>
      </c>
      <c r="AA296" s="190">
        <f t="shared" si="255"/>
      </c>
      <c r="AB296" s="190">
        <f t="shared" si="285"/>
      </c>
      <c r="AC296" s="190">
        <f t="shared" si="180"/>
      </c>
      <c r="AD296" s="189">
        <f t="shared" si="225"/>
      </c>
      <c r="AE296" s="190">
        <f t="shared" si="447"/>
      </c>
      <c r="AF296" s="189">
        <f t="shared" si="67"/>
      </c>
      <c r="AG296" s="189">
        <f t="shared" si="330"/>
      </c>
      <c r="AH296" s="192">
        <v>10178</v>
      </c>
      <c r="AI296" s="192">
        <v>247</v>
      </c>
      <c r="AJ296" s="192">
        <v>326</v>
      </c>
      <c r="AK296" s="192">
        <v>47</v>
      </c>
      <c r="AL296" s="192">
        <v>3</v>
      </c>
      <c r="AM296" s="192">
        <v>3</v>
      </c>
      <c r="AN296" s="192">
        <v>55</v>
      </c>
      <c r="AO296" s="192">
        <v>78</v>
      </c>
      <c r="AP296" s="192">
        <v>3</v>
      </c>
      <c r="AQ296" s="187">
        <v>0</v>
      </c>
      <c r="AR296" s="213">
        <f t="shared" ref="AR296:AR299" si="387">COUNT(AQ296)</f>
      </c>
    </row>
    <row r="297">
      <c r="A297" s="182"/>
      <c r="B297" s="184" t="s">
        <v>191</v>
      </c>
      <c r="C297" s="184" t="s">
        <v>192</v>
      </c>
      <c r="D297" s="183" t="s">
        <v>201</v>
      </c>
      <c r="E297" s="183" t="s">
        <v>195</v>
      </c>
      <c r="F297" s="185">
        <f t="shared" si="135"/>
      </c>
      <c r="G297" s="204">
        <v>1101.69</v>
      </c>
      <c r="H297" s="204">
        <v>365.57</v>
      </c>
      <c r="I297" s="187">
        <v>3</v>
      </c>
      <c r="J297" s="192">
        <v>3</v>
      </c>
      <c r="K297" s="196">
        <v>2132.3999999999996</v>
      </c>
      <c r="L297" s="189">
        <f t="shared" si="195"/>
      </c>
      <c r="M297" s="190">
        <f t="shared" si="417"/>
      </c>
      <c r="N297" s="191">
        <f t="shared" si="7"/>
      </c>
      <c r="O297" s="191">
        <f t="shared" si="300"/>
      </c>
      <c r="P297" s="191">
        <f t="shared" si="345"/>
      </c>
      <c r="Q297" s="191">
        <f t="shared" si="240"/>
      </c>
      <c r="R297" s="191">
        <f t="shared" si="270"/>
      </c>
      <c r="S297" s="191">
        <f t="shared" si="165"/>
      </c>
      <c r="T297" s="191">
        <f t="shared" si="210"/>
      </c>
      <c r="U297" s="189">
        <f t="shared" si="432"/>
      </c>
      <c r="V297" s="189">
        <f t="shared" si="22"/>
      </c>
      <c r="W297" s="189">
        <f t="shared" si="37"/>
      </c>
      <c r="X297" s="189">
        <f t="shared" si="52"/>
      </c>
      <c r="Y297" s="189">
        <f t="shared" si="315"/>
      </c>
      <c r="Z297" s="189">
        <f t="shared" si="360"/>
      </c>
      <c r="AA297" s="190">
        <f t="shared" si="255"/>
      </c>
      <c r="AB297" s="190">
        <f t="shared" si="285"/>
      </c>
      <c r="AC297" s="190">
        <f t="shared" si="180"/>
      </c>
      <c r="AD297" s="189">
        <f t="shared" si="225"/>
      </c>
      <c r="AE297" s="190">
        <f t="shared" si="447"/>
      </c>
      <c r="AF297" s="189">
        <f t="shared" si="67"/>
      </c>
      <c r="AG297" s="189">
        <f t="shared" si="330"/>
      </c>
      <c r="AH297" s="192">
        <v>11237</v>
      </c>
      <c r="AI297" s="192">
        <v>211</v>
      </c>
      <c r="AJ297" s="192">
        <v>265</v>
      </c>
      <c r="AK297" s="192">
        <v>23</v>
      </c>
      <c r="AL297" s="192">
        <v>2</v>
      </c>
      <c r="AM297" s="192">
        <v>2</v>
      </c>
      <c r="AN297" s="192">
        <v>36</v>
      </c>
      <c r="AO297" s="192">
        <v>65</v>
      </c>
      <c r="AP297" s="192">
        <v>6</v>
      </c>
      <c r="AQ297" s="187">
        <v>1</v>
      </c>
      <c r="AR297" s="213">
        <f t="shared" si="387"/>
      </c>
    </row>
    <row r="298">
      <c r="A298" s="182"/>
      <c r="B298" s="184" t="s">
        <v>191</v>
      </c>
      <c r="C298" s="184" t="s">
        <v>192</v>
      </c>
      <c r="D298" s="183" t="s">
        <v>201</v>
      </c>
      <c r="E298" s="183" t="s">
        <v>196</v>
      </c>
      <c r="F298" s="185">
        <f t="shared" si="135"/>
      </c>
      <c r="G298" s="204">
        <v>846.22</v>
      </c>
      <c r="H298" s="204">
        <v>345.23</v>
      </c>
      <c r="I298" s="187">
        <v>4</v>
      </c>
      <c r="J298" s="187">
        <v>3</v>
      </c>
      <c r="K298" s="188">
        <v>1735.2000000000007</v>
      </c>
      <c r="L298" s="189">
        <f t="shared" si="195"/>
      </c>
      <c r="M298" s="190">
        <f t="shared" si="417"/>
      </c>
      <c r="N298" s="191">
        <f t="shared" si="7"/>
      </c>
      <c r="O298" s="191">
        <f t="shared" si="300"/>
      </c>
      <c r="P298" s="191">
        <f t="shared" si="345"/>
      </c>
      <c r="Q298" s="191">
        <f t="shared" si="240"/>
      </c>
      <c r="R298" s="191">
        <f t="shared" si="270"/>
      </c>
      <c r="S298" s="191">
        <f t="shared" si="165"/>
      </c>
      <c r="T298" s="191">
        <f t="shared" si="210"/>
      </c>
      <c r="U298" s="189">
        <f t="shared" si="432"/>
      </c>
      <c r="V298" s="189">
        <f t="shared" si="22"/>
      </c>
      <c r="W298" s="189">
        <f t="shared" si="37"/>
      </c>
      <c r="X298" s="189">
        <f t="shared" si="52"/>
      </c>
      <c r="Y298" s="189">
        <f t="shared" si="315"/>
      </c>
      <c r="Z298" s="189">
        <f t="shared" si="360"/>
      </c>
      <c r="AA298" s="190">
        <f t="shared" si="255"/>
      </c>
      <c r="AB298" s="190">
        <f t="shared" si="285"/>
      </c>
      <c r="AC298" s="190">
        <f t="shared" si="180"/>
      </c>
      <c r="AD298" s="189">
        <f t="shared" si="225"/>
      </c>
      <c r="AE298" s="190">
        <f t="shared" si="447"/>
      </c>
      <c r="AF298" s="189">
        <f t="shared" si="67"/>
      </c>
      <c r="AG298" s="189">
        <f t="shared" si="330"/>
      </c>
      <c r="AH298" s="192">
        <v>11179</v>
      </c>
      <c r="AI298" s="192">
        <v>220</v>
      </c>
      <c r="AJ298" s="192">
        <v>321</v>
      </c>
      <c r="AK298" s="192">
        <v>17</v>
      </c>
      <c r="AL298" s="192">
        <v>6</v>
      </c>
      <c r="AM298" s="192">
        <v>4</v>
      </c>
      <c r="AN298" s="192">
        <v>45</v>
      </c>
      <c r="AO298" s="192">
        <v>52</v>
      </c>
      <c r="AP298" s="192">
        <v>3</v>
      </c>
      <c r="AQ298" s="187">
        <v>1</v>
      </c>
      <c r="AR298" s="213">
        <f t="shared" si="387"/>
      </c>
    </row>
    <row r="299">
      <c r="A299" s="182"/>
      <c r="B299" s="184" t="s">
        <v>191</v>
      </c>
      <c r="C299" s="184" t="s">
        <v>192</v>
      </c>
      <c r="D299" s="183" t="s">
        <v>201</v>
      </c>
      <c r="E299" s="183" t="s">
        <v>199</v>
      </c>
      <c r="F299" s="185">
        <f t="shared" si="135"/>
      </c>
      <c r="G299" s="204">
        <v>1127.36</v>
      </c>
      <c r="H299" s="204">
        <v>422.1</v>
      </c>
      <c r="I299" s="187">
        <v>6</v>
      </c>
      <c r="J299" s="187">
        <v>6</v>
      </c>
      <c r="K299" s="188">
        <v>4179.200000000001</v>
      </c>
      <c r="L299" s="189">
        <f t="shared" si="195"/>
      </c>
      <c r="M299" s="190">
        <f t="shared" si="417"/>
      </c>
      <c r="N299" s="191">
        <f t="shared" si="7"/>
      </c>
      <c r="O299" s="191">
        <f t="shared" si="300"/>
      </c>
      <c r="P299" s="191">
        <f t="shared" si="345"/>
      </c>
      <c r="Q299" s="191">
        <f t="shared" si="240"/>
      </c>
      <c r="R299" s="191">
        <f t="shared" si="270"/>
      </c>
      <c r="S299" s="191">
        <f t="shared" si="165"/>
      </c>
      <c r="T299" s="191">
        <f t="shared" si="210"/>
      </c>
      <c r="U299" s="189">
        <f t="shared" si="432"/>
      </c>
      <c r="V299" s="189">
        <f t="shared" si="22"/>
      </c>
      <c r="W299" s="189">
        <f t="shared" si="37"/>
      </c>
      <c r="X299" s="189">
        <f t="shared" si="52"/>
      </c>
      <c r="Y299" s="189">
        <f t="shared" si="315"/>
      </c>
      <c r="Z299" s="189">
        <f t="shared" si="360"/>
      </c>
      <c r="AA299" s="190">
        <f t="shared" si="255"/>
      </c>
      <c r="AB299" s="190">
        <f t="shared" si="285"/>
      </c>
      <c r="AC299" s="190">
        <f t="shared" si="180"/>
      </c>
      <c r="AD299" s="189">
        <f t="shared" si="225"/>
      </c>
      <c r="AE299" s="190">
        <f t="shared" si="447"/>
      </c>
      <c r="AF299" s="189">
        <f t="shared" si="67"/>
      </c>
      <c r="AG299" s="189">
        <f t="shared" si="330"/>
      </c>
      <c r="AH299" s="192">
        <v>16293</v>
      </c>
      <c r="AI299" s="192">
        <v>326</v>
      </c>
      <c r="AJ299" s="192">
        <v>538</v>
      </c>
      <c r="AK299" s="192">
        <v>28</v>
      </c>
      <c r="AL299" s="192">
        <v>4</v>
      </c>
      <c r="AM299" s="192">
        <v>3</v>
      </c>
      <c r="AN299" s="192">
        <v>66</v>
      </c>
      <c r="AO299" s="192">
        <v>39</v>
      </c>
      <c r="AP299" s="192">
        <v>4</v>
      </c>
      <c r="AQ299" s="187">
        <v>0</v>
      </c>
      <c r="AR299" s="213">
        <f t="shared" si="387"/>
      </c>
    </row>
    <row r="300">
      <c r="A300" s="182"/>
      <c r="B300" s="197" t="s">
        <v>197</v>
      </c>
      <c r="C300" s="197"/>
      <c r="D300" s="197"/>
      <c r="E300" s="197"/>
      <c r="F300" s="198">
        <f>SUM(F296:F299)</f>
      </c>
      <c r="G300" s="198">
        <f>SUM(G296:G299)</f>
      </c>
      <c r="H300" s="198">
        <f>SUM(H296:H299)</f>
      </c>
      <c r="I300" s="199">
        <f>SUM(I296:I299)</f>
      </c>
      <c r="J300" s="199">
        <f>SUM(J296:J299)</f>
      </c>
      <c r="K300" s="198">
        <f>SUM(K296:K299)</f>
      </c>
      <c r="L300" s="200">
        <f t="shared" si="195"/>
      </c>
      <c r="M300" s="201">
        <f t="shared" si="417"/>
      </c>
      <c r="N300" s="202">
        <f t="shared" si="7"/>
      </c>
      <c r="O300" s="202">
        <f t="shared" si="300"/>
      </c>
      <c r="P300" s="202">
        <f t="shared" si="345"/>
      </c>
      <c r="Q300" s="202">
        <f t="shared" si="240"/>
      </c>
      <c r="R300" s="202">
        <f t="shared" si="270"/>
      </c>
      <c r="S300" s="202">
        <f t="shared" si="165"/>
      </c>
      <c r="T300" s="202">
        <f t="shared" si="210"/>
      </c>
      <c r="U300" s="200">
        <f t="shared" si="432"/>
      </c>
      <c r="V300" s="200">
        <f t="shared" si="22"/>
      </c>
      <c r="W300" s="200">
        <f t="shared" si="37"/>
      </c>
      <c r="X300" s="200">
        <f t="shared" si="52"/>
      </c>
      <c r="Y300" s="200">
        <f t="shared" si="315"/>
      </c>
      <c r="Z300" s="200">
        <f t="shared" si="360"/>
      </c>
      <c r="AA300" s="201">
        <f t="shared" si="255"/>
      </c>
      <c r="AB300" s="201">
        <f t="shared" si="285"/>
      </c>
      <c r="AC300" s="201">
        <f t="shared" si="180"/>
      </c>
      <c r="AD300" s="200">
        <f t="shared" si="225"/>
      </c>
      <c r="AE300" s="201">
        <f t="shared" si="447"/>
      </c>
      <c r="AF300" s="200">
        <f t="shared" si="67"/>
      </c>
      <c r="AG300" s="200">
        <f t="shared" si="330"/>
      </c>
      <c r="AH300" s="199">
        <f>SUM(AH296:AH299)</f>
      </c>
      <c r="AI300" s="199">
        <f>SUM(AI296:AI299)</f>
      </c>
      <c r="AJ300" s="199">
        <f>SUM(AJ296:AJ299)</f>
      </c>
      <c r="AK300" s="199">
        <f>SUM(AK296:AK299)</f>
      </c>
      <c r="AL300" s="199">
        <f>SUM(AL296:AL299)</f>
      </c>
      <c r="AM300" s="199">
        <f>SUM(AM296:AM299)</f>
      </c>
      <c r="AN300" s="199">
        <f>SUM(AN296:AN299)</f>
      </c>
      <c r="AO300" s="199">
        <f>SUM(AO296:AO299)</f>
      </c>
      <c r="AP300" s="199">
        <f>SUM(AP296:AP299)</f>
      </c>
      <c r="AQ300" s="199">
        <f>SUM(AQ296:AQ299)</f>
      </c>
      <c r="AR300" s="203">
        <f>SUM(AR296:AR299)</f>
      </c>
    </row>
    <row r="301">
      <c r="A301" s="182"/>
      <c r="B301" s="184" t="s">
        <v>191</v>
      </c>
      <c r="C301" s="184" t="s">
        <v>192</v>
      </c>
      <c r="D301" s="183" t="s">
        <v>206</v>
      </c>
      <c r="E301" s="183" t="s">
        <v>200</v>
      </c>
      <c r="F301" s="185">
        <f t="shared" ref="F301:F304" si="136">H301+G301</f>
      </c>
      <c r="G301" s="204">
        <v>1421.89</v>
      </c>
      <c r="H301" s="204">
        <v>438.1</v>
      </c>
      <c r="I301" s="187">
        <v>4</v>
      </c>
      <c r="J301" s="192">
        <v>4</v>
      </c>
      <c r="K301" s="196">
        <v>2629.2000000000007</v>
      </c>
      <c r="L301" s="189">
        <f t="shared" si="195"/>
      </c>
      <c r="M301" s="190">
        <f t="shared" si="417"/>
      </c>
      <c r="N301" s="191">
        <f t="shared" si="7"/>
      </c>
      <c r="O301" s="191">
        <f t="shared" si="300"/>
      </c>
      <c r="P301" s="191">
        <f t="shared" si="345"/>
      </c>
      <c r="Q301" s="191">
        <f t="shared" si="240"/>
      </c>
      <c r="R301" s="191">
        <f t="shared" si="270"/>
      </c>
      <c r="S301" s="191">
        <f t="shared" si="165"/>
      </c>
      <c r="T301" s="191">
        <f t="shared" si="210"/>
      </c>
      <c r="U301" s="189">
        <f t="shared" si="432"/>
      </c>
      <c r="V301" s="189">
        <f t="shared" si="22"/>
      </c>
      <c r="W301" s="189">
        <f t="shared" si="37"/>
      </c>
      <c r="X301" s="189">
        <f t="shared" si="52"/>
      </c>
      <c r="Y301" s="189">
        <f t="shared" si="315"/>
      </c>
      <c r="Z301" s="189">
        <f t="shared" si="360"/>
      </c>
      <c r="AA301" s="190">
        <f t="shared" si="255"/>
      </c>
      <c r="AB301" s="190">
        <f t="shared" si="285"/>
      </c>
      <c r="AC301" s="190">
        <f t="shared" si="180"/>
      </c>
      <c r="AD301" s="189">
        <f t="shared" si="225"/>
      </c>
      <c r="AE301" s="190">
        <f t="shared" si="447"/>
      </c>
      <c r="AF301" s="189">
        <f t="shared" si="67"/>
      </c>
      <c r="AG301" s="189">
        <f t="shared" si="330"/>
      </c>
      <c r="AH301" s="192">
        <v>17026</v>
      </c>
      <c r="AI301" s="192">
        <v>376</v>
      </c>
      <c r="AJ301" s="192">
        <v>600</v>
      </c>
      <c r="AK301" s="192">
        <v>29</v>
      </c>
      <c r="AL301" s="192">
        <v>3</v>
      </c>
      <c r="AM301" s="192">
        <v>4</v>
      </c>
      <c r="AN301" s="192">
        <v>65</v>
      </c>
      <c r="AO301" s="192">
        <v>70</v>
      </c>
      <c r="AP301" s="192">
        <v>8</v>
      </c>
      <c r="AQ301" s="187">
        <v>1</v>
      </c>
      <c r="AR301" s="213">
        <f t="shared" ref="AR301:AR304" si="388">COUNT(AQ301)</f>
      </c>
    </row>
    <row r="302">
      <c r="A302" s="182"/>
      <c r="B302" s="184" t="s">
        <v>191</v>
      </c>
      <c r="C302" s="184" t="s">
        <v>192</v>
      </c>
      <c r="D302" s="183" t="s">
        <v>206</v>
      </c>
      <c r="E302" s="184" t="s">
        <v>202</v>
      </c>
      <c r="F302" s="185">
        <f t="shared" si="136"/>
      </c>
      <c r="G302" s="204">
        <v>1740.71</v>
      </c>
      <c r="H302" s="204">
        <v>478.9</v>
      </c>
      <c r="I302" s="187">
        <v>3</v>
      </c>
      <c r="J302" s="192">
        <v>2</v>
      </c>
      <c r="K302" s="188">
        <v>1639.2000000000007</v>
      </c>
      <c r="L302" s="189">
        <f t="shared" si="195"/>
      </c>
      <c r="M302" s="190">
        <f t="shared" si="417"/>
      </c>
      <c r="N302" s="191">
        <f t="shared" si="7"/>
      </c>
      <c r="O302" s="191">
        <f t="shared" si="300"/>
      </c>
      <c r="P302" s="191">
        <f t="shared" si="345"/>
      </c>
      <c r="Q302" s="191">
        <f t="shared" si="240"/>
      </c>
      <c r="R302" s="191">
        <f t="shared" si="270"/>
      </c>
      <c r="S302" s="191">
        <f t="shared" si="165"/>
      </c>
      <c r="T302" s="191">
        <f t="shared" si="210"/>
      </c>
      <c r="U302" s="189">
        <f t="shared" si="432"/>
      </c>
      <c r="V302" s="189">
        <f t="shared" si="22"/>
      </c>
      <c r="W302" s="189">
        <f t="shared" si="37"/>
      </c>
      <c r="X302" s="189">
        <f t="shared" si="52"/>
      </c>
      <c r="Y302" s="189">
        <f t="shared" si="315"/>
      </c>
      <c r="Z302" s="189">
        <f t="shared" si="360"/>
      </c>
      <c r="AA302" s="190">
        <f t="shared" si="255"/>
      </c>
      <c r="AB302" s="190">
        <f t="shared" si="285"/>
      </c>
      <c r="AC302" s="190">
        <f t="shared" si="180"/>
      </c>
      <c r="AD302" s="189">
        <f t="shared" si="225"/>
      </c>
      <c r="AE302" s="190">
        <f t="shared" si="447"/>
      </c>
      <c r="AF302" s="189">
        <f t="shared" si="67"/>
      </c>
      <c r="AG302" s="189">
        <f t="shared" si="330"/>
      </c>
      <c r="AH302" s="192">
        <v>20653</v>
      </c>
      <c r="AI302" s="192">
        <v>433</v>
      </c>
      <c r="AJ302" s="192">
        <v>802</v>
      </c>
      <c r="AK302" s="192">
        <v>10</v>
      </c>
      <c r="AL302" s="192">
        <v>2</v>
      </c>
      <c r="AM302" s="192">
        <v>1</v>
      </c>
      <c r="AN302" s="192">
        <v>82</v>
      </c>
      <c r="AO302" s="192">
        <v>74</v>
      </c>
      <c r="AP302" s="192">
        <v>4</v>
      </c>
      <c r="AQ302" s="187">
        <v>1</v>
      </c>
      <c r="AR302" s="213">
        <f t="shared" si="388"/>
      </c>
    </row>
    <row r="303">
      <c r="A303" s="182"/>
      <c r="B303" s="184" t="s">
        <v>191</v>
      </c>
      <c r="C303" s="184" t="s">
        <v>192</v>
      </c>
      <c r="D303" s="183" t="s">
        <v>206</v>
      </c>
      <c r="E303" s="184" t="s">
        <v>203</v>
      </c>
      <c r="F303" s="185">
        <f t="shared" si="136"/>
      </c>
      <c r="G303" s="204">
        <v>2033.89</v>
      </c>
      <c r="H303" s="204">
        <v>634.16</v>
      </c>
      <c r="I303" s="187">
        <v>3</v>
      </c>
      <c r="J303" s="192">
        <v>3</v>
      </c>
      <c r="K303" s="188">
        <v>2303.9999999999964</v>
      </c>
      <c r="L303" s="189">
        <f t="shared" si="195"/>
      </c>
      <c r="M303" s="190">
        <f t="shared" si="417"/>
      </c>
      <c r="N303" s="191">
        <f t="shared" si="7"/>
      </c>
      <c r="O303" s="191">
        <f t="shared" si="300"/>
      </c>
      <c r="P303" s="191">
        <f t="shared" si="345"/>
      </c>
      <c r="Q303" s="191">
        <f t="shared" si="240"/>
      </c>
      <c r="R303" s="191">
        <f t="shared" si="270"/>
      </c>
      <c r="S303" s="191">
        <f t="shared" si="165"/>
      </c>
      <c r="T303" s="191">
        <f t="shared" si="210"/>
      </c>
      <c r="U303" s="189">
        <f t="shared" si="432"/>
      </c>
      <c r="V303" s="189">
        <f t="shared" si="22"/>
      </c>
      <c r="W303" s="189">
        <f t="shared" si="37"/>
      </c>
      <c r="X303" s="189">
        <f t="shared" si="52"/>
      </c>
      <c r="Y303" s="189">
        <f t="shared" si="315"/>
      </c>
      <c r="Z303" s="189">
        <f t="shared" si="360"/>
      </c>
      <c r="AA303" s="190">
        <f t="shared" si="255"/>
      </c>
      <c r="AB303" s="190">
        <f t="shared" si="285"/>
      </c>
      <c r="AC303" s="190">
        <f t="shared" si="180"/>
      </c>
      <c r="AD303" s="189">
        <f t="shared" si="225"/>
      </c>
      <c r="AE303" s="190">
        <f t="shared" si="447"/>
      </c>
      <c r="AF303" s="189">
        <f t="shared" si="67"/>
      </c>
      <c r="AG303" s="189">
        <f t="shared" si="330"/>
      </c>
      <c r="AH303" s="192">
        <v>25583</v>
      </c>
      <c r="AI303" s="192">
        <v>458</v>
      </c>
      <c r="AJ303" s="192">
        <v>764</v>
      </c>
      <c r="AK303" s="192">
        <v>32</v>
      </c>
      <c r="AL303" s="192">
        <v>3</v>
      </c>
      <c r="AM303" s="192">
        <v>3</v>
      </c>
      <c r="AN303" s="192">
        <v>95</v>
      </c>
      <c r="AO303" s="192">
        <v>130</v>
      </c>
      <c r="AP303" s="192">
        <v>6</v>
      </c>
      <c r="AQ303" s="187">
        <v>0</v>
      </c>
      <c r="AR303" s="213">
        <f t="shared" si="388"/>
      </c>
    </row>
    <row r="304">
      <c r="A304" s="182"/>
      <c r="B304" s="184" t="s">
        <v>191</v>
      </c>
      <c r="C304" s="184" t="s">
        <v>192</v>
      </c>
      <c r="D304" s="183" t="s">
        <v>206</v>
      </c>
      <c r="E304" s="183" t="s">
        <v>204</v>
      </c>
      <c r="F304" s="185">
        <f t="shared" si="136"/>
      </c>
      <c r="G304" s="204">
        <v>877.32</v>
      </c>
      <c r="H304" s="204">
        <v>350.13</v>
      </c>
      <c r="I304" s="187">
        <v>0</v>
      </c>
      <c r="J304" s="187">
        <v>0</v>
      </c>
      <c r="K304" s="188">
        <v>0</v>
      </c>
      <c r="L304" s="189">
        <f t="shared" si="195"/>
      </c>
      <c r="M304" s="190">
        <f t="shared" si="417"/>
      </c>
      <c r="N304" s="191">
        <f t="shared" si="7"/>
      </c>
      <c r="O304" s="191">
        <f t="shared" si="300"/>
      </c>
      <c r="P304" s="191">
        <f t="shared" si="345"/>
      </c>
      <c r="Q304" s="191">
        <f t="shared" si="240"/>
      </c>
      <c r="R304" s="191">
        <f t="shared" si="270"/>
      </c>
      <c r="S304" s="191">
        <f t="shared" si="165"/>
      </c>
      <c r="T304" s="191">
        <f t="shared" si="210"/>
      </c>
      <c r="U304" s="189">
        <f t="shared" si="432"/>
      </c>
      <c r="V304" s="189">
        <f t="shared" si="22"/>
      </c>
      <c r="W304" s="189">
        <f t="shared" si="37"/>
      </c>
      <c r="X304" s="189">
        <f t="shared" si="52"/>
      </c>
      <c r="Y304" s="189">
        <f t="shared" si="315"/>
      </c>
      <c r="Z304" s="189">
        <f t="shared" si="360"/>
      </c>
      <c r="AA304" s="190">
        <f t="shared" si="255"/>
      </c>
      <c r="AB304" s="190">
        <f t="shared" si="285"/>
      </c>
      <c r="AC304" s="190">
        <f t="shared" si="180"/>
      </c>
      <c r="AD304" s="189">
        <f t="shared" si="225"/>
      </c>
      <c r="AE304" s="190">
        <f t="shared" si="447"/>
      </c>
      <c r="AF304" s="189">
        <f t="shared" si="67"/>
      </c>
      <c r="AG304" s="189">
        <f t="shared" si="330"/>
      </c>
      <c r="AH304" s="192">
        <v>12907</v>
      </c>
      <c r="AI304" s="192">
        <v>265</v>
      </c>
      <c r="AJ304" s="192">
        <v>409</v>
      </c>
      <c r="AK304" s="192">
        <v>53</v>
      </c>
      <c r="AL304" s="192">
        <v>0</v>
      </c>
      <c r="AM304" s="192">
        <v>0</v>
      </c>
      <c r="AN304" s="192">
        <v>66</v>
      </c>
      <c r="AO304" s="192">
        <v>69</v>
      </c>
      <c r="AP304" s="192">
        <v>5</v>
      </c>
      <c r="AQ304" s="187">
        <v>0</v>
      </c>
      <c r="AR304" s="213">
        <f t="shared" si="388"/>
      </c>
    </row>
    <row r="305">
      <c r="A305" s="182"/>
      <c r="B305" s="197" t="s">
        <v>197</v>
      </c>
      <c r="C305" s="197"/>
      <c r="D305" s="197"/>
      <c r="E305" s="197"/>
      <c r="F305" s="198">
        <f>SUM(F301:F304)</f>
      </c>
      <c r="G305" s="198">
        <f>SUM(G301:G304)</f>
      </c>
      <c r="H305" s="198">
        <f>SUM(H301:H304)</f>
      </c>
      <c r="I305" s="199">
        <f>SUM(I301:I304)</f>
      </c>
      <c r="J305" s="199">
        <f>SUM(J301:J304)</f>
      </c>
      <c r="K305" s="198">
        <f>SUM(K301:K304)</f>
      </c>
      <c r="L305" s="200">
        <f t="shared" si="195"/>
      </c>
      <c r="M305" s="201">
        <f t="shared" si="417"/>
      </c>
      <c r="N305" s="202">
        <f t="shared" si="7"/>
      </c>
      <c r="O305" s="202">
        <f t="shared" si="300"/>
      </c>
      <c r="P305" s="202">
        <f t="shared" si="345"/>
      </c>
      <c r="Q305" s="202">
        <f t="shared" si="240"/>
      </c>
      <c r="R305" s="202">
        <f t="shared" si="270"/>
      </c>
      <c r="S305" s="202">
        <f t="shared" si="165"/>
      </c>
      <c r="T305" s="202">
        <f t="shared" si="210"/>
      </c>
      <c r="U305" s="200">
        <f t="shared" si="432"/>
      </c>
      <c r="V305" s="200">
        <f t="shared" si="22"/>
      </c>
      <c r="W305" s="200">
        <f t="shared" si="37"/>
      </c>
      <c r="X305" s="200">
        <f t="shared" si="52"/>
      </c>
      <c r="Y305" s="200">
        <f t="shared" si="315"/>
      </c>
      <c r="Z305" s="200">
        <f t="shared" si="360"/>
      </c>
      <c r="AA305" s="201">
        <f t="shared" si="255"/>
      </c>
      <c r="AB305" s="201">
        <f t="shared" si="285"/>
      </c>
      <c r="AC305" s="201">
        <f t="shared" si="180"/>
      </c>
      <c r="AD305" s="200">
        <f t="shared" si="225"/>
      </c>
      <c r="AE305" s="201">
        <f t="shared" si="447"/>
      </c>
      <c r="AF305" s="200">
        <f t="shared" si="67"/>
      </c>
      <c r="AG305" s="200">
        <f t="shared" si="330"/>
      </c>
      <c r="AH305" s="199">
        <f>SUM(AH301:AH304)</f>
      </c>
      <c r="AI305" s="199">
        <f>SUM(AI301:AI304)</f>
      </c>
      <c r="AJ305" s="199">
        <f>SUM(AJ301:AJ304)</f>
      </c>
      <c r="AK305" s="199">
        <f>SUM(AK301:AK304)</f>
      </c>
      <c r="AL305" s="199">
        <f>SUM(AL301:AL304)</f>
      </c>
      <c r="AM305" s="199">
        <f>SUM(AM301:AM304)</f>
      </c>
      <c r="AN305" s="199">
        <f>SUM(AN301:AN304)</f>
      </c>
      <c r="AO305" s="199">
        <f>SUM(AO301:AO304)</f>
      </c>
      <c r="AP305" s="199">
        <f>SUM(AP301:AP304)</f>
      </c>
      <c r="AQ305" s="199">
        <f>SUM(AQ301:AQ304)</f>
      </c>
      <c r="AR305" s="203">
        <f>SUM(AR301:AR304)</f>
      </c>
    </row>
    <row r="306">
      <c r="A306" s="182"/>
      <c r="B306" s="205" t="s">
        <v>205</v>
      </c>
      <c r="C306" s="205"/>
      <c r="D306" s="205"/>
      <c r="E306" s="205"/>
      <c r="F306" s="206">
        <f>H306+G306</f>
      </c>
      <c r="G306" s="206">
        <f>G300+G295+G305</f>
      </c>
      <c r="H306" s="206">
        <f>H300+H295+H305</f>
      </c>
      <c r="I306" s="206">
        <f>I300+I295+I305</f>
      </c>
      <c r="J306" s="206">
        <f>J300+J295+J305</f>
      </c>
      <c r="K306" s="206">
        <f>K300+K295+K305</f>
      </c>
      <c r="L306" s="207">
        <f t="shared" si="195"/>
      </c>
      <c r="M306" s="208">
        <f t="shared" si="417"/>
      </c>
      <c r="N306" s="209">
        <f t="shared" si="7"/>
      </c>
      <c r="O306" s="209">
        <f t="shared" si="300"/>
      </c>
      <c r="P306" s="209">
        <f t="shared" si="345"/>
      </c>
      <c r="Q306" s="209">
        <f t="shared" si="240"/>
      </c>
      <c r="R306" s="209">
        <f t="shared" si="270"/>
      </c>
      <c r="S306" s="209">
        <f t="shared" si="165"/>
      </c>
      <c r="T306" s="209">
        <f t="shared" si="210"/>
      </c>
      <c r="U306" s="207">
        <f t="shared" si="432"/>
      </c>
      <c r="V306" s="207">
        <f t="shared" si="22"/>
      </c>
      <c r="W306" s="207">
        <f t="shared" si="37"/>
      </c>
      <c r="X306" s="207">
        <f t="shared" si="52"/>
      </c>
      <c r="Y306" s="207">
        <f t="shared" si="315"/>
      </c>
      <c r="Z306" s="207">
        <f t="shared" si="360"/>
      </c>
      <c r="AA306" s="208">
        <f t="shared" si="255"/>
      </c>
      <c r="AB306" s="208">
        <f t="shared" si="285"/>
      </c>
      <c r="AC306" s="208">
        <f t="shared" si="180"/>
      </c>
      <c r="AD306" s="207">
        <f t="shared" si="225"/>
      </c>
      <c r="AE306" s="208">
        <f t="shared" si="447"/>
      </c>
      <c r="AF306" s="207">
        <f t="shared" si="67"/>
      </c>
      <c r="AG306" s="207">
        <f t="shared" si="330"/>
      </c>
      <c r="AH306" s="203">
        <f>AH300+AH295+AH305</f>
      </c>
      <c r="AI306" s="203">
        <f>AI300+AI295+AI305</f>
      </c>
      <c r="AJ306" s="203">
        <f>AJ300+AJ295+AJ305</f>
      </c>
      <c r="AK306" s="203">
        <f>AK300+AK295+AK305</f>
      </c>
      <c r="AL306" s="203">
        <f>AL300+AL295+AL305</f>
      </c>
      <c r="AM306" s="203">
        <f>AM300+AM295+AM305</f>
      </c>
      <c r="AN306" s="203">
        <f>AN300+AN295+AN305</f>
      </c>
      <c r="AO306" s="203">
        <f>AO300+AO295+AO305</f>
      </c>
      <c r="AP306" s="203">
        <f>AP300+AP295+AP305</f>
      </c>
      <c r="AQ306" s="203">
        <f>AQ300+AQ295+AQ305</f>
      </c>
      <c r="AR306" s="203">
        <f>AR300+AR295+AR305</f>
      </c>
    </row>
    <row r="307">
      <c r="A307" s="159"/>
      <c r="B307" s="159"/>
      <c r="C307" s="159"/>
      <c r="D307" s="159"/>
      <c r="E307" s="159"/>
      <c r="F307" s="160" t="s">
        <v>143</v>
      </c>
      <c r="G307" s="160"/>
      <c r="H307" s="160"/>
      <c r="I307" s="160"/>
      <c r="J307" s="160"/>
      <c r="K307" s="160"/>
      <c r="L307" s="160"/>
      <c r="M307" s="160"/>
      <c r="N307" s="160"/>
      <c r="O307" s="160"/>
      <c r="P307" s="160"/>
      <c r="Q307" s="161" t="s">
        <v>144</v>
      </c>
      <c r="R307" s="161"/>
      <c r="S307" s="161"/>
      <c r="T307" s="161"/>
      <c r="U307" s="161"/>
      <c r="V307" s="161"/>
      <c r="W307" s="161"/>
      <c r="X307" s="161"/>
      <c r="Y307" s="161"/>
      <c r="Z307" s="161"/>
      <c r="AA307" s="161"/>
      <c r="AB307" s="161"/>
      <c r="AC307" s="162" t="s">
        <v>145</v>
      </c>
      <c r="AD307" s="162"/>
      <c r="AE307" s="162"/>
      <c r="AF307" s="162"/>
      <c r="AG307" s="162"/>
      <c r="AH307" s="163" t="s">
        <v>146</v>
      </c>
      <c r="AI307" s="163"/>
      <c r="AJ307" s="163"/>
      <c r="AK307" s="163"/>
      <c r="AL307" s="163"/>
      <c r="AM307" s="163"/>
      <c r="AN307" s="163"/>
      <c r="AO307" s="163"/>
      <c r="AP307" s="163"/>
      <c r="AQ307" s="163"/>
      <c r="AR307" s="163"/>
    </row>
    <row r="308">
      <c r="A308" s="164" t="s">
        <v>147</v>
      </c>
      <c r="B308" s="165" t="s">
        <v>148</v>
      </c>
      <c r="C308" s="165" t="s">
        <v>149</v>
      </c>
      <c r="D308" s="166" t="s">
        <v>150</v>
      </c>
      <c r="E308" s="167" t="s">
        <v>151</v>
      </c>
      <c r="F308" s="168" t="s">
        <v>152</v>
      </c>
      <c r="G308" s="169" t="s">
        <v>153</v>
      </c>
      <c r="H308" s="170" t="s">
        <v>154</v>
      </c>
      <c r="I308" s="171" t="s">
        <v>155</v>
      </c>
      <c r="J308" s="171" t="s">
        <v>156</v>
      </c>
      <c r="K308" s="170" t="s">
        <v>157</v>
      </c>
      <c r="L308" s="172" t="s">
        <v>158</v>
      </c>
      <c r="M308" s="173" t="s">
        <v>159</v>
      </c>
      <c r="N308" s="174" t="s">
        <v>160</v>
      </c>
      <c r="O308" s="174" t="s">
        <v>161</v>
      </c>
      <c r="P308" s="175" t="s">
        <v>162</v>
      </c>
      <c r="Q308" s="161" t="s">
        <v>163</v>
      </c>
      <c r="R308" s="176" t="s">
        <v>164</v>
      </c>
      <c r="S308" s="176" t="s">
        <v>165</v>
      </c>
      <c r="T308" s="176" t="s">
        <v>166</v>
      </c>
      <c r="U308" s="177" t="s">
        <v>167</v>
      </c>
      <c r="V308" s="177" t="s">
        <v>168</v>
      </c>
      <c r="W308" s="177" t="s">
        <v>169</v>
      </c>
      <c r="X308" s="177" t="s">
        <v>170</v>
      </c>
      <c r="Y308" s="177" t="s">
        <v>171</v>
      </c>
      <c r="Z308" s="177" t="s">
        <v>172</v>
      </c>
      <c r="AA308" s="178" t="s">
        <v>173</v>
      </c>
      <c r="AB308" s="178" t="s">
        <v>174</v>
      </c>
      <c r="AC308" s="162" t="s">
        <v>175</v>
      </c>
      <c r="AD308" s="179" t="s">
        <v>176</v>
      </c>
      <c r="AE308" s="162" t="s">
        <v>177</v>
      </c>
      <c r="AF308" s="179" t="s">
        <v>178</v>
      </c>
      <c r="AG308" s="179" t="s">
        <v>179</v>
      </c>
      <c r="AH308" s="180" t="s">
        <v>180</v>
      </c>
      <c r="AI308" s="180" t="s">
        <v>181</v>
      </c>
      <c r="AJ308" s="180" t="s">
        <v>182</v>
      </c>
      <c r="AK308" s="180" t="s">
        <v>183</v>
      </c>
      <c r="AL308" s="180" t="s">
        <v>184</v>
      </c>
      <c r="AM308" s="180" t="s">
        <v>185</v>
      </c>
      <c r="AN308" s="180" t="s">
        <v>186</v>
      </c>
      <c r="AO308" s="180" t="s">
        <v>187</v>
      </c>
      <c r="AP308" s="180" t="s">
        <v>188</v>
      </c>
      <c r="AQ308" s="180" t="s">
        <v>189</v>
      </c>
      <c r="AR308" s="181" t="s">
        <v>190</v>
      </c>
    </row>
    <row r="309">
      <c r="A309" s="182">
        <v>46289</v>
      </c>
      <c r="B309" s="184" t="s">
        <v>191</v>
      </c>
      <c r="C309" s="184" t="s">
        <v>192</v>
      </c>
      <c r="D309" s="183" t="s">
        <v>201</v>
      </c>
      <c r="E309" s="183" t="s">
        <v>209</v>
      </c>
      <c r="F309" s="185">
        <f t="shared" ref="F309:F312" si="137">H309+G309</f>
      </c>
      <c r="G309" s="204">
        <v>1256.89</v>
      </c>
      <c r="H309" s="204">
        <v>585.32</v>
      </c>
      <c r="I309" s="187">
        <v>1</v>
      </c>
      <c r="J309" s="187">
        <v>0</v>
      </c>
      <c r="K309" s="188">
        <v>0</v>
      </c>
      <c r="L309" s="189">
        <f t="shared" ref="L309:L324" si="196">AQ309/J309</f>
      </c>
      <c r="M309" s="190">
        <f t="shared" ref="M309:M324" si="418">K309/J309</f>
      </c>
      <c r="N309" s="191">
        <f t="shared" ref="N309:N324" si="8">F309/J309</f>
      </c>
      <c r="O309" s="191">
        <f t="shared" ref="O309:O324" si="301">K309/F309</f>
      </c>
      <c r="P309" s="191">
        <f t="shared" ref="P309:P324" si="346">K309/((300*AR309)+F309)</f>
      </c>
      <c r="Q309" s="191">
        <f t="shared" ref="Q309:Q324" si="241">F309/AJ309</f>
      </c>
      <c r="R309" s="191">
        <f t="shared" ref="R309:R324" si="271">F309/AK309</f>
      </c>
      <c r="S309" s="191">
        <f t="shared" ref="S309:S324" si="166">F309/AL309</f>
      </c>
      <c r="T309" s="191">
        <f t="shared" ref="T309:T324" si="211">F309/AM309</f>
      </c>
      <c r="U309" s="189">
        <f t="shared" ref="U309:U324" si="433">AI309/AJ309</f>
      </c>
      <c r="V309" s="189">
        <f t="shared" ref="V309:V324" si="23">AK309/AJ309</f>
      </c>
      <c r="W309" s="189">
        <f t="shared" ref="W309:W324" si="38">AL309/AK309</f>
      </c>
      <c r="X309" s="189">
        <f t="shared" ref="X309:X324" si="53">AM309/AL309</f>
      </c>
      <c r="Y309" s="189">
        <f t="shared" ref="Y309:Y324" si="316">AI309/AH309</f>
      </c>
      <c r="Z309" s="189">
        <f t="shared" ref="Z309:Z324" si="361">AM309/AI309</f>
      </c>
      <c r="AA309" s="190">
        <f t="shared" ref="AA309:AA324" si="256">F309/AH309*1000</f>
      </c>
      <c r="AB309" s="190">
        <f t="shared" ref="AB309:AB324" si="286">F309/AI309</f>
      </c>
      <c r="AC309" s="190">
        <f t="shared" ref="AC309:AC324" si="181">F309/AN309</f>
      </c>
      <c r="AD309" s="189">
        <f t="shared" ref="AD309:AD324" si="226">AN309/AJ309</f>
      </c>
      <c r="AE309" s="190">
        <f t="shared" ref="AE309:AE324" si="448">F309/AO309</f>
      </c>
      <c r="AF309" s="189">
        <f t="shared" ref="AF309:AF324" si="68">AO309/AJ309</f>
      </c>
      <c r="AG309" s="189">
        <f t="shared" ref="AG309:AG324" si="331">AP309/AJ309</f>
      </c>
      <c r="AH309" s="192">
        <v>15290</v>
      </c>
      <c r="AI309" s="193">
        <v>385</v>
      </c>
      <c r="AJ309" s="193">
        <v>480</v>
      </c>
      <c r="AK309" s="192">
        <v>96</v>
      </c>
      <c r="AL309" s="192">
        <v>1</v>
      </c>
      <c r="AM309" s="192">
        <v>0</v>
      </c>
      <c r="AN309" s="192">
        <v>69</v>
      </c>
      <c r="AO309" s="192">
        <v>59</v>
      </c>
      <c r="AP309" s="192">
        <v>2</v>
      </c>
      <c r="AQ309" s="187">
        <v>0</v>
      </c>
      <c r="AR309" s="213">
        <f t="shared" ref="AR309:AR312" si="389">COUNT(AQ309)</f>
      </c>
    </row>
    <row r="310">
      <c r="A310" s="182"/>
      <c r="B310" s="184" t="s">
        <v>191</v>
      </c>
      <c r="C310" s="184" t="s">
        <v>192</v>
      </c>
      <c r="D310" s="183" t="s">
        <v>201</v>
      </c>
      <c r="E310" s="183" t="s">
        <v>210</v>
      </c>
      <c r="F310" s="185">
        <f t="shared" si="137"/>
      </c>
      <c r="G310" s="212">
        <v>914</v>
      </c>
      <c r="H310" s="204">
        <v>508.51</v>
      </c>
      <c r="I310" s="187">
        <v>5</v>
      </c>
      <c r="J310" s="187">
        <v>5</v>
      </c>
      <c r="K310" s="188">
        <v>3356.3999999999996</v>
      </c>
      <c r="L310" s="189">
        <f t="shared" si="196"/>
      </c>
      <c r="M310" s="190">
        <f t="shared" si="418"/>
      </c>
      <c r="N310" s="191">
        <f t="shared" si="8"/>
      </c>
      <c r="O310" s="191">
        <f t="shared" si="301"/>
      </c>
      <c r="P310" s="191">
        <f t="shared" si="346"/>
      </c>
      <c r="Q310" s="191">
        <f t="shared" si="241"/>
      </c>
      <c r="R310" s="191">
        <f t="shared" si="271"/>
      </c>
      <c r="S310" s="191">
        <f t="shared" si="166"/>
      </c>
      <c r="T310" s="191">
        <f t="shared" si="211"/>
      </c>
      <c r="U310" s="189">
        <f t="shared" si="433"/>
      </c>
      <c r="V310" s="189">
        <f t="shared" si="23"/>
      </c>
      <c r="W310" s="189">
        <f t="shared" si="38"/>
      </c>
      <c r="X310" s="189">
        <f t="shared" si="53"/>
      </c>
      <c r="Y310" s="189">
        <f t="shared" si="316"/>
      </c>
      <c r="Z310" s="189">
        <f t="shared" si="361"/>
      </c>
      <c r="AA310" s="190">
        <f t="shared" si="256"/>
      </c>
      <c r="AB310" s="190">
        <f t="shared" si="286"/>
      </c>
      <c r="AC310" s="190">
        <f t="shared" si="181"/>
      </c>
      <c r="AD310" s="189">
        <f t="shared" si="226"/>
      </c>
      <c r="AE310" s="190">
        <f t="shared" si="448"/>
      </c>
      <c r="AF310" s="189">
        <f t="shared" si="68"/>
      </c>
      <c r="AG310" s="189">
        <f t="shared" si="331"/>
      </c>
      <c r="AH310" s="192">
        <v>8647</v>
      </c>
      <c r="AI310" s="192">
        <v>230</v>
      </c>
      <c r="AJ310" s="192">
        <v>303</v>
      </c>
      <c r="AK310" s="192">
        <v>39</v>
      </c>
      <c r="AL310" s="192">
        <v>4</v>
      </c>
      <c r="AM310" s="192">
        <v>4</v>
      </c>
      <c r="AN310" s="192">
        <v>47</v>
      </c>
      <c r="AO310" s="192">
        <v>52</v>
      </c>
      <c r="AP310" s="192">
        <v>3</v>
      </c>
      <c r="AQ310" s="187">
        <v>0</v>
      </c>
      <c r="AR310" s="213">
        <f t="shared" si="389"/>
      </c>
    </row>
    <row r="311">
      <c r="A311" s="182"/>
      <c r="B311" s="184" t="s">
        <v>191</v>
      </c>
      <c r="C311" s="184" t="s">
        <v>192</v>
      </c>
      <c r="D311" s="183" t="s">
        <v>201</v>
      </c>
      <c r="E311" s="183" t="s">
        <v>211</v>
      </c>
      <c r="F311" s="185">
        <f t="shared" si="137"/>
      </c>
      <c r="G311" s="204">
        <v>1257.52</v>
      </c>
      <c r="H311" s="204">
        <v>565.86</v>
      </c>
      <c r="I311" s="187">
        <v>4</v>
      </c>
      <c r="J311" s="187">
        <v>5</v>
      </c>
      <c r="K311" s="188">
        <v>3869.7999999999993</v>
      </c>
      <c r="L311" s="189">
        <f t="shared" si="196"/>
      </c>
      <c r="M311" s="190">
        <f t="shared" si="418"/>
      </c>
      <c r="N311" s="191">
        <f t="shared" si="8"/>
      </c>
      <c r="O311" s="191">
        <f t="shared" si="301"/>
      </c>
      <c r="P311" s="191">
        <f t="shared" si="346"/>
      </c>
      <c r="Q311" s="191">
        <f t="shared" si="241"/>
      </c>
      <c r="R311" s="191">
        <f t="shared" si="271"/>
      </c>
      <c r="S311" s="191">
        <f t="shared" si="166"/>
      </c>
      <c r="T311" s="191">
        <f t="shared" si="211"/>
      </c>
      <c r="U311" s="189">
        <f t="shared" si="433"/>
      </c>
      <c r="V311" s="189">
        <f t="shared" si="23"/>
      </c>
      <c r="W311" s="189">
        <f t="shared" si="38"/>
      </c>
      <c r="X311" s="189">
        <f t="shared" si="53"/>
      </c>
      <c r="Y311" s="189">
        <f t="shared" si="316"/>
      </c>
      <c r="Z311" s="189">
        <f t="shared" si="361"/>
      </c>
      <c r="AA311" s="190">
        <f t="shared" si="256"/>
      </c>
      <c r="AB311" s="190">
        <f t="shared" si="286"/>
      </c>
      <c r="AC311" s="190">
        <f t="shared" si="181"/>
      </c>
      <c r="AD311" s="189">
        <f t="shared" si="226"/>
      </c>
      <c r="AE311" s="190">
        <f t="shared" si="448"/>
      </c>
      <c r="AF311" s="189">
        <f t="shared" si="68"/>
      </c>
      <c r="AG311" s="189">
        <f t="shared" si="331"/>
      </c>
      <c r="AH311" s="192">
        <v>14325</v>
      </c>
      <c r="AI311" s="192">
        <v>330</v>
      </c>
      <c r="AJ311" s="192">
        <v>483</v>
      </c>
      <c r="AK311" s="192">
        <v>54</v>
      </c>
      <c r="AL311" s="187">
        <v>4</v>
      </c>
      <c r="AM311" s="192">
        <v>4</v>
      </c>
      <c r="AN311" s="192">
        <v>69</v>
      </c>
      <c r="AO311" s="192">
        <v>61</v>
      </c>
      <c r="AP311" s="192">
        <v>6</v>
      </c>
      <c r="AQ311" s="187">
        <v>1</v>
      </c>
      <c r="AR311" s="213">
        <f t="shared" si="389"/>
      </c>
    </row>
    <row r="312">
      <c r="A312" s="182"/>
      <c r="B312" s="184" t="s">
        <v>191</v>
      </c>
      <c r="C312" s="184" t="s">
        <v>192</v>
      </c>
      <c r="D312" s="183" t="s">
        <v>201</v>
      </c>
      <c r="E312" s="183" t="s">
        <v>212</v>
      </c>
      <c r="F312" s="185">
        <f t="shared" si="137"/>
      </c>
      <c r="G312" s="204">
        <v>1138.35</v>
      </c>
      <c r="H312" s="204">
        <v>530.07</v>
      </c>
      <c r="I312" s="187">
        <v>2</v>
      </c>
      <c r="J312" s="187">
        <v>2</v>
      </c>
      <c r="K312" s="188">
        <v>1757.800000000001</v>
      </c>
      <c r="L312" s="189">
        <f t="shared" si="196"/>
      </c>
      <c r="M312" s="190">
        <f t="shared" si="418"/>
      </c>
      <c r="N312" s="191">
        <f t="shared" si="8"/>
      </c>
      <c r="O312" s="191">
        <f t="shared" si="301"/>
      </c>
      <c r="P312" s="191">
        <f t="shared" si="346"/>
      </c>
      <c r="Q312" s="191">
        <f t="shared" si="241"/>
      </c>
      <c r="R312" s="191">
        <f t="shared" si="271"/>
      </c>
      <c r="S312" s="191">
        <f t="shared" si="166"/>
      </c>
      <c r="T312" s="191">
        <f t="shared" si="211"/>
      </c>
      <c r="U312" s="189">
        <f t="shared" si="433"/>
      </c>
      <c r="V312" s="189">
        <f t="shared" si="23"/>
      </c>
      <c r="W312" s="189">
        <f t="shared" si="38"/>
      </c>
      <c r="X312" s="189">
        <f t="shared" si="53"/>
      </c>
      <c r="Y312" s="189">
        <f t="shared" si="316"/>
      </c>
      <c r="Z312" s="189">
        <f t="shared" si="361"/>
      </c>
      <c r="AA312" s="190">
        <f t="shared" si="256"/>
      </c>
      <c r="AB312" s="190">
        <f t="shared" si="286"/>
      </c>
      <c r="AC312" s="190">
        <f t="shared" si="181"/>
      </c>
      <c r="AD312" s="189">
        <f t="shared" si="226"/>
      </c>
      <c r="AE312" s="190">
        <f t="shared" si="448"/>
      </c>
      <c r="AF312" s="189">
        <f t="shared" si="68"/>
      </c>
      <c r="AG312" s="189">
        <f t="shared" si="331"/>
      </c>
      <c r="AH312" s="192">
        <v>12083</v>
      </c>
      <c r="AI312" s="192">
        <v>315</v>
      </c>
      <c r="AJ312" s="192">
        <v>450</v>
      </c>
      <c r="AK312" s="192">
        <v>50</v>
      </c>
      <c r="AL312" s="187">
        <v>2</v>
      </c>
      <c r="AM312" s="192">
        <v>2</v>
      </c>
      <c r="AN312" s="192">
        <v>70</v>
      </c>
      <c r="AO312" s="192">
        <v>39</v>
      </c>
      <c r="AP312" s="192">
        <v>2</v>
      </c>
      <c r="AQ312" s="187">
        <v>0</v>
      </c>
      <c r="AR312" s="213">
        <f t="shared" si="389"/>
      </c>
    </row>
    <row r="313">
      <c r="A313" s="182"/>
      <c r="B313" s="197" t="s">
        <v>197</v>
      </c>
      <c r="C313" s="197"/>
      <c r="D313" s="197"/>
      <c r="E313" s="197"/>
      <c r="F313" s="198">
        <f>SUM(F309:F312)</f>
      </c>
      <c r="G313" s="198">
        <f>SUM(G309:G312)</f>
      </c>
      <c r="H313" s="198">
        <f>SUM(H309:H312)</f>
      </c>
      <c r="I313" s="199">
        <f>SUM(I309:I312)</f>
      </c>
      <c r="J313" s="199">
        <f>SUM(J309:J312)</f>
      </c>
      <c r="K313" s="198">
        <f>SUM(K309:K312)</f>
      </c>
      <c r="L313" s="200">
        <f t="shared" si="196"/>
      </c>
      <c r="M313" s="201">
        <f t="shared" si="418"/>
      </c>
      <c r="N313" s="202">
        <f t="shared" si="8"/>
      </c>
      <c r="O313" s="202">
        <f t="shared" si="301"/>
      </c>
      <c r="P313" s="202">
        <f t="shared" si="346"/>
      </c>
      <c r="Q313" s="202">
        <f t="shared" si="241"/>
      </c>
      <c r="R313" s="202">
        <f t="shared" si="271"/>
      </c>
      <c r="S313" s="202">
        <f t="shared" si="166"/>
      </c>
      <c r="T313" s="202">
        <f t="shared" si="211"/>
      </c>
      <c r="U313" s="200">
        <f t="shared" si="433"/>
      </c>
      <c r="V313" s="200">
        <f t="shared" si="23"/>
      </c>
      <c r="W313" s="200">
        <f t="shared" si="38"/>
      </c>
      <c r="X313" s="200">
        <f t="shared" si="53"/>
      </c>
      <c r="Y313" s="200">
        <f t="shared" si="316"/>
      </c>
      <c r="Z313" s="200">
        <f t="shared" si="361"/>
      </c>
      <c r="AA313" s="201">
        <f t="shared" si="256"/>
      </c>
      <c r="AB313" s="201">
        <f t="shared" si="286"/>
      </c>
      <c r="AC313" s="201">
        <f t="shared" si="181"/>
      </c>
      <c r="AD313" s="200">
        <f t="shared" si="226"/>
      </c>
      <c r="AE313" s="201">
        <f t="shared" si="448"/>
      </c>
      <c r="AF313" s="200">
        <f t="shared" si="68"/>
      </c>
      <c r="AG313" s="200">
        <f t="shared" si="331"/>
      </c>
      <c r="AH313" s="199">
        <f>SUM(AH309:AH312)</f>
      </c>
      <c r="AI313" s="199">
        <f>SUM(AI309:AI312)</f>
      </c>
      <c r="AJ313" s="199">
        <f>SUM(AJ309:AJ312)</f>
      </c>
      <c r="AK313" s="199">
        <f>SUM(AK309:AK312)</f>
      </c>
      <c r="AL313" s="199">
        <f>SUM(AL309:AL312)</f>
      </c>
      <c r="AM313" s="199">
        <f>SUM(AM309:AM312)</f>
      </c>
      <c r="AN313" s="199">
        <f>SUM(AN309:AN312)</f>
      </c>
      <c r="AO313" s="199">
        <f>SUM(AO309:AO312)</f>
      </c>
      <c r="AP313" s="199">
        <f>SUM(AP309:AP312)</f>
      </c>
      <c r="AQ313" s="199">
        <f>SUM(AQ309:AQ312)</f>
      </c>
      <c r="AR313" s="203">
        <f>SUM(AR309:AR312)</f>
      </c>
    </row>
    <row r="314">
      <c r="A314" s="182"/>
      <c r="B314" s="184" t="s">
        <v>191</v>
      </c>
      <c r="C314" s="184" t="s">
        <v>192</v>
      </c>
      <c r="D314" s="183" t="s">
        <v>206</v>
      </c>
      <c r="E314" s="183" t="s">
        <v>194</v>
      </c>
      <c r="F314" s="185">
        <f t="shared" ref="F314:F317" si="138">H314+G314</f>
      </c>
      <c r="G314" s="204">
        <v>991.08</v>
      </c>
      <c r="H314" s="204">
        <v>487.44</v>
      </c>
      <c r="I314" s="187">
        <v>5</v>
      </c>
      <c r="J314" s="187">
        <v>5</v>
      </c>
      <c r="K314" s="188">
        <v>3410.399999999998</v>
      </c>
      <c r="L314" s="189">
        <f t="shared" si="196"/>
      </c>
      <c r="M314" s="190">
        <f t="shared" si="418"/>
      </c>
      <c r="N314" s="191">
        <f t="shared" si="8"/>
      </c>
      <c r="O314" s="191">
        <f t="shared" si="301"/>
      </c>
      <c r="P314" s="191">
        <f t="shared" si="346"/>
      </c>
      <c r="Q314" s="191">
        <f t="shared" si="241"/>
      </c>
      <c r="R314" s="191">
        <f t="shared" si="271"/>
      </c>
      <c r="S314" s="191">
        <f t="shared" si="166"/>
      </c>
      <c r="T314" s="191">
        <f t="shared" si="211"/>
      </c>
      <c r="U314" s="189">
        <f t="shared" si="433"/>
      </c>
      <c r="V314" s="189">
        <f t="shared" si="23"/>
      </c>
      <c r="W314" s="189">
        <f t="shared" si="38"/>
      </c>
      <c r="X314" s="189">
        <f t="shared" si="53"/>
      </c>
      <c r="Y314" s="189">
        <f t="shared" si="316"/>
      </c>
      <c r="Z314" s="189">
        <f t="shared" si="361"/>
      </c>
      <c r="AA314" s="190">
        <f t="shared" si="256"/>
      </c>
      <c r="AB314" s="190">
        <f t="shared" si="286"/>
      </c>
      <c r="AC314" s="190">
        <f t="shared" si="181"/>
      </c>
      <c r="AD314" s="189">
        <f t="shared" si="226"/>
      </c>
      <c r="AE314" s="190">
        <f t="shared" si="448"/>
      </c>
      <c r="AF314" s="189">
        <f t="shared" si="68"/>
      </c>
      <c r="AG314" s="189">
        <f t="shared" si="331"/>
      </c>
      <c r="AH314" s="192">
        <v>10645</v>
      </c>
      <c r="AI314" s="192">
        <v>243</v>
      </c>
      <c r="AJ314" s="192">
        <v>397</v>
      </c>
      <c r="AK314" s="192">
        <v>37</v>
      </c>
      <c r="AL314" s="192">
        <v>3</v>
      </c>
      <c r="AM314" s="192">
        <v>3</v>
      </c>
      <c r="AN314" s="192">
        <v>41</v>
      </c>
      <c r="AO314" s="192">
        <v>68</v>
      </c>
      <c r="AP314" s="192">
        <v>7</v>
      </c>
      <c r="AQ314" s="187">
        <v>2</v>
      </c>
      <c r="AR314" s="213">
        <f t="shared" ref="AR314:AR317" si="390">COUNT(AQ314)</f>
      </c>
    </row>
    <row r="315">
      <c r="A315" s="182"/>
      <c r="B315" s="184" t="s">
        <v>191</v>
      </c>
      <c r="C315" s="184" t="s">
        <v>192</v>
      </c>
      <c r="D315" s="183" t="s">
        <v>206</v>
      </c>
      <c r="E315" s="183" t="s">
        <v>195</v>
      </c>
      <c r="F315" s="185">
        <f t="shared" si="138"/>
      </c>
      <c r="G315" s="204">
        <v>810.19</v>
      </c>
      <c r="H315" s="204">
        <v>452.55</v>
      </c>
      <c r="I315" s="187">
        <v>2</v>
      </c>
      <c r="J315" s="192">
        <v>1</v>
      </c>
      <c r="K315" s="196">
        <v>967.2000000000007</v>
      </c>
      <c r="L315" s="189">
        <f t="shared" si="196"/>
      </c>
      <c r="M315" s="190">
        <f t="shared" si="418"/>
      </c>
      <c r="N315" s="191">
        <f t="shared" si="8"/>
      </c>
      <c r="O315" s="191">
        <f t="shared" si="301"/>
      </c>
      <c r="P315" s="191">
        <f t="shared" si="346"/>
      </c>
      <c r="Q315" s="191">
        <f t="shared" si="241"/>
      </c>
      <c r="R315" s="191">
        <f t="shared" si="271"/>
      </c>
      <c r="S315" s="191">
        <f t="shared" si="166"/>
      </c>
      <c r="T315" s="191">
        <f t="shared" si="211"/>
      </c>
      <c r="U315" s="189">
        <f t="shared" si="433"/>
      </c>
      <c r="V315" s="189">
        <f t="shared" si="23"/>
      </c>
      <c r="W315" s="189">
        <f t="shared" si="38"/>
      </c>
      <c r="X315" s="189">
        <f t="shared" si="53"/>
      </c>
      <c r="Y315" s="189">
        <f t="shared" si="316"/>
      </c>
      <c r="Z315" s="189">
        <f t="shared" si="361"/>
      </c>
      <c r="AA315" s="190">
        <f t="shared" si="256"/>
      </c>
      <c r="AB315" s="190">
        <f t="shared" si="286"/>
      </c>
      <c r="AC315" s="190">
        <f t="shared" si="181"/>
      </c>
      <c r="AD315" s="189">
        <f t="shared" si="226"/>
      </c>
      <c r="AE315" s="190">
        <f t="shared" si="448"/>
      </c>
      <c r="AF315" s="189">
        <f t="shared" si="68"/>
      </c>
      <c r="AG315" s="189">
        <f t="shared" si="331"/>
      </c>
      <c r="AH315" s="192">
        <v>10380</v>
      </c>
      <c r="AI315" s="192">
        <v>249</v>
      </c>
      <c r="AJ315" s="192">
        <v>443</v>
      </c>
      <c r="AK315" s="192">
        <v>31</v>
      </c>
      <c r="AL315" s="192">
        <v>2</v>
      </c>
      <c r="AM315" s="192">
        <v>1</v>
      </c>
      <c r="AN315" s="192">
        <v>37</v>
      </c>
      <c r="AO315" s="192">
        <v>26</v>
      </c>
      <c r="AP315" s="192">
        <v>4</v>
      </c>
      <c r="AQ315" s="187">
        <v>0</v>
      </c>
      <c r="AR315" s="213">
        <f t="shared" si="390"/>
      </c>
    </row>
    <row r="316">
      <c r="A316" s="182"/>
      <c r="B316" s="184" t="s">
        <v>191</v>
      </c>
      <c r="C316" s="184" t="s">
        <v>192</v>
      </c>
      <c r="D316" s="183" t="s">
        <v>206</v>
      </c>
      <c r="E316" s="183" t="s">
        <v>196</v>
      </c>
      <c r="F316" s="185">
        <f t="shared" si="138"/>
      </c>
      <c r="G316" s="204">
        <v>570.27</v>
      </c>
      <c r="H316" s="204">
        <v>484.01</v>
      </c>
      <c r="I316" s="187">
        <v>1</v>
      </c>
      <c r="J316" s="187">
        <v>0</v>
      </c>
      <c r="K316" s="188">
        <v>0</v>
      </c>
      <c r="L316" s="189">
        <f t="shared" si="196"/>
      </c>
      <c r="M316" s="190">
        <f t="shared" si="418"/>
      </c>
      <c r="N316" s="191">
        <f t="shared" si="8"/>
      </c>
      <c r="O316" s="191">
        <f t="shared" si="301"/>
      </c>
      <c r="P316" s="191">
        <f t="shared" si="346"/>
      </c>
      <c r="Q316" s="191">
        <f t="shared" si="241"/>
      </c>
      <c r="R316" s="191">
        <f t="shared" si="271"/>
      </c>
      <c r="S316" s="191">
        <f t="shared" si="166"/>
      </c>
      <c r="T316" s="191">
        <f t="shared" si="211"/>
      </c>
      <c r="U316" s="189">
        <f t="shared" si="433"/>
      </c>
      <c r="V316" s="189">
        <f t="shared" si="23"/>
      </c>
      <c r="W316" s="189">
        <f t="shared" si="38"/>
      </c>
      <c r="X316" s="189">
        <f t="shared" si="53"/>
      </c>
      <c r="Y316" s="189">
        <f t="shared" si="316"/>
      </c>
      <c r="Z316" s="189">
        <f t="shared" si="361"/>
      </c>
      <c r="AA316" s="190">
        <f t="shared" si="256"/>
      </c>
      <c r="AB316" s="190">
        <f t="shared" si="286"/>
      </c>
      <c r="AC316" s="190">
        <f t="shared" si="181"/>
      </c>
      <c r="AD316" s="189">
        <f t="shared" si="226"/>
      </c>
      <c r="AE316" s="190">
        <f t="shared" si="448"/>
      </c>
      <c r="AF316" s="189">
        <f t="shared" si="68"/>
      </c>
      <c r="AG316" s="189">
        <f t="shared" si="331"/>
      </c>
      <c r="AH316" s="192">
        <v>10273</v>
      </c>
      <c r="AI316" s="192">
        <v>256</v>
      </c>
      <c r="AJ316" s="192">
        <v>457</v>
      </c>
      <c r="AK316" s="192">
        <v>24</v>
      </c>
      <c r="AL316" s="192">
        <v>1</v>
      </c>
      <c r="AM316" s="192">
        <v>0</v>
      </c>
      <c r="AN316" s="192">
        <v>44</v>
      </c>
      <c r="AO316" s="192">
        <v>39</v>
      </c>
      <c r="AP316" s="192">
        <v>6</v>
      </c>
      <c r="AQ316" s="187">
        <v>0</v>
      </c>
      <c r="AR316" s="213">
        <f t="shared" si="390"/>
      </c>
    </row>
    <row r="317">
      <c r="A317" s="182"/>
      <c r="B317" s="184" t="s">
        <v>191</v>
      </c>
      <c r="C317" s="184" t="s">
        <v>192</v>
      </c>
      <c r="D317" s="183" t="s">
        <v>206</v>
      </c>
      <c r="E317" s="183" t="s">
        <v>199</v>
      </c>
      <c r="F317" s="185">
        <f t="shared" si="138"/>
      </c>
      <c r="G317" s="204">
        <v>357.39</v>
      </c>
      <c r="H317" s="204">
        <v>618.44</v>
      </c>
      <c r="I317" s="187">
        <v>2</v>
      </c>
      <c r="J317" s="187">
        <v>1</v>
      </c>
      <c r="K317" s="188">
        <v>474</v>
      </c>
      <c r="L317" s="189">
        <f t="shared" si="196"/>
      </c>
      <c r="M317" s="190">
        <f t="shared" si="418"/>
      </c>
      <c r="N317" s="191">
        <f t="shared" si="8"/>
      </c>
      <c r="O317" s="191">
        <f t="shared" si="301"/>
      </c>
      <c r="P317" s="191">
        <f t="shared" si="346"/>
      </c>
      <c r="Q317" s="191">
        <f t="shared" si="241"/>
      </c>
      <c r="R317" s="191">
        <f t="shared" si="271"/>
      </c>
      <c r="S317" s="191">
        <f t="shared" si="166"/>
      </c>
      <c r="T317" s="191">
        <f t="shared" si="211"/>
      </c>
      <c r="U317" s="189">
        <f t="shared" si="433"/>
      </c>
      <c r="V317" s="189">
        <f t="shared" si="23"/>
      </c>
      <c r="W317" s="189">
        <f t="shared" si="38"/>
      </c>
      <c r="X317" s="189">
        <f t="shared" si="53"/>
      </c>
      <c r="Y317" s="189">
        <f t="shared" si="316"/>
      </c>
      <c r="Z317" s="189">
        <f t="shared" si="361"/>
      </c>
      <c r="AA317" s="190">
        <f t="shared" si="256"/>
      </c>
      <c r="AB317" s="190">
        <f t="shared" si="286"/>
      </c>
      <c r="AC317" s="190">
        <f t="shared" si="181"/>
      </c>
      <c r="AD317" s="189">
        <f t="shared" si="226"/>
      </c>
      <c r="AE317" s="190">
        <f t="shared" si="448"/>
      </c>
      <c r="AF317" s="189">
        <f t="shared" si="68"/>
      </c>
      <c r="AG317" s="189">
        <f t="shared" si="331"/>
      </c>
      <c r="AH317" s="192">
        <v>10527</v>
      </c>
      <c r="AI317" s="192">
        <v>303</v>
      </c>
      <c r="AJ317" s="192">
        <v>498</v>
      </c>
      <c r="AK317" s="192">
        <v>20</v>
      </c>
      <c r="AL317" s="192">
        <v>2</v>
      </c>
      <c r="AM317" s="192">
        <v>1</v>
      </c>
      <c r="AN317" s="192">
        <v>44</v>
      </c>
      <c r="AO317" s="192">
        <v>41</v>
      </c>
      <c r="AP317" s="192">
        <v>2</v>
      </c>
      <c r="AQ317" s="187">
        <v>0</v>
      </c>
      <c r="AR317" s="213">
        <f t="shared" si="390"/>
      </c>
    </row>
    <row r="318">
      <c r="A318" s="182"/>
      <c r="B318" s="197" t="s">
        <v>197</v>
      </c>
      <c r="C318" s="197"/>
      <c r="D318" s="197"/>
      <c r="E318" s="197"/>
      <c r="F318" s="198">
        <f>SUM(F314:F317)</f>
      </c>
      <c r="G318" s="198">
        <f>SUM(G314:G317)</f>
      </c>
      <c r="H318" s="198">
        <f>SUM(H314:H317)</f>
      </c>
      <c r="I318" s="199">
        <f>SUM(I314:I317)</f>
      </c>
      <c r="J318" s="199">
        <f>SUM(J314:J317)</f>
      </c>
      <c r="K318" s="198">
        <f>SUM(K314:K317)</f>
      </c>
      <c r="L318" s="200">
        <f t="shared" si="196"/>
      </c>
      <c r="M318" s="201">
        <f t="shared" si="418"/>
      </c>
      <c r="N318" s="202">
        <f t="shared" si="8"/>
      </c>
      <c r="O318" s="202">
        <f t="shared" si="301"/>
      </c>
      <c r="P318" s="202">
        <f t="shared" si="346"/>
      </c>
      <c r="Q318" s="202">
        <f t="shared" si="241"/>
      </c>
      <c r="R318" s="202">
        <f t="shared" si="271"/>
      </c>
      <c r="S318" s="202">
        <f t="shared" si="166"/>
      </c>
      <c r="T318" s="202">
        <f t="shared" si="211"/>
      </c>
      <c r="U318" s="200">
        <f t="shared" si="433"/>
      </c>
      <c r="V318" s="200">
        <f t="shared" si="23"/>
      </c>
      <c r="W318" s="200">
        <f t="shared" si="38"/>
      </c>
      <c r="X318" s="200">
        <f t="shared" si="53"/>
      </c>
      <c r="Y318" s="200">
        <f t="shared" si="316"/>
      </c>
      <c r="Z318" s="200">
        <f t="shared" si="361"/>
      </c>
      <c r="AA318" s="201">
        <f t="shared" si="256"/>
      </c>
      <c r="AB318" s="201">
        <f t="shared" si="286"/>
      </c>
      <c r="AC318" s="201">
        <f t="shared" si="181"/>
      </c>
      <c r="AD318" s="200">
        <f t="shared" si="226"/>
      </c>
      <c r="AE318" s="201">
        <f t="shared" si="448"/>
      </c>
      <c r="AF318" s="200">
        <f t="shared" si="68"/>
      </c>
      <c r="AG318" s="200">
        <f t="shared" si="331"/>
      </c>
      <c r="AH318" s="199">
        <f>SUM(AH314:AH317)</f>
      </c>
      <c r="AI318" s="199">
        <f>SUM(AI314:AI317)</f>
      </c>
      <c r="AJ318" s="199">
        <f>SUM(AJ314:AJ317)</f>
      </c>
      <c r="AK318" s="199">
        <f>SUM(AK314:AK317)</f>
      </c>
      <c r="AL318" s="199">
        <f>SUM(AL314:AL317)</f>
      </c>
      <c r="AM318" s="199">
        <f>SUM(AM314:AM317)</f>
      </c>
      <c r="AN318" s="199">
        <f>SUM(AN314:AN317)</f>
      </c>
      <c r="AO318" s="199">
        <f>SUM(AO314:AO317)</f>
      </c>
      <c r="AP318" s="199">
        <f>SUM(AP314:AP317)</f>
      </c>
      <c r="AQ318" s="199">
        <f>SUM(AQ314:AQ317)</f>
      </c>
      <c r="AR318" s="203">
        <f>SUM(AR314:AR317)</f>
      </c>
    </row>
    <row r="319">
      <c r="A319" s="182"/>
      <c r="B319" s="184" t="s">
        <v>191</v>
      </c>
      <c r="C319" s="184" t="s">
        <v>192</v>
      </c>
      <c r="D319" s="183" t="s">
        <v>207</v>
      </c>
      <c r="E319" s="183" t="s">
        <v>200</v>
      </c>
      <c r="F319" s="185">
        <f t="shared" ref="F319:F322" si="139">H319+G319</f>
      </c>
      <c r="G319" s="204">
        <v>462.67</v>
      </c>
      <c r="H319" s="204">
        <v>697.04</v>
      </c>
      <c r="I319" s="187">
        <v>4</v>
      </c>
      <c r="J319" s="192">
        <v>4</v>
      </c>
      <c r="K319" s="196">
        <v>2610</v>
      </c>
      <c r="L319" s="189">
        <f t="shared" si="196"/>
      </c>
      <c r="M319" s="190">
        <f t="shared" si="418"/>
      </c>
      <c r="N319" s="191">
        <f t="shared" si="8"/>
      </c>
      <c r="O319" s="191">
        <f t="shared" si="301"/>
      </c>
      <c r="P319" s="191">
        <f t="shared" si="346"/>
      </c>
      <c r="Q319" s="191">
        <f t="shared" si="241"/>
      </c>
      <c r="R319" s="191">
        <f t="shared" si="271"/>
      </c>
      <c r="S319" s="191">
        <f t="shared" si="166"/>
      </c>
      <c r="T319" s="191">
        <f t="shared" si="211"/>
      </c>
      <c r="U319" s="189">
        <f t="shared" si="433"/>
      </c>
      <c r="V319" s="189">
        <f t="shared" si="23"/>
      </c>
      <c r="W319" s="189">
        <f t="shared" si="38"/>
      </c>
      <c r="X319" s="189">
        <f t="shared" si="53"/>
      </c>
      <c r="Y319" s="189">
        <f t="shared" si="316"/>
      </c>
      <c r="Z319" s="189">
        <f t="shared" si="361"/>
      </c>
      <c r="AA319" s="190">
        <f t="shared" si="256"/>
      </c>
      <c r="AB319" s="190">
        <f t="shared" si="286"/>
      </c>
      <c r="AC319" s="190">
        <f t="shared" si="181"/>
      </c>
      <c r="AD319" s="189">
        <f t="shared" si="226"/>
      </c>
      <c r="AE319" s="190">
        <f t="shared" si="448"/>
      </c>
      <c r="AF319" s="189">
        <f t="shared" si="68"/>
      </c>
      <c r="AG319" s="189">
        <f t="shared" si="331"/>
      </c>
      <c r="AH319" s="192">
        <v>11507</v>
      </c>
      <c r="AI319" s="192">
        <v>373</v>
      </c>
      <c r="AJ319" s="192">
        <v>627</v>
      </c>
      <c r="AK319" s="192">
        <v>27</v>
      </c>
      <c r="AL319" s="192">
        <v>4</v>
      </c>
      <c r="AM319" s="192">
        <v>3</v>
      </c>
      <c r="AN319" s="192">
        <v>64</v>
      </c>
      <c r="AO319" s="192">
        <v>87</v>
      </c>
      <c r="AP319" s="192">
        <v>6</v>
      </c>
      <c r="AQ319" s="187">
        <v>1</v>
      </c>
      <c r="AR319" s="213">
        <f t="shared" ref="AR319:AR322" si="391">COUNT(AQ319)</f>
      </c>
    </row>
    <row r="320">
      <c r="A320" s="182"/>
      <c r="B320" s="184" t="s">
        <v>191</v>
      </c>
      <c r="C320" s="184" t="s">
        <v>192</v>
      </c>
      <c r="D320" s="183" t="s">
        <v>207</v>
      </c>
      <c r="E320" s="184" t="s">
        <v>202</v>
      </c>
      <c r="F320" s="185">
        <f t="shared" si="139"/>
      </c>
      <c r="G320" s="204">
        <v>797.94</v>
      </c>
      <c r="H320" s="204">
        <v>862.5</v>
      </c>
      <c r="I320" s="187">
        <v>4</v>
      </c>
      <c r="J320" s="192">
        <v>4</v>
      </c>
      <c r="K320" s="188">
        <v>2950.7999999999993</v>
      </c>
      <c r="L320" s="189">
        <f t="shared" si="196"/>
      </c>
      <c r="M320" s="190">
        <f t="shared" si="418"/>
      </c>
      <c r="N320" s="191">
        <f t="shared" si="8"/>
      </c>
      <c r="O320" s="191">
        <f t="shared" si="301"/>
      </c>
      <c r="P320" s="191">
        <f t="shared" si="346"/>
      </c>
      <c r="Q320" s="191">
        <f t="shared" si="241"/>
      </c>
      <c r="R320" s="191">
        <f t="shared" si="271"/>
      </c>
      <c r="S320" s="191">
        <f t="shared" si="166"/>
      </c>
      <c r="T320" s="191">
        <f t="shared" si="211"/>
      </c>
      <c r="U320" s="189">
        <f t="shared" si="433"/>
      </c>
      <c r="V320" s="189">
        <f t="shared" si="23"/>
      </c>
      <c r="W320" s="189">
        <f t="shared" si="38"/>
      </c>
      <c r="X320" s="189">
        <f t="shared" si="53"/>
      </c>
      <c r="Y320" s="189">
        <f t="shared" si="316"/>
      </c>
      <c r="Z320" s="189">
        <f t="shared" si="361"/>
      </c>
      <c r="AA320" s="190">
        <f t="shared" si="256"/>
      </c>
      <c r="AB320" s="190">
        <f t="shared" si="286"/>
      </c>
      <c r="AC320" s="190">
        <f t="shared" si="181"/>
      </c>
      <c r="AD320" s="189">
        <f t="shared" si="226"/>
      </c>
      <c r="AE320" s="190">
        <f t="shared" si="448"/>
      </c>
      <c r="AF320" s="189">
        <f t="shared" si="68"/>
      </c>
      <c r="AG320" s="189">
        <f t="shared" si="331"/>
      </c>
      <c r="AH320" s="192">
        <v>15710</v>
      </c>
      <c r="AI320" s="192">
        <v>478</v>
      </c>
      <c r="AJ320" s="192">
        <v>753</v>
      </c>
      <c r="AK320" s="192">
        <v>38</v>
      </c>
      <c r="AL320" s="192">
        <v>2</v>
      </c>
      <c r="AM320" s="192">
        <v>2</v>
      </c>
      <c r="AN320" s="192">
        <v>75</v>
      </c>
      <c r="AO320" s="192">
        <v>51</v>
      </c>
      <c r="AP320" s="192">
        <v>6</v>
      </c>
      <c r="AQ320" s="187">
        <v>1</v>
      </c>
      <c r="AR320" s="213">
        <f t="shared" si="391"/>
      </c>
    </row>
    <row r="321">
      <c r="A321" s="182"/>
      <c r="B321" s="184" t="s">
        <v>191</v>
      </c>
      <c r="C321" s="184" t="s">
        <v>192</v>
      </c>
      <c r="D321" s="183" t="s">
        <v>207</v>
      </c>
      <c r="E321" s="184" t="s">
        <v>203</v>
      </c>
      <c r="F321" s="185">
        <f t="shared" si="139"/>
      </c>
      <c r="G321" s="204">
        <v>789.9</v>
      </c>
      <c r="H321" s="204">
        <v>911.14</v>
      </c>
      <c r="I321" s="187">
        <v>4</v>
      </c>
      <c r="J321" s="192">
        <v>3</v>
      </c>
      <c r="K321" s="188">
        <v>1747</v>
      </c>
      <c r="L321" s="189">
        <f t="shared" si="196"/>
      </c>
      <c r="M321" s="190">
        <f t="shared" si="418"/>
      </c>
      <c r="N321" s="191">
        <f t="shared" si="8"/>
      </c>
      <c r="O321" s="191">
        <f t="shared" si="301"/>
      </c>
      <c r="P321" s="191">
        <f t="shared" si="346"/>
      </c>
      <c r="Q321" s="191">
        <f t="shared" si="241"/>
      </c>
      <c r="R321" s="191">
        <f t="shared" si="271"/>
      </c>
      <c r="S321" s="191">
        <f t="shared" si="166"/>
      </c>
      <c r="T321" s="191">
        <f t="shared" si="211"/>
      </c>
      <c r="U321" s="189">
        <f t="shared" si="433"/>
      </c>
      <c r="V321" s="189">
        <f t="shared" si="23"/>
      </c>
      <c r="W321" s="189">
        <f t="shared" si="38"/>
      </c>
      <c r="X321" s="189">
        <f t="shared" si="53"/>
      </c>
      <c r="Y321" s="189">
        <f t="shared" si="316"/>
      </c>
      <c r="Z321" s="189">
        <f t="shared" si="361"/>
      </c>
      <c r="AA321" s="190">
        <f t="shared" si="256"/>
      </c>
      <c r="AB321" s="190">
        <f t="shared" si="286"/>
      </c>
      <c r="AC321" s="190">
        <f t="shared" si="181"/>
      </c>
      <c r="AD321" s="189">
        <f t="shared" si="226"/>
      </c>
      <c r="AE321" s="190">
        <f t="shared" si="448"/>
      </c>
      <c r="AF321" s="189">
        <f t="shared" si="68"/>
      </c>
      <c r="AG321" s="189">
        <f t="shared" si="331"/>
      </c>
      <c r="AH321" s="192">
        <v>17203</v>
      </c>
      <c r="AI321" s="192">
        <v>569</v>
      </c>
      <c r="AJ321" s="192">
        <v>862</v>
      </c>
      <c r="AK321" s="192">
        <v>40</v>
      </c>
      <c r="AL321" s="192">
        <v>4</v>
      </c>
      <c r="AM321" s="192">
        <v>3</v>
      </c>
      <c r="AN321" s="192">
        <v>88</v>
      </c>
      <c r="AO321" s="192">
        <v>82</v>
      </c>
      <c r="AP321" s="192">
        <v>8</v>
      </c>
      <c r="AQ321" s="187">
        <v>0</v>
      </c>
      <c r="AR321" s="213">
        <f t="shared" si="391"/>
      </c>
    </row>
    <row r="322">
      <c r="A322" s="182"/>
      <c r="B322" s="184" t="s">
        <v>191</v>
      </c>
      <c r="C322" s="184" t="s">
        <v>192</v>
      </c>
      <c r="D322" s="183" t="s">
        <v>207</v>
      </c>
      <c r="E322" s="183" t="s">
        <v>204</v>
      </c>
      <c r="F322" s="185">
        <f t="shared" si="139"/>
      </c>
      <c r="G322" s="204">
        <v>489.9</v>
      </c>
      <c r="H322" s="204">
        <v>541.79</v>
      </c>
      <c r="I322" s="187">
        <v>3</v>
      </c>
      <c r="J322" s="192">
        <v>3</v>
      </c>
      <c r="K322" s="196">
        <v>2260.600000000002</v>
      </c>
      <c r="L322" s="189">
        <f t="shared" si="196"/>
      </c>
      <c r="M322" s="190">
        <f t="shared" si="418"/>
      </c>
      <c r="N322" s="191">
        <f t="shared" si="8"/>
      </c>
      <c r="O322" s="191">
        <f t="shared" si="301"/>
      </c>
      <c r="P322" s="191">
        <f t="shared" si="346"/>
      </c>
      <c r="Q322" s="191">
        <f t="shared" si="241"/>
      </c>
      <c r="R322" s="191">
        <f t="shared" si="271"/>
      </c>
      <c r="S322" s="191">
        <f t="shared" si="166"/>
      </c>
      <c r="T322" s="191">
        <f t="shared" si="211"/>
      </c>
      <c r="U322" s="189">
        <f t="shared" si="433"/>
      </c>
      <c r="V322" s="189">
        <f t="shared" si="23"/>
      </c>
      <c r="W322" s="189">
        <f t="shared" si="38"/>
      </c>
      <c r="X322" s="189">
        <f t="shared" si="53"/>
      </c>
      <c r="Y322" s="189">
        <f t="shared" si="316"/>
      </c>
      <c r="Z322" s="189">
        <f t="shared" si="361"/>
      </c>
      <c r="AA322" s="190">
        <f t="shared" si="256"/>
      </c>
      <c r="AB322" s="190">
        <f t="shared" si="286"/>
      </c>
      <c r="AC322" s="190">
        <f t="shared" si="181"/>
      </c>
      <c r="AD322" s="189">
        <f t="shared" si="226"/>
      </c>
      <c r="AE322" s="190">
        <f t="shared" si="448"/>
      </c>
      <c r="AF322" s="189">
        <f t="shared" si="68"/>
      </c>
      <c r="AG322" s="189">
        <f t="shared" si="331"/>
      </c>
      <c r="AH322" s="192">
        <v>12878</v>
      </c>
      <c r="AI322" s="192">
        <v>440</v>
      </c>
      <c r="AJ322" s="192">
        <v>647</v>
      </c>
      <c r="AK322" s="192">
        <v>29</v>
      </c>
      <c r="AL322" s="192">
        <v>3</v>
      </c>
      <c r="AM322" s="192">
        <v>2</v>
      </c>
      <c r="AN322" s="192">
        <v>52</v>
      </c>
      <c r="AO322" s="192">
        <v>44</v>
      </c>
      <c r="AP322" s="192">
        <v>6</v>
      </c>
      <c r="AQ322" s="187">
        <v>0</v>
      </c>
      <c r="AR322" s="213">
        <f t="shared" si="391"/>
      </c>
    </row>
    <row r="323">
      <c r="A323" s="182"/>
      <c r="B323" s="197" t="s">
        <v>197</v>
      </c>
      <c r="C323" s="197"/>
      <c r="D323" s="197"/>
      <c r="E323" s="197"/>
      <c r="F323" s="198">
        <f>SUM(F319:F322)</f>
      </c>
      <c r="G323" s="198">
        <f>SUM(G319:G322)</f>
      </c>
      <c r="H323" s="198">
        <f>SUM(H319:H322)</f>
      </c>
      <c r="I323" s="199">
        <f>SUM(I319:I322)</f>
      </c>
      <c r="J323" s="199">
        <f>SUM(J319:J322)</f>
      </c>
      <c r="K323" s="198">
        <f>SUM(K319:K322)</f>
      </c>
      <c r="L323" s="200">
        <f t="shared" si="196"/>
      </c>
      <c r="M323" s="201">
        <f t="shared" si="418"/>
      </c>
      <c r="N323" s="202">
        <f t="shared" si="8"/>
      </c>
      <c r="O323" s="202">
        <f t="shared" si="301"/>
      </c>
      <c r="P323" s="202">
        <f t="shared" si="346"/>
      </c>
      <c r="Q323" s="202">
        <f t="shared" si="241"/>
      </c>
      <c r="R323" s="202">
        <f t="shared" si="271"/>
      </c>
      <c r="S323" s="202">
        <f t="shared" si="166"/>
      </c>
      <c r="T323" s="202">
        <f t="shared" si="211"/>
      </c>
      <c r="U323" s="200">
        <f t="shared" si="433"/>
      </c>
      <c r="V323" s="200">
        <f t="shared" si="23"/>
      </c>
      <c r="W323" s="200">
        <f t="shared" si="38"/>
      </c>
      <c r="X323" s="200">
        <f t="shared" si="53"/>
      </c>
      <c r="Y323" s="200">
        <f t="shared" si="316"/>
      </c>
      <c r="Z323" s="200">
        <f t="shared" si="361"/>
      </c>
      <c r="AA323" s="201">
        <f t="shared" si="256"/>
      </c>
      <c r="AB323" s="201">
        <f t="shared" si="286"/>
      </c>
      <c r="AC323" s="201">
        <f t="shared" si="181"/>
      </c>
      <c r="AD323" s="200">
        <f t="shared" si="226"/>
      </c>
      <c r="AE323" s="201">
        <f t="shared" si="448"/>
      </c>
      <c r="AF323" s="200">
        <f t="shared" si="68"/>
      </c>
      <c r="AG323" s="200">
        <f t="shared" si="331"/>
      </c>
      <c r="AH323" s="199">
        <f>SUM(AH319:AH322)</f>
      </c>
      <c r="AI323" s="199">
        <f>SUM(AI319:AI322)</f>
      </c>
      <c r="AJ323" s="199">
        <f>SUM(AJ319:AJ322)</f>
      </c>
      <c r="AK323" s="199">
        <f>SUM(AK319:AK322)</f>
      </c>
      <c r="AL323" s="199">
        <f>SUM(AL319:AL322)</f>
      </c>
      <c r="AM323" s="199">
        <f>SUM(AM319:AM322)</f>
      </c>
      <c r="AN323" s="199">
        <f>SUM(AN319:AN322)</f>
      </c>
      <c r="AO323" s="199">
        <f>SUM(AO319:AO322)</f>
      </c>
      <c r="AP323" s="199">
        <f>SUM(AP319:AP322)</f>
      </c>
      <c r="AQ323" s="199">
        <f>SUM(AQ319:AQ322)</f>
      </c>
      <c r="AR323" s="203">
        <f>SUM(AR319:AR322)</f>
      </c>
    </row>
    <row r="324">
      <c r="A324" s="182"/>
      <c r="B324" s="205" t="s">
        <v>205</v>
      </c>
      <c r="C324" s="205"/>
      <c r="D324" s="205"/>
      <c r="E324" s="205"/>
      <c r="F324" s="206">
        <f>H324+G324</f>
      </c>
      <c r="G324" s="206">
        <f>G318+G313+G323</f>
      </c>
      <c r="H324" s="206">
        <f>H318+H313+H323</f>
      </c>
      <c r="I324" s="206">
        <f>I318+I313+I323</f>
      </c>
      <c r="J324" s="206">
        <f>J318+J313+J323</f>
      </c>
      <c r="K324" s="206">
        <f>K318+K313+K323</f>
      </c>
      <c r="L324" s="207">
        <f t="shared" si="196"/>
      </c>
      <c r="M324" s="208">
        <f t="shared" si="418"/>
      </c>
      <c r="N324" s="209">
        <f t="shared" si="8"/>
      </c>
      <c r="O324" s="209">
        <f t="shared" si="301"/>
      </c>
      <c r="P324" s="209">
        <f t="shared" si="346"/>
      </c>
      <c r="Q324" s="209">
        <f t="shared" si="241"/>
      </c>
      <c r="R324" s="209">
        <f t="shared" si="271"/>
      </c>
      <c r="S324" s="209">
        <f t="shared" si="166"/>
      </c>
      <c r="T324" s="209">
        <f t="shared" si="211"/>
      </c>
      <c r="U324" s="207">
        <f t="shared" si="433"/>
      </c>
      <c r="V324" s="207">
        <f t="shared" si="23"/>
      </c>
      <c r="W324" s="207">
        <f t="shared" si="38"/>
      </c>
      <c r="X324" s="207">
        <f t="shared" si="53"/>
      </c>
      <c r="Y324" s="207">
        <f t="shared" si="316"/>
      </c>
      <c r="Z324" s="207">
        <f t="shared" si="361"/>
      </c>
      <c r="AA324" s="208">
        <f t="shared" si="256"/>
      </c>
      <c r="AB324" s="208">
        <f t="shared" si="286"/>
      </c>
      <c r="AC324" s="208">
        <f t="shared" si="181"/>
      </c>
      <c r="AD324" s="207">
        <f t="shared" si="226"/>
      </c>
      <c r="AE324" s="208">
        <f t="shared" si="448"/>
      </c>
      <c r="AF324" s="207">
        <f t="shared" si="68"/>
      </c>
      <c r="AG324" s="207">
        <f t="shared" si="331"/>
      </c>
      <c r="AH324" s="203">
        <f>AH318+AH313+AH323</f>
      </c>
      <c r="AI324" s="203">
        <f>AI318+AI313+AI323</f>
      </c>
      <c r="AJ324" s="203">
        <f>AJ318+AJ313+AJ323</f>
      </c>
      <c r="AK324" s="203">
        <f>AK318+AK313+AK323</f>
      </c>
      <c r="AL324" s="203">
        <f>AL318+AL313+AL323</f>
      </c>
      <c r="AM324" s="203">
        <f>AM318+AM313+AM323</f>
      </c>
      <c r="AN324" s="203">
        <f>AN318+AN313+AN323</f>
      </c>
      <c r="AO324" s="203">
        <f>AO318+AO313+AO323</f>
      </c>
      <c r="AP324" s="203">
        <f>AP318+AP313+AP323</f>
      </c>
      <c r="AQ324" s="203">
        <f>AQ318+AQ313+AQ323</f>
      </c>
      <c r="AR324" s="203">
        <f>AR318+AR313+AR323</f>
      </c>
    </row>
    <row r="325">
      <c r="A325" s="159"/>
      <c r="B325" s="159"/>
      <c r="C325" s="159"/>
      <c r="D325" s="159"/>
      <c r="E325" s="159"/>
      <c r="F325" s="160" t="s">
        <v>143</v>
      </c>
      <c r="G325" s="160"/>
      <c r="H325" s="160"/>
      <c r="I325" s="160"/>
      <c r="J325" s="160"/>
      <c r="K325" s="160"/>
      <c r="L325" s="160"/>
      <c r="M325" s="160"/>
      <c r="N325" s="160"/>
      <c r="O325" s="160"/>
      <c r="P325" s="160"/>
      <c r="Q325" s="161" t="s">
        <v>144</v>
      </c>
      <c r="R325" s="161"/>
      <c r="S325" s="161"/>
      <c r="T325" s="161"/>
      <c r="U325" s="161"/>
      <c r="V325" s="161"/>
      <c r="W325" s="161"/>
      <c r="X325" s="161"/>
      <c r="Y325" s="161"/>
      <c r="Z325" s="161"/>
      <c r="AA325" s="161"/>
      <c r="AB325" s="161"/>
      <c r="AC325" s="162" t="s">
        <v>145</v>
      </c>
      <c r="AD325" s="162"/>
      <c r="AE325" s="162"/>
      <c r="AF325" s="162"/>
      <c r="AG325" s="162"/>
      <c r="AH325" s="163" t="s">
        <v>146</v>
      </c>
      <c r="AI325" s="163"/>
      <c r="AJ325" s="163"/>
      <c r="AK325" s="163"/>
      <c r="AL325" s="163"/>
      <c r="AM325" s="163"/>
      <c r="AN325" s="163"/>
      <c r="AO325" s="163"/>
      <c r="AP325" s="163"/>
      <c r="AQ325" s="163"/>
      <c r="AR325" s="163"/>
    </row>
    <row r="326">
      <c r="A326" s="164" t="s">
        <v>147</v>
      </c>
      <c r="B326" s="165" t="s">
        <v>148</v>
      </c>
      <c r="C326" s="165" t="s">
        <v>149</v>
      </c>
      <c r="D326" s="166" t="s">
        <v>150</v>
      </c>
      <c r="E326" s="167" t="s">
        <v>151</v>
      </c>
      <c r="F326" s="168" t="s">
        <v>152</v>
      </c>
      <c r="G326" s="169" t="s">
        <v>153</v>
      </c>
      <c r="H326" s="170" t="s">
        <v>154</v>
      </c>
      <c r="I326" s="171" t="s">
        <v>155</v>
      </c>
      <c r="J326" s="171" t="s">
        <v>156</v>
      </c>
      <c r="K326" s="170" t="s">
        <v>157</v>
      </c>
      <c r="L326" s="172" t="s">
        <v>158</v>
      </c>
      <c r="M326" s="173" t="s">
        <v>159</v>
      </c>
      <c r="N326" s="174" t="s">
        <v>160</v>
      </c>
      <c r="O326" s="174" t="s">
        <v>161</v>
      </c>
      <c r="P326" s="175" t="s">
        <v>162</v>
      </c>
      <c r="Q326" s="161" t="s">
        <v>163</v>
      </c>
      <c r="R326" s="176" t="s">
        <v>164</v>
      </c>
      <c r="S326" s="176" t="s">
        <v>165</v>
      </c>
      <c r="T326" s="176" t="s">
        <v>166</v>
      </c>
      <c r="U326" s="177" t="s">
        <v>167</v>
      </c>
      <c r="V326" s="177" t="s">
        <v>168</v>
      </c>
      <c r="W326" s="177" t="s">
        <v>169</v>
      </c>
      <c r="X326" s="177" t="s">
        <v>170</v>
      </c>
      <c r="Y326" s="177" t="s">
        <v>171</v>
      </c>
      <c r="Z326" s="177" t="s">
        <v>172</v>
      </c>
      <c r="AA326" s="178" t="s">
        <v>173</v>
      </c>
      <c r="AB326" s="178" t="s">
        <v>174</v>
      </c>
      <c r="AC326" s="162" t="s">
        <v>175</v>
      </c>
      <c r="AD326" s="179" t="s">
        <v>176</v>
      </c>
      <c r="AE326" s="162" t="s">
        <v>177</v>
      </c>
      <c r="AF326" s="179" t="s">
        <v>178</v>
      </c>
      <c r="AG326" s="179" t="s">
        <v>179</v>
      </c>
      <c r="AH326" s="180" t="s">
        <v>180</v>
      </c>
      <c r="AI326" s="180" t="s">
        <v>181</v>
      </c>
      <c r="AJ326" s="180" t="s">
        <v>182</v>
      </c>
      <c r="AK326" s="180" t="s">
        <v>183</v>
      </c>
      <c r="AL326" s="180" t="s">
        <v>184</v>
      </c>
      <c r="AM326" s="180" t="s">
        <v>185</v>
      </c>
      <c r="AN326" s="180" t="s">
        <v>186</v>
      </c>
      <c r="AO326" s="180" t="s">
        <v>187</v>
      </c>
      <c r="AP326" s="180" t="s">
        <v>188</v>
      </c>
      <c r="AQ326" s="180" t="s">
        <v>189</v>
      </c>
      <c r="AR326" s="181" t="s">
        <v>190</v>
      </c>
    </row>
    <row r="327">
      <c r="A327" s="182">
        <v>46290</v>
      </c>
      <c r="B327" s="184" t="s">
        <v>191</v>
      </c>
      <c r="C327" s="184" t="s">
        <v>192</v>
      </c>
      <c r="D327" s="183" t="s">
        <v>206</v>
      </c>
      <c r="E327" s="183" t="s">
        <v>209</v>
      </c>
      <c r="F327" s="185">
        <f t="shared" ref="F327:F330" si="140">H327+G327</f>
      </c>
      <c r="G327" s="204">
        <v>645.92</v>
      </c>
      <c r="H327" s="204">
        <v>495.88</v>
      </c>
      <c r="I327" s="187">
        <v>0</v>
      </c>
      <c r="J327" s="187">
        <v>0</v>
      </c>
      <c r="K327" s="188">
        <v>0</v>
      </c>
      <c r="L327" s="189">
        <f t="shared" ref="L327:L342" si="197">AQ327/J327</f>
      </c>
      <c r="M327" s="190">
        <f t="shared" ref="M327:M342" si="419">K327/J327</f>
      </c>
      <c r="N327" s="191">
        <f t="shared" ref="N327:N342" si="9">F327/J327</f>
      </c>
      <c r="O327" s="191">
        <f t="shared" ref="O327:O342" si="302">K327/F327</f>
      </c>
      <c r="P327" s="191">
        <f t="shared" ref="P327:P342" si="347">K327/((300*AR327)+F327)</f>
      </c>
      <c r="Q327" s="191">
        <f t="shared" ref="Q327:Q342" si="242">F327/AJ327</f>
      </c>
      <c r="R327" s="191">
        <f t="shared" ref="R327:R342" si="272">F327/AK327</f>
      </c>
      <c r="S327" s="191">
        <f t="shared" ref="S327:S342" si="167">F327/AL327</f>
      </c>
      <c r="T327" s="191">
        <f t="shared" ref="T327:T342" si="212">F327/AM327</f>
      </c>
      <c r="U327" s="189">
        <f t="shared" ref="U327:U342" si="434">AI327/AJ327</f>
      </c>
      <c r="V327" s="189">
        <f t="shared" ref="V327:V342" si="24">AK327/AJ327</f>
      </c>
      <c r="W327" s="189">
        <f t="shared" ref="W327:W342" si="39">AL327/AK327</f>
      </c>
      <c r="X327" s="189">
        <f t="shared" ref="X327:X342" si="54">AM327/AL327</f>
      </c>
      <c r="Y327" s="189">
        <f t="shared" ref="Y327:Y342" si="317">AI327/AH327</f>
      </c>
      <c r="Z327" s="189">
        <f t="shared" ref="Z327:Z342" si="362">AM327/AI327</f>
      </c>
      <c r="AA327" s="190">
        <f t="shared" ref="AA327:AA342" si="257">F327/AH327*1000</f>
      </c>
      <c r="AB327" s="190">
        <f t="shared" ref="AB327:AB342" si="287">F327/AI327</f>
      </c>
      <c r="AC327" s="190">
        <f t="shared" ref="AC327:AC342" si="182">F327/AN327</f>
      </c>
      <c r="AD327" s="189">
        <f t="shared" ref="AD327:AD342" si="227">AN327/AJ327</f>
      </c>
      <c r="AE327" s="190">
        <f t="shared" ref="AE327:AE342" si="449">F327/AO327</f>
      </c>
      <c r="AF327" s="189">
        <f t="shared" ref="AF327:AF342" si="69">AO327/AJ327</f>
      </c>
      <c r="AG327" s="189">
        <f t="shared" ref="AG327:AG342" si="332">AP327/AJ327</f>
      </c>
      <c r="AH327" s="192">
        <v>11145</v>
      </c>
      <c r="AI327" s="193">
        <v>293</v>
      </c>
      <c r="AJ327" s="193">
        <v>399</v>
      </c>
      <c r="AK327" s="192">
        <v>33</v>
      </c>
      <c r="AL327" s="192">
        <v>0</v>
      </c>
      <c r="AM327" s="192">
        <v>0</v>
      </c>
      <c r="AN327" s="192">
        <v>42</v>
      </c>
      <c r="AO327" s="192">
        <v>46</v>
      </c>
      <c r="AP327" s="192">
        <v>7</v>
      </c>
      <c r="AQ327" s="187">
        <v>0</v>
      </c>
      <c r="AR327" s="213">
        <f t="shared" ref="AR327:AR330" si="392">COUNT(AQ327)</f>
      </c>
    </row>
    <row r="328">
      <c r="A328" s="182"/>
      <c r="B328" s="184" t="s">
        <v>191</v>
      </c>
      <c r="C328" s="184" t="s">
        <v>192</v>
      </c>
      <c r="D328" s="183" t="s">
        <v>206</v>
      </c>
      <c r="E328" s="183" t="s">
        <v>210</v>
      </c>
      <c r="F328" s="185">
        <f t="shared" si="140"/>
      </c>
      <c r="G328" s="212">
        <v>723.52</v>
      </c>
      <c r="H328" s="204">
        <v>387.32</v>
      </c>
      <c r="I328" s="187">
        <v>1</v>
      </c>
      <c r="J328" s="187">
        <v>1</v>
      </c>
      <c r="K328" s="188">
        <v>862.8000000000001</v>
      </c>
      <c r="L328" s="189">
        <f t="shared" si="197"/>
      </c>
      <c r="M328" s="190">
        <f t="shared" si="419"/>
      </c>
      <c r="N328" s="191">
        <f t="shared" si="9"/>
      </c>
      <c r="O328" s="191">
        <f t="shared" si="302"/>
      </c>
      <c r="P328" s="191">
        <f t="shared" si="347"/>
      </c>
      <c r="Q328" s="191">
        <f t="shared" si="242"/>
      </c>
      <c r="R328" s="191">
        <f t="shared" si="272"/>
      </c>
      <c r="S328" s="191">
        <f t="shared" si="167"/>
      </c>
      <c r="T328" s="191">
        <f t="shared" si="212"/>
      </c>
      <c r="U328" s="189">
        <f t="shared" si="434"/>
      </c>
      <c r="V328" s="189">
        <f t="shared" si="24"/>
      </c>
      <c r="W328" s="189">
        <f t="shared" si="39"/>
      </c>
      <c r="X328" s="189">
        <f t="shared" si="54"/>
      </c>
      <c r="Y328" s="189">
        <f t="shared" si="317"/>
      </c>
      <c r="Z328" s="189">
        <f t="shared" si="362"/>
      </c>
      <c r="AA328" s="190">
        <f t="shared" si="257"/>
      </c>
      <c r="AB328" s="190">
        <f t="shared" si="287"/>
      </c>
      <c r="AC328" s="190">
        <f t="shared" si="182"/>
      </c>
      <c r="AD328" s="189">
        <f t="shared" si="227"/>
      </c>
      <c r="AE328" s="190">
        <f t="shared" si="449"/>
      </c>
      <c r="AF328" s="189">
        <f t="shared" si="69"/>
      </c>
      <c r="AG328" s="189">
        <f t="shared" si="332"/>
      </c>
      <c r="AH328" s="192">
        <v>9116</v>
      </c>
      <c r="AI328" s="192">
        <v>226</v>
      </c>
      <c r="AJ328" s="192">
        <v>343</v>
      </c>
      <c r="AK328" s="192">
        <v>29</v>
      </c>
      <c r="AL328" s="192">
        <v>1</v>
      </c>
      <c r="AM328" s="192">
        <v>1</v>
      </c>
      <c r="AN328" s="192">
        <v>34</v>
      </c>
      <c r="AO328" s="192">
        <v>32</v>
      </c>
      <c r="AP328" s="192">
        <v>3</v>
      </c>
      <c r="AQ328" s="187">
        <v>0</v>
      </c>
      <c r="AR328" s="213">
        <f t="shared" si="392"/>
      </c>
    </row>
    <row r="329">
      <c r="A329" s="182"/>
      <c r="B329" s="184" t="s">
        <v>191</v>
      </c>
      <c r="C329" s="184" t="s">
        <v>192</v>
      </c>
      <c r="D329" s="183" t="s">
        <v>206</v>
      </c>
      <c r="E329" s="183" t="s">
        <v>211</v>
      </c>
      <c r="F329" s="185">
        <f t="shared" si="140"/>
      </c>
      <c r="G329" s="204">
        <v>1222.74</v>
      </c>
      <c r="H329" s="204">
        <v>227.57</v>
      </c>
      <c r="I329" s="187">
        <v>7</v>
      </c>
      <c r="J329" s="187">
        <v>7</v>
      </c>
      <c r="K329" s="188">
        <v>6364.799999999999</v>
      </c>
      <c r="L329" s="189">
        <f t="shared" si="197"/>
      </c>
      <c r="M329" s="190">
        <f t="shared" si="419"/>
      </c>
      <c r="N329" s="191">
        <f t="shared" si="9"/>
      </c>
      <c r="O329" s="191">
        <f t="shared" si="302"/>
      </c>
      <c r="P329" s="191">
        <f t="shared" si="347"/>
      </c>
      <c r="Q329" s="191">
        <f t="shared" si="242"/>
      </c>
      <c r="R329" s="191">
        <f t="shared" si="272"/>
      </c>
      <c r="S329" s="191">
        <f t="shared" si="167"/>
      </c>
      <c r="T329" s="191">
        <f t="shared" si="212"/>
      </c>
      <c r="U329" s="189">
        <f t="shared" si="434"/>
      </c>
      <c r="V329" s="189">
        <f t="shared" si="24"/>
      </c>
      <c r="W329" s="189">
        <f t="shared" si="39"/>
      </c>
      <c r="X329" s="189">
        <f t="shared" si="54"/>
      </c>
      <c r="Y329" s="189">
        <f t="shared" si="317"/>
      </c>
      <c r="Z329" s="189">
        <f t="shared" si="362"/>
      </c>
      <c r="AA329" s="190">
        <f t="shared" si="257"/>
      </c>
      <c r="AB329" s="190">
        <f t="shared" si="287"/>
      </c>
      <c r="AC329" s="190">
        <f t="shared" si="182"/>
      </c>
      <c r="AD329" s="189">
        <f t="shared" si="227"/>
      </c>
      <c r="AE329" s="190">
        <f t="shared" si="449"/>
      </c>
      <c r="AF329" s="189">
        <f t="shared" si="69"/>
      </c>
      <c r="AG329" s="189">
        <f t="shared" si="332"/>
      </c>
      <c r="AH329" s="192">
        <v>11501</v>
      </c>
      <c r="AI329" s="192">
        <v>246</v>
      </c>
      <c r="AJ329" s="192">
        <v>356</v>
      </c>
      <c r="AK329" s="192">
        <v>33</v>
      </c>
      <c r="AL329" s="187">
        <v>6</v>
      </c>
      <c r="AM329" s="192">
        <v>6</v>
      </c>
      <c r="AN329" s="192">
        <v>60</v>
      </c>
      <c r="AO329" s="192">
        <v>61</v>
      </c>
      <c r="AP329" s="192">
        <v>6</v>
      </c>
      <c r="AQ329" s="187">
        <v>1</v>
      </c>
      <c r="AR329" s="213">
        <f t="shared" si="392"/>
      </c>
    </row>
    <row r="330">
      <c r="A330" s="182"/>
      <c r="B330" s="184" t="s">
        <v>191</v>
      </c>
      <c r="C330" s="184" t="s">
        <v>192</v>
      </c>
      <c r="D330" s="183" t="s">
        <v>206</v>
      </c>
      <c r="E330" s="183" t="s">
        <v>212</v>
      </c>
      <c r="F330" s="185">
        <f t="shared" si="140"/>
      </c>
      <c r="G330" s="204">
        <v>2230.92</v>
      </c>
      <c r="H330" s="204">
        <v>376.51</v>
      </c>
      <c r="I330" s="187">
        <v>4</v>
      </c>
      <c r="J330" s="187">
        <v>4</v>
      </c>
      <c r="K330" s="188">
        <v>2809.2</v>
      </c>
      <c r="L330" s="189">
        <f t="shared" si="197"/>
      </c>
      <c r="M330" s="190">
        <f t="shared" si="419"/>
      </c>
      <c r="N330" s="191">
        <f t="shared" si="9"/>
      </c>
      <c r="O330" s="191">
        <f t="shared" si="302"/>
      </c>
      <c r="P330" s="191">
        <f t="shared" si="347"/>
      </c>
      <c r="Q330" s="191">
        <f t="shared" si="242"/>
      </c>
      <c r="R330" s="191">
        <f t="shared" si="272"/>
      </c>
      <c r="S330" s="191">
        <f t="shared" si="167"/>
      </c>
      <c r="T330" s="191">
        <f t="shared" si="212"/>
      </c>
      <c r="U330" s="189">
        <f t="shared" si="434"/>
      </c>
      <c r="V330" s="189">
        <f t="shared" si="24"/>
      </c>
      <c r="W330" s="189">
        <f t="shared" si="39"/>
      </c>
      <c r="X330" s="189">
        <f t="shared" si="54"/>
      </c>
      <c r="Y330" s="189">
        <f t="shared" si="317"/>
      </c>
      <c r="Z330" s="189">
        <f t="shared" si="362"/>
      </c>
      <c r="AA330" s="190">
        <f t="shared" si="257"/>
      </c>
      <c r="AB330" s="190">
        <f t="shared" si="287"/>
      </c>
      <c r="AC330" s="190">
        <f t="shared" si="182"/>
      </c>
      <c r="AD330" s="189">
        <f t="shared" si="227"/>
      </c>
      <c r="AE330" s="190">
        <f t="shared" si="449"/>
      </c>
      <c r="AF330" s="189">
        <f t="shared" si="69"/>
      </c>
      <c r="AG330" s="189">
        <f t="shared" si="332"/>
      </c>
      <c r="AH330" s="192">
        <v>23938</v>
      </c>
      <c r="AI330" s="192">
        <v>449</v>
      </c>
      <c r="AJ330" s="192">
        <v>617</v>
      </c>
      <c r="AK330" s="192">
        <v>54</v>
      </c>
      <c r="AL330" s="187">
        <v>3</v>
      </c>
      <c r="AM330" s="192">
        <v>3</v>
      </c>
      <c r="AN330" s="192">
        <v>105</v>
      </c>
      <c r="AO330" s="192">
        <v>82</v>
      </c>
      <c r="AP330" s="192">
        <v>5</v>
      </c>
      <c r="AQ330" s="187">
        <v>1</v>
      </c>
      <c r="AR330" s="213">
        <f t="shared" si="392"/>
      </c>
    </row>
    <row r="331">
      <c r="A331" s="182"/>
      <c r="B331" s="197" t="s">
        <v>197</v>
      </c>
      <c r="C331" s="197"/>
      <c r="D331" s="197"/>
      <c r="E331" s="197"/>
      <c r="F331" s="198">
        <f>SUM(F327:F330)</f>
      </c>
      <c r="G331" s="198">
        <f>SUM(G327:G330)</f>
      </c>
      <c r="H331" s="198">
        <f>SUM(H327:H330)</f>
      </c>
      <c r="I331" s="199">
        <f>SUM(I327:I330)</f>
      </c>
      <c r="J331" s="199">
        <f>SUM(J327:J330)</f>
      </c>
      <c r="K331" s="198">
        <f>SUM(K327:K330)</f>
      </c>
      <c r="L331" s="200">
        <f t="shared" si="197"/>
      </c>
      <c r="M331" s="201">
        <f t="shared" si="419"/>
      </c>
      <c r="N331" s="202">
        <f t="shared" si="9"/>
      </c>
      <c r="O331" s="202">
        <f t="shared" si="302"/>
      </c>
      <c r="P331" s="202">
        <f t="shared" si="347"/>
      </c>
      <c r="Q331" s="202">
        <f t="shared" si="242"/>
      </c>
      <c r="R331" s="202">
        <f t="shared" si="272"/>
      </c>
      <c r="S331" s="202">
        <f t="shared" si="167"/>
      </c>
      <c r="T331" s="202">
        <f t="shared" si="212"/>
      </c>
      <c r="U331" s="200">
        <f t="shared" si="434"/>
      </c>
      <c r="V331" s="200">
        <f t="shared" si="24"/>
      </c>
      <c r="W331" s="200">
        <f t="shared" si="39"/>
      </c>
      <c r="X331" s="200">
        <f t="shared" si="54"/>
      </c>
      <c r="Y331" s="200">
        <f t="shared" si="317"/>
      </c>
      <c r="Z331" s="200">
        <f t="shared" si="362"/>
      </c>
      <c r="AA331" s="201">
        <f t="shared" si="257"/>
      </c>
      <c r="AB331" s="201">
        <f t="shared" si="287"/>
      </c>
      <c r="AC331" s="201">
        <f t="shared" si="182"/>
      </c>
      <c r="AD331" s="200">
        <f t="shared" si="227"/>
      </c>
      <c r="AE331" s="201">
        <f t="shared" si="449"/>
      </c>
      <c r="AF331" s="200">
        <f t="shared" si="69"/>
      </c>
      <c r="AG331" s="200">
        <f t="shared" si="332"/>
      </c>
      <c r="AH331" s="199">
        <f>SUM(AH327:AH330)</f>
      </c>
      <c r="AI331" s="199">
        <f>SUM(AI327:AI330)</f>
      </c>
      <c r="AJ331" s="199">
        <f>SUM(AJ327:AJ330)</f>
      </c>
      <c r="AK331" s="199">
        <f>SUM(AK327:AK330)</f>
      </c>
      <c r="AL331" s="199">
        <f>SUM(AL327:AL330)</f>
      </c>
      <c r="AM331" s="199">
        <f>SUM(AM327:AM330)</f>
      </c>
      <c r="AN331" s="199">
        <f>SUM(AN327:AN330)</f>
      </c>
      <c r="AO331" s="199">
        <f>SUM(AO327:AO330)</f>
      </c>
      <c r="AP331" s="199">
        <f>SUM(AP327:AP330)</f>
      </c>
      <c r="AQ331" s="199">
        <f>SUM(AQ327:AQ330)</f>
      </c>
      <c r="AR331" s="203">
        <f>SUM(AR327:AR330)</f>
      </c>
    </row>
    <row r="332">
      <c r="A332" s="182"/>
      <c r="B332" s="184" t="s">
        <v>191</v>
      </c>
      <c r="C332" s="184" t="s">
        <v>192</v>
      </c>
      <c r="D332" s="183" t="s">
        <v>207</v>
      </c>
      <c r="E332" s="183" t="s">
        <v>194</v>
      </c>
      <c r="F332" s="185">
        <f t="shared" ref="F332:F335" si="141">H332+G332</f>
      </c>
      <c r="G332" s="204">
        <v>1531.67</v>
      </c>
      <c r="H332" s="204">
        <v>358.22</v>
      </c>
      <c r="I332" s="187">
        <v>3</v>
      </c>
      <c r="J332" s="187">
        <v>3</v>
      </c>
      <c r="K332" s="188">
        <v>1303.2000000000007</v>
      </c>
      <c r="L332" s="189">
        <f t="shared" si="197"/>
      </c>
      <c r="M332" s="190">
        <f t="shared" si="419"/>
      </c>
      <c r="N332" s="191">
        <f t="shared" si="9"/>
      </c>
      <c r="O332" s="191">
        <f t="shared" si="302"/>
      </c>
      <c r="P332" s="191">
        <f t="shared" si="347"/>
      </c>
      <c r="Q332" s="191">
        <f t="shared" si="242"/>
      </c>
      <c r="R332" s="191">
        <f t="shared" si="272"/>
      </c>
      <c r="S332" s="191">
        <f t="shared" si="167"/>
      </c>
      <c r="T332" s="191">
        <f t="shared" si="212"/>
      </c>
      <c r="U332" s="189">
        <f t="shared" si="434"/>
      </c>
      <c r="V332" s="189">
        <f t="shared" si="24"/>
      </c>
      <c r="W332" s="189">
        <f t="shared" si="39"/>
      </c>
      <c r="X332" s="189">
        <f t="shared" si="54"/>
      </c>
      <c r="Y332" s="189">
        <f t="shared" si="317"/>
      </c>
      <c r="Z332" s="189">
        <f t="shared" si="362"/>
      </c>
      <c r="AA332" s="190">
        <f t="shared" si="257"/>
      </c>
      <c r="AB332" s="190">
        <f t="shared" si="287"/>
      </c>
      <c r="AC332" s="190">
        <f t="shared" si="182"/>
      </c>
      <c r="AD332" s="189">
        <f t="shared" si="227"/>
      </c>
      <c r="AE332" s="190">
        <f t="shared" si="449"/>
      </c>
      <c r="AF332" s="189">
        <f t="shared" si="69"/>
      </c>
      <c r="AG332" s="189">
        <f t="shared" si="332"/>
      </c>
      <c r="AH332" s="192">
        <v>17898</v>
      </c>
      <c r="AI332" s="192">
        <v>345</v>
      </c>
      <c r="AJ332" s="192">
        <v>501</v>
      </c>
      <c r="AK332" s="192">
        <v>37</v>
      </c>
      <c r="AL332" s="192">
        <v>2</v>
      </c>
      <c r="AM332" s="192">
        <v>2</v>
      </c>
      <c r="AN332" s="192">
        <v>66</v>
      </c>
      <c r="AO332" s="192">
        <v>37</v>
      </c>
      <c r="AP332" s="192">
        <v>6</v>
      </c>
      <c r="AQ332" s="187">
        <v>1</v>
      </c>
      <c r="AR332" s="213">
        <f t="shared" ref="AR332:AR335" si="393">COUNT(AQ332)</f>
      </c>
    </row>
    <row r="333">
      <c r="A333" s="182"/>
      <c r="B333" s="184" t="s">
        <v>191</v>
      </c>
      <c r="C333" s="184" t="s">
        <v>192</v>
      </c>
      <c r="D333" s="183" t="s">
        <v>207</v>
      </c>
      <c r="E333" s="183" t="s">
        <v>195</v>
      </c>
      <c r="F333" s="185">
        <f t="shared" si="141"/>
      </c>
      <c r="G333" s="204">
        <v>733.17</v>
      </c>
      <c r="H333" s="204">
        <v>332.75</v>
      </c>
      <c r="I333" s="187">
        <v>1</v>
      </c>
      <c r="J333" s="187">
        <v>0</v>
      </c>
      <c r="K333" s="188">
        <v>0</v>
      </c>
      <c r="L333" s="189">
        <f t="shared" si="197"/>
      </c>
      <c r="M333" s="190">
        <f t="shared" si="419"/>
      </c>
      <c r="N333" s="191">
        <f t="shared" si="9"/>
      </c>
      <c r="O333" s="191">
        <f t="shared" si="302"/>
      </c>
      <c r="P333" s="191">
        <f t="shared" si="347"/>
      </c>
      <c r="Q333" s="191">
        <f t="shared" si="242"/>
      </c>
      <c r="R333" s="191">
        <f t="shared" si="272"/>
      </c>
      <c r="S333" s="191">
        <f t="shared" si="167"/>
      </c>
      <c r="T333" s="191">
        <f t="shared" si="212"/>
      </c>
      <c r="U333" s="189">
        <f t="shared" si="434"/>
      </c>
      <c r="V333" s="189">
        <f t="shared" si="24"/>
      </c>
      <c r="W333" s="189">
        <f t="shared" si="39"/>
      </c>
      <c r="X333" s="189">
        <f t="shared" si="54"/>
      </c>
      <c r="Y333" s="189">
        <f t="shared" si="317"/>
      </c>
      <c r="Z333" s="189">
        <f t="shared" si="362"/>
      </c>
      <c r="AA333" s="190">
        <f t="shared" si="257"/>
      </c>
      <c r="AB333" s="190">
        <f t="shared" si="287"/>
      </c>
      <c r="AC333" s="190">
        <f t="shared" si="182"/>
      </c>
      <c r="AD333" s="189">
        <f t="shared" si="227"/>
      </c>
      <c r="AE333" s="190">
        <f t="shared" si="449"/>
      </c>
      <c r="AF333" s="189">
        <f t="shared" si="69"/>
      </c>
      <c r="AG333" s="189">
        <f t="shared" si="332"/>
      </c>
      <c r="AH333" s="192">
        <v>11617</v>
      </c>
      <c r="AI333" s="192">
        <v>241</v>
      </c>
      <c r="AJ333" s="192">
        <v>453</v>
      </c>
      <c r="AK333" s="192">
        <v>20</v>
      </c>
      <c r="AL333" s="192">
        <v>1</v>
      </c>
      <c r="AM333" s="192">
        <v>0</v>
      </c>
      <c r="AN333" s="192">
        <v>41</v>
      </c>
      <c r="AO333" s="192">
        <v>17</v>
      </c>
      <c r="AP333" s="192">
        <v>0</v>
      </c>
      <c r="AQ333" s="187">
        <v>0</v>
      </c>
      <c r="AR333" s="213">
        <f t="shared" si="393"/>
      </c>
    </row>
    <row r="334">
      <c r="A334" s="182"/>
      <c r="B334" s="184" t="s">
        <v>191</v>
      </c>
      <c r="C334" s="184" t="s">
        <v>192</v>
      </c>
      <c r="D334" s="183" t="s">
        <v>207</v>
      </c>
      <c r="E334" s="183" t="s">
        <v>196</v>
      </c>
      <c r="F334" s="185">
        <f t="shared" si="141"/>
      </c>
      <c r="G334" s="204">
        <v>379.22</v>
      </c>
      <c r="H334" s="204">
        <v>363.57</v>
      </c>
      <c r="I334" s="187">
        <v>2</v>
      </c>
      <c r="J334" s="187">
        <v>2</v>
      </c>
      <c r="K334" s="188">
        <v>1201.7999999999993</v>
      </c>
      <c r="L334" s="189">
        <f t="shared" si="197"/>
      </c>
      <c r="M334" s="190">
        <f t="shared" si="419"/>
      </c>
      <c r="N334" s="191">
        <f t="shared" si="9"/>
      </c>
      <c r="O334" s="191">
        <f t="shared" si="302"/>
      </c>
      <c r="P334" s="191">
        <f t="shared" si="347"/>
      </c>
      <c r="Q334" s="191">
        <f t="shared" si="242"/>
      </c>
      <c r="R334" s="191">
        <f t="shared" si="272"/>
      </c>
      <c r="S334" s="191">
        <f t="shared" si="167"/>
      </c>
      <c r="T334" s="191">
        <f t="shared" si="212"/>
      </c>
      <c r="U334" s="189">
        <f t="shared" si="434"/>
      </c>
      <c r="V334" s="189">
        <f t="shared" si="24"/>
      </c>
      <c r="W334" s="189">
        <f t="shared" si="39"/>
      </c>
      <c r="X334" s="189">
        <f t="shared" si="54"/>
      </c>
      <c r="Y334" s="189">
        <f t="shared" si="317"/>
      </c>
      <c r="Z334" s="189">
        <f t="shared" si="362"/>
      </c>
      <c r="AA334" s="190">
        <f t="shared" si="257"/>
      </c>
      <c r="AB334" s="190">
        <f t="shared" si="287"/>
      </c>
      <c r="AC334" s="190">
        <f t="shared" si="182"/>
      </c>
      <c r="AD334" s="189">
        <f t="shared" si="227"/>
      </c>
      <c r="AE334" s="190">
        <f t="shared" si="449"/>
      </c>
      <c r="AF334" s="189">
        <f t="shared" si="69"/>
      </c>
      <c r="AG334" s="189">
        <f t="shared" si="332"/>
      </c>
      <c r="AH334" s="192">
        <v>8379</v>
      </c>
      <c r="AI334" s="192">
        <v>210</v>
      </c>
      <c r="AJ334" s="192">
        <v>431</v>
      </c>
      <c r="AK334" s="192">
        <v>14</v>
      </c>
      <c r="AL334" s="192">
        <v>2</v>
      </c>
      <c r="AM334" s="192">
        <v>2</v>
      </c>
      <c r="AN334" s="192">
        <v>30</v>
      </c>
      <c r="AO334" s="192">
        <v>33</v>
      </c>
      <c r="AP334" s="192">
        <v>2</v>
      </c>
      <c r="AQ334" s="187">
        <v>0</v>
      </c>
      <c r="AR334" s="213">
        <f t="shared" si="393"/>
      </c>
    </row>
    <row r="335">
      <c r="A335" s="182"/>
      <c r="B335" s="184" t="s">
        <v>191</v>
      </c>
      <c r="C335" s="184" t="s">
        <v>192</v>
      </c>
      <c r="D335" s="183" t="s">
        <v>207</v>
      </c>
      <c r="E335" s="183" t="s">
        <v>199</v>
      </c>
      <c r="F335" s="185">
        <f t="shared" si="141"/>
      </c>
      <c r="G335" s="204">
        <v>383.28</v>
      </c>
      <c r="H335" s="204">
        <v>336.16</v>
      </c>
      <c r="I335" s="187">
        <v>2</v>
      </c>
      <c r="J335" s="187">
        <v>2</v>
      </c>
      <c r="K335" s="188">
        <v>1168.7999999999993</v>
      </c>
      <c r="L335" s="189">
        <f t="shared" si="197"/>
      </c>
      <c r="M335" s="190">
        <f t="shared" si="419"/>
      </c>
      <c r="N335" s="191">
        <f t="shared" si="9"/>
      </c>
      <c r="O335" s="191">
        <f t="shared" si="302"/>
      </c>
      <c r="P335" s="191">
        <f t="shared" si="347"/>
      </c>
      <c r="Q335" s="191">
        <f t="shared" si="242"/>
      </c>
      <c r="R335" s="191">
        <f t="shared" si="272"/>
      </c>
      <c r="S335" s="191">
        <f t="shared" si="167"/>
      </c>
      <c r="T335" s="191">
        <f t="shared" si="212"/>
      </c>
      <c r="U335" s="189">
        <f t="shared" si="434"/>
      </c>
      <c r="V335" s="189">
        <f t="shared" si="24"/>
      </c>
      <c r="W335" s="189">
        <f t="shared" si="39"/>
      </c>
      <c r="X335" s="189">
        <f t="shared" si="54"/>
      </c>
      <c r="Y335" s="189">
        <f t="shared" si="317"/>
      </c>
      <c r="Z335" s="189">
        <f t="shared" si="362"/>
      </c>
      <c r="AA335" s="190">
        <f t="shared" si="257"/>
      </c>
      <c r="AB335" s="190">
        <f t="shared" si="287"/>
      </c>
      <c r="AC335" s="190">
        <f t="shared" si="182"/>
      </c>
      <c r="AD335" s="189">
        <f t="shared" si="227"/>
      </c>
      <c r="AE335" s="190">
        <f t="shared" si="449"/>
      </c>
      <c r="AF335" s="189">
        <f t="shared" si="69"/>
      </c>
      <c r="AG335" s="189">
        <f t="shared" si="332"/>
      </c>
      <c r="AH335" s="192">
        <v>6852</v>
      </c>
      <c r="AI335" s="192">
        <v>203</v>
      </c>
      <c r="AJ335" s="192">
        <v>367</v>
      </c>
      <c r="AK335" s="192">
        <v>24</v>
      </c>
      <c r="AL335" s="192">
        <v>1</v>
      </c>
      <c r="AM335" s="192">
        <v>1</v>
      </c>
      <c r="AN335" s="192">
        <v>35</v>
      </c>
      <c r="AO335" s="192">
        <v>42</v>
      </c>
      <c r="AP335" s="192">
        <v>2</v>
      </c>
      <c r="AQ335" s="187">
        <v>1</v>
      </c>
      <c r="AR335" s="213">
        <f t="shared" si="393"/>
      </c>
    </row>
    <row r="336">
      <c r="A336" s="182"/>
      <c r="B336" s="197" t="s">
        <v>197</v>
      </c>
      <c r="C336" s="197"/>
      <c r="D336" s="197"/>
      <c r="E336" s="197"/>
      <c r="F336" s="198">
        <f>SUM(F332:F335)</f>
      </c>
      <c r="G336" s="198">
        <f>SUM(G332:G335)</f>
      </c>
      <c r="H336" s="198">
        <f>SUM(H332:H335)</f>
      </c>
      <c r="I336" s="199">
        <f>SUM(I332:I335)</f>
      </c>
      <c r="J336" s="199">
        <f>SUM(J332:J335)</f>
      </c>
      <c r="K336" s="198">
        <f>SUM(K332:K335)</f>
      </c>
      <c r="L336" s="200">
        <f t="shared" si="197"/>
      </c>
      <c r="M336" s="201">
        <f t="shared" si="419"/>
      </c>
      <c r="N336" s="202">
        <f t="shared" si="9"/>
      </c>
      <c r="O336" s="202">
        <f t="shared" si="302"/>
      </c>
      <c r="P336" s="202">
        <f t="shared" si="347"/>
      </c>
      <c r="Q336" s="202">
        <f t="shared" si="242"/>
      </c>
      <c r="R336" s="202">
        <f t="shared" si="272"/>
      </c>
      <c r="S336" s="202">
        <f t="shared" si="167"/>
      </c>
      <c r="T336" s="202">
        <f t="shared" si="212"/>
      </c>
      <c r="U336" s="200">
        <f t="shared" si="434"/>
      </c>
      <c r="V336" s="200">
        <f t="shared" si="24"/>
      </c>
      <c r="W336" s="200">
        <f t="shared" si="39"/>
      </c>
      <c r="X336" s="200">
        <f t="shared" si="54"/>
      </c>
      <c r="Y336" s="200">
        <f t="shared" si="317"/>
      </c>
      <c r="Z336" s="200">
        <f t="shared" si="362"/>
      </c>
      <c r="AA336" s="201">
        <f t="shared" si="257"/>
      </c>
      <c r="AB336" s="201">
        <f t="shared" si="287"/>
      </c>
      <c r="AC336" s="201">
        <f t="shared" si="182"/>
      </c>
      <c r="AD336" s="200">
        <f t="shared" si="227"/>
      </c>
      <c r="AE336" s="201">
        <f t="shared" si="449"/>
      </c>
      <c r="AF336" s="200">
        <f t="shared" si="69"/>
      </c>
      <c r="AG336" s="200">
        <f t="shared" si="332"/>
      </c>
      <c r="AH336" s="199">
        <f>SUM(AH332:AH335)</f>
      </c>
      <c r="AI336" s="199">
        <f>SUM(AI332:AI335)</f>
      </c>
      <c r="AJ336" s="199">
        <f>SUM(AJ332:AJ335)</f>
      </c>
      <c r="AK336" s="199">
        <f>SUM(AK332:AK335)</f>
      </c>
      <c r="AL336" s="199">
        <f>SUM(AL332:AL335)</f>
      </c>
      <c r="AM336" s="199">
        <f>SUM(AM332:AM335)</f>
      </c>
      <c r="AN336" s="199">
        <f>SUM(AN332:AN335)</f>
      </c>
      <c r="AO336" s="199">
        <f>SUM(AO332:AO335)</f>
      </c>
      <c r="AP336" s="199">
        <f>SUM(AP332:AP335)</f>
      </c>
      <c r="AQ336" s="199">
        <f>SUM(AQ332:AQ335)</f>
      </c>
      <c r="AR336" s="203">
        <f>SUM(AR332:AR335)</f>
      </c>
    </row>
    <row r="337">
      <c r="A337" s="182"/>
      <c r="B337" s="184" t="s">
        <v>191</v>
      </c>
      <c r="C337" s="184" t="s">
        <v>192</v>
      </c>
      <c r="D337" s="183" t="s">
        <v>201</v>
      </c>
      <c r="E337" s="183" t="s">
        <v>200</v>
      </c>
      <c r="F337" s="185">
        <f t="shared" ref="F337:F340" si="142">H337+G337</f>
      </c>
      <c r="G337" s="204">
        <v>436.79</v>
      </c>
      <c r="H337" s="204">
        <v>535.63</v>
      </c>
      <c r="I337" s="187">
        <v>1</v>
      </c>
      <c r="J337" s="192">
        <v>1</v>
      </c>
      <c r="K337" s="196">
        <v>474</v>
      </c>
      <c r="L337" s="189">
        <f t="shared" si="197"/>
      </c>
      <c r="M337" s="190">
        <f t="shared" si="419"/>
      </c>
      <c r="N337" s="191">
        <f t="shared" si="9"/>
      </c>
      <c r="O337" s="191">
        <f t="shared" si="302"/>
      </c>
      <c r="P337" s="191">
        <f t="shared" si="347"/>
      </c>
      <c r="Q337" s="191">
        <f t="shared" si="242"/>
      </c>
      <c r="R337" s="191">
        <f t="shared" si="272"/>
      </c>
      <c r="S337" s="191">
        <f t="shared" si="167"/>
      </c>
      <c r="T337" s="191">
        <f t="shared" si="212"/>
      </c>
      <c r="U337" s="189">
        <f t="shared" si="434"/>
      </c>
      <c r="V337" s="189">
        <f t="shared" si="24"/>
      </c>
      <c r="W337" s="189">
        <f t="shared" si="39"/>
      </c>
      <c r="X337" s="189">
        <f t="shared" si="54"/>
      </c>
      <c r="Y337" s="189">
        <f t="shared" si="317"/>
      </c>
      <c r="Z337" s="189">
        <f t="shared" si="362"/>
      </c>
      <c r="AA337" s="190">
        <f t="shared" si="257"/>
      </c>
      <c r="AB337" s="190">
        <f t="shared" si="287"/>
      </c>
      <c r="AC337" s="190">
        <f t="shared" si="182"/>
      </c>
      <c r="AD337" s="189">
        <f t="shared" si="227"/>
      </c>
      <c r="AE337" s="190">
        <f t="shared" si="449"/>
      </c>
      <c r="AF337" s="189">
        <f t="shared" si="69"/>
      </c>
      <c r="AG337" s="189">
        <f t="shared" si="332"/>
      </c>
      <c r="AH337" s="192">
        <v>8872</v>
      </c>
      <c r="AI337" s="192">
        <v>238</v>
      </c>
      <c r="AJ337" s="192">
        <v>351</v>
      </c>
      <c r="AK337" s="192">
        <v>20</v>
      </c>
      <c r="AL337" s="192">
        <v>1</v>
      </c>
      <c r="AM337" s="192">
        <v>1</v>
      </c>
      <c r="AN337" s="192">
        <v>31</v>
      </c>
      <c r="AO337" s="192">
        <v>21</v>
      </c>
      <c r="AP337" s="192">
        <v>0</v>
      </c>
      <c r="AQ337" s="187">
        <v>0</v>
      </c>
      <c r="AR337" s="213">
        <f t="shared" ref="AR337:AR340" si="394">COUNT(AQ337)</f>
      </c>
    </row>
    <row r="338">
      <c r="A338" s="182"/>
      <c r="B338" s="184" t="s">
        <v>191</v>
      </c>
      <c r="C338" s="184" t="s">
        <v>192</v>
      </c>
      <c r="D338" s="183" t="s">
        <v>201</v>
      </c>
      <c r="E338" s="184" t="s">
        <v>202</v>
      </c>
      <c r="F338" s="185">
        <f t="shared" si="142"/>
      </c>
      <c r="G338" s="204">
        <v>1111.25</v>
      </c>
      <c r="H338" s="204">
        <v>838.32</v>
      </c>
      <c r="I338" s="187">
        <v>9</v>
      </c>
      <c r="J338" s="192">
        <v>9</v>
      </c>
      <c r="K338" s="188">
        <v>7112.2</v>
      </c>
      <c r="L338" s="189">
        <f t="shared" si="197"/>
      </c>
      <c r="M338" s="190">
        <f t="shared" si="419"/>
      </c>
      <c r="N338" s="191">
        <f t="shared" si="9"/>
      </c>
      <c r="O338" s="191">
        <f t="shared" si="302"/>
      </c>
      <c r="P338" s="191">
        <f t="shared" si="347"/>
      </c>
      <c r="Q338" s="191">
        <f t="shared" si="242"/>
      </c>
      <c r="R338" s="191">
        <f t="shared" si="272"/>
      </c>
      <c r="S338" s="191">
        <f t="shared" si="167"/>
      </c>
      <c r="T338" s="191">
        <f t="shared" si="212"/>
      </c>
      <c r="U338" s="189">
        <f t="shared" si="434"/>
      </c>
      <c r="V338" s="189">
        <f t="shared" si="24"/>
      </c>
      <c r="W338" s="189">
        <f t="shared" si="39"/>
      </c>
      <c r="X338" s="189">
        <f t="shared" si="54"/>
      </c>
      <c r="Y338" s="189">
        <f t="shared" si="317"/>
      </c>
      <c r="Z338" s="189">
        <f t="shared" si="362"/>
      </c>
      <c r="AA338" s="190">
        <f t="shared" si="257"/>
      </c>
      <c r="AB338" s="190">
        <f t="shared" si="287"/>
      </c>
      <c r="AC338" s="190">
        <f t="shared" si="182"/>
      </c>
      <c r="AD338" s="189">
        <f t="shared" si="227"/>
      </c>
      <c r="AE338" s="190">
        <f t="shared" si="449"/>
      </c>
      <c r="AF338" s="189">
        <f t="shared" si="69"/>
      </c>
      <c r="AG338" s="189">
        <f t="shared" si="332"/>
      </c>
      <c r="AH338" s="192">
        <v>17937</v>
      </c>
      <c r="AI338" s="192">
        <v>498</v>
      </c>
      <c r="AJ338" s="192">
        <v>717</v>
      </c>
      <c r="AK338" s="192">
        <v>34</v>
      </c>
      <c r="AL338" s="192">
        <v>6</v>
      </c>
      <c r="AM338" s="192">
        <v>6</v>
      </c>
      <c r="AN338" s="192">
        <v>76</v>
      </c>
      <c r="AO338" s="192">
        <v>64</v>
      </c>
      <c r="AP338" s="192">
        <v>8</v>
      </c>
      <c r="AQ338" s="187">
        <v>2</v>
      </c>
      <c r="AR338" s="213">
        <f t="shared" si="394"/>
      </c>
    </row>
    <row r="339">
      <c r="A339" s="182"/>
      <c r="B339" s="184" t="s">
        <v>191</v>
      </c>
      <c r="C339" s="184" t="s">
        <v>192</v>
      </c>
      <c r="D339" s="183" t="s">
        <v>201</v>
      </c>
      <c r="E339" s="184" t="s">
        <v>203</v>
      </c>
      <c r="F339" s="185">
        <f t="shared" si="142"/>
      </c>
      <c r="G339" s="204">
        <v>1700.38</v>
      </c>
      <c r="H339" s="204">
        <v>1481.03</v>
      </c>
      <c r="I339" s="187">
        <v>6</v>
      </c>
      <c r="J339" s="192">
        <v>4</v>
      </c>
      <c r="K339" s="188">
        <v>3154.7999999999993</v>
      </c>
      <c r="L339" s="189">
        <f t="shared" si="197"/>
      </c>
      <c r="M339" s="190">
        <f t="shared" si="419"/>
      </c>
      <c r="N339" s="191">
        <f t="shared" si="9"/>
      </c>
      <c r="O339" s="191">
        <f t="shared" si="302"/>
      </c>
      <c r="P339" s="191">
        <f t="shared" si="347"/>
      </c>
      <c r="Q339" s="191">
        <f t="shared" si="242"/>
      </c>
      <c r="R339" s="191">
        <f t="shared" si="272"/>
      </c>
      <c r="S339" s="191">
        <f t="shared" si="167"/>
      </c>
      <c r="T339" s="191">
        <f t="shared" si="212"/>
      </c>
      <c r="U339" s="189">
        <f t="shared" si="434"/>
      </c>
      <c r="V339" s="189">
        <f t="shared" si="24"/>
      </c>
      <c r="W339" s="189">
        <f t="shared" si="39"/>
      </c>
      <c r="X339" s="189">
        <f t="shared" si="54"/>
      </c>
      <c r="Y339" s="189">
        <f t="shared" si="317"/>
      </c>
      <c r="Z339" s="189">
        <f t="shared" si="362"/>
      </c>
      <c r="AA339" s="190">
        <f t="shared" si="257"/>
      </c>
      <c r="AB339" s="190">
        <f t="shared" si="287"/>
      </c>
      <c r="AC339" s="190">
        <f t="shared" si="182"/>
      </c>
      <c r="AD339" s="189">
        <f t="shared" si="227"/>
      </c>
      <c r="AE339" s="190">
        <f t="shared" si="449"/>
      </c>
      <c r="AF339" s="189">
        <f t="shared" si="69"/>
      </c>
      <c r="AG339" s="189">
        <f t="shared" si="332"/>
      </c>
      <c r="AH339" s="192">
        <v>27836</v>
      </c>
      <c r="AI339" s="192">
        <v>828</v>
      </c>
      <c r="AJ339" s="192">
        <v>1105</v>
      </c>
      <c r="AK339" s="192">
        <v>67</v>
      </c>
      <c r="AL339" s="192">
        <v>8</v>
      </c>
      <c r="AM339" s="192">
        <v>4</v>
      </c>
      <c r="AN339" s="192">
        <v>110</v>
      </c>
      <c r="AO339" s="192">
        <v>89</v>
      </c>
      <c r="AP339" s="192">
        <v>8</v>
      </c>
      <c r="AQ339" s="187">
        <v>0</v>
      </c>
      <c r="AR339" s="213">
        <f t="shared" si="394"/>
      </c>
    </row>
    <row r="340">
      <c r="A340" s="182"/>
      <c r="B340" s="184" t="s">
        <v>191</v>
      </c>
      <c r="C340" s="184" t="s">
        <v>192</v>
      </c>
      <c r="D340" s="183" t="s">
        <v>201</v>
      </c>
      <c r="E340" s="183" t="s">
        <v>204</v>
      </c>
      <c r="F340" s="185">
        <f t="shared" si="142"/>
      </c>
      <c r="G340" s="204">
        <v>487.33</v>
      </c>
      <c r="H340" s="204">
        <v>730.76</v>
      </c>
      <c r="I340" s="187">
        <v>0</v>
      </c>
      <c r="J340" s="187">
        <v>0</v>
      </c>
      <c r="K340" s="188">
        <v>0</v>
      </c>
      <c r="L340" s="189">
        <f t="shared" si="197"/>
      </c>
      <c r="M340" s="190">
        <f t="shared" si="419"/>
      </c>
      <c r="N340" s="191">
        <f t="shared" si="9"/>
      </c>
      <c r="O340" s="191">
        <f t="shared" si="302"/>
      </c>
      <c r="P340" s="191">
        <f t="shared" si="347"/>
      </c>
      <c r="Q340" s="191">
        <f t="shared" si="242"/>
      </c>
      <c r="R340" s="191">
        <f t="shared" si="272"/>
      </c>
      <c r="S340" s="191">
        <f t="shared" si="167"/>
      </c>
      <c r="T340" s="191">
        <f t="shared" si="212"/>
      </c>
      <c r="U340" s="189">
        <f t="shared" si="434"/>
      </c>
      <c r="V340" s="189">
        <f t="shared" si="24"/>
      </c>
      <c r="W340" s="189">
        <f t="shared" si="39"/>
      </c>
      <c r="X340" s="189">
        <f t="shared" si="54"/>
      </c>
      <c r="Y340" s="189">
        <f t="shared" si="317"/>
      </c>
      <c r="Z340" s="189">
        <f t="shared" si="362"/>
      </c>
      <c r="AA340" s="190">
        <f t="shared" si="257"/>
      </c>
      <c r="AB340" s="190">
        <f t="shared" si="287"/>
      </c>
      <c r="AC340" s="190">
        <f t="shared" si="182"/>
      </c>
      <c r="AD340" s="189">
        <f t="shared" si="227"/>
      </c>
      <c r="AE340" s="190">
        <f t="shared" si="449"/>
      </c>
      <c r="AF340" s="189">
        <f t="shared" si="69"/>
      </c>
      <c r="AG340" s="189">
        <f t="shared" si="332"/>
      </c>
      <c r="AH340" s="192">
        <v>12594</v>
      </c>
      <c r="AI340" s="192">
        <v>506</v>
      </c>
      <c r="AJ340" s="192">
        <v>683</v>
      </c>
      <c r="AK340" s="192">
        <v>32</v>
      </c>
      <c r="AL340" s="192">
        <v>0</v>
      </c>
      <c r="AM340" s="192">
        <v>0</v>
      </c>
      <c r="AN340" s="192">
        <v>58</v>
      </c>
      <c r="AO340" s="192">
        <v>24</v>
      </c>
      <c r="AP340" s="192">
        <v>2</v>
      </c>
      <c r="AQ340" s="187">
        <v>0</v>
      </c>
      <c r="AR340" s="213">
        <f t="shared" si="394"/>
      </c>
    </row>
    <row r="341">
      <c r="A341" s="182"/>
      <c r="B341" s="197" t="s">
        <v>197</v>
      </c>
      <c r="C341" s="197"/>
      <c r="D341" s="197"/>
      <c r="E341" s="197"/>
      <c r="F341" s="198">
        <f>SUM(F337:F340)</f>
      </c>
      <c r="G341" s="198">
        <f>SUM(G337:G340)</f>
      </c>
      <c r="H341" s="198">
        <f>SUM(H337:H340)</f>
      </c>
      <c r="I341" s="199">
        <f>SUM(I337:I340)</f>
      </c>
      <c r="J341" s="199">
        <f>SUM(J337:J340)</f>
      </c>
      <c r="K341" s="198">
        <f>SUM(K337:K340)</f>
      </c>
      <c r="L341" s="200">
        <f t="shared" si="197"/>
      </c>
      <c r="M341" s="201">
        <f t="shared" si="419"/>
      </c>
      <c r="N341" s="202">
        <f t="shared" si="9"/>
      </c>
      <c r="O341" s="202">
        <f t="shared" si="302"/>
      </c>
      <c r="P341" s="202">
        <f t="shared" si="347"/>
      </c>
      <c r="Q341" s="202">
        <f t="shared" si="242"/>
      </c>
      <c r="R341" s="202">
        <f t="shared" si="272"/>
      </c>
      <c r="S341" s="202">
        <f t="shared" si="167"/>
      </c>
      <c r="T341" s="202">
        <f t="shared" si="212"/>
      </c>
      <c r="U341" s="200">
        <f t="shared" si="434"/>
      </c>
      <c r="V341" s="200">
        <f t="shared" si="24"/>
      </c>
      <c r="W341" s="200">
        <f t="shared" si="39"/>
      </c>
      <c r="X341" s="200">
        <f t="shared" si="54"/>
      </c>
      <c r="Y341" s="200">
        <f t="shared" si="317"/>
      </c>
      <c r="Z341" s="200">
        <f t="shared" si="362"/>
      </c>
      <c r="AA341" s="201">
        <f t="shared" si="257"/>
      </c>
      <c r="AB341" s="201">
        <f t="shared" si="287"/>
      </c>
      <c r="AC341" s="201">
        <f t="shared" si="182"/>
      </c>
      <c r="AD341" s="200">
        <f t="shared" si="227"/>
      </c>
      <c r="AE341" s="201">
        <f t="shared" si="449"/>
      </c>
      <c r="AF341" s="200">
        <f t="shared" si="69"/>
      </c>
      <c r="AG341" s="200">
        <f t="shared" si="332"/>
      </c>
      <c r="AH341" s="199">
        <f>SUM(AH337:AH340)</f>
      </c>
      <c r="AI341" s="199">
        <f>SUM(AI337:AI340)</f>
      </c>
      <c r="AJ341" s="199">
        <f>SUM(AJ337:AJ340)</f>
      </c>
      <c r="AK341" s="199">
        <f>SUM(AK337:AK340)</f>
      </c>
      <c r="AL341" s="199">
        <f>SUM(AL337:AL340)</f>
      </c>
      <c r="AM341" s="199">
        <f>SUM(AM337:AM340)</f>
      </c>
      <c r="AN341" s="199">
        <f>SUM(AN337:AN340)</f>
      </c>
      <c r="AO341" s="199">
        <f>SUM(AO337:AO340)</f>
      </c>
      <c r="AP341" s="199">
        <f>SUM(AP337:AP340)</f>
      </c>
      <c r="AQ341" s="199">
        <f>SUM(AQ337:AQ340)</f>
      </c>
      <c r="AR341" s="203">
        <f>SUM(AR337:AR340)</f>
      </c>
    </row>
    <row r="342">
      <c r="A342" s="182"/>
      <c r="B342" s="205" t="s">
        <v>205</v>
      </c>
      <c r="C342" s="205"/>
      <c r="D342" s="205"/>
      <c r="E342" s="205"/>
      <c r="F342" s="206">
        <f>H342+G342</f>
      </c>
      <c r="G342" s="206">
        <f>G336+G331+G341</f>
      </c>
      <c r="H342" s="206">
        <f>H336+H331+H341</f>
      </c>
      <c r="I342" s="206">
        <f>I336+I331+I341</f>
      </c>
      <c r="J342" s="206">
        <f>J336+J331+J341</f>
      </c>
      <c r="K342" s="206">
        <f>K336+K331+K341</f>
      </c>
      <c r="L342" s="207">
        <f t="shared" si="197"/>
      </c>
      <c r="M342" s="208">
        <f t="shared" si="419"/>
      </c>
      <c r="N342" s="209">
        <f t="shared" si="9"/>
      </c>
      <c r="O342" s="209">
        <f t="shared" si="302"/>
      </c>
      <c r="P342" s="209">
        <f t="shared" si="347"/>
      </c>
      <c r="Q342" s="209">
        <f t="shared" si="242"/>
      </c>
      <c r="R342" s="209">
        <f t="shared" si="272"/>
      </c>
      <c r="S342" s="209">
        <f t="shared" si="167"/>
      </c>
      <c r="T342" s="209">
        <f t="shared" si="212"/>
      </c>
      <c r="U342" s="207">
        <f t="shared" si="434"/>
      </c>
      <c r="V342" s="207">
        <f t="shared" si="24"/>
      </c>
      <c r="W342" s="207">
        <f t="shared" si="39"/>
      </c>
      <c r="X342" s="207">
        <f t="shared" si="54"/>
      </c>
      <c r="Y342" s="207">
        <f t="shared" si="317"/>
      </c>
      <c r="Z342" s="207">
        <f t="shared" si="362"/>
      </c>
      <c r="AA342" s="208">
        <f t="shared" si="257"/>
      </c>
      <c r="AB342" s="208">
        <f t="shared" si="287"/>
      </c>
      <c r="AC342" s="208">
        <f t="shared" si="182"/>
      </c>
      <c r="AD342" s="207">
        <f t="shared" si="227"/>
      </c>
      <c r="AE342" s="208">
        <f t="shared" si="449"/>
      </c>
      <c r="AF342" s="207">
        <f t="shared" si="69"/>
      </c>
      <c r="AG342" s="207">
        <f t="shared" si="332"/>
      </c>
      <c r="AH342" s="203">
        <f>AH336+AH331+AH341</f>
      </c>
      <c r="AI342" s="203">
        <f>AI336+AI331+AI341</f>
      </c>
      <c r="AJ342" s="203">
        <f>AJ336+AJ331+AJ341</f>
      </c>
      <c r="AK342" s="203">
        <f>AK336+AK331+AK341</f>
      </c>
      <c r="AL342" s="203">
        <f>AL336+AL331+AL341</f>
      </c>
      <c r="AM342" s="203">
        <f>AM336+AM331+AM341</f>
      </c>
      <c r="AN342" s="203">
        <f>AN336+AN331+AN341</f>
      </c>
      <c r="AO342" s="203">
        <f>AO336+AO331+AO341</f>
      </c>
      <c r="AP342" s="203">
        <f>AP336+AP331+AP341</f>
      </c>
      <c r="AQ342" s="203">
        <f>AQ336+AQ331+AQ341</f>
      </c>
      <c r="AR342" s="203">
        <f>AR336+AR331+AR341</f>
      </c>
    </row>
    <row r="343">
      <c r="A343" s="159"/>
      <c r="B343" s="159"/>
      <c r="C343" s="159"/>
      <c r="D343" s="159"/>
      <c r="E343" s="159"/>
      <c r="F343" s="160" t="s">
        <v>143</v>
      </c>
      <c r="G343" s="160"/>
      <c r="H343" s="160"/>
      <c r="I343" s="160"/>
      <c r="J343" s="160"/>
      <c r="K343" s="160"/>
      <c r="L343" s="160"/>
      <c r="M343" s="160"/>
      <c r="N343" s="160"/>
      <c r="O343" s="160"/>
      <c r="P343" s="160"/>
      <c r="Q343" s="161" t="s">
        <v>144</v>
      </c>
      <c r="R343" s="161"/>
      <c r="S343" s="161"/>
      <c r="T343" s="161"/>
      <c r="U343" s="161"/>
      <c r="V343" s="161"/>
      <c r="W343" s="161"/>
      <c r="X343" s="161"/>
      <c r="Y343" s="161"/>
      <c r="Z343" s="161"/>
      <c r="AA343" s="161"/>
      <c r="AB343" s="161"/>
      <c r="AC343" s="162" t="s">
        <v>145</v>
      </c>
      <c r="AD343" s="162"/>
      <c r="AE343" s="162"/>
      <c r="AF343" s="162"/>
      <c r="AG343" s="162"/>
      <c r="AH343" s="163" t="s">
        <v>146</v>
      </c>
      <c r="AI343" s="163"/>
      <c r="AJ343" s="163"/>
      <c r="AK343" s="163"/>
      <c r="AL343" s="163"/>
      <c r="AM343" s="163"/>
      <c r="AN343" s="163"/>
      <c r="AO343" s="163"/>
      <c r="AP343" s="163"/>
      <c r="AQ343" s="163"/>
      <c r="AR343" s="163"/>
    </row>
    <row r="344">
      <c r="A344" s="164" t="s">
        <v>147</v>
      </c>
      <c r="B344" s="165" t="s">
        <v>148</v>
      </c>
      <c r="C344" s="165" t="s">
        <v>149</v>
      </c>
      <c r="D344" s="166" t="s">
        <v>150</v>
      </c>
      <c r="E344" s="167" t="s">
        <v>151</v>
      </c>
      <c r="F344" s="168" t="s">
        <v>152</v>
      </c>
      <c r="G344" s="169" t="s">
        <v>153</v>
      </c>
      <c r="H344" s="170" t="s">
        <v>154</v>
      </c>
      <c r="I344" s="171" t="s">
        <v>155</v>
      </c>
      <c r="J344" s="171" t="s">
        <v>156</v>
      </c>
      <c r="K344" s="170" t="s">
        <v>157</v>
      </c>
      <c r="L344" s="172" t="s">
        <v>158</v>
      </c>
      <c r="M344" s="173" t="s">
        <v>159</v>
      </c>
      <c r="N344" s="174" t="s">
        <v>160</v>
      </c>
      <c r="O344" s="174" t="s">
        <v>161</v>
      </c>
      <c r="P344" s="175" t="s">
        <v>162</v>
      </c>
      <c r="Q344" s="161" t="s">
        <v>163</v>
      </c>
      <c r="R344" s="176" t="s">
        <v>164</v>
      </c>
      <c r="S344" s="176" t="s">
        <v>165</v>
      </c>
      <c r="T344" s="176" t="s">
        <v>166</v>
      </c>
      <c r="U344" s="177" t="s">
        <v>167</v>
      </c>
      <c r="V344" s="177" t="s">
        <v>168</v>
      </c>
      <c r="W344" s="177" t="s">
        <v>169</v>
      </c>
      <c r="X344" s="177" t="s">
        <v>170</v>
      </c>
      <c r="Y344" s="177" t="s">
        <v>171</v>
      </c>
      <c r="Z344" s="177" t="s">
        <v>172</v>
      </c>
      <c r="AA344" s="178" t="s">
        <v>173</v>
      </c>
      <c r="AB344" s="178" t="s">
        <v>174</v>
      </c>
      <c r="AC344" s="162" t="s">
        <v>175</v>
      </c>
      <c r="AD344" s="179" t="s">
        <v>176</v>
      </c>
      <c r="AE344" s="162" t="s">
        <v>177</v>
      </c>
      <c r="AF344" s="179" t="s">
        <v>178</v>
      </c>
      <c r="AG344" s="179" t="s">
        <v>179</v>
      </c>
      <c r="AH344" s="180" t="s">
        <v>180</v>
      </c>
      <c r="AI344" s="180" t="s">
        <v>181</v>
      </c>
      <c r="AJ344" s="180" t="s">
        <v>182</v>
      </c>
      <c r="AK344" s="180" t="s">
        <v>183</v>
      </c>
      <c r="AL344" s="180" t="s">
        <v>184</v>
      </c>
      <c r="AM344" s="180" t="s">
        <v>185</v>
      </c>
      <c r="AN344" s="180" t="s">
        <v>186</v>
      </c>
      <c r="AO344" s="180" t="s">
        <v>187</v>
      </c>
      <c r="AP344" s="180" t="s">
        <v>188</v>
      </c>
      <c r="AQ344" s="180" t="s">
        <v>189</v>
      </c>
      <c r="AR344" s="181" t="s">
        <v>190</v>
      </c>
    </row>
    <row r="345">
      <c r="A345" s="182">
        <v>46291</v>
      </c>
      <c r="B345" s="184" t="s">
        <v>191</v>
      </c>
      <c r="C345" s="184" t="s">
        <v>192</v>
      </c>
      <c r="D345" s="183" t="s">
        <v>207</v>
      </c>
      <c r="E345" s="183" t="s">
        <v>209</v>
      </c>
      <c r="F345" s="185">
        <f t="shared" ref="F345:F348" si="143">H345+G345</f>
      </c>
      <c r="G345" s="204">
        <v>588.06</v>
      </c>
      <c r="H345" s="204">
        <v>548.19</v>
      </c>
      <c r="I345" s="187">
        <v>0</v>
      </c>
      <c r="J345" s="187">
        <v>0</v>
      </c>
      <c r="K345" s="188">
        <v>0</v>
      </c>
      <c r="L345" s="189">
        <f t="shared" ref="L345:L360" si="198">AQ345/J345</f>
      </c>
      <c r="M345" s="190">
        <f t="shared" ref="M345:M360" si="420">K345/J345</f>
      </c>
      <c r="N345" s="191">
        <f t="shared" ref="N345:N360" si="10">F345/J345</f>
      </c>
      <c r="O345" s="191">
        <f t="shared" ref="O345:O360" si="303">K345/F345</f>
      </c>
      <c r="P345" s="191">
        <f t="shared" ref="P345:P360" si="348">K345/((300*AR345)+F345)</f>
      </c>
      <c r="Q345" s="191">
        <f t="shared" ref="Q345:Q360" si="243">F345/AJ345</f>
      </c>
      <c r="R345" s="191">
        <f t="shared" ref="R345:R360" si="273">F345/AK345</f>
      </c>
      <c r="S345" s="191">
        <f t="shared" ref="S345:S360" si="168">F345/AL345</f>
      </c>
      <c r="T345" s="191">
        <f t="shared" ref="T345:T360" si="213">F345/AM345</f>
      </c>
      <c r="U345" s="189">
        <f t="shared" ref="U345:U360" si="435">AI345/AJ345</f>
      </c>
      <c r="V345" s="189">
        <f t="shared" ref="V345:V360" si="25">AK345/AJ345</f>
      </c>
      <c r="W345" s="189">
        <f t="shared" ref="W345:W360" si="40">AL345/AK345</f>
      </c>
      <c r="X345" s="189">
        <f t="shared" ref="X345:X360" si="55">AM345/AL345</f>
      </c>
      <c r="Y345" s="189">
        <f t="shared" ref="Y345:Y360" si="318">AI345/AH345</f>
      </c>
      <c r="Z345" s="189">
        <f t="shared" ref="Z345:Z360" si="363">AM345/AI345</f>
      </c>
      <c r="AA345" s="190">
        <f t="shared" ref="AA345:AA360" si="258">F345/AH345*1000</f>
      </c>
      <c r="AB345" s="190">
        <f t="shared" ref="AB345:AB360" si="288">F345/AI345</f>
      </c>
      <c r="AC345" s="190">
        <f t="shared" ref="AC345:AC360" si="183">F345/AN345</f>
      </c>
      <c r="AD345" s="189">
        <f t="shared" ref="AD345:AD360" si="228">AN345/AJ345</f>
      </c>
      <c r="AE345" s="190">
        <f t="shared" ref="AE345:AE360" si="450">F345/AO345</f>
      </c>
      <c r="AF345" s="189">
        <f t="shared" ref="AF345:AF360" si="70">AO345/AJ345</f>
      </c>
      <c r="AG345" s="189">
        <f t="shared" ref="AG345:AG360" si="333">AP345/AJ345</f>
      </c>
      <c r="AH345" s="192">
        <v>10381</v>
      </c>
      <c r="AI345" s="193">
        <v>281</v>
      </c>
      <c r="AJ345" s="193">
        <v>386</v>
      </c>
      <c r="AK345" s="192">
        <v>34</v>
      </c>
      <c r="AL345" s="192">
        <v>0</v>
      </c>
      <c r="AM345" s="192">
        <v>0</v>
      </c>
      <c r="AN345" s="192">
        <v>52</v>
      </c>
      <c r="AO345" s="192">
        <v>32</v>
      </c>
      <c r="AP345" s="192">
        <v>5</v>
      </c>
      <c r="AQ345" s="187">
        <v>0</v>
      </c>
      <c r="AR345" s="213">
        <f t="shared" ref="AR345:AR348" si="395">COUNT(AQ345)</f>
      </c>
    </row>
    <row r="346">
      <c r="A346" s="182"/>
      <c r="B346" s="184" t="s">
        <v>191</v>
      </c>
      <c r="C346" s="184" t="s">
        <v>192</v>
      </c>
      <c r="D346" s="183" t="s">
        <v>207</v>
      </c>
      <c r="E346" s="183" t="s">
        <v>210</v>
      </c>
      <c r="F346" s="185">
        <f t="shared" si="143"/>
      </c>
      <c r="G346" s="212">
        <v>789.56</v>
      </c>
      <c r="H346" s="204">
        <v>409.31</v>
      </c>
      <c r="I346" s="187">
        <v>2</v>
      </c>
      <c r="J346" s="187">
        <v>2</v>
      </c>
      <c r="K346" s="188">
        <v>1830</v>
      </c>
      <c r="L346" s="189">
        <f t="shared" si="198"/>
      </c>
      <c r="M346" s="190">
        <f t="shared" si="420"/>
      </c>
      <c r="N346" s="191">
        <f t="shared" si="10"/>
      </c>
      <c r="O346" s="191">
        <f t="shared" si="303"/>
      </c>
      <c r="P346" s="191">
        <f t="shared" si="348"/>
      </c>
      <c r="Q346" s="191">
        <f t="shared" si="243"/>
      </c>
      <c r="R346" s="191">
        <f t="shared" si="273"/>
      </c>
      <c r="S346" s="191">
        <f t="shared" si="168"/>
      </c>
      <c r="T346" s="191">
        <f t="shared" si="213"/>
      </c>
      <c r="U346" s="189">
        <f t="shared" si="435"/>
      </c>
      <c r="V346" s="189">
        <f t="shared" si="25"/>
      </c>
      <c r="W346" s="189">
        <f t="shared" si="40"/>
      </c>
      <c r="X346" s="189">
        <f t="shared" si="55"/>
      </c>
      <c r="Y346" s="189">
        <f t="shared" si="318"/>
      </c>
      <c r="Z346" s="189">
        <f t="shared" si="363"/>
      </c>
      <c r="AA346" s="190">
        <f t="shared" si="258"/>
      </c>
      <c r="AB346" s="190">
        <f t="shared" si="288"/>
      </c>
      <c r="AC346" s="190">
        <f t="shared" si="183"/>
      </c>
      <c r="AD346" s="189">
        <f t="shared" si="228"/>
      </c>
      <c r="AE346" s="190">
        <f t="shared" si="450"/>
      </c>
      <c r="AF346" s="189">
        <f t="shared" si="70"/>
      </c>
      <c r="AG346" s="189">
        <f t="shared" si="333"/>
      </c>
      <c r="AH346" s="192">
        <v>10731</v>
      </c>
      <c r="AI346" s="192">
        <v>299</v>
      </c>
      <c r="AJ346" s="192">
        <v>381</v>
      </c>
      <c r="AK346" s="192">
        <v>37</v>
      </c>
      <c r="AL346" s="192">
        <v>3</v>
      </c>
      <c r="AM346" s="192">
        <v>3</v>
      </c>
      <c r="AN346" s="192">
        <v>55</v>
      </c>
      <c r="AO346" s="192">
        <v>64</v>
      </c>
      <c r="AP346" s="192">
        <v>7</v>
      </c>
      <c r="AQ346" s="187">
        <v>0</v>
      </c>
      <c r="AR346" s="213">
        <f t="shared" si="395"/>
      </c>
    </row>
    <row r="347">
      <c r="A347" s="182"/>
      <c r="B347" s="184" t="s">
        <v>191</v>
      </c>
      <c r="C347" s="184" t="s">
        <v>192</v>
      </c>
      <c r="D347" s="183" t="s">
        <v>207</v>
      </c>
      <c r="E347" s="183" t="s">
        <v>211</v>
      </c>
      <c r="F347" s="185">
        <f t="shared" si="143"/>
      </c>
      <c r="G347" s="204">
        <v>977.97</v>
      </c>
      <c r="H347" s="204">
        <v>390.96</v>
      </c>
      <c r="I347" s="187">
        <v>3</v>
      </c>
      <c r="J347" s="187">
        <v>3</v>
      </c>
      <c r="K347" s="188">
        <v>2205.2</v>
      </c>
      <c r="L347" s="189">
        <f t="shared" si="198"/>
      </c>
      <c r="M347" s="190">
        <f t="shared" si="420"/>
      </c>
      <c r="N347" s="191">
        <f t="shared" si="10"/>
      </c>
      <c r="O347" s="191">
        <f t="shared" si="303"/>
      </c>
      <c r="P347" s="191">
        <f t="shared" si="348"/>
      </c>
      <c r="Q347" s="191">
        <f t="shared" si="243"/>
      </c>
      <c r="R347" s="191">
        <f t="shared" si="273"/>
      </c>
      <c r="S347" s="191">
        <f t="shared" si="168"/>
      </c>
      <c r="T347" s="191">
        <f t="shared" si="213"/>
      </c>
      <c r="U347" s="189">
        <f t="shared" si="435"/>
      </c>
      <c r="V347" s="189">
        <f t="shared" si="25"/>
      </c>
      <c r="W347" s="189">
        <f t="shared" si="40"/>
      </c>
      <c r="X347" s="189">
        <f t="shared" si="55"/>
      </c>
      <c r="Y347" s="189">
        <f t="shared" si="318"/>
      </c>
      <c r="Z347" s="189">
        <f t="shared" si="363"/>
      </c>
      <c r="AA347" s="190">
        <f t="shared" si="258"/>
      </c>
      <c r="AB347" s="190">
        <f t="shared" si="288"/>
      </c>
      <c r="AC347" s="190">
        <f t="shared" si="183"/>
      </c>
      <c r="AD347" s="189">
        <f t="shared" si="228"/>
      </c>
      <c r="AE347" s="190">
        <f t="shared" si="450"/>
      </c>
      <c r="AF347" s="189">
        <f t="shared" si="70"/>
      </c>
      <c r="AG347" s="189">
        <f t="shared" si="333"/>
      </c>
      <c r="AH347" s="192">
        <v>11561</v>
      </c>
      <c r="AI347" s="192">
        <v>291</v>
      </c>
      <c r="AJ347" s="192">
        <v>386</v>
      </c>
      <c r="AK347" s="192">
        <v>47</v>
      </c>
      <c r="AL347" s="187">
        <v>2</v>
      </c>
      <c r="AM347" s="192">
        <v>2</v>
      </c>
      <c r="AN347" s="192">
        <v>50</v>
      </c>
      <c r="AO347" s="192">
        <v>44</v>
      </c>
      <c r="AP347" s="192">
        <v>2</v>
      </c>
      <c r="AQ347" s="187">
        <v>0</v>
      </c>
      <c r="AR347" s="213">
        <f t="shared" si="395"/>
      </c>
    </row>
    <row r="348">
      <c r="A348" s="182"/>
      <c r="B348" s="184" t="s">
        <v>191</v>
      </c>
      <c r="C348" s="184" t="s">
        <v>192</v>
      </c>
      <c r="D348" s="183" t="s">
        <v>207</v>
      </c>
      <c r="E348" s="183" t="s">
        <v>212</v>
      </c>
      <c r="F348" s="185">
        <f t="shared" si="143"/>
      </c>
      <c r="G348" s="204">
        <v>798.16</v>
      </c>
      <c r="H348" s="204">
        <v>422.59</v>
      </c>
      <c r="I348" s="187">
        <v>3</v>
      </c>
      <c r="J348" s="187">
        <v>2</v>
      </c>
      <c r="K348" s="188">
        <v>1384.1999999999998</v>
      </c>
      <c r="L348" s="189">
        <f t="shared" si="198"/>
      </c>
      <c r="M348" s="190">
        <f t="shared" si="420"/>
      </c>
      <c r="N348" s="191">
        <f t="shared" si="10"/>
      </c>
      <c r="O348" s="191">
        <f t="shared" si="303"/>
      </c>
      <c r="P348" s="191">
        <f t="shared" si="348"/>
      </c>
      <c r="Q348" s="191">
        <f t="shared" si="243"/>
      </c>
      <c r="R348" s="191">
        <f t="shared" si="273"/>
      </c>
      <c r="S348" s="191">
        <f t="shared" si="168"/>
      </c>
      <c r="T348" s="191">
        <f t="shared" si="213"/>
      </c>
      <c r="U348" s="189">
        <f t="shared" si="435"/>
      </c>
      <c r="V348" s="189">
        <f t="shared" si="25"/>
      </c>
      <c r="W348" s="189">
        <f t="shared" si="40"/>
      </c>
      <c r="X348" s="189">
        <f t="shared" si="55"/>
      </c>
      <c r="Y348" s="189">
        <f t="shared" si="318"/>
      </c>
      <c r="Z348" s="189">
        <f t="shared" si="363"/>
      </c>
      <c r="AA348" s="190">
        <f t="shared" si="258"/>
      </c>
      <c r="AB348" s="190">
        <f t="shared" si="288"/>
      </c>
      <c r="AC348" s="190">
        <f t="shared" si="183"/>
      </c>
      <c r="AD348" s="189">
        <f t="shared" si="228"/>
      </c>
      <c r="AE348" s="190">
        <f t="shared" si="450"/>
      </c>
      <c r="AF348" s="189">
        <f t="shared" si="70"/>
      </c>
      <c r="AG348" s="189">
        <f t="shared" si="333"/>
      </c>
      <c r="AH348" s="192">
        <v>9633</v>
      </c>
      <c r="AI348" s="192">
        <v>257</v>
      </c>
      <c r="AJ348" s="192">
        <v>344</v>
      </c>
      <c r="AK348" s="192">
        <v>37</v>
      </c>
      <c r="AL348" s="187">
        <v>2</v>
      </c>
      <c r="AM348" s="192">
        <v>1</v>
      </c>
      <c r="AN348" s="192">
        <v>41</v>
      </c>
      <c r="AO348" s="192">
        <v>38</v>
      </c>
      <c r="AP348" s="192">
        <v>2</v>
      </c>
      <c r="AQ348" s="187">
        <v>0</v>
      </c>
      <c r="AR348" s="213">
        <f t="shared" si="395"/>
      </c>
    </row>
    <row r="349">
      <c r="A349" s="182"/>
      <c r="B349" s="197" t="s">
        <v>197</v>
      </c>
      <c r="C349" s="197"/>
      <c r="D349" s="197"/>
      <c r="E349" s="197"/>
      <c r="F349" s="198">
        <f>SUM(F345:F348)</f>
      </c>
      <c r="G349" s="198">
        <f>SUM(G345:G348)</f>
      </c>
      <c r="H349" s="198">
        <f>SUM(H345:H348)</f>
      </c>
      <c r="I349" s="199">
        <f>SUM(I345:I348)</f>
      </c>
      <c r="J349" s="199">
        <f>SUM(J345:J348)</f>
      </c>
      <c r="K349" s="198">
        <f>SUM(K345:K348)</f>
      </c>
      <c r="L349" s="200">
        <f t="shared" si="198"/>
      </c>
      <c r="M349" s="201">
        <f t="shared" si="420"/>
      </c>
      <c r="N349" s="202">
        <f t="shared" si="10"/>
      </c>
      <c r="O349" s="202">
        <f t="shared" si="303"/>
      </c>
      <c r="P349" s="202">
        <f t="shared" si="348"/>
      </c>
      <c r="Q349" s="202">
        <f t="shared" si="243"/>
      </c>
      <c r="R349" s="202">
        <f t="shared" si="273"/>
      </c>
      <c r="S349" s="202">
        <f t="shared" si="168"/>
      </c>
      <c r="T349" s="202">
        <f t="shared" si="213"/>
      </c>
      <c r="U349" s="200">
        <f t="shared" si="435"/>
      </c>
      <c r="V349" s="200">
        <f t="shared" si="25"/>
      </c>
      <c r="W349" s="200">
        <f t="shared" si="40"/>
      </c>
      <c r="X349" s="200">
        <f t="shared" si="55"/>
      </c>
      <c r="Y349" s="200">
        <f t="shared" si="318"/>
      </c>
      <c r="Z349" s="200">
        <f t="shared" si="363"/>
      </c>
      <c r="AA349" s="201">
        <f t="shared" si="258"/>
      </c>
      <c r="AB349" s="201">
        <f t="shared" si="288"/>
      </c>
      <c r="AC349" s="201">
        <f t="shared" si="183"/>
      </c>
      <c r="AD349" s="200">
        <f t="shared" si="228"/>
      </c>
      <c r="AE349" s="201">
        <f t="shared" si="450"/>
      </c>
      <c r="AF349" s="200">
        <f t="shared" si="70"/>
      </c>
      <c r="AG349" s="200">
        <f t="shared" si="333"/>
      </c>
      <c r="AH349" s="199">
        <f>SUM(AH345:AH348)</f>
      </c>
      <c r="AI349" s="199">
        <f>SUM(AI345:AI348)</f>
      </c>
      <c r="AJ349" s="199">
        <f>SUM(AJ345:AJ348)</f>
      </c>
      <c r="AK349" s="199">
        <f>SUM(AK345:AK348)</f>
      </c>
      <c r="AL349" s="199">
        <f>SUM(AL345:AL348)</f>
      </c>
      <c r="AM349" s="199">
        <f>SUM(AM345:AM348)</f>
      </c>
      <c r="AN349" s="199">
        <f>SUM(AN345:AN348)</f>
      </c>
      <c r="AO349" s="199">
        <f>SUM(AO345:AO348)</f>
      </c>
      <c r="AP349" s="199">
        <f>SUM(AP345:AP348)</f>
      </c>
      <c r="AQ349" s="199">
        <f>SUM(AQ345:AQ348)</f>
      </c>
      <c r="AR349" s="203">
        <f>SUM(AR345:AR348)</f>
      </c>
    </row>
    <row r="350">
      <c r="A350" s="182"/>
      <c r="B350" s="184" t="s">
        <v>191</v>
      </c>
      <c r="C350" s="184" t="s">
        <v>192</v>
      </c>
      <c r="D350" s="183" t="s">
        <v>201</v>
      </c>
      <c r="E350" s="183" t="s">
        <v>194</v>
      </c>
      <c r="F350" s="185">
        <f t="shared" ref="F350:F353" si="144">H350+G350</f>
      </c>
      <c r="G350" s="204">
        <v>598.18</v>
      </c>
      <c r="H350" s="204">
        <v>451.06</v>
      </c>
      <c r="I350" s="187">
        <v>4</v>
      </c>
      <c r="J350" s="187">
        <v>4</v>
      </c>
      <c r="K350" s="188">
        <v>2975.3999999999996</v>
      </c>
      <c r="L350" s="189">
        <f t="shared" si="198"/>
      </c>
      <c r="M350" s="190">
        <f t="shared" si="420"/>
      </c>
      <c r="N350" s="191">
        <f t="shared" si="10"/>
      </c>
      <c r="O350" s="191">
        <f t="shared" si="303"/>
      </c>
      <c r="P350" s="191">
        <f t="shared" si="348"/>
      </c>
      <c r="Q350" s="191">
        <f t="shared" si="243"/>
      </c>
      <c r="R350" s="191">
        <f t="shared" si="273"/>
      </c>
      <c r="S350" s="191">
        <f t="shared" si="168"/>
      </c>
      <c r="T350" s="191">
        <f t="shared" si="213"/>
      </c>
      <c r="U350" s="189">
        <f t="shared" si="435"/>
      </c>
      <c r="V350" s="189">
        <f t="shared" si="25"/>
      </c>
      <c r="W350" s="189">
        <f t="shared" si="40"/>
      </c>
      <c r="X350" s="189">
        <f t="shared" si="55"/>
      </c>
      <c r="Y350" s="189">
        <f t="shared" si="318"/>
      </c>
      <c r="Z350" s="189">
        <f t="shared" si="363"/>
      </c>
      <c r="AA350" s="190">
        <f t="shared" si="258"/>
      </c>
      <c r="AB350" s="190">
        <f t="shared" si="288"/>
      </c>
      <c r="AC350" s="190">
        <f t="shared" si="183"/>
      </c>
      <c r="AD350" s="189">
        <f t="shared" si="228"/>
      </c>
      <c r="AE350" s="190">
        <f t="shared" si="450"/>
      </c>
      <c r="AF350" s="189">
        <f t="shared" si="70"/>
      </c>
      <c r="AG350" s="189">
        <f t="shared" si="333"/>
      </c>
      <c r="AH350" s="192">
        <v>7866</v>
      </c>
      <c r="AI350" s="192">
        <v>249</v>
      </c>
      <c r="AJ350" s="192">
        <v>335</v>
      </c>
      <c r="AK350" s="192">
        <v>40</v>
      </c>
      <c r="AL350" s="192">
        <v>2</v>
      </c>
      <c r="AM350" s="192">
        <v>2</v>
      </c>
      <c r="AN350" s="192">
        <v>38</v>
      </c>
      <c r="AO350" s="192">
        <v>24</v>
      </c>
      <c r="AP350" s="192">
        <v>2</v>
      </c>
      <c r="AQ350" s="187">
        <v>1</v>
      </c>
      <c r="AR350" s="213">
        <f t="shared" ref="AR350:AR353" si="396">COUNT(AQ350)</f>
      </c>
    </row>
    <row r="351">
      <c r="A351" s="182"/>
      <c r="B351" s="184" t="s">
        <v>191</v>
      </c>
      <c r="C351" s="184" t="s">
        <v>192</v>
      </c>
      <c r="D351" s="183" t="s">
        <v>201</v>
      </c>
      <c r="E351" s="183" t="s">
        <v>195</v>
      </c>
      <c r="F351" s="185">
        <f t="shared" si="144"/>
      </c>
      <c r="G351" s="204">
        <v>542.82</v>
      </c>
      <c r="H351" s="204">
        <v>414.47</v>
      </c>
      <c r="I351" s="187">
        <v>3</v>
      </c>
      <c r="J351" s="192">
        <v>3</v>
      </c>
      <c r="K351" s="196">
        <v>2704.7999999999993</v>
      </c>
      <c r="L351" s="189">
        <f t="shared" si="198"/>
      </c>
      <c r="M351" s="190">
        <f t="shared" si="420"/>
      </c>
      <c r="N351" s="191">
        <f t="shared" si="10"/>
      </c>
      <c r="O351" s="191">
        <f t="shared" si="303"/>
      </c>
      <c r="P351" s="191">
        <f t="shared" si="348"/>
      </c>
      <c r="Q351" s="191">
        <f t="shared" si="243"/>
      </c>
      <c r="R351" s="191">
        <f t="shared" si="273"/>
      </c>
      <c r="S351" s="191">
        <f t="shared" si="168"/>
      </c>
      <c r="T351" s="191">
        <f t="shared" si="213"/>
      </c>
      <c r="U351" s="189">
        <f t="shared" si="435"/>
      </c>
      <c r="V351" s="189">
        <f t="shared" si="25"/>
      </c>
      <c r="W351" s="189">
        <f t="shared" si="40"/>
      </c>
      <c r="X351" s="189">
        <f t="shared" si="55"/>
      </c>
      <c r="Y351" s="189">
        <f t="shared" si="318"/>
      </c>
      <c r="Z351" s="189">
        <f t="shared" si="363"/>
      </c>
      <c r="AA351" s="190">
        <f t="shared" si="258"/>
      </c>
      <c r="AB351" s="190">
        <f t="shared" si="288"/>
      </c>
      <c r="AC351" s="190">
        <f t="shared" si="183"/>
      </c>
      <c r="AD351" s="189">
        <f t="shared" si="228"/>
      </c>
      <c r="AE351" s="190">
        <f t="shared" si="450"/>
      </c>
      <c r="AF351" s="189">
        <f t="shared" si="70"/>
      </c>
      <c r="AG351" s="189">
        <f t="shared" si="333"/>
      </c>
      <c r="AH351" s="192">
        <v>7403</v>
      </c>
      <c r="AI351" s="192">
        <v>223</v>
      </c>
      <c r="AJ351" s="192">
        <v>296</v>
      </c>
      <c r="AK351" s="192">
        <v>28</v>
      </c>
      <c r="AL351" s="192">
        <v>2</v>
      </c>
      <c r="AM351" s="192">
        <v>2</v>
      </c>
      <c r="AN351" s="192">
        <v>38</v>
      </c>
      <c r="AO351" s="192">
        <v>53</v>
      </c>
      <c r="AP351" s="192">
        <v>1</v>
      </c>
      <c r="AQ351" s="187">
        <v>1</v>
      </c>
      <c r="AR351" s="213">
        <f t="shared" si="396"/>
      </c>
    </row>
    <row r="352">
      <c r="A352" s="182"/>
      <c r="B352" s="184" t="s">
        <v>191</v>
      </c>
      <c r="C352" s="184" t="s">
        <v>192</v>
      </c>
      <c r="D352" s="183" t="s">
        <v>201</v>
      </c>
      <c r="E352" s="183" t="s">
        <v>196</v>
      </c>
      <c r="F352" s="185">
        <f t="shared" si="144"/>
      </c>
      <c r="G352" s="204">
        <v>385.14</v>
      </c>
      <c r="H352" s="204">
        <v>252.97</v>
      </c>
      <c r="I352" s="187">
        <v>0</v>
      </c>
      <c r="J352" s="187">
        <v>0</v>
      </c>
      <c r="K352" s="188">
        <v>0</v>
      </c>
      <c r="L352" s="189">
        <f t="shared" si="198"/>
      </c>
      <c r="M352" s="190">
        <f t="shared" si="420"/>
      </c>
      <c r="N352" s="191">
        <f t="shared" si="10"/>
      </c>
      <c r="O352" s="191">
        <f t="shared" si="303"/>
      </c>
      <c r="P352" s="191">
        <f t="shared" si="348"/>
      </c>
      <c r="Q352" s="191">
        <f t="shared" si="243"/>
      </c>
      <c r="R352" s="191">
        <f t="shared" si="273"/>
      </c>
      <c r="S352" s="191">
        <f t="shared" si="168"/>
      </c>
      <c r="T352" s="191">
        <f t="shared" si="213"/>
      </c>
      <c r="U352" s="189">
        <f t="shared" si="435"/>
      </c>
      <c r="V352" s="189">
        <f t="shared" si="25"/>
      </c>
      <c r="W352" s="189">
        <f t="shared" si="40"/>
      </c>
      <c r="X352" s="189">
        <f t="shared" si="55"/>
      </c>
      <c r="Y352" s="189">
        <f t="shared" si="318"/>
      </c>
      <c r="Z352" s="189">
        <f t="shared" si="363"/>
      </c>
      <c r="AA352" s="190">
        <f t="shared" si="258"/>
      </c>
      <c r="AB352" s="190">
        <f t="shared" si="288"/>
      </c>
      <c r="AC352" s="190">
        <f t="shared" si="183"/>
      </c>
      <c r="AD352" s="189">
        <f t="shared" si="228"/>
      </c>
      <c r="AE352" s="190">
        <f t="shared" si="450"/>
      </c>
      <c r="AF352" s="189">
        <f t="shared" si="70"/>
      </c>
      <c r="AG352" s="189">
        <f t="shared" si="333"/>
      </c>
      <c r="AH352" s="192">
        <v>5765</v>
      </c>
      <c r="AI352" s="192">
        <v>157</v>
      </c>
      <c r="AJ352" s="192">
        <v>208</v>
      </c>
      <c r="AK352" s="192">
        <v>20</v>
      </c>
      <c r="AL352" s="192">
        <v>0</v>
      </c>
      <c r="AM352" s="192">
        <v>0</v>
      </c>
      <c r="AN352" s="192">
        <v>22</v>
      </c>
      <c r="AO352" s="192">
        <v>20</v>
      </c>
      <c r="AP352" s="192">
        <v>0</v>
      </c>
      <c r="AQ352" s="187">
        <v>0</v>
      </c>
      <c r="AR352" s="213">
        <f t="shared" si="396"/>
      </c>
    </row>
    <row r="353">
      <c r="A353" s="182"/>
      <c r="B353" s="184" t="s">
        <v>191</v>
      </c>
      <c r="C353" s="184" t="s">
        <v>192</v>
      </c>
      <c r="D353" s="183" t="s">
        <v>201</v>
      </c>
      <c r="E353" s="183" t="s">
        <v>199</v>
      </c>
      <c r="F353" s="185">
        <f t="shared" si="144"/>
      </c>
      <c r="G353" s="204">
        <v>864.94</v>
      </c>
      <c r="H353" s="204">
        <v>453.47</v>
      </c>
      <c r="I353" s="187">
        <v>6</v>
      </c>
      <c r="J353" s="187">
        <v>4</v>
      </c>
      <c r="K353" s="188">
        <v>2647.2000000000007</v>
      </c>
      <c r="L353" s="189">
        <f t="shared" si="198"/>
      </c>
      <c r="M353" s="190">
        <f t="shared" si="420"/>
      </c>
      <c r="N353" s="191">
        <f t="shared" si="10"/>
      </c>
      <c r="O353" s="191">
        <f t="shared" si="303"/>
      </c>
      <c r="P353" s="191">
        <f t="shared" si="348"/>
      </c>
      <c r="Q353" s="191">
        <f t="shared" si="243"/>
      </c>
      <c r="R353" s="191">
        <f t="shared" si="273"/>
      </c>
      <c r="S353" s="191">
        <f t="shared" si="168"/>
      </c>
      <c r="T353" s="191">
        <f t="shared" si="213"/>
      </c>
      <c r="U353" s="189">
        <f t="shared" si="435"/>
      </c>
      <c r="V353" s="189">
        <f t="shared" si="25"/>
      </c>
      <c r="W353" s="189">
        <f t="shared" si="40"/>
      </c>
      <c r="X353" s="189">
        <f t="shared" si="55"/>
      </c>
      <c r="Y353" s="189">
        <f t="shared" si="318"/>
      </c>
      <c r="Z353" s="189">
        <f t="shared" si="363"/>
      </c>
      <c r="AA353" s="190">
        <f t="shared" si="258"/>
      </c>
      <c r="AB353" s="190">
        <f t="shared" si="288"/>
      </c>
      <c r="AC353" s="190">
        <f t="shared" si="183"/>
      </c>
      <c r="AD353" s="189">
        <f t="shared" si="228"/>
      </c>
      <c r="AE353" s="190">
        <f t="shared" si="450"/>
      </c>
      <c r="AF353" s="189">
        <f t="shared" si="70"/>
      </c>
      <c r="AG353" s="189">
        <f t="shared" si="333"/>
      </c>
      <c r="AH353" s="192">
        <v>9809</v>
      </c>
      <c r="AI353" s="192">
        <v>288</v>
      </c>
      <c r="AJ353" s="192">
        <v>354</v>
      </c>
      <c r="AK353" s="192">
        <v>34</v>
      </c>
      <c r="AL353" s="192">
        <v>3</v>
      </c>
      <c r="AM353" s="192">
        <v>1</v>
      </c>
      <c r="AN353" s="192">
        <v>59</v>
      </c>
      <c r="AO353" s="192">
        <v>44</v>
      </c>
      <c r="AP353" s="192">
        <v>2</v>
      </c>
      <c r="AQ353" s="187">
        <v>1</v>
      </c>
      <c r="AR353" s="213">
        <f t="shared" si="396"/>
      </c>
    </row>
    <row r="354">
      <c r="A354" s="182"/>
      <c r="B354" s="197" t="s">
        <v>197</v>
      </c>
      <c r="C354" s="197"/>
      <c r="D354" s="197"/>
      <c r="E354" s="197"/>
      <c r="F354" s="198">
        <f>SUM(F350:F353)</f>
      </c>
      <c r="G354" s="198">
        <f>SUM(G350:G353)</f>
      </c>
      <c r="H354" s="198">
        <f>SUM(H350:H353)</f>
      </c>
      <c r="I354" s="199">
        <f>SUM(I350:I353)</f>
      </c>
      <c r="J354" s="199">
        <f>SUM(J350:J353)</f>
      </c>
      <c r="K354" s="198">
        <f>SUM(K350:K353)</f>
      </c>
      <c r="L354" s="200">
        <f t="shared" si="198"/>
      </c>
      <c r="M354" s="201">
        <f t="shared" si="420"/>
      </c>
      <c r="N354" s="202">
        <f t="shared" si="10"/>
      </c>
      <c r="O354" s="202">
        <f t="shared" si="303"/>
      </c>
      <c r="P354" s="202">
        <f t="shared" si="348"/>
      </c>
      <c r="Q354" s="202">
        <f t="shared" si="243"/>
      </c>
      <c r="R354" s="202">
        <f t="shared" si="273"/>
      </c>
      <c r="S354" s="202">
        <f t="shared" si="168"/>
      </c>
      <c r="T354" s="202">
        <f t="shared" si="213"/>
      </c>
      <c r="U354" s="200">
        <f t="shared" si="435"/>
      </c>
      <c r="V354" s="200">
        <f t="shared" si="25"/>
      </c>
      <c r="W354" s="200">
        <f t="shared" si="40"/>
      </c>
      <c r="X354" s="200">
        <f t="shared" si="55"/>
      </c>
      <c r="Y354" s="200">
        <f t="shared" si="318"/>
      </c>
      <c r="Z354" s="200">
        <f t="shared" si="363"/>
      </c>
      <c r="AA354" s="201">
        <f t="shared" si="258"/>
      </c>
      <c r="AB354" s="201">
        <f t="shared" si="288"/>
      </c>
      <c r="AC354" s="201">
        <f t="shared" si="183"/>
      </c>
      <c r="AD354" s="200">
        <f t="shared" si="228"/>
      </c>
      <c r="AE354" s="201">
        <f t="shared" si="450"/>
      </c>
      <c r="AF354" s="200">
        <f t="shared" si="70"/>
      </c>
      <c r="AG354" s="200">
        <f t="shared" si="333"/>
      </c>
      <c r="AH354" s="199">
        <f>SUM(AH350:AH353)</f>
      </c>
      <c r="AI354" s="199">
        <f>SUM(AI350:AI353)</f>
      </c>
      <c r="AJ354" s="199">
        <f>SUM(AJ350:AJ353)</f>
      </c>
      <c r="AK354" s="199">
        <f>SUM(AK350:AK353)</f>
      </c>
      <c r="AL354" s="199">
        <f>SUM(AL350:AL353)</f>
      </c>
      <c r="AM354" s="199">
        <f>SUM(AM350:AM353)</f>
      </c>
      <c r="AN354" s="199">
        <f>SUM(AN350:AN353)</f>
      </c>
      <c r="AO354" s="199">
        <f>SUM(AO350:AO353)</f>
      </c>
      <c r="AP354" s="199">
        <f>SUM(AP350:AP353)</f>
      </c>
      <c r="AQ354" s="199">
        <f>SUM(AQ350:AQ353)</f>
      </c>
      <c r="AR354" s="203">
        <f>SUM(AR350:AR353)</f>
      </c>
    </row>
    <row r="355">
      <c r="A355" s="182"/>
      <c r="B355" s="184" t="s">
        <v>191</v>
      </c>
      <c r="C355" s="184" t="s">
        <v>192</v>
      </c>
      <c r="D355" s="183" t="s">
        <v>206</v>
      </c>
      <c r="E355" s="183" t="s">
        <v>200</v>
      </c>
      <c r="F355" s="185">
        <f t="shared" ref="F355:F358" si="145">H355+G355</f>
      </c>
      <c r="G355" s="204">
        <v>1120.94</v>
      </c>
      <c r="H355" s="204">
        <v>498.66</v>
      </c>
      <c r="I355" s="187">
        <v>2</v>
      </c>
      <c r="J355" s="192">
        <v>1</v>
      </c>
      <c r="K355" s="196">
        <v>369</v>
      </c>
      <c r="L355" s="189">
        <f t="shared" si="198"/>
      </c>
      <c r="M355" s="190">
        <f t="shared" si="420"/>
      </c>
      <c r="N355" s="191">
        <f t="shared" si="10"/>
      </c>
      <c r="O355" s="191">
        <f t="shared" si="303"/>
      </c>
      <c r="P355" s="191">
        <f t="shared" si="348"/>
      </c>
      <c r="Q355" s="191">
        <f t="shared" si="243"/>
      </c>
      <c r="R355" s="191">
        <f t="shared" si="273"/>
      </c>
      <c r="S355" s="191">
        <f t="shared" si="168"/>
      </c>
      <c r="T355" s="191">
        <f t="shared" si="213"/>
      </c>
      <c r="U355" s="189">
        <f t="shared" si="435"/>
      </c>
      <c r="V355" s="189">
        <f t="shared" si="25"/>
      </c>
      <c r="W355" s="189">
        <f t="shared" si="40"/>
      </c>
      <c r="X355" s="189">
        <f t="shared" si="55"/>
      </c>
      <c r="Y355" s="189">
        <f t="shared" si="318"/>
      </c>
      <c r="Z355" s="189">
        <f t="shared" si="363"/>
      </c>
      <c r="AA355" s="190">
        <f t="shared" si="258"/>
      </c>
      <c r="AB355" s="190">
        <f t="shared" si="288"/>
      </c>
      <c r="AC355" s="190">
        <f t="shared" si="183"/>
      </c>
      <c r="AD355" s="189">
        <f t="shared" si="228"/>
      </c>
      <c r="AE355" s="190">
        <f t="shared" si="450"/>
      </c>
      <c r="AF355" s="189">
        <f t="shared" si="70"/>
      </c>
      <c r="AG355" s="189">
        <f t="shared" si="333"/>
      </c>
      <c r="AH355" s="192">
        <v>12337</v>
      </c>
      <c r="AI355" s="192">
        <v>312</v>
      </c>
      <c r="AJ355" s="192">
        <v>421</v>
      </c>
      <c r="AK355" s="192">
        <v>32</v>
      </c>
      <c r="AL355" s="192">
        <v>3</v>
      </c>
      <c r="AM355" s="192">
        <v>2</v>
      </c>
      <c r="AN355" s="192">
        <v>60</v>
      </c>
      <c r="AO355" s="192">
        <v>53</v>
      </c>
      <c r="AP355" s="192">
        <v>4</v>
      </c>
      <c r="AQ355" s="187">
        <v>0</v>
      </c>
      <c r="AR355" s="213">
        <f t="shared" ref="AR355:AR358" si="397">COUNT(AQ355)</f>
      </c>
    </row>
    <row r="356">
      <c r="A356" s="182"/>
      <c r="B356" s="184" t="s">
        <v>191</v>
      </c>
      <c r="C356" s="184" t="s">
        <v>192</v>
      </c>
      <c r="D356" s="183" t="s">
        <v>206</v>
      </c>
      <c r="E356" s="184" t="s">
        <v>202</v>
      </c>
      <c r="F356" s="185">
        <f t="shared" si="145"/>
      </c>
      <c r="G356" s="204">
        <v>1110.74</v>
      </c>
      <c r="H356" s="204">
        <v>486.48</v>
      </c>
      <c r="I356" s="187">
        <v>3</v>
      </c>
      <c r="J356" s="192">
        <v>3</v>
      </c>
      <c r="K356" s="188">
        <v>1693.2000000000007</v>
      </c>
      <c r="L356" s="189">
        <f t="shared" si="198"/>
      </c>
      <c r="M356" s="190">
        <f t="shared" si="420"/>
      </c>
      <c r="N356" s="191">
        <f t="shared" si="10"/>
      </c>
      <c r="O356" s="191">
        <f t="shared" si="303"/>
      </c>
      <c r="P356" s="191">
        <f t="shared" si="348"/>
      </c>
      <c r="Q356" s="191">
        <f t="shared" si="243"/>
      </c>
      <c r="R356" s="191">
        <f t="shared" si="273"/>
      </c>
      <c r="S356" s="191">
        <f t="shared" si="168"/>
      </c>
      <c r="T356" s="191">
        <f t="shared" si="213"/>
      </c>
      <c r="U356" s="189">
        <f t="shared" si="435"/>
      </c>
      <c r="V356" s="189">
        <f t="shared" si="25"/>
      </c>
      <c r="W356" s="189">
        <f t="shared" si="40"/>
      </c>
      <c r="X356" s="189">
        <f t="shared" si="55"/>
      </c>
      <c r="Y356" s="189">
        <f t="shared" si="318"/>
      </c>
      <c r="Z356" s="189">
        <f t="shared" si="363"/>
      </c>
      <c r="AA356" s="190">
        <f t="shared" si="258"/>
      </c>
      <c r="AB356" s="190">
        <f t="shared" si="288"/>
      </c>
      <c r="AC356" s="190">
        <f t="shared" si="183"/>
      </c>
      <c r="AD356" s="189">
        <f t="shared" si="228"/>
      </c>
      <c r="AE356" s="190">
        <f t="shared" si="450"/>
      </c>
      <c r="AF356" s="189">
        <f t="shared" si="70"/>
      </c>
      <c r="AG356" s="189">
        <f t="shared" si="333"/>
      </c>
      <c r="AH356" s="192">
        <v>12905</v>
      </c>
      <c r="AI356" s="192">
        <v>368</v>
      </c>
      <c r="AJ356" s="192">
        <v>478</v>
      </c>
      <c r="AK356" s="192">
        <v>40</v>
      </c>
      <c r="AL356" s="192">
        <v>2</v>
      </c>
      <c r="AM356" s="192">
        <v>2</v>
      </c>
      <c r="AN356" s="192">
        <v>50</v>
      </c>
      <c r="AO356" s="192">
        <v>52</v>
      </c>
      <c r="AP356" s="192">
        <v>5</v>
      </c>
      <c r="AQ356" s="187">
        <v>1</v>
      </c>
      <c r="AR356" s="213">
        <f t="shared" si="397"/>
      </c>
    </row>
    <row r="357">
      <c r="A357" s="182"/>
      <c r="B357" s="184" t="s">
        <v>191</v>
      </c>
      <c r="C357" s="184" t="s">
        <v>192</v>
      </c>
      <c r="D357" s="183" t="s">
        <v>206</v>
      </c>
      <c r="E357" s="184" t="s">
        <v>203</v>
      </c>
      <c r="F357" s="185">
        <f t="shared" si="145"/>
      </c>
      <c r="G357" s="204">
        <v>1146.31</v>
      </c>
      <c r="H357" s="204">
        <v>591.99</v>
      </c>
      <c r="I357" s="187">
        <v>4</v>
      </c>
      <c r="J357" s="192">
        <v>4</v>
      </c>
      <c r="K357" s="188">
        <v>3672</v>
      </c>
      <c r="L357" s="189">
        <f t="shared" si="198"/>
      </c>
      <c r="M357" s="190">
        <f t="shared" si="420"/>
      </c>
      <c r="N357" s="191">
        <f t="shared" si="10"/>
      </c>
      <c r="O357" s="191">
        <f t="shared" si="303"/>
      </c>
      <c r="P357" s="191">
        <f t="shared" si="348"/>
      </c>
      <c r="Q357" s="191">
        <f t="shared" si="243"/>
      </c>
      <c r="R357" s="191">
        <f t="shared" si="273"/>
      </c>
      <c r="S357" s="191">
        <f t="shared" si="168"/>
      </c>
      <c r="T357" s="191">
        <f t="shared" si="213"/>
      </c>
      <c r="U357" s="189">
        <f t="shared" si="435"/>
      </c>
      <c r="V357" s="189">
        <f t="shared" si="25"/>
      </c>
      <c r="W357" s="189">
        <f t="shared" si="40"/>
      </c>
      <c r="X357" s="189">
        <f t="shared" si="55"/>
      </c>
      <c r="Y357" s="189">
        <f t="shared" si="318"/>
      </c>
      <c r="Z357" s="189">
        <f t="shared" si="363"/>
      </c>
      <c r="AA357" s="190">
        <f t="shared" si="258"/>
      </c>
      <c r="AB357" s="190">
        <f t="shared" si="288"/>
      </c>
      <c r="AC357" s="190">
        <f t="shared" si="183"/>
      </c>
      <c r="AD357" s="189">
        <f t="shared" si="228"/>
      </c>
      <c r="AE357" s="190">
        <f t="shared" si="450"/>
      </c>
      <c r="AF357" s="189">
        <f t="shared" si="70"/>
      </c>
      <c r="AG357" s="189">
        <f t="shared" si="333"/>
      </c>
      <c r="AH357" s="192">
        <v>12354</v>
      </c>
      <c r="AI357" s="192">
        <v>407</v>
      </c>
      <c r="AJ357" s="192">
        <v>549</v>
      </c>
      <c r="AK357" s="192">
        <v>26</v>
      </c>
      <c r="AL357" s="192">
        <v>3</v>
      </c>
      <c r="AM357" s="192">
        <v>3</v>
      </c>
      <c r="AN357" s="192">
        <v>78</v>
      </c>
      <c r="AO357" s="192">
        <v>42</v>
      </c>
      <c r="AP357" s="192">
        <v>6</v>
      </c>
      <c r="AQ357" s="187">
        <v>1</v>
      </c>
      <c r="AR357" s="213">
        <f t="shared" si="397"/>
      </c>
    </row>
    <row r="358">
      <c r="A358" s="182"/>
      <c r="B358" s="184" t="s">
        <v>191</v>
      </c>
      <c r="C358" s="184" t="s">
        <v>192</v>
      </c>
      <c r="D358" s="183" t="s">
        <v>206</v>
      </c>
      <c r="E358" s="183" t="s">
        <v>204</v>
      </c>
      <c r="F358" s="185">
        <f t="shared" si="145"/>
      </c>
      <c r="G358" s="204">
        <v>412.29</v>
      </c>
      <c r="H358" s="204">
        <v>492.96</v>
      </c>
      <c r="I358" s="187">
        <v>0</v>
      </c>
      <c r="J358" s="187">
        <v>0</v>
      </c>
      <c r="K358" s="188">
        <v>0</v>
      </c>
      <c r="L358" s="189">
        <f t="shared" si="198"/>
      </c>
      <c r="M358" s="190">
        <f t="shared" si="420"/>
      </c>
      <c r="N358" s="191">
        <f t="shared" si="10"/>
      </c>
      <c r="O358" s="191">
        <f t="shared" si="303"/>
      </c>
      <c r="P358" s="191">
        <f t="shared" si="348"/>
      </c>
      <c r="Q358" s="191">
        <f t="shared" si="243"/>
      </c>
      <c r="R358" s="191">
        <f t="shared" si="273"/>
      </c>
      <c r="S358" s="191">
        <f t="shared" si="168"/>
      </c>
      <c r="T358" s="191">
        <f t="shared" si="213"/>
      </c>
      <c r="U358" s="189">
        <f t="shared" si="435"/>
      </c>
      <c r="V358" s="189">
        <f t="shared" si="25"/>
      </c>
      <c r="W358" s="189">
        <f t="shared" si="40"/>
      </c>
      <c r="X358" s="189">
        <f t="shared" si="55"/>
      </c>
      <c r="Y358" s="189">
        <f t="shared" si="318"/>
      </c>
      <c r="Z358" s="189">
        <f t="shared" si="363"/>
      </c>
      <c r="AA358" s="190">
        <f t="shared" si="258"/>
      </c>
      <c r="AB358" s="190">
        <f t="shared" si="288"/>
      </c>
      <c r="AC358" s="190">
        <f t="shared" si="183"/>
      </c>
      <c r="AD358" s="189">
        <f t="shared" si="228"/>
      </c>
      <c r="AE358" s="190">
        <f t="shared" si="450"/>
      </c>
      <c r="AF358" s="189">
        <f t="shared" si="70"/>
      </c>
      <c r="AG358" s="189">
        <f t="shared" si="333"/>
      </c>
      <c r="AH358" s="192">
        <v>7858</v>
      </c>
      <c r="AI358" s="192">
        <v>284</v>
      </c>
      <c r="AJ358" s="192">
        <v>357</v>
      </c>
      <c r="AK358" s="192">
        <v>27</v>
      </c>
      <c r="AL358" s="192">
        <v>0</v>
      </c>
      <c r="AM358" s="192">
        <v>0</v>
      </c>
      <c r="AN358" s="192">
        <v>28</v>
      </c>
      <c r="AO358" s="192">
        <v>37</v>
      </c>
      <c r="AP358" s="192">
        <v>6</v>
      </c>
      <c r="AQ358" s="187">
        <v>0</v>
      </c>
      <c r="AR358" s="213">
        <f t="shared" si="397"/>
      </c>
    </row>
    <row r="359">
      <c r="A359" s="182"/>
      <c r="B359" s="197" t="s">
        <v>197</v>
      </c>
      <c r="C359" s="197"/>
      <c r="D359" s="197"/>
      <c r="E359" s="197"/>
      <c r="F359" s="198">
        <f>SUM(F355:F358)</f>
      </c>
      <c r="G359" s="198">
        <f>SUM(G355:G358)</f>
      </c>
      <c r="H359" s="198">
        <f>SUM(H355:H358)</f>
      </c>
      <c r="I359" s="199">
        <f>SUM(I355:I358)</f>
      </c>
      <c r="J359" s="199">
        <f>SUM(J355:J358)</f>
      </c>
      <c r="K359" s="198">
        <f>SUM(K355:K358)</f>
      </c>
      <c r="L359" s="200">
        <f t="shared" si="198"/>
      </c>
      <c r="M359" s="201">
        <f t="shared" si="420"/>
      </c>
      <c r="N359" s="202">
        <f t="shared" si="10"/>
      </c>
      <c r="O359" s="202">
        <f t="shared" si="303"/>
      </c>
      <c r="P359" s="202">
        <f t="shared" si="348"/>
      </c>
      <c r="Q359" s="202">
        <f t="shared" si="243"/>
      </c>
      <c r="R359" s="202">
        <f t="shared" si="273"/>
      </c>
      <c r="S359" s="202">
        <f t="shared" si="168"/>
      </c>
      <c r="T359" s="202">
        <f t="shared" si="213"/>
      </c>
      <c r="U359" s="200">
        <f t="shared" si="435"/>
      </c>
      <c r="V359" s="200">
        <f t="shared" si="25"/>
      </c>
      <c r="W359" s="200">
        <f t="shared" si="40"/>
      </c>
      <c r="X359" s="200">
        <f t="shared" si="55"/>
      </c>
      <c r="Y359" s="200">
        <f t="shared" si="318"/>
      </c>
      <c r="Z359" s="200">
        <f t="shared" si="363"/>
      </c>
      <c r="AA359" s="201">
        <f t="shared" si="258"/>
      </c>
      <c r="AB359" s="201">
        <f t="shared" si="288"/>
      </c>
      <c r="AC359" s="201">
        <f t="shared" si="183"/>
      </c>
      <c r="AD359" s="200">
        <f t="shared" si="228"/>
      </c>
      <c r="AE359" s="201">
        <f t="shared" si="450"/>
      </c>
      <c r="AF359" s="200">
        <f t="shared" si="70"/>
      </c>
      <c r="AG359" s="200">
        <f t="shared" si="333"/>
      </c>
      <c r="AH359" s="199">
        <f>SUM(AH355:AH358)</f>
      </c>
      <c r="AI359" s="199">
        <f>SUM(AI355:AI358)</f>
      </c>
      <c r="AJ359" s="199">
        <f>SUM(AJ355:AJ358)</f>
      </c>
      <c r="AK359" s="199">
        <f>SUM(AK355:AK358)</f>
      </c>
      <c r="AL359" s="199">
        <f>SUM(AL355:AL358)</f>
      </c>
      <c r="AM359" s="199">
        <f>SUM(AM355:AM358)</f>
      </c>
      <c r="AN359" s="199">
        <f>SUM(AN355:AN358)</f>
      </c>
      <c r="AO359" s="199">
        <f>SUM(AO355:AO358)</f>
      </c>
      <c r="AP359" s="199">
        <f>SUM(AP355:AP358)</f>
      </c>
      <c r="AQ359" s="199">
        <f>SUM(AQ355:AQ358)</f>
      </c>
      <c r="AR359" s="203">
        <f>SUM(AR355:AR358)</f>
      </c>
    </row>
    <row r="360">
      <c r="A360" s="182"/>
      <c r="B360" s="205" t="s">
        <v>205</v>
      </c>
      <c r="C360" s="205"/>
      <c r="D360" s="205"/>
      <c r="E360" s="205"/>
      <c r="F360" s="206">
        <f>H360+G360</f>
      </c>
      <c r="G360" s="206">
        <f>G354+G349+G359</f>
      </c>
      <c r="H360" s="206">
        <f>H354+H349+H359</f>
      </c>
      <c r="I360" s="206">
        <f>I354+I349+I359</f>
      </c>
      <c r="J360" s="206">
        <f>J354+J349+J359</f>
      </c>
      <c r="K360" s="206">
        <f>K354+K349+K359</f>
      </c>
      <c r="L360" s="207">
        <f t="shared" si="198"/>
      </c>
      <c r="M360" s="208">
        <f t="shared" si="420"/>
      </c>
      <c r="N360" s="209">
        <f t="shared" si="10"/>
      </c>
      <c r="O360" s="209">
        <f t="shared" si="303"/>
      </c>
      <c r="P360" s="209">
        <f t="shared" si="348"/>
      </c>
      <c r="Q360" s="209">
        <f t="shared" si="243"/>
      </c>
      <c r="R360" s="209">
        <f t="shared" si="273"/>
      </c>
      <c r="S360" s="209">
        <f t="shared" si="168"/>
      </c>
      <c r="T360" s="209">
        <f t="shared" si="213"/>
      </c>
      <c r="U360" s="207">
        <f t="shared" si="435"/>
      </c>
      <c r="V360" s="207">
        <f t="shared" si="25"/>
      </c>
      <c r="W360" s="207">
        <f t="shared" si="40"/>
      </c>
      <c r="X360" s="207">
        <f t="shared" si="55"/>
      </c>
      <c r="Y360" s="207">
        <f t="shared" si="318"/>
      </c>
      <c r="Z360" s="207">
        <f t="shared" si="363"/>
      </c>
      <c r="AA360" s="208">
        <f t="shared" si="258"/>
      </c>
      <c r="AB360" s="208">
        <f t="shared" si="288"/>
      </c>
      <c r="AC360" s="208">
        <f t="shared" si="183"/>
      </c>
      <c r="AD360" s="207">
        <f t="shared" si="228"/>
      </c>
      <c r="AE360" s="208">
        <f t="shared" si="450"/>
      </c>
      <c r="AF360" s="207">
        <f t="shared" si="70"/>
      </c>
      <c r="AG360" s="207">
        <f t="shared" si="333"/>
      </c>
      <c r="AH360" s="203">
        <f>AH354+AH349+AH359</f>
      </c>
      <c r="AI360" s="203">
        <f>AI354+AI349+AI359</f>
      </c>
      <c r="AJ360" s="203">
        <f>AJ354+AJ349+AJ359</f>
      </c>
      <c r="AK360" s="203">
        <f>AK354+AK349+AK359</f>
      </c>
      <c r="AL360" s="203">
        <f>AL354+AL349+AL359</f>
      </c>
      <c r="AM360" s="203">
        <f>AM354+AM349+AM359</f>
      </c>
      <c r="AN360" s="203">
        <f>AN354+AN349+AN359</f>
      </c>
      <c r="AO360" s="203">
        <f>AO354+AO349+AO359</f>
      </c>
      <c r="AP360" s="203">
        <f>AP354+AP349+AP359</f>
      </c>
      <c r="AQ360" s="203">
        <f>AQ354+AQ349+AQ359</f>
      </c>
      <c r="AR360" s="203">
        <f>AR354+AR349+AR359</f>
      </c>
    </row>
    <row r="361">
      <c r="A361" s="159"/>
      <c r="B361" s="159"/>
      <c r="C361" s="159"/>
      <c r="D361" s="159"/>
      <c r="E361" s="159"/>
      <c r="F361" s="160" t="s">
        <v>143</v>
      </c>
      <c r="G361" s="160"/>
      <c r="H361" s="160"/>
      <c r="I361" s="160"/>
      <c r="J361" s="160"/>
      <c r="K361" s="160"/>
      <c r="L361" s="160"/>
      <c r="M361" s="160"/>
      <c r="N361" s="160"/>
      <c r="O361" s="160"/>
      <c r="P361" s="160"/>
      <c r="Q361" s="161" t="s">
        <v>144</v>
      </c>
      <c r="R361" s="161"/>
      <c r="S361" s="161"/>
      <c r="T361" s="161"/>
      <c r="U361" s="161"/>
      <c r="V361" s="161"/>
      <c r="W361" s="161"/>
      <c r="X361" s="161"/>
      <c r="Y361" s="161"/>
      <c r="Z361" s="161"/>
      <c r="AA361" s="161"/>
      <c r="AB361" s="161"/>
      <c r="AC361" s="162" t="s">
        <v>145</v>
      </c>
      <c r="AD361" s="162"/>
      <c r="AE361" s="162"/>
      <c r="AF361" s="162"/>
      <c r="AG361" s="162"/>
      <c r="AH361" s="163" t="s">
        <v>146</v>
      </c>
      <c r="AI361" s="163"/>
      <c r="AJ361" s="163"/>
      <c r="AK361" s="163"/>
      <c r="AL361" s="163"/>
      <c r="AM361" s="163"/>
      <c r="AN361" s="163"/>
      <c r="AO361" s="163"/>
      <c r="AP361" s="163"/>
      <c r="AQ361" s="163"/>
      <c r="AR361" s="163"/>
    </row>
    <row r="362">
      <c r="A362" s="164" t="s">
        <v>147</v>
      </c>
      <c r="B362" s="165" t="s">
        <v>148</v>
      </c>
      <c r="C362" s="165" t="s">
        <v>149</v>
      </c>
      <c r="D362" s="166" t="s">
        <v>150</v>
      </c>
      <c r="E362" s="167" t="s">
        <v>151</v>
      </c>
      <c r="F362" s="168" t="s">
        <v>152</v>
      </c>
      <c r="G362" s="169" t="s">
        <v>153</v>
      </c>
      <c r="H362" s="170" t="s">
        <v>154</v>
      </c>
      <c r="I362" s="171" t="s">
        <v>155</v>
      </c>
      <c r="J362" s="171" t="s">
        <v>156</v>
      </c>
      <c r="K362" s="170" t="s">
        <v>157</v>
      </c>
      <c r="L362" s="172" t="s">
        <v>158</v>
      </c>
      <c r="M362" s="173" t="s">
        <v>159</v>
      </c>
      <c r="N362" s="174" t="s">
        <v>160</v>
      </c>
      <c r="O362" s="174" t="s">
        <v>161</v>
      </c>
      <c r="P362" s="175" t="s">
        <v>162</v>
      </c>
      <c r="Q362" s="161" t="s">
        <v>163</v>
      </c>
      <c r="R362" s="176" t="s">
        <v>164</v>
      </c>
      <c r="S362" s="176" t="s">
        <v>165</v>
      </c>
      <c r="T362" s="176" t="s">
        <v>166</v>
      </c>
      <c r="U362" s="177" t="s">
        <v>167</v>
      </c>
      <c r="V362" s="177" t="s">
        <v>168</v>
      </c>
      <c r="W362" s="177" t="s">
        <v>169</v>
      </c>
      <c r="X362" s="177" t="s">
        <v>170</v>
      </c>
      <c r="Y362" s="177" t="s">
        <v>171</v>
      </c>
      <c r="Z362" s="177" t="s">
        <v>172</v>
      </c>
      <c r="AA362" s="178" t="s">
        <v>173</v>
      </c>
      <c r="AB362" s="178" t="s">
        <v>174</v>
      </c>
      <c r="AC362" s="162" t="s">
        <v>175</v>
      </c>
      <c r="AD362" s="179" t="s">
        <v>176</v>
      </c>
      <c r="AE362" s="162" t="s">
        <v>177</v>
      </c>
      <c r="AF362" s="179" t="s">
        <v>178</v>
      </c>
      <c r="AG362" s="179" t="s">
        <v>179</v>
      </c>
      <c r="AH362" s="180" t="s">
        <v>180</v>
      </c>
      <c r="AI362" s="180" t="s">
        <v>181</v>
      </c>
      <c r="AJ362" s="180" t="s">
        <v>182</v>
      </c>
      <c r="AK362" s="180" t="s">
        <v>183</v>
      </c>
      <c r="AL362" s="180" t="s">
        <v>184</v>
      </c>
      <c r="AM362" s="180" t="s">
        <v>185</v>
      </c>
      <c r="AN362" s="180" t="s">
        <v>186</v>
      </c>
      <c r="AO362" s="180" t="s">
        <v>187</v>
      </c>
      <c r="AP362" s="180" t="s">
        <v>188</v>
      </c>
      <c r="AQ362" s="180" t="s">
        <v>189</v>
      </c>
      <c r="AR362" s="181" t="s">
        <v>190</v>
      </c>
    </row>
    <row r="363">
      <c r="A363" s="182">
        <v>46292</v>
      </c>
      <c r="B363" s="184" t="s">
        <v>191</v>
      </c>
      <c r="C363" s="184" t="s">
        <v>192</v>
      </c>
      <c r="D363" s="183" t="s">
        <v>201</v>
      </c>
      <c r="E363" s="183" t="s">
        <v>209</v>
      </c>
      <c r="F363" s="185">
        <f t="shared" ref="F363:F366" si="146">H363+G363</f>
      </c>
      <c r="G363" s="204">
        <v>1151.61</v>
      </c>
      <c r="H363" s="204">
        <v>374.84</v>
      </c>
      <c r="I363" s="187">
        <v>4</v>
      </c>
      <c r="J363" s="187">
        <v>3</v>
      </c>
      <c r="K363" s="188">
        <v>2269</v>
      </c>
      <c r="L363" s="189">
        <f t="shared" ref="L363:L378" si="199">AQ363/J363</f>
      </c>
      <c r="M363" s="190">
        <f t="shared" ref="M363:M378" si="421">K363/J363</f>
      </c>
      <c r="N363" s="191">
        <f t="shared" ref="N363:N378" si="11">F363/J363</f>
      </c>
      <c r="O363" s="191">
        <f t="shared" ref="O363:O378" si="304">K363/F363</f>
      </c>
      <c r="P363" s="191">
        <f t="shared" ref="P363:P378" si="349">K363/((300*AR363)+F363)</f>
      </c>
      <c r="Q363" s="191">
        <f t="shared" ref="Q363:Q378" si="244">F363/AJ363</f>
      </c>
      <c r="R363" s="191">
        <f t="shared" ref="R363:R378" si="274">F363/AK363</f>
      </c>
      <c r="S363" s="191">
        <f t="shared" ref="S363:S378" si="169">F363/AL363</f>
      </c>
      <c r="T363" s="191">
        <f t="shared" ref="T363:T378" si="214">F363/AM363</f>
      </c>
      <c r="U363" s="189">
        <f t="shared" ref="U363:U378" si="436">AI363/AJ363</f>
      </c>
      <c r="V363" s="189">
        <f t="shared" ref="V363:V378" si="26">AK363/AJ363</f>
      </c>
      <c r="W363" s="189">
        <f t="shared" ref="W363:W378" si="41">AL363/AK363</f>
      </c>
      <c r="X363" s="189">
        <f t="shared" ref="X363:X378" si="56">AM363/AL363</f>
      </c>
      <c r="Y363" s="189">
        <f t="shared" ref="Y363:Y378" si="319">AI363/AH363</f>
      </c>
      <c r="Z363" s="189">
        <f t="shared" ref="Z363:Z378" si="364">AM363/AI363</f>
      </c>
      <c r="AA363" s="190">
        <f t="shared" ref="AA363:AA378" si="259">F363/AH363*1000</f>
      </c>
      <c r="AB363" s="190">
        <f t="shared" ref="AB363:AB378" si="289">F363/AI363</f>
      </c>
      <c r="AC363" s="190">
        <f t="shared" ref="AC363:AC378" si="184">F363/AN363</f>
      </c>
      <c r="AD363" s="189">
        <f t="shared" ref="AD363:AD378" si="229">AN363/AJ363</f>
      </c>
      <c r="AE363" s="190">
        <f t="shared" ref="AE363:AE378" si="451">F363/AO363</f>
      </c>
      <c r="AF363" s="189">
        <f t="shared" ref="AF363:AF378" si="71">AO363/AJ363</f>
      </c>
      <c r="AG363" s="189">
        <f t="shared" ref="AG363:AG378" si="334">AP363/AJ363</f>
      </c>
      <c r="AH363" s="192">
        <v>11059</v>
      </c>
      <c r="AI363" s="193">
        <v>283</v>
      </c>
      <c r="AJ363" s="193">
        <v>344</v>
      </c>
      <c r="AK363" s="192">
        <v>18</v>
      </c>
      <c r="AL363" s="192">
        <v>4</v>
      </c>
      <c r="AM363" s="192">
        <v>4</v>
      </c>
      <c r="AN363" s="192">
        <v>50</v>
      </c>
      <c r="AO363" s="192">
        <v>44</v>
      </c>
      <c r="AP363" s="192">
        <v>1</v>
      </c>
      <c r="AQ363" s="187">
        <v>0</v>
      </c>
      <c r="AR363" s="213">
        <f t="shared" ref="AR363:AR366" si="398">COUNT(AQ363)</f>
      </c>
    </row>
    <row r="364">
      <c r="A364" s="182"/>
      <c r="B364" s="184" t="s">
        <v>191</v>
      </c>
      <c r="C364" s="184" t="s">
        <v>192</v>
      </c>
      <c r="D364" s="183" t="s">
        <v>201</v>
      </c>
      <c r="E364" s="183" t="s">
        <v>210</v>
      </c>
      <c r="F364" s="185">
        <f t="shared" si="146"/>
      </c>
      <c r="G364" s="212">
        <v>2110.42</v>
      </c>
      <c r="H364" s="204">
        <v>251.17</v>
      </c>
      <c r="I364" s="187">
        <v>1</v>
      </c>
      <c r="J364" s="187">
        <v>2</v>
      </c>
      <c r="K364" s="188">
        <v>1365.5999999999995</v>
      </c>
      <c r="L364" s="189">
        <f t="shared" si="199"/>
      </c>
      <c r="M364" s="190">
        <f t="shared" si="421"/>
      </c>
      <c r="N364" s="191">
        <f t="shared" si="11"/>
      </c>
      <c r="O364" s="191">
        <f t="shared" si="304"/>
      </c>
      <c r="P364" s="191">
        <f t="shared" si="349"/>
      </c>
      <c r="Q364" s="191">
        <f t="shared" si="244"/>
      </c>
      <c r="R364" s="191">
        <f t="shared" si="274"/>
      </c>
      <c r="S364" s="191">
        <f t="shared" si="169"/>
      </c>
      <c r="T364" s="191">
        <f t="shared" si="214"/>
      </c>
      <c r="U364" s="189">
        <f t="shared" si="436"/>
      </c>
      <c r="V364" s="189">
        <f t="shared" si="26"/>
      </c>
      <c r="W364" s="189">
        <f t="shared" si="41"/>
      </c>
      <c r="X364" s="189">
        <f t="shared" si="56"/>
      </c>
      <c r="Y364" s="189">
        <f t="shared" si="319"/>
      </c>
      <c r="Z364" s="189">
        <f t="shared" si="364"/>
      </c>
      <c r="AA364" s="190">
        <f t="shared" si="259"/>
      </c>
      <c r="AB364" s="190">
        <f t="shared" si="289"/>
      </c>
      <c r="AC364" s="190">
        <f t="shared" si="184"/>
      </c>
      <c r="AD364" s="189">
        <f t="shared" si="229"/>
      </c>
      <c r="AE364" s="190">
        <f t="shared" si="451"/>
      </c>
      <c r="AF364" s="189">
        <f t="shared" si="71"/>
      </c>
      <c r="AG364" s="189">
        <f t="shared" si="334"/>
      </c>
      <c r="AH364" s="192">
        <v>14971</v>
      </c>
      <c r="AI364" s="192">
        <v>322</v>
      </c>
      <c r="AJ364" s="192">
        <v>413</v>
      </c>
      <c r="AK364" s="192">
        <v>22</v>
      </c>
      <c r="AL364" s="192">
        <v>1</v>
      </c>
      <c r="AM364" s="192">
        <v>1</v>
      </c>
      <c r="AN364" s="192">
        <v>71</v>
      </c>
      <c r="AO364" s="192">
        <v>29</v>
      </c>
      <c r="AP364" s="192">
        <v>10</v>
      </c>
      <c r="AQ364" s="187">
        <v>0</v>
      </c>
      <c r="AR364" s="213">
        <f t="shared" si="398"/>
      </c>
    </row>
    <row r="365">
      <c r="A365" s="182"/>
      <c r="B365" s="184" t="s">
        <v>191</v>
      </c>
      <c r="C365" s="184" t="s">
        <v>192</v>
      </c>
      <c r="D365" s="183" t="s">
        <v>201</v>
      </c>
      <c r="E365" s="183" t="s">
        <v>211</v>
      </c>
      <c r="F365" s="185">
        <f t="shared" si="146"/>
      </c>
      <c r="G365" s="204">
        <v>1984.76</v>
      </c>
      <c r="H365" s="204">
        <v>167.46</v>
      </c>
      <c r="I365" s="187">
        <v>4</v>
      </c>
      <c r="J365" s="187">
        <v>3</v>
      </c>
      <c r="K365" s="188">
        <v>2304</v>
      </c>
      <c r="L365" s="189">
        <f t="shared" si="199"/>
      </c>
      <c r="M365" s="190">
        <f t="shared" si="421"/>
      </c>
      <c r="N365" s="191">
        <f t="shared" si="11"/>
      </c>
      <c r="O365" s="191">
        <f t="shared" si="304"/>
      </c>
      <c r="P365" s="191">
        <f t="shared" si="349"/>
      </c>
      <c r="Q365" s="191">
        <f t="shared" si="244"/>
      </c>
      <c r="R365" s="191">
        <f t="shared" si="274"/>
      </c>
      <c r="S365" s="191">
        <f t="shared" si="169"/>
      </c>
      <c r="T365" s="191">
        <f t="shared" si="214"/>
      </c>
      <c r="U365" s="189">
        <f t="shared" si="436"/>
      </c>
      <c r="V365" s="189">
        <f t="shared" si="26"/>
      </c>
      <c r="W365" s="189">
        <f t="shared" si="41"/>
      </c>
      <c r="X365" s="189">
        <f t="shared" si="56"/>
      </c>
      <c r="Y365" s="189">
        <f t="shared" si="319"/>
      </c>
      <c r="Z365" s="189">
        <f t="shared" si="364"/>
      </c>
      <c r="AA365" s="190">
        <f t="shared" si="259"/>
      </c>
      <c r="AB365" s="190">
        <f t="shared" si="289"/>
      </c>
      <c r="AC365" s="190">
        <f t="shared" si="184"/>
      </c>
      <c r="AD365" s="189">
        <f t="shared" si="229"/>
      </c>
      <c r="AE365" s="190">
        <f t="shared" si="451"/>
      </c>
      <c r="AF365" s="189">
        <f t="shared" si="71"/>
      </c>
      <c r="AG365" s="189">
        <f t="shared" si="334"/>
      </c>
      <c r="AH365" s="192">
        <v>15140</v>
      </c>
      <c r="AI365" s="192">
        <v>294</v>
      </c>
      <c r="AJ365" s="192">
        <v>381</v>
      </c>
      <c r="AK365" s="192">
        <v>24</v>
      </c>
      <c r="AL365" s="187">
        <v>6</v>
      </c>
      <c r="AM365" s="192">
        <v>3</v>
      </c>
      <c r="AN365" s="192">
        <v>74</v>
      </c>
      <c r="AO365" s="192">
        <v>47</v>
      </c>
      <c r="AP365" s="192">
        <v>4</v>
      </c>
      <c r="AQ365" s="187">
        <v>0</v>
      </c>
      <c r="AR365" s="213">
        <f t="shared" si="398"/>
      </c>
    </row>
    <row r="366">
      <c r="A366" s="182"/>
      <c r="B366" s="184" t="s">
        <v>191</v>
      </c>
      <c r="C366" s="184" t="s">
        <v>192</v>
      </c>
      <c r="D366" s="183" t="s">
        <v>201</v>
      </c>
      <c r="E366" s="183" t="s">
        <v>212</v>
      </c>
      <c r="F366" s="185">
        <f t="shared" si="146"/>
      </c>
      <c r="G366" s="204">
        <v>1868.52</v>
      </c>
      <c r="H366" s="204">
        <v>241.77</v>
      </c>
      <c r="I366" s="187">
        <v>7</v>
      </c>
      <c r="J366" s="187">
        <v>6</v>
      </c>
      <c r="K366" s="188">
        <v>3983.999999999999</v>
      </c>
      <c r="L366" s="189">
        <f t="shared" si="199"/>
      </c>
      <c r="M366" s="190">
        <f t="shared" si="421"/>
      </c>
      <c r="N366" s="191">
        <f t="shared" si="11"/>
      </c>
      <c r="O366" s="191">
        <f t="shared" si="304"/>
      </c>
      <c r="P366" s="191">
        <f t="shared" si="349"/>
      </c>
      <c r="Q366" s="191">
        <f t="shared" si="244"/>
      </c>
      <c r="R366" s="191">
        <f t="shared" si="274"/>
      </c>
      <c r="S366" s="191">
        <f t="shared" si="169"/>
      </c>
      <c r="T366" s="191">
        <f t="shared" si="214"/>
      </c>
      <c r="U366" s="189">
        <f t="shared" si="436"/>
      </c>
      <c r="V366" s="189">
        <f t="shared" si="26"/>
      </c>
      <c r="W366" s="189">
        <f t="shared" si="41"/>
      </c>
      <c r="X366" s="189">
        <f t="shared" si="56"/>
      </c>
      <c r="Y366" s="189">
        <f t="shared" si="319"/>
      </c>
      <c r="Z366" s="189">
        <f t="shared" si="364"/>
      </c>
      <c r="AA366" s="190">
        <f t="shared" si="259"/>
      </c>
      <c r="AB366" s="190">
        <f t="shared" si="289"/>
      </c>
      <c r="AC366" s="190">
        <f t="shared" si="184"/>
      </c>
      <c r="AD366" s="189">
        <f t="shared" si="229"/>
      </c>
      <c r="AE366" s="190">
        <f t="shared" si="451"/>
      </c>
      <c r="AF366" s="189">
        <f t="shared" si="71"/>
      </c>
      <c r="AG366" s="189">
        <f t="shared" si="334"/>
      </c>
      <c r="AH366" s="192">
        <v>16371</v>
      </c>
      <c r="AI366" s="192">
        <v>333</v>
      </c>
      <c r="AJ366" s="192">
        <v>483</v>
      </c>
      <c r="AK366" s="192">
        <v>27</v>
      </c>
      <c r="AL366" s="187">
        <v>5</v>
      </c>
      <c r="AM366" s="192">
        <v>4</v>
      </c>
      <c r="AN366" s="192">
        <v>71</v>
      </c>
      <c r="AO366" s="192">
        <v>54</v>
      </c>
      <c r="AP366" s="192">
        <v>4</v>
      </c>
      <c r="AQ366" s="187">
        <v>1</v>
      </c>
      <c r="AR366" s="213">
        <f t="shared" si="398"/>
      </c>
    </row>
    <row r="367">
      <c r="A367" s="182"/>
      <c r="B367" s="197" t="s">
        <v>197</v>
      </c>
      <c r="C367" s="197"/>
      <c r="D367" s="197"/>
      <c r="E367" s="197"/>
      <c r="F367" s="198">
        <f>SUM(F363:F366)</f>
      </c>
      <c r="G367" s="198">
        <f>SUM(G363:G366)</f>
      </c>
      <c r="H367" s="198">
        <f>SUM(H363:H366)</f>
      </c>
      <c r="I367" s="199">
        <f>SUM(I363:I366)</f>
      </c>
      <c r="J367" s="199">
        <f>SUM(J363:J366)</f>
      </c>
      <c r="K367" s="198">
        <f>SUM(K363:K366)</f>
      </c>
      <c r="L367" s="200">
        <f t="shared" si="199"/>
      </c>
      <c r="M367" s="201">
        <f t="shared" si="421"/>
      </c>
      <c r="N367" s="202">
        <f t="shared" si="11"/>
      </c>
      <c r="O367" s="202">
        <f t="shared" si="304"/>
      </c>
      <c r="P367" s="202">
        <f t="shared" si="349"/>
      </c>
      <c r="Q367" s="202">
        <f t="shared" si="244"/>
      </c>
      <c r="R367" s="202">
        <f t="shared" si="274"/>
      </c>
      <c r="S367" s="202">
        <f t="shared" si="169"/>
      </c>
      <c r="T367" s="202">
        <f t="shared" si="214"/>
      </c>
      <c r="U367" s="200">
        <f t="shared" si="436"/>
      </c>
      <c r="V367" s="200">
        <f t="shared" si="26"/>
      </c>
      <c r="W367" s="200">
        <f t="shared" si="41"/>
      </c>
      <c r="X367" s="200">
        <f t="shared" si="56"/>
      </c>
      <c r="Y367" s="200">
        <f t="shared" si="319"/>
      </c>
      <c r="Z367" s="200">
        <f t="shared" si="364"/>
      </c>
      <c r="AA367" s="201">
        <f t="shared" si="259"/>
      </c>
      <c r="AB367" s="201">
        <f t="shared" si="289"/>
      </c>
      <c r="AC367" s="201">
        <f t="shared" si="184"/>
      </c>
      <c r="AD367" s="200">
        <f t="shared" si="229"/>
      </c>
      <c r="AE367" s="201">
        <f t="shared" si="451"/>
      </c>
      <c r="AF367" s="200">
        <f t="shared" si="71"/>
      </c>
      <c r="AG367" s="200">
        <f t="shared" si="334"/>
      </c>
      <c r="AH367" s="199">
        <f>SUM(AH363:AH366)</f>
      </c>
      <c r="AI367" s="199">
        <f>SUM(AI363:AI366)</f>
      </c>
      <c r="AJ367" s="199">
        <f>SUM(AJ363:AJ366)</f>
      </c>
      <c r="AK367" s="199">
        <f>SUM(AK363:AK366)</f>
      </c>
      <c r="AL367" s="199">
        <f>SUM(AL363:AL366)</f>
      </c>
      <c r="AM367" s="199">
        <f>SUM(AM363:AM366)</f>
      </c>
      <c r="AN367" s="199">
        <f>SUM(AN363:AN366)</f>
      </c>
      <c r="AO367" s="199">
        <f>SUM(AO363:AO366)</f>
      </c>
      <c r="AP367" s="199">
        <f>SUM(AP363:AP366)</f>
      </c>
      <c r="AQ367" s="199">
        <f>SUM(AQ363:AQ366)</f>
      </c>
      <c r="AR367" s="203">
        <f>SUM(AR363:AR366)</f>
      </c>
    </row>
    <row r="368">
      <c r="A368" s="182"/>
      <c r="B368" s="184" t="s">
        <v>191</v>
      </c>
      <c r="C368" s="184" t="s">
        <v>192</v>
      </c>
      <c r="D368" s="183" t="s">
        <v>206</v>
      </c>
      <c r="E368" s="183" t="s">
        <v>194</v>
      </c>
      <c r="F368" s="185">
        <f t="shared" ref="F368:F371" si="147">H368+G368</f>
      </c>
      <c r="G368" s="204">
        <v>1502.08</v>
      </c>
      <c r="H368" s="204">
        <v>354.85</v>
      </c>
      <c r="I368" s="187">
        <v>4</v>
      </c>
      <c r="J368" s="187">
        <v>3</v>
      </c>
      <c r="K368" s="188">
        <v>1630.7999999999993</v>
      </c>
      <c r="L368" s="189">
        <f t="shared" si="199"/>
      </c>
      <c r="M368" s="190">
        <f t="shared" si="421"/>
      </c>
      <c r="N368" s="191">
        <f t="shared" si="11"/>
      </c>
      <c r="O368" s="191">
        <f t="shared" si="304"/>
      </c>
      <c r="P368" s="191">
        <f t="shared" si="349"/>
      </c>
      <c r="Q368" s="191">
        <f t="shared" si="244"/>
      </c>
      <c r="R368" s="191">
        <f t="shared" si="274"/>
      </c>
      <c r="S368" s="191">
        <f t="shared" si="169"/>
      </c>
      <c r="T368" s="191">
        <f t="shared" si="214"/>
      </c>
      <c r="U368" s="189">
        <f t="shared" si="436"/>
      </c>
      <c r="V368" s="189">
        <f t="shared" si="26"/>
      </c>
      <c r="W368" s="189">
        <f t="shared" si="41"/>
      </c>
      <c r="X368" s="189">
        <f t="shared" si="56"/>
      </c>
      <c r="Y368" s="189">
        <f t="shared" si="319"/>
      </c>
      <c r="Z368" s="189">
        <f t="shared" si="364"/>
      </c>
      <c r="AA368" s="190">
        <f t="shared" si="259"/>
      </c>
      <c r="AB368" s="190">
        <f t="shared" si="289"/>
      </c>
      <c r="AC368" s="190">
        <f t="shared" si="184"/>
      </c>
      <c r="AD368" s="189">
        <f t="shared" si="229"/>
      </c>
      <c r="AE368" s="190">
        <f t="shared" si="451"/>
      </c>
      <c r="AF368" s="189">
        <f t="shared" si="71"/>
      </c>
      <c r="AG368" s="189">
        <f t="shared" si="334"/>
      </c>
      <c r="AH368" s="192">
        <v>15908</v>
      </c>
      <c r="AI368" s="192">
        <v>347</v>
      </c>
      <c r="AJ368" s="192">
        <v>502</v>
      </c>
      <c r="AK368" s="192">
        <v>33</v>
      </c>
      <c r="AL368" s="192">
        <v>3</v>
      </c>
      <c r="AM368" s="192">
        <v>2</v>
      </c>
      <c r="AN368" s="192">
        <v>73</v>
      </c>
      <c r="AO368" s="192">
        <v>60</v>
      </c>
      <c r="AP368" s="192">
        <v>9</v>
      </c>
      <c r="AQ368" s="187">
        <v>1</v>
      </c>
      <c r="AR368" s="213">
        <f t="shared" ref="AR368:AR371" si="399">COUNT(AQ368)</f>
      </c>
    </row>
    <row r="369">
      <c r="A369" s="182"/>
      <c r="B369" s="184" t="s">
        <v>191</v>
      </c>
      <c r="C369" s="184" t="s">
        <v>192</v>
      </c>
      <c r="D369" s="183" t="s">
        <v>206</v>
      </c>
      <c r="E369" s="183" t="s">
        <v>195</v>
      </c>
      <c r="F369" s="185">
        <f t="shared" si="147"/>
      </c>
      <c r="G369" s="204">
        <v>896.15</v>
      </c>
      <c r="H369" s="204">
        <v>315.45</v>
      </c>
      <c r="I369" s="187">
        <v>6</v>
      </c>
      <c r="J369" s="192">
        <v>5</v>
      </c>
      <c r="K369" s="196">
        <v>4035.600000000002</v>
      </c>
      <c r="L369" s="189">
        <f t="shared" si="199"/>
      </c>
      <c r="M369" s="190">
        <f t="shared" si="421"/>
      </c>
      <c r="N369" s="191">
        <f t="shared" si="11"/>
      </c>
      <c r="O369" s="191">
        <f t="shared" si="304"/>
      </c>
      <c r="P369" s="191">
        <f t="shared" si="349"/>
      </c>
      <c r="Q369" s="191">
        <f t="shared" si="244"/>
      </c>
      <c r="R369" s="191">
        <f t="shared" si="274"/>
      </c>
      <c r="S369" s="191">
        <f t="shared" si="169"/>
      </c>
      <c r="T369" s="191">
        <f t="shared" si="214"/>
      </c>
      <c r="U369" s="189">
        <f t="shared" si="436"/>
      </c>
      <c r="V369" s="189">
        <f t="shared" si="26"/>
      </c>
      <c r="W369" s="189">
        <f t="shared" si="41"/>
      </c>
      <c r="X369" s="189">
        <f t="shared" si="56"/>
      </c>
      <c r="Y369" s="189">
        <f t="shared" si="319"/>
      </c>
      <c r="Z369" s="189">
        <f t="shared" si="364"/>
      </c>
      <c r="AA369" s="190">
        <f t="shared" si="259"/>
      </c>
      <c r="AB369" s="190">
        <f t="shared" si="289"/>
      </c>
      <c r="AC369" s="190">
        <f t="shared" si="184"/>
      </c>
      <c r="AD369" s="189">
        <f t="shared" si="229"/>
      </c>
      <c r="AE369" s="190">
        <f t="shared" si="451"/>
      </c>
      <c r="AF369" s="189">
        <f t="shared" si="71"/>
      </c>
      <c r="AG369" s="189">
        <f t="shared" si="334"/>
      </c>
      <c r="AH369" s="192">
        <v>10827</v>
      </c>
      <c r="AI369" s="192">
        <v>256</v>
      </c>
      <c r="AJ369" s="192">
        <v>353</v>
      </c>
      <c r="AK369" s="192">
        <v>35</v>
      </c>
      <c r="AL369" s="192">
        <v>5</v>
      </c>
      <c r="AM369" s="192">
        <v>4</v>
      </c>
      <c r="AN369" s="192">
        <v>65</v>
      </c>
      <c r="AO369" s="192">
        <v>101</v>
      </c>
      <c r="AP369" s="192">
        <v>8</v>
      </c>
      <c r="AQ369" s="187">
        <v>1</v>
      </c>
      <c r="AR369" s="213">
        <f t="shared" si="399"/>
      </c>
    </row>
    <row r="370">
      <c r="A370" s="182"/>
      <c r="B370" s="184" t="s">
        <v>191</v>
      </c>
      <c r="C370" s="184" t="s">
        <v>192</v>
      </c>
      <c r="D370" s="183" t="s">
        <v>206</v>
      </c>
      <c r="E370" s="183" t="s">
        <v>196</v>
      </c>
      <c r="F370" s="185">
        <f t="shared" si="147"/>
      </c>
      <c r="G370" s="204">
        <v>821.2</v>
      </c>
      <c r="H370" s="204">
        <v>351.3</v>
      </c>
      <c r="I370" s="187">
        <v>2</v>
      </c>
      <c r="J370" s="187">
        <v>2</v>
      </c>
      <c r="K370" s="188">
        <v>1301.7999999999993</v>
      </c>
      <c r="L370" s="189">
        <f t="shared" si="199"/>
      </c>
      <c r="M370" s="190">
        <f t="shared" si="421"/>
      </c>
      <c r="N370" s="191">
        <f t="shared" si="11"/>
      </c>
      <c r="O370" s="191">
        <f t="shared" si="304"/>
      </c>
      <c r="P370" s="191">
        <f t="shared" si="349"/>
      </c>
      <c r="Q370" s="191">
        <f t="shared" si="244"/>
      </c>
      <c r="R370" s="191">
        <f t="shared" si="274"/>
      </c>
      <c r="S370" s="191">
        <f t="shared" si="169"/>
      </c>
      <c r="T370" s="191">
        <f t="shared" si="214"/>
      </c>
      <c r="U370" s="189">
        <f t="shared" si="436"/>
      </c>
      <c r="V370" s="189">
        <f t="shared" si="26"/>
      </c>
      <c r="W370" s="189">
        <f t="shared" si="41"/>
      </c>
      <c r="X370" s="189">
        <f t="shared" si="56"/>
      </c>
      <c r="Y370" s="189">
        <f t="shared" si="319"/>
      </c>
      <c r="Z370" s="189">
        <f t="shared" si="364"/>
      </c>
      <c r="AA370" s="190">
        <f t="shared" si="259"/>
      </c>
      <c r="AB370" s="190">
        <f t="shared" si="289"/>
      </c>
      <c r="AC370" s="190">
        <f t="shared" si="184"/>
      </c>
      <c r="AD370" s="189">
        <f t="shared" si="229"/>
      </c>
      <c r="AE370" s="190">
        <f t="shared" si="451"/>
      </c>
      <c r="AF370" s="189">
        <f t="shared" si="71"/>
      </c>
      <c r="AG370" s="189">
        <f t="shared" si="334"/>
      </c>
      <c r="AH370" s="192">
        <v>11089</v>
      </c>
      <c r="AI370" s="192">
        <v>255</v>
      </c>
      <c r="AJ370" s="192">
        <v>384</v>
      </c>
      <c r="AK370" s="192">
        <v>12</v>
      </c>
      <c r="AL370" s="192">
        <v>2</v>
      </c>
      <c r="AM370" s="192">
        <v>2</v>
      </c>
      <c r="AN370" s="192">
        <v>44</v>
      </c>
      <c r="AO370" s="192">
        <v>44</v>
      </c>
      <c r="AP370" s="192">
        <v>6</v>
      </c>
      <c r="AQ370" s="187">
        <v>0</v>
      </c>
      <c r="AR370" s="213">
        <f t="shared" si="399"/>
      </c>
    </row>
    <row r="371">
      <c r="A371" s="182"/>
      <c r="B371" s="184" t="s">
        <v>191</v>
      </c>
      <c r="C371" s="184" t="s">
        <v>192</v>
      </c>
      <c r="D371" s="183" t="s">
        <v>206</v>
      </c>
      <c r="E371" s="183" t="s">
        <v>199</v>
      </c>
      <c r="F371" s="185">
        <f t="shared" si="147"/>
      </c>
      <c r="G371" s="204">
        <v>1977.55</v>
      </c>
      <c r="H371" s="204">
        <v>571.3</v>
      </c>
      <c r="I371" s="187">
        <v>6</v>
      </c>
      <c r="J371" s="187">
        <v>6</v>
      </c>
      <c r="K371" s="188">
        <v>4935.600000000002</v>
      </c>
      <c r="L371" s="189">
        <f t="shared" si="199"/>
      </c>
      <c r="M371" s="190">
        <f t="shared" si="421"/>
      </c>
      <c r="N371" s="191">
        <f t="shared" si="11"/>
      </c>
      <c r="O371" s="191">
        <f t="shared" si="304"/>
      </c>
      <c r="P371" s="191">
        <f t="shared" si="349"/>
      </c>
      <c r="Q371" s="191">
        <f t="shared" si="244"/>
      </c>
      <c r="R371" s="191">
        <f t="shared" si="274"/>
      </c>
      <c r="S371" s="191">
        <f t="shared" si="169"/>
      </c>
      <c r="T371" s="191">
        <f t="shared" si="214"/>
      </c>
      <c r="U371" s="189">
        <f t="shared" si="436"/>
      </c>
      <c r="V371" s="189">
        <f t="shared" si="26"/>
      </c>
      <c r="W371" s="189">
        <f t="shared" si="41"/>
      </c>
      <c r="X371" s="189">
        <f t="shared" si="56"/>
      </c>
      <c r="Y371" s="189">
        <f t="shared" si="319"/>
      </c>
      <c r="Z371" s="189">
        <f t="shared" si="364"/>
      </c>
      <c r="AA371" s="190">
        <f t="shared" si="259"/>
      </c>
      <c r="AB371" s="190">
        <f t="shared" si="289"/>
      </c>
      <c r="AC371" s="190">
        <f t="shared" si="184"/>
      </c>
      <c r="AD371" s="189">
        <f t="shared" si="229"/>
      </c>
      <c r="AE371" s="190">
        <f t="shared" si="451"/>
      </c>
      <c r="AF371" s="189">
        <f t="shared" si="71"/>
      </c>
      <c r="AG371" s="189">
        <f t="shared" si="334"/>
      </c>
      <c r="AH371" s="192">
        <v>27762</v>
      </c>
      <c r="AI371" s="192">
        <v>571</v>
      </c>
      <c r="AJ371" s="192">
        <v>718</v>
      </c>
      <c r="AK371" s="192">
        <v>31</v>
      </c>
      <c r="AL371" s="192">
        <v>3</v>
      </c>
      <c r="AM371" s="192">
        <v>3</v>
      </c>
      <c r="AN371" s="192">
        <v>108</v>
      </c>
      <c r="AO371" s="192">
        <v>109</v>
      </c>
      <c r="AP371" s="192">
        <v>9</v>
      </c>
      <c r="AQ371" s="187">
        <v>2</v>
      </c>
      <c r="AR371" s="213">
        <f t="shared" si="399"/>
      </c>
    </row>
    <row r="372">
      <c r="A372" s="182"/>
      <c r="B372" s="197" t="s">
        <v>197</v>
      </c>
      <c r="C372" s="197"/>
      <c r="D372" s="197"/>
      <c r="E372" s="197"/>
      <c r="F372" s="198">
        <f>SUM(F368:F371)</f>
      </c>
      <c r="G372" s="198">
        <f>SUM(G368:G371)</f>
      </c>
      <c r="H372" s="198">
        <f>SUM(H368:H371)</f>
      </c>
      <c r="I372" s="199">
        <f>SUM(I368:I371)</f>
      </c>
      <c r="J372" s="199">
        <f>SUM(J368:J371)</f>
      </c>
      <c r="K372" s="198">
        <f>SUM(K368:K371)</f>
      </c>
      <c r="L372" s="200">
        <f t="shared" si="199"/>
      </c>
      <c r="M372" s="201">
        <f t="shared" si="421"/>
      </c>
      <c r="N372" s="202">
        <f t="shared" si="11"/>
      </c>
      <c r="O372" s="202">
        <f t="shared" si="304"/>
      </c>
      <c r="P372" s="202">
        <f t="shared" si="349"/>
      </c>
      <c r="Q372" s="202">
        <f t="shared" si="244"/>
      </c>
      <c r="R372" s="202">
        <f t="shared" si="274"/>
      </c>
      <c r="S372" s="202">
        <f t="shared" si="169"/>
      </c>
      <c r="T372" s="202">
        <f t="shared" si="214"/>
      </c>
      <c r="U372" s="200">
        <f t="shared" si="436"/>
      </c>
      <c r="V372" s="200">
        <f t="shared" si="26"/>
      </c>
      <c r="W372" s="200">
        <f t="shared" si="41"/>
      </c>
      <c r="X372" s="200">
        <f t="shared" si="56"/>
      </c>
      <c r="Y372" s="200">
        <f t="shared" si="319"/>
      </c>
      <c r="Z372" s="200">
        <f t="shared" si="364"/>
      </c>
      <c r="AA372" s="201">
        <f t="shared" si="259"/>
      </c>
      <c r="AB372" s="201">
        <f t="shared" si="289"/>
      </c>
      <c r="AC372" s="201">
        <f t="shared" si="184"/>
      </c>
      <c r="AD372" s="200">
        <f t="shared" si="229"/>
      </c>
      <c r="AE372" s="201">
        <f t="shared" si="451"/>
      </c>
      <c r="AF372" s="200">
        <f t="shared" si="71"/>
      </c>
      <c r="AG372" s="200">
        <f t="shared" si="334"/>
      </c>
      <c r="AH372" s="199">
        <f>SUM(AH368:AH371)</f>
      </c>
      <c r="AI372" s="199">
        <f>SUM(AI368:AI371)</f>
      </c>
      <c r="AJ372" s="199">
        <f>SUM(AJ368:AJ371)</f>
      </c>
      <c r="AK372" s="199">
        <f>SUM(AK368:AK371)</f>
      </c>
      <c r="AL372" s="199">
        <f>SUM(AL368:AL371)</f>
      </c>
      <c r="AM372" s="199">
        <f>SUM(AM368:AM371)</f>
      </c>
      <c r="AN372" s="199">
        <f>SUM(AN368:AN371)</f>
      </c>
      <c r="AO372" s="199">
        <f>SUM(AO368:AO371)</f>
      </c>
      <c r="AP372" s="199">
        <f>SUM(AP368:AP371)</f>
      </c>
      <c r="AQ372" s="199">
        <f>SUM(AQ368:AQ371)</f>
      </c>
      <c r="AR372" s="203">
        <f>SUM(AR368:AR371)</f>
      </c>
    </row>
    <row r="373">
      <c r="A373" s="182"/>
      <c r="B373" s="184" t="s">
        <v>191</v>
      </c>
      <c r="C373" s="184" t="s">
        <v>192</v>
      </c>
      <c r="D373" s="183" t="s">
        <v>207</v>
      </c>
      <c r="E373" s="183" t="s">
        <v>200</v>
      </c>
      <c r="F373" s="185">
        <f t="shared" ref="F373:F376" si="148">H373+G373</f>
      </c>
      <c r="G373" s="204">
        <v>1306.21</v>
      </c>
      <c r="H373" s="204">
        <v>783.55</v>
      </c>
      <c r="I373" s="187">
        <v>2</v>
      </c>
      <c r="J373" s="192">
        <v>1</v>
      </c>
      <c r="K373" s="196">
        <v>474</v>
      </c>
      <c r="L373" s="189">
        <f t="shared" si="199"/>
      </c>
      <c r="M373" s="190">
        <f t="shared" si="421"/>
      </c>
      <c r="N373" s="191">
        <f t="shared" si="11"/>
      </c>
      <c r="O373" s="191">
        <f t="shared" si="304"/>
      </c>
      <c r="P373" s="191">
        <f t="shared" si="349"/>
      </c>
      <c r="Q373" s="191">
        <f t="shared" si="244"/>
      </c>
      <c r="R373" s="191">
        <f t="shared" si="274"/>
      </c>
      <c r="S373" s="191">
        <f t="shared" si="169"/>
      </c>
      <c r="T373" s="191">
        <f t="shared" si="214"/>
      </c>
      <c r="U373" s="189">
        <f t="shared" si="436"/>
      </c>
      <c r="V373" s="189">
        <f t="shared" si="26"/>
      </c>
      <c r="W373" s="189">
        <f t="shared" si="41"/>
      </c>
      <c r="X373" s="189">
        <f t="shared" si="56"/>
      </c>
      <c r="Y373" s="189">
        <f t="shared" si="319"/>
      </c>
      <c r="Z373" s="189">
        <f t="shared" si="364"/>
      </c>
      <c r="AA373" s="190">
        <f t="shared" si="259"/>
      </c>
      <c r="AB373" s="190">
        <f t="shared" si="289"/>
      </c>
      <c r="AC373" s="190">
        <f t="shared" si="184"/>
      </c>
      <c r="AD373" s="189">
        <f t="shared" si="229"/>
      </c>
      <c r="AE373" s="190">
        <f t="shared" si="451"/>
      </c>
      <c r="AF373" s="189">
        <f t="shared" si="71"/>
      </c>
      <c r="AG373" s="189">
        <f t="shared" si="334"/>
      </c>
      <c r="AH373" s="192">
        <v>20816</v>
      </c>
      <c r="AI373" s="192">
        <v>532</v>
      </c>
      <c r="AJ373" s="192">
        <v>760</v>
      </c>
      <c r="AK373" s="192">
        <v>43</v>
      </c>
      <c r="AL373" s="192">
        <v>2</v>
      </c>
      <c r="AM373" s="192">
        <v>1</v>
      </c>
      <c r="AN373" s="192">
        <v>86</v>
      </c>
      <c r="AO373" s="192">
        <v>52</v>
      </c>
      <c r="AP373" s="192">
        <v>9</v>
      </c>
      <c r="AQ373" s="187">
        <v>0</v>
      </c>
      <c r="AR373" s="213">
        <f t="shared" ref="AR373:AR376" si="400">COUNT(AQ373)</f>
      </c>
    </row>
    <row r="374">
      <c r="A374" s="182"/>
      <c r="B374" s="184" t="s">
        <v>191</v>
      </c>
      <c r="C374" s="184" t="s">
        <v>192</v>
      </c>
      <c r="D374" s="183" t="s">
        <v>207</v>
      </c>
      <c r="E374" s="184" t="s">
        <v>202</v>
      </c>
      <c r="F374" s="185">
        <f t="shared" si="148"/>
      </c>
      <c r="G374" s="204">
        <v>1074.34</v>
      </c>
      <c r="H374" s="204">
        <v>751.1</v>
      </c>
      <c r="I374" s="187">
        <v>5</v>
      </c>
      <c r="J374" s="192">
        <v>4</v>
      </c>
      <c r="K374" s="188">
        <v>3131.7999999999956</v>
      </c>
      <c r="L374" s="189">
        <f t="shared" si="199"/>
      </c>
      <c r="M374" s="190">
        <f t="shared" si="421"/>
      </c>
      <c r="N374" s="191">
        <f t="shared" si="11"/>
      </c>
      <c r="O374" s="191">
        <f t="shared" si="304"/>
      </c>
      <c r="P374" s="191">
        <f t="shared" si="349"/>
      </c>
      <c r="Q374" s="191">
        <f t="shared" si="244"/>
      </c>
      <c r="R374" s="191">
        <f t="shared" si="274"/>
      </c>
      <c r="S374" s="191">
        <f t="shared" si="169"/>
      </c>
      <c r="T374" s="191">
        <f t="shared" si="214"/>
      </c>
      <c r="U374" s="189">
        <f t="shared" si="436"/>
      </c>
      <c r="V374" s="189">
        <f t="shared" si="26"/>
      </c>
      <c r="W374" s="189">
        <f t="shared" si="41"/>
      </c>
      <c r="X374" s="189">
        <f t="shared" si="56"/>
      </c>
      <c r="Y374" s="189">
        <f t="shared" si="319"/>
      </c>
      <c r="Z374" s="189">
        <f t="shared" si="364"/>
      </c>
      <c r="AA374" s="190">
        <f t="shared" si="259"/>
      </c>
      <c r="AB374" s="190">
        <f t="shared" si="289"/>
      </c>
      <c r="AC374" s="190">
        <f t="shared" si="184"/>
      </c>
      <c r="AD374" s="189">
        <f t="shared" si="229"/>
      </c>
      <c r="AE374" s="190">
        <f t="shared" si="451"/>
      </c>
      <c r="AF374" s="189">
        <f t="shared" si="71"/>
      </c>
      <c r="AG374" s="189">
        <f t="shared" si="334"/>
      </c>
      <c r="AH374" s="192">
        <v>18386</v>
      </c>
      <c r="AI374" s="192">
        <v>501</v>
      </c>
      <c r="AJ374" s="192">
        <v>749</v>
      </c>
      <c r="AK374" s="192">
        <v>39</v>
      </c>
      <c r="AL374" s="192">
        <v>4</v>
      </c>
      <c r="AM374" s="192">
        <v>3</v>
      </c>
      <c r="AN374" s="192">
        <v>84</v>
      </c>
      <c r="AO374" s="192">
        <v>62</v>
      </c>
      <c r="AP374" s="192">
        <v>5</v>
      </c>
      <c r="AQ374" s="187">
        <v>0</v>
      </c>
      <c r="AR374" s="213">
        <f t="shared" si="400"/>
      </c>
    </row>
    <row r="375">
      <c r="A375" s="182"/>
      <c r="B375" s="184" t="s">
        <v>191</v>
      </c>
      <c r="C375" s="184" t="s">
        <v>192</v>
      </c>
      <c r="D375" s="183" t="s">
        <v>207</v>
      </c>
      <c r="E375" s="184" t="s">
        <v>203</v>
      </c>
      <c r="F375" s="185">
        <f t="shared" si="148"/>
      </c>
      <c r="G375" s="204">
        <v>2256.31</v>
      </c>
      <c r="H375" s="204">
        <v>518.54</v>
      </c>
      <c r="I375" s="187">
        <v>3</v>
      </c>
      <c r="J375" s="192">
        <v>2</v>
      </c>
      <c r="K375" s="188">
        <v>1862.2000000000044</v>
      </c>
      <c r="L375" s="189">
        <f t="shared" si="199"/>
      </c>
      <c r="M375" s="190">
        <f t="shared" si="421"/>
      </c>
      <c r="N375" s="191">
        <f t="shared" si="11"/>
      </c>
      <c r="O375" s="191">
        <f t="shared" si="304"/>
      </c>
      <c r="P375" s="191">
        <f t="shared" si="349"/>
      </c>
      <c r="Q375" s="191">
        <f t="shared" si="244"/>
      </c>
      <c r="R375" s="191">
        <f t="shared" si="274"/>
      </c>
      <c r="S375" s="191">
        <f t="shared" si="169"/>
      </c>
      <c r="T375" s="191">
        <f t="shared" si="214"/>
      </c>
      <c r="U375" s="189">
        <f t="shared" si="436"/>
      </c>
      <c r="V375" s="189">
        <f t="shared" si="26"/>
      </c>
      <c r="W375" s="189">
        <f t="shared" si="41"/>
      </c>
      <c r="X375" s="189">
        <f t="shared" si="56"/>
      </c>
      <c r="Y375" s="189">
        <f t="shared" si="319"/>
      </c>
      <c r="Z375" s="189">
        <f t="shared" si="364"/>
      </c>
      <c r="AA375" s="190">
        <f t="shared" si="259"/>
      </c>
      <c r="AB375" s="190">
        <f t="shared" si="289"/>
      </c>
      <c r="AC375" s="190">
        <f t="shared" si="184"/>
      </c>
      <c r="AD375" s="189">
        <f t="shared" si="229"/>
      </c>
      <c r="AE375" s="190">
        <f t="shared" si="451"/>
      </c>
      <c r="AF375" s="189">
        <f t="shared" si="71"/>
      </c>
      <c r="AG375" s="189">
        <f t="shared" si="334"/>
      </c>
      <c r="AH375" s="192">
        <v>24272</v>
      </c>
      <c r="AI375" s="192">
        <v>488</v>
      </c>
      <c r="AJ375" s="192">
        <v>730</v>
      </c>
      <c r="AK375" s="192">
        <v>58</v>
      </c>
      <c r="AL375" s="192">
        <v>4</v>
      </c>
      <c r="AM375" s="192">
        <v>2</v>
      </c>
      <c r="AN375" s="192">
        <v>105</v>
      </c>
      <c r="AO375" s="192">
        <v>77</v>
      </c>
      <c r="AP375" s="192">
        <v>10</v>
      </c>
      <c r="AQ375" s="187">
        <v>0</v>
      </c>
      <c r="AR375" s="213">
        <f t="shared" si="400"/>
      </c>
    </row>
    <row r="376">
      <c r="A376" s="182"/>
      <c r="B376" s="184" t="s">
        <v>191</v>
      </c>
      <c r="C376" s="184" t="s">
        <v>192</v>
      </c>
      <c r="D376" s="183" t="s">
        <v>207</v>
      </c>
      <c r="E376" s="183" t="s">
        <v>204</v>
      </c>
      <c r="F376" s="185">
        <f t="shared" si="148"/>
      </c>
      <c r="G376" s="204">
        <v>988.41</v>
      </c>
      <c r="H376" s="204">
        <v>151.96</v>
      </c>
      <c r="I376" s="187">
        <v>6</v>
      </c>
      <c r="J376" s="192">
        <v>6</v>
      </c>
      <c r="K376" s="196">
        <v>4641.799999999996</v>
      </c>
      <c r="L376" s="189">
        <f t="shared" si="199"/>
      </c>
      <c r="M376" s="190">
        <f t="shared" si="421"/>
      </c>
      <c r="N376" s="191">
        <f t="shared" si="11"/>
      </c>
      <c r="O376" s="191">
        <f t="shared" si="304"/>
      </c>
      <c r="P376" s="191">
        <f t="shared" si="349"/>
      </c>
      <c r="Q376" s="191">
        <f t="shared" si="244"/>
      </c>
      <c r="R376" s="191">
        <f t="shared" si="274"/>
      </c>
      <c r="S376" s="191">
        <f t="shared" si="169"/>
      </c>
      <c r="T376" s="191">
        <f t="shared" si="214"/>
      </c>
      <c r="U376" s="189">
        <f t="shared" si="436"/>
      </c>
      <c r="V376" s="189">
        <f t="shared" si="26"/>
      </c>
      <c r="W376" s="189">
        <f t="shared" si="41"/>
      </c>
      <c r="X376" s="189">
        <f t="shared" si="56"/>
      </c>
      <c r="Y376" s="189">
        <f t="shared" si="319"/>
      </c>
      <c r="Z376" s="189">
        <f t="shared" si="364"/>
      </c>
      <c r="AA376" s="190">
        <f t="shared" si="259"/>
      </c>
      <c r="AB376" s="190">
        <f t="shared" si="289"/>
      </c>
      <c r="AC376" s="190">
        <f t="shared" si="184"/>
      </c>
      <c r="AD376" s="189">
        <f t="shared" si="229"/>
      </c>
      <c r="AE376" s="190">
        <f t="shared" si="451"/>
      </c>
      <c r="AF376" s="189">
        <f t="shared" si="71"/>
      </c>
      <c r="AG376" s="189">
        <f t="shared" si="334"/>
      </c>
      <c r="AH376" s="192">
        <v>12142</v>
      </c>
      <c r="AI376" s="192">
        <v>239</v>
      </c>
      <c r="AJ376" s="192">
        <v>343</v>
      </c>
      <c r="AK376" s="192">
        <v>30</v>
      </c>
      <c r="AL376" s="192">
        <v>3</v>
      </c>
      <c r="AM376" s="192">
        <v>4</v>
      </c>
      <c r="AN376" s="192">
        <v>55</v>
      </c>
      <c r="AO376" s="192">
        <v>64</v>
      </c>
      <c r="AP376" s="192">
        <v>6</v>
      </c>
      <c r="AQ376" s="187">
        <v>1</v>
      </c>
      <c r="AR376" s="213">
        <f t="shared" si="400"/>
      </c>
    </row>
    <row r="377">
      <c r="A377" s="182"/>
      <c r="B377" s="197" t="s">
        <v>197</v>
      </c>
      <c r="C377" s="197"/>
      <c r="D377" s="197"/>
      <c r="E377" s="197"/>
      <c r="F377" s="198">
        <f>SUM(F373:F376)</f>
      </c>
      <c r="G377" s="198">
        <f>SUM(G373:G376)</f>
      </c>
      <c r="H377" s="198">
        <f>SUM(H373:H376)</f>
      </c>
      <c r="I377" s="199">
        <f>SUM(I373:I376)</f>
      </c>
      <c r="J377" s="199">
        <f>SUM(J373:J376)</f>
      </c>
      <c r="K377" s="198">
        <f>SUM(K373:K376)</f>
      </c>
      <c r="L377" s="200">
        <f t="shared" si="199"/>
      </c>
      <c r="M377" s="201">
        <f t="shared" si="421"/>
      </c>
      <c r="N377" s="202">
        <f t="shared" si="11"/>
      </c>
      <c r="O377" s="202">
        <f t="shared" si="304"/>
      </c>
      <c r="P377" s="202">
        <f t="shared" si="349"/>
      </c>
      <c r="Q377" s="202">
        <f t="shared" si="244"/>
      </c>
      <c r="R377" s="202">
        <f t="shared" si="274"/>
      </c>
      <c r="S377" s="202">
        <f t="shared" si="169"/>
      </c>
      <c r="T377" s="202">
        <f t="shared" si="214"/>
      </c>
      <c r="U377" s="200">
        <f t="shared" si="436"/>
      </c>
      <c r="V377" s="200">
        <f t="shared" si="26"/>
      </c>
      <c r="W377" s="200">
        <f t="shared" si="41"/>
      </c>
      <c r="X377" s="200">
        <f t="shared" si="56"/>
      </c>
      <c r="Y377" s="200">
        <f t="shared" si="319"/>
      </c>
      <c r="Z377" s="200">
        <f t="shared" si="364"/>
      </c>
      <c r="AA377" s="201">
        <f t="shared" si="259"/>
      </c>
      <c r="AB377" s="201">
        <f t="shared" si="289"/>
      </c>
      <c r="AC377" s="201">
        <f t="shared" si="184"/>
      </c>
      <c r="AD377" s="200">
        <f t="shared" si="229"/>
      </c>
      <c r="AE377" s="201">
        <f t="shared" si="451"/>
      </c>
      <c r="AF377" s="200">
        <f t="shared" si="71"/>
      </c>
      <c r="AG377" s="200">
        <f t="shared" si="334"/>
      </c>
      <c r="AH377" s="199">
        <f>SUM(AH373:AH376)</f>
      </c>
      <c r="AI377" s="199">
        <f>SUM(AI373:AI376)</f>
      </c>
      <c r="AJ377" s="199">
        <f>SUM(AJ373:AJ376)</f>
      </c>
      <c r="AK377" s="199">
        <f>SUM(AK373:AK376)</f>
      </c>
      <c r="AL377" s="199">
        <f>SUM(AL373:AL376)</f>
      </c>
      <c r="AM377" s="199">
        <f>SUM(AM373:AM376)</f>
      </c>
      <c r="AN377" s="199">
        <f>SUM(AN373:AN376)</f>
      </c>
      <c r="AO377" s="199">
        <f>SUM(AO373:AO376)</f>
      </c>
      <c r="AP377" s="199">
        <f>SUM(AP373:AP376)</f>
      </c>
      <c r="AQ377" s="199">
        <f>SUM(AQ373:AQ376)</f>
      </c>
      <c r="AR377" s="203">
        <f>SUM(AR373:AR376)</f>
      </c>
    </row>
    <row r="378">
      <c r="A378" s="182"/>
      <c r="B378" s="205" t="s">
        <v>205</v>
      </c>
      <c r="C378" s="205"/>
      <c r="D378" s="205"/>
      <c r="E378" s="205"/>
      <c r="F378" s="206">
        <f>H378+G378</f>
      </c>
      <c r="G378" s="206">
        <f>G372+G367+G377</f>
      </c>
      <c r="H378" s="206">
        <f>H372+H367+H377</f>
      </c>
      <c r="I378" s="206">
        <f>I372+I367+I377</f>
      </c>
      <c r="J378" s="206">
        <f>J372+J367+J377</f>
      </c>
      <c r="K378" s="206">
        <f>K372+K367+K377</f>
      </c>
      <c r="L378" s="207">
        <f t="shared" si="199"/>
      </c>
      <c r="M378" s="208">
        <f t="shared" si="421"/>
      </c>
      <c r="N378" s="209">
        <f t="shared" si="11"/>
      </c>
      <c r="O378" s="209">
        <f t="shared" si="304"/>
      </c>
      <c r="P378" s="209">
        <f t="shared" si="349"/>
      </c>
      <c r="Q378" s="209">
        <f t="shared" si="244"/>
      </c>
      <c r="R378" s="209">
        <f t="shared" si="274"/>
      </c>
      <c r="S378" s="209">
        <f t="shared" si="169"/>
      </c>
      <c r="T378" s="209">
        <f t="shared" si="214"/>
      </c>
      <c r="U378" s="207">
        <f t="shared" si="436"/>
      </c>
      <c r="V378" s="207">
        <f t="shared" si="26"/>
      </c>
      <c r="W378" s="207">
        <f t="shared" si="41"/>
      </c>
      <c r="X378" s="207">
        <f t="shared" si="56"/>
      </c>
      <c r="Y378" s="207">
        <f t="shared" si="319"/>
      </c>
      <c r="Z378" s="207">
        <f t="shared" si="364"/>
      </c>
      <c r="AA378" s="208">
        <f t="shared" si="259"/>
      </c>
      <c r="AB378" s="208">
        <f t="shared" si="289"/>
      </c>
      <c r="AC378" s="208">
        <f t="shared" si="184"/>
      </c>
      <c r="AD378" s="207">
        <f t="shared" si="229"/>
      </c>
      <c r="AE378" s="208">
        <f t="shared" si="451"/>
      </c>
      <c r="AF378" s="207">
        <f t="shared" si="71"/>
      </c>
      <c r="AG378" s="207">
        <f t="shared" si="334"/>
      </c>
      <c r="AH378" s="203">
        <f>AH372+AH367+AH377</f>
      </c>
      <c r="AI378" s="203">
        <f>AI372+AI367+AI377</f>
      </c>
      <c r="AJ378" s="203">
        <f>AJ372+AJ367+AJ377</f>
      </c>
      <c r="AK378" s="203">
        <f>AK372+AK367+AK377</f>
      </c>
      <c r="AL378" s="203">
        <f>AL372+AL367+AL377</f>
      </c>
      <c r="AM378" s="203">
        <f>AM372+AM367+AM377</f>
      </c>
      <c r="AN378" s="203">
        <f>AN372+AN367+AN377</f>
      </c>
      <c r="AO378" s="203">
        <f>AO372+AO367+AO377</f>
      </c>
      <c r="AP378" s="203">
        <f>AP372+AP367+AP377</f>
      </c>
      <c r="AQ378" s="203">
        <f>AQ372+AQ367+AQ377</f>
      </c>
      <c r="AR378" s="203">
        <f>AR372+AR367+AR377</f>
      </c>
    </row>
    <row r="379">
      <c r="A379" s="159"/>
      <c r="B379" s="159"/>
      <c r="C379" s="159"/>
      <c r="D379" s="159"/>
      <c r="E379" s="159"/>
      <c r="F379" s="160" t="s">
        <v>143</v>
      </c>
      <c r="G379" s="160"/>
      <c r="H379" s="160"/>
      <c r="I379" s="160"/>
      <c r="J379" s="160"/>
      <c r="K379" s="160"/>
      <c r="L379" s="160"/>
      <c r="M379" s="160"/>
      <c r="N379" s="160"/>
      <c r="O379" s="160"/>
      <c r="P379" s="160"/>
      <c r="Q379" s="161" t="s">
        <v>144</v>
      </c>
      <c r="R379" s="161"/>
      <c r="S379" s="161"/>
      <c r="T379" s="161"/>
      <c r="U379" s="161"/>
      <c r="V379" s="161"/>
      <c r="W379" s="161"/>
      <c r="X379" s="161"/>
      <c r="Y379" s="161"/>
      <c r="Z379" s="161"/>
      <c r="AA379" s="161"/>
      <c r="AB379" s="161"/>
      <c r="AC379" s="162" t="s">
        <v>145</v>
      </c>
      <c r="AD379" s="162"/>
      <c r="AE379" s="162"/>
      <c r="AF379" s="162"/>
      <c r="AG379" s="162"/>
      <c r="AH379" s="163" t="s">
        <v>146</v>
      </c>
      <c r="AI379" s="163"/>
      <c r="AJ379" s="163"/>
      <c r="AK379" s="163"/>
      <c r="AL379" s="163"/>
      <c r="AM379" s="163"/>
      <c r="AN379" s="163"/>
      <c r="AO379" s="163"/>
      <c r="AP379" s="163"/>
      <c r="AQ379" s="163"/>
      <c r="AR379" s="163"/>
    </row>
    <row r="380">
      <c r="A380" s="164" t="s">
        <v>147</v>
      </c>
      <c r="B380" s="165" t="s">
        <v>148</v>
      </c>
      <c r="C380" s="165" t="s">
        <v>149</v>
      </c>
      <c r="D380" s="166" t="s">
        <v>150</v>
      </c>
      <c r="E380" s="167" t="s">
        <v>151</v>
      </c>
      <c r="F380" s="168" t="s">
        <v>152</v>
      </c>
      <c r="G380" s="169" t="s">
        <v>153</v>
      </c>
      <c r="H380" s="170" t="s">
        <v>154</v>
      </c>
      <c r="I380" s="171" t="s">
        <v>155</v>
      </c>
      <c r="J380" s="171" t="s">
        <v>156</v>
      </c>
      <c r="K380" s="170" t="s">
        <v>157</v>
      </c>
      <c r="L380" s="172" t="s">
        <v>158</v>
      </c>
      <c r="M380" s="173" t="s">
        <v>159</v>
      </c>
      <c r="N380" s="174" t="s">
        <v>160</v>
      </c>
      <c r="O380" s="174" t="s">
        <v>161</v>
      </c>
      <c r="P380" s="175" t="s">
        <v>162</v>
      </c>
      <c r="Q380" s="161" t="s">
        <v>163</v>
      </c>
      <c r="R380" s="176" t="s">
        <v>164</v>
      </c>
      <c r="S380" s="176" t="s">
        <v>165</v>
      </c>
      <c r="T380" s="176" t="s">
        <v>166</v>
      </c>
      <c r="U380" s="177" t="s">
        <v>167</v>
      </c>
      <c r="V380" s="177" t="s">
        <v>168</v>
      </c>
      <c r="W380" s="177" t="s">
        <v>169</v>
      </c>
      <c r="X380" s="177" t="s">
        <v>170</v>
      </c>
      <c r="Y380" s="177" t="s">
        <v>171</v>
      </c>
      <c r="Z380" s="177" t="s">
        <v>172</v>
      </c>
      <c r="AA380" s="178" t="s">
        <v>173</v>
      </c>
      <c r="AB380" s="178" t="s">
        <v>174</v>
      </c>
      <c r="AC380" s="162" t="s">
        <v>175</v>
      </c>
      <c r="AD380" s="179" t="s">
        <v>176</v>
      </c>
      <c r="AE380" s="162" t="s">
        <v>177</v>
      </c>
      <c r="AF380" s="179" t="s">
        <v>178</v>
      </c>
      <c r="AG380" s="179" t="s">
        <v>179</v>
      </c>
      <c r="AH380" s="180" t="s">
        <v>180</v>
      </c>
      <c r="AI380" s="180" t="s">
        <v>181</v>
      </c>
      <c r="AJ380" s="180" t="s">
        <v>182</v>
      </c>
      <c r="AK380" s="180" t="s">
        <v>183</v>
      </c>
      <c r="AL380" s="180" t="s">
        <v>184</v>
      </c>
      <c r="AM380" s="180" t="s">
        <v>185</v>
      </c>
      <c r="AN380" s="180" t="s">
        <v>186</v>
      </c>
      <c r="AO380" s="180" t="s">
        <v>187</v>
      </c>
      <c r="AP380" s="180" t="s">
        <v>188</v>
      </c>
      <c r="AQ380" s="180" t="s">
        <v>189</v>
      </c>
      <c r="AR380" s="181" t="s">
        <v>190</v>
      </c>
    </row>
    <row r="381">
      <c r="A381" s="182">
        <v>46293</v>
      </c>
      <c r="B381" s="184" t="s">
        <v>191</v>
      </c>
      <c r="C381" s="184" t="s">
        <v>192</v>
      </c>
      <c r="D381" s="183" t="s">
        <v>207</v>
      </c>
      <c r="E381" s="183" t="s">
        <v>209</v>
      </c>
      <c r="F381" s="185">
        <f t="shared" ref="F381:F384" si="149">H381+G381</f>
      </c>
      <c r="G381" s="204">
        <v>3769.32</v>
      </c>
      <c r="H381" s="204">
        <v>783.56</v>
      </c>
      <c r="I381" s="187">
        <v>6</v>
      </c>
      <c r="J381" s="187">
        <v>6</v>
      </c>
      <c r="K381" s="188">
        <v>4608</v>
      </c>
      <c r="L381" s="189">
        <f t="shared" ref="L381:L396" si="200">AQ381/J381</f>
      </c>
      <c r="M381" s="190">
        <f t="shared" ref="M381:M396" si="422">K381/J381</f>
      </c>
      <c r="N381" s="191">
        <f t="shared" ref="N381:N396" si="12">F381/J381</f>
      </c>
      <c r="O381" s="191">
        <f t="shared" ref="O381:O396" si="305">K381/F381</f>
      </c>
      <c r="P381" s="191">
        <f t="shared" ref="P381:P396" si="350">K381/((300*AR381)+F381)</f>
      </c>
      <c r="Q381" s="191">
        <f t="shared" ref="Q381:Q396" si="245">F381/AJ381</f>
      </c>
      <c r="R381" s="191">
        <f t="shared" ref="R381:R396" si="275">F381/AK381</f>
      </c>
      <c r="S381" s="191">
        <f t="shared" ref="S381:S396" si="170">F381/AL381</f>
      </c>
      <c r="T381" s="191">
        <f t="shared" ref="T381:T396" si="215">F381/AM381</f>
      </c>
      <c r="U381" s="189">
        <f t="shared" ref="U381:U396" si="437">AI381/AJ381</f>
      </c>
      <c r="V381" s="189">
        <f t="shared" ref="V381:V396" si="27">AK381/AJ381</f>
      </c>
      <c r="W381" s="189">
        <f t="shared" ref="W381:W396" si="42">AL381/AK381</f>
      </c>
      <c r="X381" s="189">
        <f t="shared" ref="X381:X396" si="57">AM381/AL381</f>
      </c>
      <c r="Y381" s="189">
        <f t="shared" ref="Y381:Y396" si="320">AI381/AH381</f>
      </c>
      <c r="Z381" s="189">
        <f t="shared" ref="Z381:Z396" si="365">AM381/AI381</f>
      </c>
      <c r="AA381" s="190">
        <f t="shared" ref="AA381:AA396" si="260">F381/AH381*1000</f>
      </c>
      <c r="AB381" s="190">
        <f t="shared" ref="AB381:AB396" si="290">F381/AI381</f>
      </c>
      <c r="AC381" s="190">
        <f t="shared" ref="AC381:AC396" si="185">F381/AN381</f>
      </c>
      <c r="AD381" s="189">
        <f t="shared" ref="AD381:AD396" si="230">AN381/AJ381</f>
      </c>
      <c r="AE381" s="190">
        <f t="shared" ref="AE381:AE396" si="452">F381/AO381</f>
      </c>
      <c r="AF381" s="189">
        <f t="shared" ref="AF381:AF396" si="72">AO381/AJ381</f>
      </c>
      <c r="AG381" s="189">
        <f t="shared" ref="AG381:AG396" si="335">AP381/AJ381</f>
      </c>
      <c r="AH381" s="192">
        <v>46053</v>
      </c>
      <c r="AI381" s="193">
        <v>762</v>
      </c>
      <c r="AJ381" s="193">
        <v>936</v>
      </c>
      <c r="AK381" s="192">
        <v>69</v>
      </c>
      <c r="AL381" s="192">
        <v>6</v>
      </c>
      <c r="AM381" s="192">
        <v>6</v>
      </c>
      <c r="AN381" s="192">
        <v>148</v>
      </c>
      <c r="AO381" s="192">
        <v>106</v>
      </c>
      <c r="AP381" s="192">
        <v>11</v>
      </c>
      <c r="AQ381" s="187">
        <v>0</v>
      </c>
      <c r="AR381" s="213">
        <f t="shared" ref="AR381:AR384" si="401">COUNT(AQ381)</f>
      </c>
    </row>
    <row r="382">
      <c r="A382" s="182"/>
      <c r="B382" s="184" t="s">
        <v>191</v>
      </c>
      <c r="C382" s="184" t="s">
        <v>192</v>
      </c>
      <c r="D382" s="183" t="s">
        <v>207</v>
      </c>
      <c r="E382" s="183" t="s">
        <v>210</v>
      </c>
      <c r="F382" s="185">
        <f t="shared" si="149"/>
      </c>
      <c r="G382" s="212">
        <v>2726.62</v>
      </c>
      <c r="H382" s="204">
        <v>865.01</v>
      </c>
      <c r="I382" s="187">
        <v>15</v>
      </c>
      <c r="J382" s="187">
        <v>12</v>
      </c>
      <c r="K382" s="188">
        <v>7582.4000000000015</v>
      </c>
      <c r="L382" s="189">
        <f t="shared" si="200"/>
      </c>
      <c r="M382" s="190">
        <f t="shared" si="422"/>
      </c>
      <c r="N382" s="191">
        <f t="shared" si="12"/>
      </c>
      <c r="O382" s="191">
        <f t="shared" si="305"/>
      </c>
      <c r="P382" s="191">
        <f t="shared" si="350"/>
      </c>
      <c r="Q382" s="191">
        <f t="shared" si="245"/>
      </c>
      <c r="R382" s="191">
        <f t="shared" si="275"/>
      </c>
      <c r="S382" s="191">
        <f t="shared" si="170"/>
      </c>
      <c r="T382" s="191">
        <f t="shared" si="215"/>
      </c>
      <c r="U382" s="189">
        <f t="shared" si="437"/>
      </c>
      <c r="V382" s="189">
        <f t="shared" si="27"/>
      </c>
      <c r="W382" s="189">
        <f t="shared" si="42"/>
      </c>
      <c r="X382" s="189">
        <f t="shared" si="57"/>
      </c>
      <c r="Y382" s="189">
        <f t="shared" si="320"/>
      </c>
      <c r="Z382" s="189">
        <f t="shared" si="365"/>
      </c>
      <c r="AA382" s="190">
        <f t="shared" si="260"/>
      </c>
      <c r="AB382" s="190">
        <f t="shared" si="290"/>
      </c>
      <c r="AC382" s="190">
        <f t="shared" si="185"/>
      </c>
      <c r="AD382" s="189">
        <f t="shared" si="230"/>
      </c>
      <c r="AE382" s="190">
        <f t="shared" si="452"/>
      </c>
      <c r="AF382" s="189">
        <f t="shared" si="72"/>
      </c>
      <c r="AG382" s="189">
        <f t="shared" si="335"/>
      </c>
      <c r="AH382" s="192">
        <v>38354</v>
      </c>
      <c r="AI382" s="192">
        <v>799</v>
      </c>
      <c r="AJ382" s="192">
        <v>987</v>
      </c>
      <c r="AK382" s="192">
        <v>84</v>
      </c>
      <c r="AL382" s="192">
        <v>11</v>
      </c>
      <c r="AM382" s="192">
        <v>8</v>
      </c>
      <c r="AN382" s="192">
        <v>169</v>
      </c>
      <c r="AO382" s="192">
        <v>111</v>
      </c>
      <c r="AP382" s="192">
        <v>15</v>
      </c>
      <c r="AQ382" s="187">
        <v>2</v>
      </c>
      <c r="AR382" s="213">
        <f t="shared" si="401"/>
      </c>
    </row>
    <row r="383">
      <c r="A383" s="182"/>
      <c r="B383" s="184" t="s">
        <v>191</v>
      </c>
      <c r="C383" s="184" t="s">
        <v>192</v>
      </c>
      <c r="D383" s="183" t="s">
        <v>207</v>
      </c>
      <c r="E383" s="183" t="s">
        <v>211</v>
      </c>
      <c r="F383" s="185">
        <f t="shared" si="149"/>
      </c>
      <c r="G383" s="204">
        <v>2523.51</v>
      </c>
      <c r="H383" s="204">
        <v>374.47</v>
      </c>
      <c r="I383" s="187">
        <v>8</v>
      </c>
      <c r="J383" s="187">
        <v>8</v>
      </c>
      <c r="K383" s="188">
        <v>5446.200000000001</v>
      </c>
      <c r="L383" s="189">
        <f t="shared" si="200"/>
      </c>
      <c r="M383" s="190">
        <f t="shared" si="422"/>
      </c>
      <c r="N383" s="191">
        <f t="shared" si="12"/>
      </c>
      <c r="O383" s="191">
        <f t="shared" si="305"/>
      </c>
      <c r="P383" s="191">
        <f t="shared" si="350"/>
      </c>
      <c r="Q383" s="191">
        <f t="shared" si="245"/>
      </c>
      <c r="R383" s="191">
        <f t="shared" si="275"/>
      </c>
      <c r="S383" s="191">
        <f t="shared" si="170"/>
      </c>
      <c r="T383" s="191">
        <f t="shared" si="215"/>
      </c>
      <c r="U383" s="189">
        <f t="shared" si="437"/>
      </c>
      <c r="V383" s="189">
        <f t="shared" si="27"/>
      </c>
      <c r="W383" s="189">
        <f t="shared" si="42"/>
      </c>
      <c r="X383" s="189">
        <f t="shared" si="57"/>
      </c>
      <c r="Y383" s="189">
        <f t="shared" si="320"/>
      </c>
      <c r="Z383" s="189">
        <f t="shared" si="365"/>
      </c>
      <c r="AA383" s="190">
        <f t="shared" si="260"/>
      </c>
      <c r="AB383" s="190">
        <f t="shared" si="290"/>
      </c>
      <c r="AC383" s="190">
        <f t="shared" si="185"/>
      </c>
      <c r="AD383" s="189">
        <f t="shared" si="230"/>
      </c>
      <c r="AE383" s="190">
        <f t="shared" si="452"/>
      </c>
      <c r="AF383" s="189">
        <f t="shared" si="72"/>
      </c>
      <c r="AG383" s="189">
        <f t="shared" si="335"/>
      </c>
      <c r="AH383" s="192">
        <v>35361</v>
      </c>
      <c r="AI383" s="192">
        <v>557</v>
      </c>
      <c r="AJ383" s="192">
        <v>653</v>
      </c>
      <c r="AK383" s="192">
        <v>22</v>
      </c>
      <c r="AL383" s="187">
        <v>6</v>
      </c>
      <c r="AM383" s="192">
        <v>6</v>
      </c>
      <c r="AN383" s="192">
        <v>101</v>
      </c>
      <c r="AO383" s="192">
        <v>82</v>
      </c>
      <c r="AP383" s="192">
        <v>8</v>
      </c>
      <c r="AQ383" s="187">
        <v>2</v>
      </c>
      <c r="AR383" s="213">
        <f t="shared" si="401"/>
      </c>
    </row>
    <row r="384">
      <c r="A384" s="182"/>
      <c r="B384" s="184" t="s">
        <v>191</v>
      </c>
      <c r="C384" s="184" t="s">
        <v>192</v>
      </c>
      <c r="D384" s="183" t="s">
        <v>207</v>
      </c>
      <c r="E384" s="183" t="s">
        <v>212</v>
      </c>
      <c r="F384" s="185">
        <f t="shared" si="149"/>
      </c>
      <c r="G384" s="204">
        <v>4937.31</v>
      </c>
      <c r="H384" s="204">
        <v>982.57</v>
      </c>
      <c r="I384" s="187">
        <v>14</v>
      </c>
      <c r="J384" s="187">
        <v>12</v>
      </c>
      <c r="K384" s="188">
        <v>7561.799999999999</v>
      </c>
      <c r="L384" s="189">
        <f t="shared" si="200"/>
      </c>
      <c r="M384" s="190">
        <f t="shared" si="422"/>
      </c>
      <c r="N384" s="191">
        <f t="shared" si="12"/>
      </c>
      <c r="O384" s="191">
        <f t="shared" si="305"/>
      </c>
      <c r="P384" s="191">
        <f t="shared" si="350"/>
      </c>
      <c r="Q384" s="191">
        <f t="shared" si="245"/>
      </c>
      <c r="R384" s="191">
        <f t="shared" si="275"/>
      </c>
      <c r="S384" s="191">
        <f t="shared" si="170"/>
      </c>
      <c r="T384" s="191">
        <f t="shared" si="215"/>
      </c>
      <c r="U384" s="189">
        <f t="shared" si="437"/>
      </c>
      <c r="V384" s="189">
        <f t="shared" si="27"/>
      </c>
      <c r="W384" s="189">
        <f t="shared" si="42"/>
      </c>
      <c r="X384" s="189">
        <f t="shared" si="57"/>
      </c>
      <c r="Y384" s="189">
        <f t="shared" si="320"/>
      </c>
      <c r="Z384" s="189">
        <f t="shared" si="365"/>
      </c>
      <c r="AA384" s="190">
        <f t="shared" si="260"/>
      </c>
      <c r="AB384" s="190">
        <f t="shared" si="290"/>
      </c>
      <c r="AC384" s="190">
        <f t="shared" si="185"/>
      </c>
      <c r="AD384" s="189">
        <f t="shared" si="230"/>
      </c>
      <c r="AE384" s="190">
        <f t="shared" si="452"/>
      </c>
      <c r="AF384" s="189">
        <f t="shared" si="72"/>
      </c>
      <c r="AG384" s="189">
        <f t="shared" si="335"/>
      </c>
      <c r="AH384" s="192">
        <v>75885</v>
      </c>
      <c r="AI384" s="192">
        <v>1335</v>
      </c>
      <c r="AJ384" s="192">
        <v>1622</v>
      </c>
      <c r="AK384" s="192">
        <v>55</v>
      </c>
      <c r="AL384" s="187">
        <v>11</v>
      </c>
      <c r="AM384" s="187">
        <v>11</v>
      </c>
      <c r="AN384" s="192">
        <v>203</v>
      </c>
      <c r="AO384" s="192">
        <v>166</v>
      </c>
      <c r="AP384" s="192">
        <v>15</v>
      </c>
      <c r="AQ384" s="187">
        <v>3</v>
      </c>
      <c r="AR384" s="213">
        <f t="shared" si="401"/>
      </c>
    </row>
    <row r="385">
      <c r="A385" s="182"/>
      <c r="B385" s="197" t="s">
        <v>197</v>
      </c>
      <c r="C385" s="197"/>
      <c r="D385" s="197"/>
      <c r="E385" s="197"/>
      <c r="F385" s="198">
        <f>SUM(F381:F384)</f>
      </c>
      <c r="G385" s="198">
        <f>SUM(G381:G384)</f>
      </c>
      <c r="H385" s="198">
        <f>SUM(H381:H384)</f>
      </c>
      <c r="I385" s="199">
        <f>SUM(I381:I384)</f>
      </c>
      <c r="J385" s="199">
        <f>SUM(J381:J384)</f>
      </c>
      <c r="K385" s="198">
        <f>SUM(K381:K384)</f>
      </c>
      <c r="L385" s="200">
        <f t="shared" si="200"/>
      </c>
      <c r="M385" s="201">
        <f t="shared" si="422"/>
      </c>
      <c r="N385" s="202">
        <f t="shared" si="12"/>
      </c>
      <c r="O385" s="202">
        <f t="shared" si="305"/>
      </c>
      <c r="P385" s="202">
        <f t="shared" si="350"/>
      </c>
      <c r="Q385" s="202">
        <f t="shared" si="245"/>
      </c>
      <c r="R385" s="202">
        <f t="shared" si="275"/>
      </c>
      <c r="S385" s="202">
        <f t="shared" si="170"/>
      </c>
      <c r="T385" s="202">
        <f t="shared" si="215"/>
      </c>
      <c r="U385" s="200">
        <f t="shared" si="437"/>
      </c>
      <c r="V385" s="200">
        <f t="shared" si="27"/>
      </c>
      <c r="W385" s="200">
        <f t="shared" si="42"/>
      </c>
      <c r="X385" s="200">
        <f t="shared" si="57"/>
      </c>
      <c r="Y385" s="200">
        <f t="shared" si="320"/>
      </c>
      <c r="Z385" s="200">
        <f t="shared" si="365"/>
      </c>
      <c r="AA385" s="201">
        <f t="shared" si="260"/>
      </c>
      <c r="AB385" s="201">
        <f t="shared" si="290"/>
      </c>
      <c r="AC385" s="201">
        <f t="shared" si="185"/>
      </c>
      <c r="AD385" s="200">
        <f t="shared" si="230"/>
      </c>
      <c r="AE385" s="201">
        <f t="shared" si="452"/>
      </c>
      <c r="AF385" s="200">
        <f t="shared" si="72"/>
      </c>
      <c r="AG385" s="200">
        <f t="shared" si="335"/>
      </c>
      <c r="AH385" s="199">
        <f>SUM(AH381:AH384)</f>
      </c>
      <c r="AI385" s="199">
        <f>SUM(AI381:AI384)</f>
      </c>
      <c r="AJ385" s="199">
        <f>SUM(AJ381:AJ384)</f>
      </c>
      <c r="AK385" s="199">
        <f>SUM(AK381:AK384)</f>
      </c>
      <c r="AL385" s="199">
        <f>SUM(AL381:AL384)</f>
      </c>
      <c r="AM385" s="199">
        <f>SUM(AM381:AM384)</f>
      </c>
      <c r="AN385" s="199">
        <f>SUM(AN381:AN384)</f>
      </c>
      <c r="AO385" s="199">
        <f>SUM(AO381:AO384)</f>
      </c>
      <c r="AP385" s="199">
        <f>SUM(AP381:AP384)</f>
      </c>
      <c r="AQ385" s="199">
        <f>SUM(AQ381:AQ384)</f>
      </c>
      <c r="AR385" s="203">
        <f>SUM(AR381:AR384)</f>
      </c>
    </row>
    <row r="386">
      <c r="A386" s="182"/>
      <c r="B386" s="184" t="s">
        <v>191</v>
      </c>
      <c r="C386" s="184" t="s">
        <v>192</v>
      </c>
      <c r="D386" s="183" t="s">
        <v>206</v>
      </c>
      <c r="E386" s="183" t="s">
        <v>194</v>
      </c>
      <c r="F386" s="185">
        <f t="shared" ref="F386:F389" si="150">H386+G386</f>
      </c>
      <c r="G386" s="204">
        <v>2740.27</v>
      </c>
      <c r="H386" s="204">
        <v>1074.42</v>
      </c>
      <c r="I386" s="187">
        <v>2</v>
      </c>
      <c r="J386" s="187">
        <v>2</v>
      </c>
      <c r="K386" s="188">
        <v>837.4000000000015</v>
      </c>
      <c r="L386" s="189">
        <f t="shared" si="200"/>
      </c>
      <c r="M386" s="190">
        <f t="shared" si="422"/>
      </c>
      <c r="N386" s="191">
        <f t="shared" si="12"/>
      </c>
      <c r="O386" s="191">
        <f t="shared" si="305"/>
      </c>
      <c r="P386" s="191">
        <f t="shared" si="350"/>
      </c>
      <c r="Q386" s="191">
        <f t="shared" si="245"/>
      </c>
      <c r="R386" s="191">
        <f t="shared" si="275"/>
      </c>
      <c r="S386" s="191">
        <f t="shared" si="170"/>
      </c>
      <c r="T386" s="191">
        <f t="shared" si="215"/>
      </c>
      <c r="U386" s="189">
        <f t="shared" si="437"/>
      </c>
      <c r="V386" s="189">
        <f t="shared" si="27"/>
      </c>
      <c r="W386" s="189">
        <f t="shared" si="42"/>
      </c>
      <c r="X386" s="189">
        <f t="shared" si="57"/>
      </c>
      <c r="Y386" s="189">
        <f t="shared" si="320"/>
      </c>
      <c r="Z386" s="189">
        <f t="shared" si="365"/>
      </c>
      <c r="AA386" s="190">
        <f t="shared" si="260"/>
      </c>
      <c r="AB386" s="190">
        <f t="shared" si="290"/>
      </c>
      <c r="AC386" s="190">
        <f t="shared" si="185"/>
      </c>
      <c r="AD386" s="189">
        <f t="shared" si="230"/>
      </c>
      <c r="AE386" s="190">
        <f t="shared" si="452"/>
      </c>
      <c r="AF386" s="189">
        <f t="shared" si="72"/>
      </c>
      <c r="AG386" s="189">
        <f t="shared" si="335"/>
      </c>
      <c r="AH386" s="192">
        <v>51172</v>
      </c>
      <c r="AI386" s="192">
        <v>1139</v>
      </c>
      <c r="AJ386" s="192">
        <v>1603</v>
      </c>
      <c r="AK386" s="192">
        <v>53</v>
      </c>
      <c r="AL386" s="187">
        <v>1</v>
      </c>
      <c r="AM386" s="187">
        <v>1</v>
      </c>
      <c r="AN386" s="192">
        <v>160</v>
      </c>
      <c r="AO386" s="192">
        <v>92</v>
      </c>
      <c r="AP386" s="192">
        <v>16</v>
      </c>
      <c r="AQ386" s="187">
        <v>0</v>
      </c>
      <c r="AR386" s="213">
        <f t="shared" ref="AR386:AR389" si="402">COUNT(AQ386)</f>
      </c>
    </row>
    <row r="387">
      <c r="A387" s="182"/>
      <c r="B387" s="184" t="s">
        <v>191</v>
      </c>
      <c r="C387" s="184" t="s">
        <v>192</v>
      </c>
      <c r="D387" s="183" t="s">
        <v>206</v>
      </c>
      <c r="E387" s="183" t="s">
        <v>195</v>
      </c>
      <c r="F387" s="185">
        <f t="shared" si="150"/>
      </c>
      <c r="G387" s="204">
        <v>1759.1</v>
      </c>
      <c r="H387" s="204">
        <v>1013.79</v>
      </c>
      <c r="I387" s="187">
        <v>3</v>
      </c>
      <c r="J387" s="192">
        <v>3</v>
      </c>
      <c r="K387" s="196">
        <v>1839.5999999999985</v>
      </c>
      <c r="L387" s="189">
        <f t="shared" si="200"/>
      </c>
      <c r="M387" s="190">
        <f t="shared" si="422"/>
      </c>
      <c r="N387" s="191">
        <f t="shared" si="12"/>
      </c>
      <c r="O387" s="191">
        <f t="shared" si="305"/>
      </c>
      <c r="P387" s="191">
        <f t="shared" si="350"/>
      </c>
      <c r="Q387" s="191">
        <f t="shared" si="245"/>
      </c>
      <c r="R387" s="191">
        <f t="shared" si="275"/>
      </c>
      <c r="S387" s="191">
        <f t="shared" si="170"/>
      </c>
      <c r="T387" s="191">
        <f t="shared" si="215"/>
      </c>
      <c r="U387" s="189">
        <f t="shared" si="437"/>
      </c>
      <c r="V387" s="189">
        <f t="shared" si="27"/>
      </c>
      <c r="W387" s="189">
        <f t="shared" si="42"/>
      </c>
      <c r="X387" s="189">
        <f t="shared" si="57"/>
      </c>
      <c r="Y387" s="189">
        <f t="shared" si="320"/>
      </c>
      <c r="Z387" s="189">
        <f t="shared" si="365"/>
      </c>
      <c r="AA387" s="190">
        <f t="shared" si="260"/>
      </c>
      <c r="AB387" s="190">
        <f t="shared" si="290"/>
      </c>
      <c r="AC387" s="190">
        <f t="shared" si="185"/>
      </c>
      <c r="AD387" s="189">
        <f t="shared" si="230"/>
      </c>
      <c r="AE387" s="190">
        <f t="shared" si="452"/>
      </c>
      <c r="AF387" s="189">
        <f t="shared" si="72"/>
      </c>
      <c r="AG387" s="189">
        <f t="shared" si="335"/>
      </c>
      <c r="AH387" s="192">
        <v>38407</v>
      </c>
      <c r="AI387" s="192">
        <v>756</v>
      </c>
      <c r="AJ387" s="192">
        <v>1091</v>
      </c>
      <c r="AK387" s="192">
        <v>39</v>
      </c>
      <c r="AL387" s="192">
        <v>3</v>
      </c>
      <c r="AM387" s="192">
        <v>3</v>
      </c>
      <c r="AN387" s="192">
        <v>115</v>
      </c>
      <c r="AO387" s="192">
        <v>92</v>
      </c>
      <c r="AP387" s="192">
        <v>3</v>
      </c>
      <c r="AQ387" s="187">
        <v>0</v>
      </c>
      <c r="AR387" s="213">
        <f t="shared" si="402"/>
      </c>
    </row>
    <row r="388">
      <c r="A388" s="182"/>
      <c r="B388" s="184" t="s">
        <v>191</v>
      </c>
      <c r="C388" s="184" t="s">
        <v>192</v>
      </c>
      <c r="D388" s="183" t="s">
        <v>206</v>
      </c>
      <c r="E388" s="183" t="s">
        <v>196</v>
      </c>
      <c r="F388" s="185">
        <f t="shared" si="150"/>
      </c>
      <c r="G388" s="204">
        <v>1305.99</v>
      </c>
      <c r="H388" s="204">
        <v>993.53</v>
      </c>
      <c r="I388" s="187">
        <v>3</v>
      </c>
      <c r="J388" s="187">
        <v>1</v>
      </c>
      <c r="K388" s="188">
        <v>369</v>
      </c>
      <c r="L388" s="189">
        <f t="shared" si="200"/>
      </c>
      <c r="M388" s="190">
        <f t="shared" si="422"/>
      </c>
      <c r="N388" s="191">
        <f t="shared" si="12"/>
      </c>
      <c r="O388" s="191">
        <f t="shared" si="305"/>
      </c>
      <c r="P388" s="191">
        <f t="shared" si="350"/>
      </c>
      <c r="Q388" s="191">
        <f t="shared" si="245"/>
      </c>
      <c r="R388" s="191">
        <f t="shared" si="275"/>
      </c>
      <c r="S388" s="191">
        <f t="shared" si="170"/>
      </c>
      <c r="T388" s="191">
        <f t="shared" si="215"/>
      </c>
      <c r="U388" s="189">
        <f t="shared" si="437"/>
      </c>
      <c r="V388" s="189">
        <f t="shared" si="27"/>
      </c>
      <c r="W388" s="189">
        <f t="shared" si="42"/>
      </c>
      <c r="X388" s="189">
        <f t="shared" si="57"/>
      </c>
      <c r="Y388" s="189">
        <f t="shared" si="320"/>
      </c>
      <c r="Z388" s="189">
        <f t="shared" si="365"/>
      </c>
      <c r="AA388" s="190">
        <f t="shared" si="260"/>
      </c>
      <c r="AB388" s="190">
        <f t="shared" si="290"/>
      </c>
      <c r="AC388" s="190">
        <f t="shared" si="185"/>
      </c>
      <c r="AD388" s="189">
        <f t="shared" si="230"/>
      </c>
      <c r="AE388" s="190">
        <f t="shared" si="452"/>
      </c>
      <c r="AF388" s="189">
        <f t="shared" si="72"/>
      </c>
      <c r="AG388" s="189">
        <f t="shared" si="335"/>
      </c>
      <c r="AH388" s="192">
        <v>31655</v>
      </c>
      <c r="AI388" s="192">
        <v>682</v>
      </c>
      <c r="AJ388" s="192">
        <v>871</v>
      </c>
      <c r="AK388" s="192">
        <v>18</v>
      </c>
      <c r="AL388" s="192">
        <v>4</v>
      </c>
      <c r="AM388" s="192">
        <v>2</v>
      </c>
      <c r="AN388" s="192">
        <v>77</v>
      </c>
      <c r="AO388" s="192">
        <v>25</v>
      </c>
      <c r="AP388" s="192">
        <v>5</v>
      </c>
      <c r="AQ388" s="187">
        <v>0</v>
      </c>
      <c r="AR388" s="213">
        <f t="shared" si="402"/>
      </c>
    </row>
    <row r="389">
      <c r="A389" s="182"/>
      <c r="B389" s="184" t="s">
        <v>191</v>
      </c>
      <c r="C389" s="184" t="s">
        <v>192</v>
      </c>
      <c r="D389" s="183" t="s">
        <v>206</v>
      </c>
      <c r="E389" s="183" t="s">
        <v>199</v>
      </c>
      <c r="F389" s="185">
        <f t="shared" si="150"/>
      </c>
      <c r="G389" s="204">
        <v>1096.2</v>
      </c>
      <c r="H389" s="204">
        <v>1351.62</v>
      </c>
      <c r="I389" s="187">
        <v>1</v>
      </c>
      <c r="J389" s="187">
        <v>1</v>
      </c>
      <c r="K389" s="188">
        <v>967.2000000000007</v>
      </c>
      <c r="L389" s="189">
        <f t="shared" si="200"/>
      </c>
      <c r="M389" s="190">
        <f t="shared" si="422"/>
      </c>
      <c r="N389" s="191">
        <f t="shared" si="12"/>
      </c>
      <c r="O389" s="191">
        <f t="shared" si="305"/>
      </c>
      <c r="P389" s="191">
        <f t="shared" si="350"/>
      </c>
      <c r="Q389" s="191">
        <f t="shared" si="245"/>
      </c>
      <c r="R389" s="191">
        <f t="shared" si="275"/>
      </c>
      <c r="S389" s="191">
        <f t="shared" si="170"/>
      </c>
      <c r="T389" s="191">
        <f t="shared" si="215"/>
      </c>
      <c r="U389" s="189">
        <f t="shared" si="437"/>
      </c>
      <c r="V389" s="189">
        <f t="shared" si="27"/>
      </c>
      <c r="W389" s="189">
        <f t="shared" si="42"/>
      </c>
      <c r="X389" s="189">
        <f t="shared" si="57"/>
      </c>
      <c r="Y389" s="189">
        <f t="shared" si="320"/>
      </c>
      <c r="Z389" s="189">
        <f t="shared" si="365"/>
      </c>
      <c r="AA389" s="190">
        <f t="shared" si="260"/>
      </c>
      <c r="AB389" s="190">
        <f t="shared" si="290"/>
      </c>
      <c r="AC389" s="190">
        <f t="shared" si="185"/>
      </c>
      <c r="AD389" s="189">
        <f t="shared" si="230"/>
      </c>
      <c r="AE389" s="190">
        <f t="shared" si="452"/>
      </c>
      <c r="AF389" s="189">
        <f t="shared" si="72"/>
      </c>
      <c r="AG389" s="189">
        <f t="shared" si="335"/>
      </c>
      <c r="AH389" s="192">
        <v>30276</v>
      </c>
      <c r="AI389" s="192">
        <v>832</v>
      </c>
      <c r="AJ389" s="192">
        <v>1198</v>
      </c>
      <c r="AK389" s="192">
        <v>36</v>
      </c>
      <c r="AL389" s="192">
        <v>1</v>
      </c>
      <c r="AM389" s="192">
        <v>1</v>
      </c>
      <c r="AN389" s="192">
        <v>88</v>
      </c>
      <c r="AO389" s="192">
        <v>41</v>
      </c>
      <c r="AP389" s="192">
        <v>10</v>
      </c>
      <c r="AQ389" s="187">
        <v>0</v>
      </c>
      <c r="AR389" s="213">
        <f t="shared" si="402"/>
      </c>
    </row>
    <row r="390">
      <c r="A390" s="182"/>
      <c r="B390" s="197" t="s">
        <v>197</v>
      </c>
      <c r="C390" s="197"/>
      <c r="D390" s="197"/>
      <c r="E390" s="197"/>
      <c r="F390" s="198">
        <f>SUM(F386:F389)</f>
      </c>
      <c r="G390" s="198">
        <f>SUM(G386:G389)</f>
      </c>
      <c r="H390" s="198">
        <f>SUM(H386:H389)</f>
      </c>
      <c r="I390" s="199">
        <f>SUM(I386:I389)</f>
      </c>
      <c r="J390" s="199">
        <f>SUM(J386:J389)</f>
      </c>
      <c r="K390" s="198">
        <f>SUM(K386:K389)</f>
      </c>
      <c r="L390" s="200">
        <f t="shared" si="200"/>
      </c>
      <c r="M390" s="201">
        <f t="shared" si="422"/>
      </c>
      <c r="N390" s="202">
        <f t="shared" si="12"/>
      </c>
      <c r="O390" s="202">
        <f t="shared" si="305"/>
      </c>
      <c r="P390" s="202">
        <f t="shared" si="350"/>
      </c>
      <c r="Q390" s="202">
        <f t="shared" si="245"/>
      </c>
      <c r="R390" s="202">
        <f t="shared" si="275"/>
      </c>
      <c r="S390" s="202">
        <f t="shared" si="170"/>
      </c>
      <c r="T390" s="202">
        <f t="shared" si="215"/>
      </c>
      <c r="U390" s="200">
        <f t="shared" si="437"/>
      </c>
      <c r="V390" s="200">
        <f t="shared" si="27"/>
      </c>
      <c r="W390" s="200">
        <f t="shared" si="42"/>
      </c>
      <c r="X390" s="200">
        <f t="shared" si="57"/>
      </c>
      <c r="Y390" s="200">
        <f t="shared" si="320"/>
      </c>
      <c r="Z390" s="200">
        <f t="shared" si="365"/>
      </c>
      <c r="AA390" s="201">
        <f t="shared" si="260"/>
      </c>
      <c r="AB390" s="201">
        <f t="shared" si="290"/>
      </c>
      <c r="AC390" s="201">
        <f t="shared" si="185"/>
      </c>
      <c r="AD390" s="200">
        <f t="shared" si="230"/>
      </c>
      <c r="AE390" s="201">
        <f t="shared" si="452"/>
      </c>
      <c r="AF390" s="200">
        <f t="shared" si="72"/>
      </c>
      <c r="AG390" s="200">
        <f t="shared" si="335"/>
      </c>
      <c r="AH390" s="199">
        <f>SUM(AH386:AH389)</f>
      </c>
      <c r="AI390" s="199">
        <f>SUM(AI386:AI389)</f>
      </c>
      <c r="AJ390" s="199">
        <f>SUM(AJ386:AJ389)</f>
      </c>
      <c r="AK390" s="199">
        <f>SUM(AK386:AK389)</f>
      </c>
      <c r="AL390" s="199">
        <f>SUM(AL386:AL389)</f>
      </c>
      <c r="AM390" s="199">
        <f>SUM(AM386:AM389)</f>
      </c>
      <c r="AN390" s="199">
        <f>SUM(AN386:AN389)</f>
      </c>
      <c r="AO390" s="199">
        <f>SUM(AO386:AO389)</f>
      </c>
      <c r="AP390" s="199">
        <f>SUM(AP386:AP389)</f>
      </c>
      <c r="AQ390" s="199">
        <f>SUM(AQ386:AQ389)</f>
      </c>
      <c r="AR390" s="203">
        <f>SUM(AR386:AR389)</f>
      </c>
    </row>
    <row r="391">
      <c r="A391" s="182"/>
      <c r="B391" s="184" t="s">
        <v>191</v>
      </c>
      <c r="C391" s="184" t="s">
        <v>192</v>
      </c>
      <c r="D391" s="183" t="s">
        <v>201</v>
      </c>
      <c r="E391" s="183" t="s">
        <v>200</v>
      </c>
      <c r="F391" s="185">
        <f t="shared" ref="F391:F394" si="151">H391+G391</f>
      </c>
      <c r="G391" s="204">
        <v>921.21</v>
      </c>
      <c r="H391" s="204">
        <v>1242.73</v>
      </c>
      <c r="I391" s="187">
        <v>2</v>
      </c>
      <c r="J391" s="192">
        <v>2</v>
      </c>
      <c r="K391" s="196">
        <v>872.4000000000015</v>
      </c>
      <c r="L391" s="189">
        <f t="shared" si="200"/>
      </c>
      <c r="M391" s="190">
        <f t="shared" si="422"/>
      </c>
      <c r="N391" s="191">
        <f t="shared" si="12"/>
      </c>
      <c r="O391" s="191">
        <f t="shared" si="305"/>
      </c>
      <c r="P391" s="191">
        <f t="shared" si="350"/>
      </c>
      <c r="Q391" s="191">
        <f t="shared" si="245"/>
      </c>
      <c r="R391" s="191">
        <f t="shared" si="275"/>
      </c>
      <c r="S391" s="191">
        <f t="shared" si="170"/>
      </c>
      <c r="T391" s="191">
        <f t="shared" si="215"/>
      </c>
      <c r="U391" s="189">
        <f t="shared" si="437"/>
      </c>
      <c r="V391" s="189">
        <f t="shared" si="27"/>
      </c>
      <c r="W391" s="189">
        <f t="shared" si="42"/>
      </c>
      <c r="X391" s="189">
        <f t="shared" si="57"/>
      </c>
      <c r="Y391" s="189">
        <f t="shared" si="320"/>
      </c>
      <c r="Z391" s="189">
        <f t="shared" si="365"/>
      </c>
      <c r="AA391" s="190">
        <f t="shared" si="260"/>
      </c>
      <c r="AB391" s="190">
        <f t="shared" si="290"/>
      </c>
      <c r="AC391" s="190">
        <f t="shared" si="185"/>
      </c>
      <c r="AD391" s="189">
        <f t="shared" si="230"/>
      </c>
      <c r="AE391" s="190">
        <f t="shared" si="452"/>
      </c>
      <c r="AF391" s="189">
        <f t="shared" si="72"/>
      </c>
      <c r="AG391" s="189">
        <f t="shared" si="335"/>
      </c>
      <c r="AH391" s="192">
        <v>21513</v>
      </c>
      <c r="AI391" s="192">
        <v>656</v>
      </c>
      <c r="AJ391" s="192">
        <v>936</v>
      </c>
      <c r="AK391" s="192">
        <v>37</v>
      </c>
      <c r="AL391" s="192">
        <v>2</v>
      </c>
      <c r="AM391" s="192">
        <v>2</v>
      </c>
      <c r="AN391" s="192">
        <v>93</v>
      </c>
      <c r="AO391" s="192">
        <v>34</v>
      </c>
      <c r="AP391" s="192">
        <v>3</v>
      </c>
      <c r="AQ391" s="187">
        <v>0</v>
      </c>
      <c r="AR391" s="213">
        <f t="shared" ref="AR391:AR394" si="403">COUNT(AQ391)</f>
      </c>
    </row>
    <row r="392">
      <c r="A392" s="182"/>
      <c r="B392" s="184" t="s">
        <v>191</v>
      </c>
      <c r="C392" s="184" t="s">
        <v>192</v>
      </c>
      <c r="D392" s="183" t="s">
        <v>201</v>
      </c>
      <c r="E392" s="184" t="s">
        <v>202</v>
      </c>
      <c r="F392" s="185">
        <f t="shared" si="151"/>
      </c>
      <c r="G392" s="204">
        <v>1873.64</v>
      </c>
      <c r="H392" s="204">
        <v>983.8</v>
      </c>
      <c r="I392" s="187">
        <v>10</v>
      </c>
      <c r="J392" s="192">
        <v>9</v>
      </c>
      <c r="K392" s="188">
        <v>5257.399999999998</v>
      </c>
      <c r="L392" s="189">
        <f t="shared" si="200"/>
      </c>
      <c r="M392" s="190">
        <f t="shared" si="422"/>
      </c>
      <c r="N392" s="191">
        <f t="shared" si="12"/>
      </c>
      <c r="O392" s="191">
        <f t="shared" si="305"/>
      </c>
      <c r="P392" s="191">
        <f t="shared" si="350"/>
      </c>
      <c r="Q392" s="191">
        <f t="shared" si="245"/>
      </c>
      <c r="R392" s="191">
        <f t="shared" si="275"/>
      </c>
      <c r="S392" s="191">
        <f t="shared" si="170"/>
      </c>
      <c r="T392" s="191">
        <f t="shared" si="215"/>
      </c>
      <c r="U392" s="189">
        <f t="shared" si="437"/>
      </c>
      <c r="V392" s="189">
        <f t="shared" si="27"/>
      </c>
      <c r="W392" s="189">
        <f t="shared" si="42"/>
      </c>
      <c r="X392" s="189">
        <f t="shared" si="57"/>
      </c>
      <c r="Y392" s="189">
        <f t="shared" si="320"/>
      </c>
      <c r="Z392" s="189">
        <f t="shared" si="365"/>
      </c>
      <c r="AA392" s="190">
        <f t="shared" si="260"/>
      </c>
      <c r="AB392" s="190">
        <f t="shared" si="290"/>
      </c>
      <c r="AC392" s="190">
        <f t="shared" si="185"/>
      </c>
      <c r="AD392" s="189">
        <f t="shared" si="230"/>
      </c>
      <c r="AE392" s="190">
        <f t="shared" si="452"/>
      </c>
      <c r="AF392" s="189">
        <f t="shared" si="72"/>
      </c>
      <c r="AG392" s="189">
        <f t="shared" si="335"/>
      </c>
      <c r="AH392" s="192">
        <v>29200</v>
      </c>
      <c r="AI392" s="192">
        <v>750</v>
      </c>
      <c r="AJ392" s="192">
        <v>988</v>
      </c>
      <c r="AK392" s="192">
        <v>74</v>
      </c>
      <c r="AL392" s="192">
        <v>10</v>
      </c>
      <c r="AM392" s="192">
        <v>9</v>
      </c>
      <c r="AN392" s="192">
        <v>134</v>
      </c>
      <c r="AO392" s="192">
        <v>71</v>
      </c>
      <c r="AP392" s="192">
        <v>6</v>
      </c>
      <c r="AQ392" s="187">
        <v>0</v>
      </c>
      <c r="AR392" s="213">
        <f t="shared" si="403"/>
      </c>
    </row>
    <row r="393">
      <c r="A393" s="182"/>
      <c r="B393" s="184" t="s">
        <v>191</v>
      </c>
      <c r="C393" s="184" t="s">
        <v>192</v>
      </c>
      <c r="D393" s="183" t="s">
        <v>201</v>
      </c>
      <c r="E393" s="184" t="s">
        <v>203</v>
      </c>
      <c r="F393" s="185">
        <f t="shared" si="151"/>
      </c>
      <c r="G393" s="204">
        <v>2794.07</v>
      </c>
      <c r="H393" s="204">
        <v>1053.55</v>
      </c>
      <c r="I393" s="187">
        <v>7</v>
      </c>
      <c r="J393" s="192">
        <v>6</v>
      </c>
      <c r="K393" s="188">
        <v>4840.5999999999985</v>
      </c>
      <c r="L393" s="189">
        <f t="shared" si="200"/>
      </c>
      <c r="M393" s="190">
        <f t="shared" si="422"/>
      </c>
      <c r="N393" s="191">
        <f t="shared" si="12"/>
      </c>
      <c r="O393" s="191">
        <f t="shared" si="305"/>
      </c>
      <c r="P393" s="191">
        <f t="shared" si="350"/>
      </c>
      <c r="Q393" s="191">
        <f t="shared" si="245"/>
      </c>
      <c r="R393" s="191">
        <f t="shared" si="275"/>
      </c>
      <c r="S393" s="191">
        <f t="shared" si="170"/>
      </c>
      <c r="T393" s="191">
        <f t="shared" si="215"/>
      </c>
      <c r="U393" s="189">
        <f t="shared" si="437"/>
      </c>
      <c r="V393" s="189">
        <f t="shared" si="27"/>
      </c>
      <c r="W393" s="189">
        <f t="shared" si="42"/>
      </c>
      <c r="X393" s="189">
        <f t="shared" si="57"/>
      </c>
      <c r="Y393" s="189">
        <f t="shared" si="320"/>
      </c>
      <c r="Z393" s="189">
        <f t="shared" si="365"/>
      </c>
      <c r="AA393" s="190">
        <f t="shared" si="260"/>
      </c>
      <c r="AB393" s="190">
        <f t="shared" si="290"/>
      </c>
      <c r="AC393" s="190">
        <f t="shared" si="185"/>
      </c>
      <c r="AD393" s="189">
        <f t="shared" si="230"/>
      </c>
      <c r="AE393" s="190">
        <f t="shared" si="452"/>
      </c>
      <c r="AF393" s="189">
        <f t="shared" si="72"/>
      </c>
      <c r="AG393" s="189">
        <f t="shared" si="335"/>
      </c>
      <c r="AH393" s="192">
        <v>38711</v>
      </c>
      <c r="AI393" s="192">
        <v>830</v>
      </c>
      <c r="AJ393" s="192">
        <v>1094</v>
      </c>
      <c r="AK393" s="192">
        <v>71</v>
      </c>
      <c r="AL393" s="192">
        <v>5</v>
      </c>
      <c r="AM393" s="192">
        <v>5</v>
      </c>
      <c r="AN393" s="192">
        <v>138</v>
      </c>
      <c r="AO393" s="192">
        <v>85</v>
      </c>
      <c r="AP393" s="192">
        <v>14</v>
      </c>
      <c r="AQ393" s="187">
        <v>1</v>
      </c>
      <c r="AR393" s="213">
        <f t="shared" si="403"/>
      </c>
    </row>
    <row r="394">
      <c r="A394" s="182"/>
      <c r="B394" s="184" t="s">
        <v>191</v>
      </c>
      <c r="C394" s="184" t="s">
        <v>192</v>
      </c>
      <c r="D394" s="183" t="s">
        <v>201</v>
      </c>
      <c r="E394" s="183" t="s">
        <v>204</v>
      </c>
      <c r="F394" s="185">
        <f t="shared" si="151"/>
      </c>
      <c r="G394" s="204">
        <v>975.66</v>
      </c>
      <c r="H394" s="204">
        <v>534.66</v>
      </c>
      <c r="I394" s="187">
        <v>3</v>
      </c>
      <c r="J394" s="192">
        <v>2</v>
      </c>
      <c r="K394" s="196">
        <v>1336.800000000003</v>
      </c>
      <c r="L394" s="189">
        <f t="shared" si="200"/>
      </c>
      <c r="M394" s="190">
        <f t="shared" si="422"/>
      </c>
      <c r="N394" s="191">
        <f t="shared" si="12"/>
      </c>
      <c r="O394" s="191">
        <f t="shared" si="305"/>
      </c>
      <c r="P394" s="191">
        <f t="shared" si="350"/>
      </c>
      <c r="Q394" s="191">
        <f t="shared" si="245"/>
      </c>
      <c r="R394" s="191">
        <f t="shared" si="275"/>
      </c>
      <c r="S394" s="191">
        <f t="shared" si="170"/>
      </c>
      <c r="T394" s="191">
        <f t="shared" si="215"/>
      </c>
      <c r="U394" s="189">
        <f t="shared" si="437"/>
      </c>
      <c r="V394" s="189">
        <f t="shared" si="27"/>
      </c>
      <c r="W394" s="189">
        <f t="shared" si="42"/>
      </c>
      <c r="X394" s="189">
        <f t="shared" si="57"/>
      </c>
      <c r="Y394" s="189">
        <f t="shared" si="320"/>
      </c>
      <c r="Z394" s="189">
        <f t="shared" si="365"/>
      </c>
      <c r="AA394" s="190">
        <f t="shared" si="260"/>
      </c>
      <c r="AB394" s="190">
        <f t="shared" si="290"/>
      </c>
      <c r="AC394" s="190">
        <f t="shared" si="185"/>
      </c>
      <c r="AD394" s="189">
        <f t="shared" si="230"/>
      </c>
      <c r="AE394" s="190">
        <f t="shared" si="452"/>
      </c>
      <c r="AF394" s="189">
        <f t="shared" si="72"/>
      </c>
      <c r="AG394" s="189">
        <f t="shared" si="335"/>
      </c>
      <c r="AH394" s="192">
        <v>16478</v>
      </c>
      <c r="AI394" s="192">
        <v>447</v>
      </c>
      <c r="AJ394" s="192">
        <v>584</v>
      </c>
      <c r="AK394" s="192">
        <v>38</v>
      </c>
      <c r="AL394" s="192">
        <v>2</v>
      </c>
      <c r="AM394" s="192">
        <v>2</v>
      </c>
      <c r="AN394" s="192">
        <v>62</v>
      </c>
      <c r="AO394" s="192">
        <v>56</v>
      </c>
      <c r="AP394" s="192">
        <v>7</v>
      </c>
      <c r="AQ394" s="187">
        <v>0</v>
      </c>
      <c r="AR394" s="213">
        <f t="shared" si="403"/>
      </c>
    </row>
    <row r="395">
      <c r="A395" s="182"/>
      <c r="B395" s="197" t="s">
        <v>197</v>
      </c>
      <c r="C395" s="197"/>
      <c r="D395" s="197"/>
      <c r="E395" s="197"/>
      <c r="F395" s="198">
        <f>SUM(F391:F394)</f>
      </c>
      <c r="G395" s="198">
        <f>SUM(G391:G394)</f>
      </c>
      <c r="H395" s="198">
        <f>SUM(H391:H394)</f>
      </c>
      <c r="I395" s="199">
        <f>SUM(I391:I394)</f>
      </c>
      <c r="J395" s="199">
        <f>SUM(J391:J394)</f>
      </c>
      <c r="K395" s="198">
        <f>SUM(K391:K394)</f>
      </c>
      <c r="L395" s="200">
        <f t="shared" si="200"/>
      </c>
      <c r="M395" s="201">
        <f t="shared" si="422"/>
      </c>
      <c r="N395" s="202">
        <f t="shared" si="12"/>
      </c>
      <c r="O395" s="202">
        <f t="shared" si="305"/>
      </c>
      <c r="P395" s="202">
        <f t="shared" si="350"/>
      </c>
      <c r="Q395" s="202">
        <f t="shared" si="245"/>
      </c>
      <c r="R395" s="202">
        <f t="shared" si="275"/>
      </c>
      <c r="S395" s="202">
        <f t="shared" si="170"/>
      </c>
      <c r="T395" s="202">
        <f t="shared" si="215"/>
      </c>
      <c r="U395" s="200">
        <f t="shared" si="437"/>
      </c>
      <c r="V395" s="200">
        <f t="shared" si="27"/>
      </c>
      <c r="W395" s="200">
        <f t="shared" si="42"/>
      </c>
      <c r="X395" s="200">
        <f t="shared" si="57"/>
      </c>
      <c r="Y395" s="200">
        <f t="shared" si="320"/>
      </c>
      <c r="Z395" s="200">
        <f t="shared" si="365"/>
      </c>
      <c r="AA395" s="201">
        <f t="shared" si="260"/>
      </c>
      <c r="AB395" s="201">
        <f t="shared" si="290"/>
      </c>
      <c r="AC395" s="201">
        <f t="shared" si="185"/>
      </c>
      <c r="AD395" s="200">
        <f t="shared" si="230"/>
      </c>
      <c r="AE395" s="201">
        <f t="shared" si="452"/>
      </c>
      <c r="AF395" s="200">
        <f t="shared" si="72"/>
      </c>
      <c r="AG395" s="200">
        <f t="shared" si="335"/>
      </c>
      <c r="AH395" s="199">
        <f>SUM(AH391:AH394)</f>
      </c>
      <c r="AI395" s="199">
        <f>SUM(AI391:AI394)</f>
      </c>
      <c r="AJ395" s="199">
        <f>SUM(AJ391:AJ394)</f>
      </c>
      <c r="AK395" s="199">
        <f>SUM(AK391:AK394)</f>
      </c>
      <c r="AL395" s="199">
        <f>SUM(AL391:AL394)</f>
      </c>
      <c r="AM395" s="199">
        <f>SUM(AM391:AM394)</f>
      </c>
      <c r="AN395" s="199">
        <f>SUM(AN391:AN394)</f>
      </c>
      <c r="AO395" s="199">
        <f>SUM(AO391:AO394)</f>
      </c>
      <c r="AP395" s="199">
        <f>SUM(AP391:AP394)</f>
      </c>
      <c r="AQ395" s="199">
        <f>SUM(AQ391:AQ394)</f>
      </c>
      <c r="AR395" s="203">
        <f>SUM(AR391:AR394)</f>
      </c>
    </row>
    <row r="396">
      <c r="A396" s="182"/>
      <c r="B396" s="205" t="s">
        <v>205</v>
      </c>
      <c r="C396" s="205"/>
      <c r="D396" s="205"/>
      <c r="E396" s="205"/>
      <c r="F396" s="206">
        <f>H396+G396</f>
      </c>
      <c r="G396" s="206">
        <f>G390+G385+G395</f>
      </c>
      <c r="H396" s="206">
        <f>H390+H385+H395</f>
      </c>
      <c r="I396" s="206">
        <f>I390+I385+I395</f>
      </c>
      <c r="J396" s="206">
        <f>J390+J385+J395</f>
      </c>
      <c r="K396" s="206">
        <f>K390+K385+K395</f>
      </c>
      <c r="L396" s="207">
        <f t="shared" si="200"/>
      </c>
      <c r="M396" s="208">
        <f t="shared" si="422"/>
      </c>
      <c r="N396" s="209">
        <f t="shared" si="12"/>
      </c>
      <c r="O396" s="209">
        <f t="shared" si="305"/>
      </c>
      <c r="P396" s="209">
        <f t="shared" si="350"/>
      </c>
      <c r="Q396" s="209">
        <f t="shared" si="245"/>
      </c>
      <c r="R396" s="209">
        <f t="shared" si="275"/>
      </c>
      <c r="S396" s="209">
        <f t="shared" si="170"/>
      </c>
      <c r="T396" s="209">
        <f t="shared" si="215"/>
      </c>
      <c r="U396" s="207">
        <f t="shared" si="437"/>
      </c>
      <c r="V396" s="207">
        <f t="shared" si="27"/>
      </c>
      <c r="W396" s="207">
        <f t="shared" si="42"/>
      </c>
      <c r="X396" s="207">
        <f t="shared" si="57"/>
      </c>
      <c r="Y396" s="207">
        <f t="shared" si="320"/>
      </c>
      <c r="Z396" s="207">
        <f t="shared" si="365"/>
      </c>
      <c r="AA396" s="208">
        <f t="shared" si="260"/>
      </c>
      <c r="AB396" s="208">
        <f t="shared" si="290"/>
      </c>
      <c r="AC396" s="208">
        <f t="shared" si="185"/>
      </c>
      <c r="AD396" s="207">
        <f t="shared" si="230"/>
      </c>
      <c r="AE396" s="208">
        <f t="shared" si="452"/>
      </c>
      <c r="AF396" s="207">
        <f t="shared" si="72"/>
      </c>
      <c r="AG396" s="207">
        <f t="shared" si="335"/>
      </c>
      <c r="AH396" s="203">
        <f>AH390+AH385+AH395</f>
      </c>
      <c r="AI396" s="203">
        <f>AI390+AI385+AI395</f>
      </c>
      <c r="AJ396" s="203">
        <f>AJ390+AJ385+AJ395</f>
      </c>
      <c r="AK396" s="203">
        <f>AK390+AK385+AK395</f>
      </c>
      <c r="AL396" s="203">
        <f>AL390+AL385+AL395</f>
      </c>
      <c r="AM396" s="203">
        <f>AM390+AM385+AM395</f>
      </c>
      <c r="AN396" s="203">
        <f>AN390+AN385+AN395</f>
      </c>
      <c r="AO396" s="203">
        <f>AO390+AO385+AO395</f>
      </c>
      <c r="AP396" s="203">
        <f>AP390+AP385+AP395</f>
      </c>
      <c r="AQ396" s="203">
        <f>AQ390+AQ385+AQ395</f>
      </c>
      <c r="AR396" s="203">
        <f>AR390+AR385+AR395</f>
      </c>
    </row>
    <row r="397">
      <c r="A397" s="159"/>
      <c r="B397" s="159"/>
      <c r="C397" s="159"/>
      <c r="D397" s="159"/>
      <c r="E397" s="159"/>
      <c r="F397" s="160" t="s">
        <v>143</v>
      </c>
      <c r="G397" s="160"/>
      <c r="H397" s="160"/>
      <c r="I397" s="160"/>
      <c r="J397" s="160"/>
      <c r="K397" s="160"/>
      <c r="L397" s="160"/>
      <c r="M397" s="160"/>
      <c r="N397" s="160"/>
      <c r="O397" s="160"/>
      <c r="P397" s="160"/>
      <c r="Q397" s="161" t="s">
        <v>144</v>
      </c>
      <c r="R397" s="161"/>
      <c r="S397" s="161"/>
      <c r="T397" s="161"/>
      <c r="U397" s="161"/>
      <c r="V397" s="161"/>
      <c r="W397" s="161"/>
      <c r="X397" s="161"/>
      <c r="Y397" s="161"/>
      <c r="Z397" s="161"/>
      <c r="AA397" s="161"/>
      <c r="AB397" s="161"/>
      <c r="AC397" s="162" t="s">
        <v>145</v>
      </c>
      <c r="AD397" s="162"/>
      <c r="AE397" s="162"/>
      <c r="AF397" s="162"/>
      <c r="AG397" s="162"/>
      <c r="AH397" s="163" t="s">
        <v>146</v>
      </c>
      <c r="AI397" s="163"/>
      <c r="AJ397" s="163"/>
      <c r="AK397" s="163"/>
      <c r="AL397" s="163"/>
      <c r="AM397" s="163"/>
      <c r="AN397" s="163"/>
      <c r="AO397" s="163"/>
      <c r="AP397" s="163"/>
      <c r="AQ397" s="163"/>
      <c r="AR397" s="163"/>
    </row>
    <row r="398">
      <c r="A398" s="164" t="s">
        <v>147</v>
      </c>
      <c r="B398" s="165" t="s">
        <v>148</v>
      </c>
      <c r="C398" s="165" t="s">
        <v>149</v>
      </c>
      <c r="D398" s="166" t="s">
        <v>150</v>
      </c>
      <c r="E398" s="167" t="s">
        <v>151</v>
      </c>
      <c r="F398" s="168" t="s">
        <v>152</v>
      </c>
      <c r="G398" s="169" t="s">
        <v>153</v>
      </c>
      <c r="H398" s="170" t="s">
        <v>154</v>
      </c>
      <c r="I398" s="171" t="s">
        <v>155</v>
      </c>
      <c r="J398" s="171" t="s">
        <v>156</v>
      </c>
      <c r="K398" s="170" t="s">
        <v>157</v>
      </c>
      <c r="L398" s="172" t="s">
        <v>158</v>
      </c>
      <c r="M398" s="173" t="s">
        <v>159</v>
      </c>
      <c r="N398" s="174" t="s">
        <v>160</v>
      </c>
      <c r="O398" s="174" t="s">
        <v>161</v>
      </c>
      <c r="P398" s="175" t="s">
        <v>162</v>
      </c>
      <c r="Q398" s="161" t="s">
        <v>163</v>
      </c>
      <c r="R398" s="176" t="s">
        <v>164</v>
      </c>
      <c r="S398" s="176" t="s">
        <v>165</v>
      </c>
      <c r="T398" s="176" t="s">
        <v>166</v>
      </c>
      <c r="U398" s="177" t="s">
        <v>167</v>
      </c>
      <c r="V398" s="177" t="s">
        <v>168</v>
      </c>
      <c r="W398" s="177" t="s">
        <v>169</v>
      </c>
      <c r="X398" s="177" t="s">
        <v>170</v>
      </c>
      <c r="Y398" s="177" t="s">
        <v>171</v>
      </c>
      <c r="Z398" s="177" t="s">
        <v>172</v>
      </c>
      <c r="AA398" s="178" t="s">
        <v>173</v>
      </c>
      <c r="AB398" s="178" t="s">
        <v>174</v>
      </c>
      <c r="AC398" s="162" t="s">
        <v>175</v>
      </c>
      <c r="AD398" s="179" t="s">
        <v>176</v>
      </c>
      <c r="AE398" s="162" t="s">
        <v>177</v>
      </c>
      <c r="AF398" s="179" t="s">
        <v>178</v>
      </c>
      <c r="AG398" s="179" t="s">
        <v>179</v>
      </c>
      <c r="AH398" s="180" t="s">
        <v>180</v>
      </c>
      <c r="AI398" s="180" t="s">
        <v>181</v>
      </c>
      <c r="AJ398" s="180" t="s">
        <v>182</v>
      </c>
      <c r="AK398" s="180" t="s">
        <v>183</v>
      </c>
      <c r="AL398" s="180" t="s">
        <v>184</v>
      </c>
      <c r="AM398" s="180" t="s">
        <v>185</v>
      </c>
      <c r="AN398" s="180" t="s">
        <v>186</v>
      </c>
      <c r="AO398" s="180" t="s">
        <v>187</v>
      </c>
      <c r="AP398" s="180" t="s">
        <v>188</v>
      </c>
      <c r="AQ398" s="180" t="s">
        <v>189</v>
      </c>
      <c r="AR398" s="181" t="s">
        <v>190</v>
      </c>
    </row>
    <row r="399">
      <c r="A399" s="182">
        <v>46294</v>
      </c>
      <c r="B399" s="184" t="s">
        <v>191</v>
      </c>
      <c r="C399" s="184" t="s">
        <v>192</v>
      </c>
      <c r="D399" s="183" t="s">
        <v>207</v>
      </c>
      <c r="E399" s="183" t="s">
        <v>209</v>
      </c>
      <c r="F399" s="185">
        <f t="shared" ref="F399:F402" si="152">H399+G399</f>
      </c>
      <c r="G399" s="204">
        <v>2330.91</v>
      </c>
      <c r="H399" s="204">
        <v>1057.19</v>
      </c>
      <c r="I399" s="187">
        <v>6</v>
      </c>
      <c r="J399" s="187">
        <v>6</v>
      </c>
      <c r="K399" s="188">
        <v>3974.3999999999996</v>
      </c>
      <c r="L399" s="189">
        <f t="shared" ref="L399:L414" si="201">AQ399/J399</f>
      </c>
      <c r="M399" s="190">
        <f t="shared" ref="M399:M414" si="423">K399/J399</f>
      </c>
      <c r="N399" s="191">
        <f t="shared" ref="N399:N414" si="13">F399/J399</f>
      </c>
      <c r="O399" s="191">
        <f t="shared" ref="O399:O414" si="306">K399/F399</f>
      </c>
      <c r="P399" s="191">
        <f t="shared" ref="P399:P414" si="351">K399/((300*AR399)+F399)</f>
      </c>
      <c r="Q399" s="191">
        <f t="shared" ref="Q399:Q414" si="246">F399/AJ399</f>
      </c>
      <c r="R399" s="191">
        <f t="shared" ref="R399:R414" si="276">F399/AK399</f>
      </c>
      <c r="S399" s="191">
        <f t="shared" ref="S399:S414" si="171">F399/AL399</f>
      </c>
      <c r="T399" s="191">
        <f t="shared" ref="T399:T414" si="216">F399/AM399</f>
      </c>
      <c r="U399" s="189">
        <f t="shared" ref="U399:U414" si="438">AI399/AJ399</f>
      </c>
      <c r="V399" s="189">
        <f t="shared" ref="V399:V414" si="28">AK399/AJ399</f>
      </c>
      <c r="W399" s="189">
        <f t="shared" ref="W399:W414" si="43">AL399/AK399</f>
      </c>
      <c r="X399" s="189">
        <f t="shared" ref="X399:X414" si="58">AM399/AL399</f>
      </c>
      <c r="Y399" s="189">
        <f t="shared" ref="Y399:Y414" si="321">AI399/AH399</f>
      </c>
      <c r="Z399" s="189">
        <f t="shared" ref="Z399:Z414" si="366">AM399/AI399</f>
      </c>
      <c r="AA399" s="190">
        <f t="shared" ref="AA399:AA414" si="261">F399/AH399*1000</f>
      </c>
      <c r="AB399" s="190">
        <f t="shared" ref="AB399:AB414" si="291">F399/AI399</f>
      </c>
      <c r="AC399" s="190">
        <f t="shared" ref="AC399:AC414" si="186">F399/AN399</f>
      </c>
      <c r="AD399" s="189">
        <f t="shared" ref="AD399:AD414" si="231">AN399/AJ399</f>
      </c>
      <c r="AE399" s="190">
        <f t="shared" ref="AE399:AE414" si="453">F399/AO399</f>
      </c>
      <c r="AF399" s="189">
        <f t="shared" ref="AF399:AF414" si="73">AO399/AJ399</f>
      </c>
      <c r="AG399" s="189">
        <f t="shared" ref="AG399:AG414" si="336">AP399/AJ399</f>
      </c>
      <c r="AH399" s="192">
        <v>31382</v>
      </c>
      <c r="AI399" s="193">
        <v>700</v>
      </c>
      <c r="AJ399" s="193">
        <v>813</v>
      </c>
      <c r="AK399" s="192">
        <v>64</v>
      </c>
      <c r="AL399" s="192">
        <v>5</v>
      </c>
      <c r="AM399" s="192">
        <v>5</v>
      </c>
      <c r="AN399" s="192">
        <v>124</v>
      </c>
      <c r="AO399" s="192">
        <v>84</v>
      </c>
      <c r="AP399" s="192">
        <v>18</v>
      </c>
      <c r="AQ399" s="187">
        <v>1</v>
      </c>
      <c r="AR399" s="213">
        <f t="shared" ref="AR399:AR402" si="404">COUNT(AQ399)</f>
      </c>
    </row>
    <row r="400">
      <c r="A400" s="182"/>
      <c r="B400" s="184" t="s">
        <v>191</v>
      </c>
      <c r="C400" s="184" t="s">
        <v>192</v>
      </c>
      <c r="D400" s="183" t="s">
        <v>207</v>
      </c>
      <c r="E400" s="183" t="s">
        <v>210</v>
      </c>
      <c r="F400" s="185">
        <f t="shared" si="152"/>
      </c>
      <c r="G400" s="212">
        <v>3575.81</v>
      </c>
      <c r="H400" s="204">
        <v>796.33</v>
      </c>
      <c r="I400" s="187">
        <v>12</v>
      </c>
      <c r="J400" s="187">
        <v>11</v>
      </c>
      <c r="K400" s="188">
        <v>6675.200000000001</v>
      </c>
      <c r="L400" s="189">
        <f t="shared" si="201"/>
      </c>
      <c r="M400" s="190">
        <f t="shared" si="423"/>
      </c>
      <c r="N400" s="191">
        <f t="shared" si="13"/>
      </c>
      <c r="O400" s="191">
        <f t="shared" si="306"/>
      </c>
      <c r="P400" s="191">
        <f t="shared" si="351"/>
      </c>
      <c r="Q400" s="191">
        <f t="shared" si="246"/>
      </c>
      <c r="R400" s="191">
        <f t="shared" si="276"/>
      </c>
      <c r="S400" s="191">
        <f t="shared" si="171"/>
      </c>
      <c r="T400" s="191">
        <f t="shared" si="216"/>
      </c>
      <c r="U400" s="189">
        <f t="shared" si="438"/>
      </c>
      <c r="V400" s="189">
        <f t="shared" si="28"/>
      </c>
      <c r="W400" s="189">
        <f t="shared" si="43"/>
      </c>
      <c r="X400" s="189">
        <f t="shared" si="58"/>
      </c>
      <c r="Y400" s="189">
        <f t="shared" si="321"/>
      </c>
      <c r="Z400" s="189">
        <f t="shared" si="366"/>
      </c>
      <c r="AA400" s="190">
        <f t="shared" si="261"/>
      </c>
      <c r="AB400" s="190">
        <f t="shared" si="291"/>
      </c>
      <c r="AC400" s="190">
        <f t="shared" si="186"/>
      </c>
      <c r="AD400" s="189">
        <f t="shared" si="231"/>
      </c>
      <c r="AE400" s="190">
        <f t="shared" si="453"/>
      </c>
      <c r="AF400" s="189">
        <f t="shared" si="73"/>
      </c>
      <c r="AG400" s="189">
        <f t="shared" si="336"/>
      </c>
      <c r="AH400" s="192">
        <v>39245</v>
      </c>
      <c r="AI400" s="192">
        <v>844</v>
      </c>
      <c r="AJ400" s="192">
        <v>1029</v>
      </c>
      <c r="AK400" s="192">
        <v>67</v>
      </c>
      <c r="AL400" s="192">
        <v>13</v>
      </c>
      <c r="AM400" s="192">
        <v>10</v>
      </c>
      <c r="AN400" s="192">
        <v>180</v>
      </c>
      <c r="AO400" s="192">
        <v>115</v>
      </c>
      <c r="AP400" s="192">
        <v>13</v>
      </c>
      <c r="AQ400" s="187">
        <v>1</v>
      </c>
      <c r="AR400" s="213">
        <f t="shared" si="404"/>
      </c>
    </row>
    <row r="401">
      <c r="A401" s="182"/>
      <c r="B401" s="184" t="s">
        <v>191</v>
      </c>
      <c r="C401" s="184" t="s">
        <v>192</v>
      </c>
      <c r="D401" s="183" t="s">
        <v>207</v>
      </c>
      <c r="E401" s="183" t="s">
        <v>211</v>
      </c>
      <c r="F401" s="185">
        <f t="shared" si="152"/>
      </c>
      <c r="G401" s="204">
        <v>5557.66</v>
      </c>
      <c r="H401" s="204">
        <v>612.94</v>
      </c>
      <c r="I401" s="187">
        <v>16</v>
      </c>
      <c r="J401" s="187">
        <v>13</v>
      </c>
      <c r="K401" s="188">
        <v>6980.599999999997</v>
      </c>
      <c r="L401" s="189">
        <f t="shared" si="201"/>
      </c>
      <c r="M401" s="190">
        <f t="shared" si="423"/>
      </c>
      <c r="N401" s="191">
        <f t="shared" si="13"/>
      </c>
      <c r="O401" s="191">
        <f t="shared" si="306"/>
      </c>
      <c r="P401" s="191">
        <f t="shared" si="351"/>
      </c>
      <c r="Q401" s="191">
        <f t="shared" si="246"/>
      </c>
      <c r="R401" s="191">
        <f t="shared" si="276"/>
      </c>
      <c r="S401" s="191">
        <f t="shared" si="171"/>
      </c>
      <c r="T401" s="191">
        <f t="shared" si="216"/>
      </c>
      <c r="U401" s="189">
        <f t="shared" si="438"/>
      </c>
      <c r="V401" s="189">
        <f t="shared" si="28"/>
      </c>
      <c r="W401" s="189">
        <f t="shared" si="43"/>
      </c>
      <c r="X401" s="189">
        <f t="shared" si="58"/>
      </c>
      <c r="Y401" s="189">
        <f t="shared" si="321"/>
      </c>
      <c r="Z401" s="189">
        <f t="shared" si="366"/>
      </c>
      <c r="AA401" s="190">
        <f t="shared" si="261"/>
      </c>
      <c r="AB401" s="190">
        <f t="shared" si="291"/>
      </c>
      <c r="AC401" s="190">
        <f t="shared" si="186"/>
      </c>
      <c r="AD401" s="189">
        <f t="shared" si="231"/>
      </c>
      <c r="AE401" s="190">
        <f t="shared" si="453"/>
      </c>
      <c r="AF401" s="189">
        <f t="shared" si="73"/>
      </c>
      <c r="AG401" s="189">
        <f t="shared" si="336"/>
      </c>
      <c r="AH401" s="192">
        <v>75471</v>
      </c>
      <c r="AI401" s="192">
        <v>1204</v>
      </c>
      <c r="AJ401" s="192">
        <v>1386</v>
      </c>
      <c r="AK401" s="192">
        <v>32</v>
      </c>
      <c r="AL401" s="187">
        <v>9</v>
      </c>
      <c r="AM401" s="192">
        <v>7</v>
      </c>
      <c r="AN401" s="192">
        <v>238</v>
      </c>
      <c r="AO401" s="192">
        <v>169</v>
      </c>
      <c r="AP401" s="192">
        <v>26</v>
      </c>
      <c r="AQ401" s="187">
        <v>3</v>
      </c>
      <c r="AR401" s="213">
        <f t="shared" si="404"/>
      </c>
    </row>
    <row r="402">
      <c r="A402" s="182"/>
      <c r="B402" s="184" t="s">
        <v>191</v>
      </c>
      <c r="C402" s="184" t="s">
        <v>192</v>
      </c>
      <c r="D402" s="183" t="s">
        <v>207</v>
      </c>
      <c r="E402" s="183" t="s">
        <v>212</v>
      </c>
      <c r="F402" s="185">
        <f t="shared" si="152"/>
      </c>
      <c r="G402" s="204">
        <v>387.46</v>
      </c>
      <c r="H402" s="204">
        <v>823.92</v>
      </c>
      <c r="I402" s="187">
        <v>6</v>
      </c>
      <c r="J402" s="187">
        <v>4</v>
      </c>
      <c r="K402" s="188">
        <v>3074.4000000000015</v>
      </c>
      <c r="L402" s="189">
        <f t="shared" si="201"/>
      </c>
      <c r="M402" s="190">
        <f t="shared" si="423"/>
      </c>
      <c r="N402" s="191">
        <f t="shared" si="13"/>
      </c>
      <c r="O402" s="191">
        <f t="shared" si="306"/>
      </c>
      <c r="P402" s="191">
        <f t="shared" si="351"/>
      </c>
      <c r="Q402" s="191">
        <f t="shared" si="246"/>
      </c>
      <c r="R402" s="191">
        <f t="shared" si="276"/>
      </c>
      <c r="S402" s="191">
        <f t="shared" si="171"/>
      </c>
      <c r="T402" s="191">
        <f t="shared" si="216"/>
      </c>
      <c r="U402" s="189">
        <f t="shared" si="438"/>
      </c>
      <c r="V402" s="189">
        <f t="shared" si="28"/>
      </c>
      <c r="W402" s="189">
        <f t="shared" si="43"/>
      </c>
      <c r="X402" s="189">
        <f t="shared" si="58"/>
      </c>
      <c r="Y402" s="189">
        <f t="shared" si="321"/>
      </c>
      <c r="Z402" s="189">
        <f t="shared" si="366"/>
      </c>
      <c r="AA402" s="190">
        <f t="shared" si="261"/>
      </c>
      <c r="AB402" s="190">
        <f t="shared" si="291"/>
      </c>
      <c r="AC402" s="190">
        <f t="shared" si="186"/>
      </c>
      <c r="AD402" s="189">
        <f t="shared" si="231"/>
      </c>
      <c r="AE402" s="190">
        <f t="shared" si="453"/>
      </c>
      <c r="AF402" s="189">
        <f t="shared" si="73"/>
      </c>
      <c r="AG402" s="189">
        <f t="shared" si="336"/>
      </c>
      <c r="AH402" s="192">
        <v>13809</v>
      </c>
      <c r="AI402" s="192">
        <v>420</v>
      </c>
      <c r="AJ402" s="192">
        <v>552</v>
      </c>
      <c r="AK402" s="192">
        <v>42</v>
      </c>
      <c r="AL402" s="187">
        <v>2</v>
      </c>
      <c r="AM402" s="187">
        <v>1</v>
      </c>
      <c r="AN402" s="192">
        <v>41</v>
      </c>
      <c r="AO402" s="192">
        <v>47</v>
      </c>
      <c r="AP402" s="192">
        <v>5</v>
      </c>
      <c r="AQ402" s="187">
        <v>1</v>
      </c>
      <c r="AR402" s="213">
        <f t="shared" si="404"/>
      </c>
    </row>
    <row r="403">
      <c r="A403" s="182"/>
      <c r="B403" s="197" t="s">
        <v>197</v>
      </c>
      <c r="C403" s="197"/>
      <c r="D403" s="197"/>
      <c r="E403" s="197"/>
      <c r="F403" s="198">
        <f>SUM(F399:F402)</f>
      </c>
      <c r="G403" s="198">
        <f>SUM(G399:G402)</f>
      </c>
      <c r="H403" s="198">
        <f>SUM(H399:H402)</f>
      </c>
      <c r="I403" s="199">
        <f>SUM(I399:I402)</f>
      </c>
      <c r="J403" s="199">
        <f>SUM(J399:J402)</f>
      </c>
      <c r="K403" s="198">
        <f>SUM(K399:K402)</f>
      </c>
      <c r="L403" s="200">
        <f t="shared" si="201"/>
      </c>
      <c r="M403" s="201">
        <f t="shared" si="423"/>
      </c>
      <c r="N403" s="202">
        <f t="shared" si="13"/>
      </c>
      <c r="O403" s="202">
        <f t="shared" si="306"/>
      </c>
      <c r="P403" s="202">
        <f t="shared" si="351"/>
      </c>
      <c r="Q403" s="202">
        <f t="shared" si="246"/>
      </c>
      <c r="R403" s="202">
        <f t="shared" si="276"/>
      </c>
      <c r="S403" s="202">
        <f t="shared" si="171"/>
      </c>
      <c r="T403" s="202">
        <f t="shared" si="216"/>
      </c>
      <c r="U403" s="200">
        <f t="shared" si="438"/>
      </c>
      <c r="V403" s="200">
        <f t="shared" si="28"/>
      </c>
      <c r="W403" s="200">
        <f t="shared" si="43"/>
      </c>
      <c r="X403" s="200">
        <f t="shared" si="58"/>
      </c>
      <c r="Y403" s="200">
        <f t="shared" si="321"/>
      </c>
      <c r="Z403" s="200">
        <f t="shared" si="366"/>
      </c>
      <c r="AA403" s="201">
        <f t="shared" si="261"/>
      </c>
      <c r="AB403" s="201">
        <f t="shared" si="291"/>
      </c>
      <c r="AC403" s="201">
        <f t="shared" si="186"/>
      </c>
      <c r="AD403" s="200">
        <f t="shared" si="231"/>
      </c>
      <c r="AE403" s="201">
        <f t="shared" si="453"/>
      </c>
      <c r="AF403" s="200">
        <f t="shared" si="73"/>
      </c>
      <c r="AG403" s="200">
        <f t="shared" si="336"/>
      </c>
      <c r="AH403" s="199">
        <f>SUM(AH399:AH402)</f>
      </c>
      <c r="AI403" s="199">
        <f>SUM(AI399:AI402)</f>
      </c>
      <c r="AJ403" s="199">
        <f>SUM(AJ399:AJ402)</f>
      </c>
      <c r="AK403" s="199">
        <f>SUM(AK399:AK402)</f>
      </c>
      <c r="AL403" s="199">
        <f>SUM(AL399:AL402)</f>
      </c>
      <c r="AM403" s="199">
        <f>SUM(AM399:AM402)</f>
      </c>
      <c r="AN403" s="199">
        <f>SUM(AN399:AN402)</f>
      </c>
      <c r="AO403" s="199">
        <f>SUM(AO399:AO402)</f>
      </c>
      <c r="AP403" s="199">
        <f>SUM(AP399:AP402)</f>
      </c>
      <c r="AQ403" s="199">
        <f>SUM(AQ399:AQ402)</f>
      </c>
      <c r="AR403" s="203">
        <f>SUM(AR399:AR402)</f>
      </c>
    </row>
    <row r="404">
      <c r="A404" s="182"/>
      <c r="B404" s="184" t="s">
        <v>191</v>
      </c>
      <c r="C404" s="184" t="s">
        <v>192</v>
      </c>
      <c r="D404" s="183" t="s">
        <v>201</v>
      </c>
      <c r="E404" s="183" t="s">
        <v>194</v>
      </c>
      <c r="F404" s="185">
        <f t="shared" ref="F404:F407" si="153">H404+G404</f>
      </c>
      <c r="G404" s="204">
        <v>5779.88</v>
      </c>
      <c r="H404" s="204">
        <v>432.54</v>
      </c>
      <c r="I404" s="187">
        <v>12</v>
      </c>
      <c r="J404" s="187">
        <v>11</v>
      </c>
      <c r="K404" s="188">
        <v>7146.5999999999985</v>
      </c>
      <c r="L404" s="189">
        <f t="shared" si="201"/>
      </c>
      <c r="M404" s="190">
        <f t="shared" si="423"/>
      </c>
      <c r="N404" s="191">
        <f t="shared" si="13"/>
      </c>
      <c r="O404" s="191">
        <f t="shared" si="306"/>
      </c>
      <c r="P404" s="191">
        <f t="shared" si="351"/>
      </c>
      <c r="Q404" s="191">
        <f t="shared" si="246"/>
      </c>
      <c r="R404" s="191">
        <f t="shared" si="276"/>
      </c>
      <c r="S404" s="191">
        <f t="shared" si="171"/>
      </c>
      <c r="T404" s="191">
        <f t="shared" si="216"/>
      </c>
      <c r="U404" s="189">
        <f t="shared" si="438"/>
      </c>
      <c r="V404" s="189">
        <f t="shared" si="28"/>
      </c>
      <c r="W404" s="189">
        <f t="shared" si="43"/>
      </c>
      <c r="X404" s="189">
        <f t="shared" si="58"/>
      </c>
      <c r="Y404" s="189">
        <f t="shared" si="321"/>
      </c>
      <c r="Z404" s="189">
        <f t="shared" si="366"/>
      </c>
      <c r="AA404" s="190">
        <f t="shared" si="261"/>
      </c>
      <c r="AB404" s="190">
        <f t="shared" si="291"/>
      </c>
      <c r="AC404" s="190">
        <f t="shared" si="186"/>
      </c>
      <c r="AD404" s="189">
        <f t="shared" si="231"/>
      </c>
      <c r="AE404" s="190">
        <f t="shared" si="453"/>
      </c>
      <c r="AF404" s="189">
        <f t="shared" si="73"/>
      </c>
      <c r="AG404" s="189">
        <f t="shared" si="336"/>
      </c>
      <c r="AH404" s="192">
        <v>91102</v>
      </c>
      <c r="AI404" s="192">
        <v>1260</v>
      </c>
      <c r="AJ404" s="192">
        <v>1549</v>
      </c>
      <c r="AK404" s="192">
        <v>26</v>
      </c>
      <c r="AL404" s="187">
        <v>13</v>
      </c>
      <c r="AM404" s="187">
        <v>10</v>
      </c>
      <c r="AN404" s="192">
        <v>248</v>
      </c>
      <c r="AO404" s="192">
        <v>146</v>
      </c>
      <c r="AP404" s="192">
        <v>30</v>
      </c>
      <c r="AQ404" s="187">
        <v>2</v>
      </c>
      <c r="AR404" s="213">
        <f t="shared" ref="AR404:AR407" si="405">COUNT(AQ404)</f>
      </c>
    </row>
    <row r="405">
      <c r="A405" s="182"/>
      <c r="B405" s="184" t="s">
        <v>191</v>
      </c>
      <c r="C405" s="184" t="s">
        <v>192</v>
      </c>
      <c r="D405" s="183" t="s">
        <v>201</v>
      </c>
      <c r="E405" s="183" t="s">
        <v>195</v>
      </c>
      <c r="F405" s="185">
        <f t="shared" si="153"/>
      </c>
      <c r="G405" s="204">
        <v>4182.26</v>
      </c>
      <c r="H405" s="204">
        <v>644.05</v>
      </c>
      <c r="I405" s="187">
        <v>11</v>
      </c>
      <c r="J405" s="192">
        <v>10</v>
      </c>
      <c r="K405" s="196">
        <v>4844.4000000000015</v>
      </c>
      <c r="L405" s="189">
        <f t="shared" si="201"/>
      </c>
      <c r="M405" s="190">
        <f t="shared" si="423"/>
      </c>
      <c r="N405" s="191">
        <f t="shared" si="13"/>
      </c>
      <c r="O405" s="191">
        <f t="shared" si="306"/>
      </c>
      <c r="P405" s="191">
        <f t="shared" si="351"/>
      </c>
      <c r="Q405" s="191">
        <f t="shared" si="246"/>
      </c>
      <c r="R405" s="191">
        <f t="shared" si="276"/>
      </c>
      <c r="S405" s="191">
        <f t="shared" si="171"/>
      </c>
      <c r="T405" s="191">
        <f t="shared" si="216"/>
      </c>
      <c r="U405" s="189">
        <f t="shared" si="438"/>
      </c>
      <c r="V405" s="189">
        <f t="shared" si="28"/>
      </c>
      <c r="W405" s="189">
        <f t="shared" si="43"/>
      </c>
      <c r="X405" s="189">
        <f t="shared" si="58"/>
      </c>
      <c r="Y405" s="189">
        <f t="shared" si="321"/>
      </c>
      <c r="Z405" s="189">
        <f t="shared" si="366"/>
      </c>
      <c r="AA405" s="190">
        <f t="shared" si="261"/>
      </c>
      <c r="AB405" s="190">
        <f t="shared" si="291"/>
      </c>
      <c r="AC405" s="190">
        <f t="shared" si="186"/>
      </c>
      <c r="AD405" s="189">
        <f t="shared" si="231"/>
      </c>
      <c r="AE405" s="190">
        <f t="shared" si="453"/>
      </c>
      <c r="AF405" s="189">
        <f t="shared" si="73"/>
      </c>
      <c r="AG405" s="189">
        <f t="shared" si="336"/>
      </c>
      <c r="AH405" s="192">
        <v>82113</v>
      </c>
      <c r="AI405" s="192">
        <v>1091</v>
      </c>
      <c r="AJ405" s="192">
        <v>1331</v>
      </c>
      <c r="AK405" s="192">
        <v>22</v>
      </c>
      <c r="AL405" s="192">
        <v>9</v>
      </c>
      <c r="AM405" s="192">
        <v>8</v>
      </c>
      <c r="AN405" s="192">
        <v>164</v>
      </c>
      <c r="AO405" s="192">
        <v>72</v>
      </c>
      <c r="AP405" s="192">
        <v>14</v>
      </c>
      <c r="AQ405" s="187">
        <v>1</v>
      </c>
      <c r="AR405" s="213">
        <f t="shared" si="405"/>
      </c>
    </row>
    <row r="406">
      <c r="A406" s="182"/>
      <c r="B406" s="184" t="s">
        <v>191</v>
      </c>
      <c r="C406" s="184" t="s">
        <v>192</v>
      </c>
      <c r="D406" s="183" t="s">
        <v>201</v>
      </c>
      <c r="E406" s="183" t="s">
        <v>196</v>
      </c>
      <c r="F406" s="185">
        <f t="shared" si="153"/>
      </c>
      <c r="G406" s="204">
        <v>4479.79</v>
      </c>
      <c r="H406" s="204">
        <v>833.06</v>
      </c>
      <c r="I406" s="187">
        <v>9</v>
      </c>
      <c r="J406" s="187">
        <v>7</v>
      </c>
      <c r="K406" s="188">
        <v>4542</v>
      </c>
      <c r="L406" s="189">
        <f t="shared" si="201"/>
      </c>
      <c r="M406" s="190">
        <f t="shared" si="423"/>
      </c>
      <c r="N406" s="191">
        <f t="shared" si="13"/>
      </c>
      <c r="O406" s="191">
        <f t="shared" si="306"/>
      </c>
      <c r="P406" s="191">
        <f t="shared" si="351"/>
      </c>
      <c r="Q406" s="191">
        <f t="shared" si="246"/>
      </c>
      <c r="R406" s="191">
        <f t="shared" si="276"/>
      </c>
      <c r="S406" s="191">
        <f t="shared" si="171"/>
      </c>
      <c r="T406" s="191">
        <f t="shared" si="216"/>
      </c>
      <c r="U406" s="189">
        <f t="shared" si="438"/>
      </c>
      <c r="V406" s="189">
        <f t="shared" si="28"/>
      </c>
      <c r="W406" s="189">
        <f t="shared" si="43"/>
      </c>
      <c r="X406" s="189">
        <f t="shared" si="58"/>
      </c>
      <c r="Y406" s="189">
        <f t="shared" si="321"/>
      </c>
      <c r="Z406" s="189">
        <f t="shared" si="366"/>
      </c>
      <c r="AA406" s="190">
        <f t="shared" si="261"/>
      </c>
      <c r="AB406" s="190">
        <f t="shared" si="291"/>
      </c>
      <c r="AC406" s="190">
        <f t="shared" si="186"/>
      </c>
      <c r="AD406" s="189">
        <f t="shared" si="231"/>
      </c>
      <c r="AE406" s="190">
        <f t="shared" si="453"/>
      </c>
      <c r="AF406" s="189">
        <f t="shared" si="73"/>
      </c>
      <c r="AG406" s="189">
        <f t="shared" si="336"/>
      </c>
      <c r="AH406" s="192">
        <v>94944</v>
      </c>
      <c r="AI406" s="192">
        <v>1422</v>
      </c>
      <c r="AJ406" s="192">
        <v>1737</v>
      </c>
      <c r="AK406" s="192">
        <v>39</v>
      </c>
      <c r="AL406" s="192">
        <v>9</v>
      </c>
      <c r="AM406" s="192">
        <v>7</v>
      </c>
      <c r="AN406" s="192">
        <v>205</v>
      </c>
      <c r="AO406" s="192">
        <v>86</v>
      </c>
      <c r="AP406" s="192">
        <v>12</v>
      </c>
      <c r="AQ406" s="187">
        <v>0</v>
      </c>
      <c r="AR406" s="213">
        <f t="shared" si="405"/>
      </c>
    </row>
    <row r="407">
      <c r="A407" s="182"/>
      <c r="B407" s="184" t="s">
        <v>191</v>
      </c>
      <c r="C407" s="184" t="s">
        <v>192</v>
      </c>
      <c r="D407" s="183" t="s">
        <v>201</v>
      </c>
      <c r="E407" s="183" t="s">
        <v>199</v>
      </c>
      <c r="F407" s="185">
        <f t="shared" si="153"/>
      </c>
      <c r="G407" s="204">
        <v>2831.26</v>
      </c>
      <c r="H407" s="204">
        <v>477.92</v>
      </c>
      <c r="I407" s="187">
        <v>8</v>
      </c>
      <c r="J407" s="187">
        <v>7</v>
      </c>
      <c r="K407" s="188">
        <v>3915.5999999999985</v>
      </c>
      <c r="L407" s="189">
        <f t="shared" si="201"/>
      </c>
      <c r="M407" s="190">
        <f t="shared" si="423"/>
      </c>
      <c r="N407" s="191">
        <f t="shared" si="13"/>
      </c>
      <c r="O407" s="191">
        <f t="shared" si="306"/>
      </c>
      <c r="P407" s="191">
        <f t="shared" si="351"/>
      </c>
      <c r="Q407" s="191">
        <f t="shared" si="246"/>
      </c>
      <c r="R407" s="191">
        <f t="shared" si="276"/>
      </c>
      <c r="S407" s="191">
        <f t="shared" si="171"/>
      </c>
      <c r="T407" s="191">
        <f t="shared" si="216"/>
      </c>
      <c r="U407" s="189">
        <f t="shared" si="438"/>
      </c>
      <c r="V407" s="189">
        <f t="shared" si="28"/>
      </c>
      <c r="W407" s="189">
        <f t="shared" si="43"/>
      </c>
      <c r="X407" s="189">
        <f t="shared" si="58"/>
      </c>
      <c r="Y407" s="189">
        <f t="shared" si="321"/>
      </c>
      <c r="Z407" s="189">
        <f t="shared" si="366"/>
      </c>
      <c r="AA407" s="190">
        <f t="shared" si="261"/>
      </c>
      <c r="AB407" s="190">
        <f t="shared" si="291"/>
      </c>
      <c r="AC407" s="190">
        <f t="shared" si="186"/>
      </c>
      <c r="AD407" s="189">
        <f t="shared" si="231"/>
      </c>
      <c r="AE407" s="190">
        <f t="shared" si="453"/>
      </c>
      <c r="AF407" s="189">
        <f t="shared" si="73"/>
      </c>
      <c r="AG407" s="189">
        <f t="shared" si="336"/>
      </c>
      <c r="AH407" s="192">
        <v>63929</v>
      </c>
      <c r="AI407" s="192">
        <v>938</v>
      </c>
      <c r="AJ407" s="192">
        <v>1160</v>
      </c>
      <c r="AK407" s="192">
        <v>30</v>
      </c>
      <c r="AL407" s="192">
        <v>6</v>
      </c>
      <c r="AM407" s="192">
        <v>6</v>
      </c>
      <c r="AN407" s="192">
        <v>136</v>
      </c>
      <c r="AO407" s="192">
        <v>57</v>
      </c>
      <c r="AP407" s="192">
        <v>9</v>
      </c>
      <c r="AQ407" s="187">
        <v>0</v>
      </c>
      <c r="AR407" s="213">
        <f t="shared" si="405"/>
      </c>
    </row>
    <row r="408">
      <c r="A408" s="182"/>
      <c r="B408" s="197" t="s">
        <v>197</v>
      </c>
      <c r="C408" s="197"/>
      <c r="D408" s="197"/>
      <c r="E408" s="197"/>
      <c r="F408" s="198">
        <f>SUM(F404:F407)</f>
      </c>
      <c r="G408" s="198">
        <f>SUM(G404:G407)</f>
      </c>
      <c r="H408" s="198">
        <f>SUM(H404:H407)</f>
      </c>
      <c r="I408" s="199">
        <f>SUM(I404:I407)</f>
      </c>
      <c r="J408" s="199">
        <f>SUM(J404:J407)</f>
      </c>
      <c r="K408" s="198">
        <f>SUM(K404:K407)</f>
      </c>
      <c r="L408" s="200">
        <f t="shared" si="201"/>
      </c>
      <c r="M408" s="201">
        <f t="shared" si="423"/>
      </c>
      <c r="N408" s="202">
        <f t="shared" si="13"/>
      </c>
      <c r="O408" s="202">
        <f t="shared" si="306"/>
      </c>
      <c r="P408" s="202">
        <f t="shared" si="351"/>
      </c>
      <c r="Q408" s="202">
        <f t="shared" si="246"/>
      </c>
      <c r="R408" s="202">
        <f t="shared" si="276"/>
      </c>
      <c r="S408" s="202">
        <f t="shared" si="171"/>
      </c>
      <c r="T408" s="202">
        <f t="shared" si="216"/>
      </c>
      <c r="U408" s="200">
        <f t="shared" si="438"/>
      </c>
      <c r="V408" s="200">
        <f t="shared" si="28"/>
      </c>
      <c r="W408" s="200">
        <f t="shared" si="43"/>
      </c>
      <c r="X408" s="200">
        <f t="shared" si="58"/>
      </c>
      <c r="Y408" s="200">
        <f t="shared" si="321"/>
      </c>
      <c r="Z408" s="200">
        <f t="shared" si="366"/>
      </c>
      <c r="AA408" s="201">
        <f t="shared" si="261"/>
      </c>
      <c r="AB408" s="201">
        <f t="shared" si="291"/>
      </c>
      <c r="AC408" s="201">
        <f t="shared" si="186"/>
      </c>
      <c r="AD408" s="200">
        <f t="shared" si="231"/>
      </c>
      <c r="AE408" s="201">
        <f t="shared" si="453"/>
      </c>
      <c r="AF408" s="200">
        <f t="shared" si="73"/>
      </c>
      <c r="AG408" s="200">
        <f t="shared" si="336"/>
      </c>
      <c r="AH408" s="199">
        <f>SUM(AH404:AH407)</f>
      </c>
      <c r="AI408" s="199">
        <f>SUM(AI404:AI407)</f>
      </c>
      <c r="AJ408" s="199">
        <f>SUM(AJ404:AJ407)</f>
      </c>
      <c r="AK408" s="199">
        <f>SUM(AK404:AK407)</f>
      </c>
      <c r="AL408" s="199">
        <f>SUM(AL404:AL407)</f>
      </c>
      <c r="AM408" s="199">
        <f>SUM(AM404:AM407)</f>
      </c>
      <c r="AN408" s="199">
        <f>SUM(AN404:AN407)</f>
      </c>
      <c r="AO408" s="199">
        <f>SUM(AO404:AO407)</f>
      </c>
      <c r="AP408" s="199">
        <f>SUM(AP404:AP407)</f>
      </c>
      <c r="AQ408" s="199">
        <f>SUM(AQ404:AQ407)</f>
      </c>
      <c r="AR408" s="203">
        <f>SUM(AR404:AR407)</f>
      </c>
    </row>
    <row r="409">
      <c r="A409" s="182"/>
      <c r="B409" s="184" t="s">
        <v>191</v>
      </c>
      <c r="C409" s="184" t="s">
        <v>192</v>
      </c>
      <c r="D409" s="183" t="s">
        <v>206</v>
      </c>
      <c r="E409" s="183" t="s">
        <v>200</v>
      </c>
      <c r="F409" s="185">
        <f t="shared" ref="F409:F412" si="154">H409+G409</f>
      </c>
      <c r="G409" s="204">
        <v>4249.74</v>
      </c>
      <c r="H409" s="204">
        <v>328.66</v>
      </c>
      <c r="I409" s="187">
        <v>7</v>
      </c>
      <c r="J409" s="192">
        <v>6</v>
      </c>
      <c r="K409" s="196">
        <v>5205.600000000006</v>
      </c>
      <c r="L409" s="189">
        <f t="shared" si="201"/>
      </c>
      <c r="M409" s="190">
        <f t="shared" si="423"/>
      </c>
      <c r="N409" s="191">
        <f t="shared" si="13"/>
      </c>
      <c r="O409" s="191">
        <f t="shared" si="306"/>
      </c>
      <c r="P409" s="191">
        <f t="shared" si="351"/>
      </c>
      <c r="Q409" s="191">
        <f t="shared" si="246"/>
      </c>
      <c r="R409" s="191">
        <f t="shared" si="276"/>
      </c>
      <c r="S409" s="191">
        <f t="shared" si="171"/>
      </c>
      <c r="T409" s="191">
        <f t="shared" si="216"/>
      </c>
      <c r="U409" s="189">
        <f t="shared" si="438"/>
      </c>
      <c r="V409" s="189">
        <f t="shared" si="28"/>
      </c>
      <c r="W409" s="189">
        <f t="shared" si="43"/>
      </c>
      <c r="X409" s="189">
        <f t="shared" si="58"/>
      </c>
      <c r="Y409" s="189">
        <f t="shared" si="321"/>
      </c>
      <c r="Z409" s="189">
        <f t="shared" si="366"/>
      </c>
      <c r="AA409" s="190">
        <f t="shared" si="261"/>
      </c>
      <c r="AB409" s="190">
        <f t="shared" si="291"/>
      </c>
      <c r="AC409" s="190">
        <f t="shared" si="186"/>
      </c>
      <c r="AD409" s="189">
        <f t="shared" si="231"/>
      </c>
      <c r="AE409" s="190">
        <f t="shared" si="453"/>
      </c>
      <c r="AF409" s="189">
        <f t="shared" si="73"/>
      </c>
      <c r="AG409" s="189">
        <f t="shared" si="336"/>
      </c>
      <c r="AH409" s="192">
        <v>72600</v>
      </c>
      <c r="AI409" s="192">
        <v>971</v>
      </c>
      <c r="AJ409" s="192">
        <v>1117</v>
      </c>
      <c r="AK409" s="192">
        <v>41</v>
      </c>
      <c r="AL409" s="192">
        <v>8</v>
      </c>
      <c r="AM409" s="192">
        <v>5</v>
      </c>
      <c r="AN409" s="192">
        <v>166</v>
      </c>
      <c r="AO409" s="192">
        <v>100</v>
      </c>
      <c r="AP409" s="192">
        <v>36</v>
      </c>
      <c r="AQ409" s="187">
        <v>0</v>
      </c>
      <c r="AR409" s="213">
        <f t="shared" ref="AR409:AR412" si="406">COUNT(AQ409)</f>
      </c>
    </row>
    <row r="410">
      <c r="A410" s="182"/>
      <c r="B410" s="184" t="s">
        <v>191</v>
      </c>
      <c r="C410" s="184" t="s">
        <v>192</v>
      </c>
      <c r="D410" s="183" t="s">
        <v>206</v>
      </c>
      <c r="E410" s="184" t="s">
        <v>202</v>
      </c>
      <c r="F410" s="185">
        <f t="shared" si="154"/>
      </c>
      <c r="G410" s="204">
        <v>3160.54</v>
      </c>
      <c r="H410" s="204">
        <v>692.61</v>
      </c>
      <c r="I410" s="187">
        <v>7</v>
      </c>
      <c r="J410" s="192">
        <v>6</v>
      </c>
      <c r="K410" s="188">
        <v>3531</v>
      </c>
      <c r="L410" s="189">
        <f t="shared" si="201"/>
      </c>
      <c r="M410" s="190">
        <f t="shared" si="423"/>
      </c>
      <c r="N410" s="191">
        <f t="shared" si="13"/>
      </c>
      <c r="O410" s="191">
        <f t="shared" si="306"/>
      </c>
      <c r="P410" s="191">
        <f t="shared" si="351"/>
      </c>
      <c r="Q410" s="191">
        <f t="shared" si="246"/>
      </c>
      <c r="R410" s="191">
        <f t="shared" si="276"/>
      </c>
      <c r="S410" s="191">
        <f t="shared" si="171"/>
      </c>
      <c r="T410" s="191">
        <f t="shared" si="216"/>
      </c>
      <c r="U410" s="189">
        <f t="shared" si="438"/>
      </c>
      <c r="V410" s="189">
        <f t="shared" si="28"/>
      </c>
      <c r="W410" s="189">
        <f t="shared" si="43"/>
      </c>
      <c r="X410" s="189">
        <f t="shared" si="58"/>
      </c>
      <c r="Y410" s="189">
        <f t="shared" si="321"/>
      </c>
      <c r="Z410" s="189">
        <f t="shared" si="366"/>
      </c>
      <c r="AA410" s="190">
        <f t="shared" si="261"/>
      </c>
      <c r="AB410" s="190">
        <f t="shared" si="291"/>
      </c>
      <c r="AC410" s="190">
        <f t="shared" si="186"/>
      </c>
      <c r="AD410" s="189">
        <f t="shared" si="231"/>
      </c>
      <c r="AE410" s="190">
        <f t="shared" si="453"/>
      </c>
      <c r="AF410" s="189">
        <f t="shared" si="73"/>
      </c>
      <c r="AG410" s="189">
        <f t="shared" si="336"/>
      </c>
      <c r="AH410" s="192">
        <v>52958</v>
      </c>
      <c r="AI410" s="192">
        <v>887</v>
      </c>
      <c r="AJ410" s="192">
        <v>1107</v>
      </c>
      <c r="AK410" s="192">
        <v>66</v>
      </c>
      <c r="AL410" s="192">
        <v>7</v>
      </c>
      <c r="AM410" s="192">
        <v>5</v>
      </c>
      <c r="AN410" s="192">
        <v>177</v>
      </c>
      <c r="AO410" s="192">
        <v>123</v>
      </c>
      <c r="AP410" s="192">
        <v>24</v>
      </c>
      <c r="AQ410" s="187">
        <v>1</v>
      </c>
      <c r="AR410" s="213">
        <f t="shared" si="406"/>
      </c>
    </row>
    <row r="411">
      <c r="A411" s="182"/>
      <c r="B411" s="184" t="s">
        <v>191</v>
      </c>
      <c r="C411" s="184" t="s">
        <v>192</v>
      </c>
      <c r="D411" s="183" t="s">
        <v>206</v>
      </c>
      <c r="E411" s="184" t="s">
        <v>203</v>
      </c>
      <c r="F411" s="185">
        <f t="shared" si="154"/>
      </c>
      <c r="G411" s="204">
        <v>3139.76</v>
      </c>
      <c r="H411" s="204">
        <v>445.21</v>
      </c>
      <c r="I411" s="187">
        <v>5</v>
      </c>
      <c r="J411" s="192">
        <v>4</v>
      </c>
      <c r="K411" s="188">
        <v>2778</v>
      </c>
      <c r="L411" s="189">
        <f t="shared" si="201"/>
      </c>
      <c r="M411" s="190">
        <f t="shared" si="423"/>
      </c>
      <c r="N411" s="191">
        <f t="shared" si="13"/>
      </c>
      <c r="O411" s="191">
        <f t="shared" si="306"/>
      </c>
      <c r="P411" s="191">
        <f t="shared" si="351"/>
      </c>
      <c r="Q411" s="191">
        <f t="shared" si="246"/>
      </c>
      <c r="R411" s="191">
        <f t="shared" si="276"/>
      </c>
      <c r="S411" s="191">
        <f t="shared" si="171"/>
      </c>
      <c r="T411" s="191">
        <f t="shared" si="216"/>
      </c>
      <c r="U411" s="189">
        <f t="shared" si="438"/>
      </c>
      <c r="V411" s="189">
        <f t="shared" si="28"/>
      </c>
      <c r="W411" s="189">
        <f t="shared" si="43"/>
      </c>
      <c r="X411" s="189">
        <f t="shared" si="58"/>
      </c>
      <c r="Y411" s="189">
        <f t="shared" si="321"/>
      </c>
      <c r="Z411" s="189">
        <f t="shared" si="366"/>
      </c>
      <c r="AA411" s="190">
        <f t="shared" si="261"/>
      </c>
      <c r="AB411" s="190">
        <f t="shared" si="291"/>
      </c>
      <c r="AC411" s="190">
        <f t="shared" si="186"/>
      </c>
      <c r="AD411" s="189">
        <f t="shared" si="231"/>
      </c>
      <c r="AE411" s="190">
        <f t="shared" si="453"/>
      </c>
      <c r="AF411" s="189">
        <f t="shared" si="73"/>
      </c>
      <c r="AG411" s="189">
        <f t="shared" si="336"/>
      </c>
      <c r="AH411" s="192">
        <v>57582</v>
      </c>
      <c r="AI411" s="192">
        <v>874</v>
      </c>
      <c r="AJ411" s="192">
        <v>1079</v>
      </c>
      <c r="AK411" s="192">
        <v>30</v>
      </c>
      <c r="AL411" s="192">
        <v>3</v>
      </c>
      <c r="AM411" s="192">
        <v>4</v>
      </c>
      <c r="AN411" s="192">
        <v>134</v>
      </c>
      <c r="AO411" s="192">
        <v>98</v>
      </c>
      <c r="AP411" s="192">
        <v>11</v>
      </c>
      <c r="AQ411" s="187">
        <v>0</v>
      </c>
      <c r="AR411" s="213">
        <f t="shared" si="406"/>
      </c>
    </row>
    <row r="412">
      <c r="A412" s="182"/>
      <c r="B412" s="184" t="s">
        <v>191</v>
      </c>
      <c r="C412" s="184" t="s">
        <v>192</v>
      </c>
      <c r="D412" s="183" t="s">
        <v>206</v>
      </c>
      <c r="E412" s="183" t="s">
        <v>204</v>
      </c>
      <c r="F412" s="185">
        <f t="shared" si="154"/>
      </c>
      <c r="G412" s="204">
        <v>1993.19</v>
      </c>
      <c r="H412" s="204">
        <v>427.73</v>
      </c>
      <c r="I412" s="187">
        <v>5</v>
      </c>
      <c r="J412" s="192">
        <v>4</v>
      </c>
      <c r="K412" s="196">
        <v>2128.600000000006</v>
      </c>
      <c r="L412" s="189">
        <f t="shared" si="201"/>
      </c>
      <c r="M412" s="190">
        <f t="shared" si="423"/>
      </c>
      <c r="N412" s="191">
        <f t="shared" si="13"/>
      </c>
      <c r="O412" s="191">
        <f t="shared" si="306"/>
      </c>
      <c r="P412" s="191">
        <f t="shared" si="351"/>
      </c>
      <c r="Q412" s="191">
        <f t="shared" si="246"/>
      </c>
      <c r="R412" s="191">
        <f t="shared" si="276"/>
      </c>
      <c r="S412" s="191">
        <f t="shared" si="171"/>
      </c>
      <c r="T412" s="191">
        <f t="shared" si="216"/>
      </c>
      <c r="U412" s="189">
        <f t="shared" si="438"/>
      </c>
      <c r="V412" s="189">
        <f t="shared" si="28"/>
      </c>
      <c r="W412" s="189">
        <f t="shared" si="43"/>
      </c>
      <c r="X412" s="189">
        <f t="shared" si="58"/>
      </c>
      <c r="Y412" s="189">
        <f t="shared" si="321"/>
      </c>
      <c r="Z412" s="189">
        <f t="shared" si="366"/>
      </c>
      <c r="AA412" s="190">
        <f t="shared" si="261"/>
      </c>
      <c r="AB412" s="190">
        <f t="shared" si="291"/>
      </c>
      <c r="AC412" s="190">
        <f t="shared" si="186"/>
      </c>
      <c r="AD412" s="189">
        <f t="shared" si="231"/>
      </c>
      <c r="AE412" s="190">
        <f t="shared" si="453"/>
      </c>
      <c r="AF412" s="189">
        <f t="shared" si="73"/>
      </c>
      <c r="AG412" s="189">
        <f t="shared" si="336"/>
      </c>
      <c r="AH412" s="192">
        <v>35212</v>
      </c>
      <c r="AI412" s="192">
        <v>635</v>
      </c>
      <c r="AJ412" s="192">
        <v>792</v>
      </c>
      <c r="AK412" s="192">
        <v>32</v>
      </c>
      <c r="AL412" s="192">
        <v>3</v>
      </c>
      <c r="AM412" s="192">
        <v>3</v>
      </c>
      <c r="AN412" s="192">
        <v>104</v>
      </c>
      <c r="AO412" s="192">
        <v>49</v>
      </c>
      <c r="AP412" s="192">
        <v>8</v>
      </c>
      <c r="AQ412" s="187">
        <v>1</v>
      </c>
      <c r="AR412" s="213">
        <f t="shared" si="406"/>
      </c>
    </row>
    <row r="413">
      <c r="A413" s="182"/>
      <c r="B413" s="197" t="s">
        <v>197</v>
      </c>
      <c r="C413" s="197"/>
      <c r="D413" s="197"/>
      <c r="E413" s="197"/>
      <c r="F413" s="198">
        <f>SUM(F409:F412)</f>
      </c>
      <c r="G413" s="198">
        <f>SUM(G409:G412)</f>
      </c>
      <c r="H413" s="198">
        <f>SUM(H409:H412)</f>
      </c>
      <c r="I413" s="199">
        <f>SUM(I409:I412)</f>
      </c>
      <c r="J413" s="199">
        <f>SUM(J409:J412)</f>
      </c>
      <c r="K413" s="198">
        <f>SUM(K409:K412)</f>
      </c>
      <c r="L413" s="200">
        <f t="shared" si="201"/>
      </c>
      <c r="M413" s="201">
        <f t="shared" si="423"/>
      </c>
      <c r="N413" s="202">
        <f t="shared" si="13"/>
      </c>
      <c r="O413" s="202">
        <f t="shared" si="306"/>
      </c>
      <c r="P413" s="202">
        <f t="shared" si="351"/>
      </c>
      <c r="Q413" s="202">
        <f t="shared" si="246"/>
      </c>
      <c r="R413" s="202">
        <f t="shared" si="276"/>
      </c>
      <c r="S413" s="202">
        <f t="shared" si="171"/>
      </c>
      <c r="T413" s="202">
        <f t="shared" si="216"/>
      </c>
      <c r="U413" s="200">
        <f t="shared" si="438"/>
      </c>
      <c r="V413" s="200">
        <f t="shared" si="28"/>
      </c>
      <c r="W413" s="200">
        <f t="shared" si="43"/>
      </c>
      <c r="X413" s="200">
        <f t="shared" si="58"/>
      </c>
      <c r="Y413" s="200">
        <f t="shared" si="321"/>
      </c>
      <c r="Z413" s="200">
        <f t="shared" si="366"/>
      </c>
      <c r="AA413" s="201">
        <f t="shared" si="261"/>
      </c>
      <c r="AB413" s="201">
        <f t="shared" si="291"/>
      </c>
      <c r="AC413" s="201">
        <f t="shared" si="186"/>
      </c>
      <c r="AD413" s="200">
        <f t="shared" si="231"/>
      </c>
      <c r="AE413" s="201">
        <f t="shared" si="453"/>
      </c>
      <c r="AF413" s="200">
        <f t="shared" si="73"/>
      </c>
      <c r="AG413" s="200">
        <f t="shared" si="336"/>
      </c>
      <c r="AH413" s="199">
        <f>SUM(AH409:AH412)</f>
      </c>
      <c r="AI413" s="199">
        <f>SUM(AI409:AI412)</f>
      </c>
      <c r="AJ413" s="199">
        <f>SUM(AJ409:AJ412)</f>
      </c>
      <c r="AK413" s="199">
        <f>SUM(AK409:AK412)</f>
      </c>
      <c r="AL413" s="199">
        <f>SUM(AL409:AL412)</f>
      </c>
      <c r="AM413" s="199">
        <f>SUM(AM409:AM412)</f>
      </c>
      <c r="AN413" s="199">
        <f>SUM(AN409:AN412)</f>
      </c>
      <c r="AO413" s="199">
        <f>SUM(AO409:AO412)</f>
      </c>
      <c r="AP413" s="199">
        <f>SUM(AP409:AP412)</f>
      </c>
      <c r="AQ413" s="199">
        <f>SUM(AQ409:AQ412)</f>
      </c>
      <c r="AR413" s="203">
        <f>SUM(AR409:AR412)</f>
      </c>
    </row>
    <row r="414">
      <c r="A414" s="182"/>
      <c r="B414" s="205" t="s">
        <v>205</v>
      </c>
      <c r="C414" s="205"/>
      <c r="D414" s="205"/>
      <c r="E414" s="205"/>
      <c r="F414" s="206">
        <f>H414+G414</f>
      </c>
      <c r="G414" s="206">
        <f>G408+G403+G413</f>
      </c>
      <c r="H414" s="206">
        <f>H408+H403+H413</f>
      </c>
      <c r="I414" s="206">
        <f>I408+I403+I413</f>
      </c>
      <c r="J414" s="206">
        <f>J408+J403+J413</f>
      </c>
      <c r="K414" s="206">
        <f>K408+K403+K413</f>
      </c>
      <c r="L414" s="207">
        <f t="shared" si="201"/>
      </c>
      <c r="M414" s="208">
        <f t="shared" si="423"/>
      </c>
      <c r="N414" s="209">
        <f t="shared" si="13"/>
      </c>
      <c r="O414" s="209">
        <f t="shared" si="306"/>
      </c>
      <c r="P414" s="209">
        <f t="shared" si="351"/>
      </c>
      <c r="Q414" s="209">
        <f t="shared" si="246"/>
      </c>
      <c r="R414" s="209">
        <f t="shared" si="276"/>
      </c>
      <c r="S414" s="209">
        <f t="shared" si="171"/>
      </c>
      <c r="T414" s="209">
        <f t="shared" si="216"/>
      </c>
      <c r="U414" s="207">
        <f t="shared" si="438"/>
      </c>
      <c r="V414" s="207">
        <f t="shared" si="28"/>
      </c>
      <c r="W414" s="207">
        <f t="shared" si="43"/>
      </c>
      <c r="X414" s="207">
        <f t="shared" si="58"/>
      </c>
      <c r="Y414" s="207">
        <f t="shared" si="321"/>
      </c>
      <c r="Z414" s="207">
        <f t="shared" si="366"/>
      </c>
      <c r="AA414" s="208">
        <f t="shared" si="261"/>
      </c>
      <c r="AB414" s="208">
        <f t="shared" si="291"/>
      </c>
      <c r="AC414" s="208">
        <f t="shared" si="186"/>
      </c>
      <c r="AD414" s="207">
        <f t="shared" si="231"/>
      </c>
      <c r="AE414" s="208">
        <f t="shared" si="453"/>
      </c>
      <c r="AF414" s="207">
        <f t="shared" si="73"/>
      </c>
      <c r="AG414" s="207">
        <f t="shared" si="336"/>
      </c>
      <c r="AH414" s="203">
        <f>AH408+AH403+AH413</f>
      </c>
      <c r="AI414" s="203">
        <f>AI408+AI403+AI413</f>
      </c>
      <c r="AJ414" s="203">
        <f>AJ408+AJ403+AJ413</f>
      </c>
      <c r="AK414" s="203">
        <f>AK408+AK403+AK413</f>
      </c>
      <c r="AL414" s="203">
        <f>AL408+AL403+AL413</f>
      </c>
      <c r="AM414" s="203">
        <f>AM408+AM403+AM413</f>
      </c>
      <c r="AN414" s="203">
        <f>AN408+AN403+AN413</f>
      </c>
      <c r="AO414" s="203">
        <f>AO408+AO403+AO413</f>
      </c>
      <c r="AP414" s="203">
        <f>AP408+AP403+AP413</f>
      </c>
      <c r="AQ414" s="203">
        <f>AQ408+AQ403+AQ413</f>
      </c>
      <c r="AR414" s="203">
        <f>AR408+AR403+AR413</f>
      </c>
    </row>
    <row r="415">
      <c r="A415" s="159"/>
      <c r="B415" s="159"/>
      <c r="C415" s="159"/>
      <c r="D415" s="159"/>
      <c r="E415" s="159"/>
      <c r="F415" s="160" t="s">
        <v>143</v>
      </c>
      <c r="G415" s="160"/>
      <c r="H415" s="160"/>
      <c r="I415" s="160"/>
      <c r="J415" s="160"/>
      <c r="K415" s="160"/>
      <c r="L415" s="160"/>
      <c r="M415" s="160"/>
      <c r="N415" s="160"/>
      <c r="O415" s="160"/>
      <c r="P415" s="160"/>
      <c r="Q415" s="161" t="s">
        <v>144</v>
      </c>
      <c r="R415" s="161"/>
      <c r="S415" s="161"/>
      <c r="T415" s="161"/>
      <c r="U415" s="161"/>
      <c r="V415" s="161"/>
      <c r="W415" s="161"/>
      <c r="X415" s="161"/>
      <c r="Y415" s="161"/>
      <c r="Z415" s="161"/>
      <c r="AA415" s="161"/>
      <c r="AB415" s="161"/>
      <c r="AC415" s="162" t="s">
        <v>145</v>
      </c>
      <c r="AD415" s="162"/>
      <c r="AE415" s="162"/>
      <c r="AF415" s="162"/>
      <c r="AG415" s="162"/>
      <c r="AH415" s="163" t="s">
        <v>146</v>
      </c>
      <c r="AI415" s="163"/>
      <c r="AJ415" s="163"/>
      <c r="AK415" s="163"/>
      <c r="AL415" s="163"/>
      <c r="AM415" s="163"/>
      <c r="AN415" s="163"/>
      <c r="AO415" s="163"/>
      <c r="AP415" s="163"/>
      <c r="AQ415" s="163"/>
      <c r="AR415" s="163"/>
    </row>
    <row r="416">
      <c r="A416" s="164" t="s">
        <v>147</v>
      </c>
      <c r="B416" s="165" t="s">
        <v>148</v>
      </c>
      <c r="C416" s="165" t="s">
        <v>149</v>
      </c>
      <c r="D416" s="166" t="s">
        <v>150</v>
      </c>
      <c r="E416" s="167" t="s">
        <v>151</v>
      </c>
      <c r="F416" s="168" t="s">
        <v>152</v>
      </c>
      <c r="G416" s="169" t="s">
        <v>153</v>
      </c>
      <c r="H416" s="170" t="s">
        <v>154</v>
      </c>
      <c r="I416" s="171" t="s">
        <v>155</v>
      </c>
      <c r="J416" s="171" t="s">
        <v>156</v>
      </c>
      <c r="K416" s="170" t="s">
        <v>157</v>
      </c>
      <c r="L416" s="172" t="s">
        <v>158</v>
      </c>
      <c r="M416" s="173" t="s">
        <v>159</v>
      </c>
      <c r="N416" s="174" t="s">
        <v>160</v>
      </c>
      <c r="O416" s="174" t="s">
        <v>161</v>
      </c>
      <c r="P416" s="175" t="s">
        <v>162</v>
      </c>
      <c r="Q416" s="161" t="s">
        <v>163</v>
      </c>
      <c r="R416" s="176" t="s">
        <v>164</v>
      </c>
      <c r="S416" s="176" t="s">
        <v>165</v>
      </c>
      <c r="T416" s="176" t="s">
        <v>166</v>
      </c>
      <c r="U416" s="177" t="s">
        <v>167</v>
      </c>
      <c r="V416" s="177" t="s">
        <v>168</v>
      </c>
      <c r="W416" s="177" t="s">
        <v>169</v>
      </c>
      <c r="X416" s="177" t="s">
        <v>170</v>
      </c>
      <c r="Y416" s="177" t="s">
        <v>171</v>
      </c>
      <c r="Z416" s="177" t="s">
        <v>172</v>
      </c>
      <c r="AA416" s="178" t="s">
        <v>173</v>
      </c>
      <c r="AB416" s="178" t="s">
        <v>174</v>
      </c>
      <c r="AC416" s="162" t="s">
        <v>175</v>
      </c>
      <c r="AD416" s="179" t="s">
        <v>176</v>
      </c>
      <c r="AE416" s="162" t="s">
        <v>177</v>
      </c>
      <c r="AF416" s="179" t="s">
        <v>178</v>
      </c>
      <c r="AG416" s="179" t="s">
        <v>179</v>
      </c>
      <c r="AH416" s="180" t="s">
        <v>180</v>
      </c>
      <c r="AI416" s="180" t="s">
        <v>181</v>
      </c>
      <c r="AJ416" s="180" t="s">
        <v>182</v>
      </c>
      <c r="AK416" s="180" t="s">
        <v>183</v>
      </c>
      <c r="AL416" s="180" t="s">
        <v>184</v>
      </c>
      <c r="AM416" s="180" t="s">
        <v>185</v>
      </c>
      <c r="AN416" s="180" t="s">
        <v>186</v>
      </c>
      <c r="AO416" s="180" t="s">
        <v>187</v>
      </c>
      <c r="AP416" s="180" t="s">
        <v>188</v>
      </c>
      <c r="AQ416" s="180" t="s">
        <v>189</v>
      </c>
      <c r="AR416" s="181" t="s">
        <v>190</v>
      </c>
    </row>
    <row r="417">
      <c r="A417" s="182">
        <v>46294</v>
      </c>
      <c r="B417" s="184" t="s">
        <v>191</v>
      </c>
      <c r="C417" s="184" t="s">
        <v>192</v>
      </c>
      <c r="D417" s="183" t="s">
        <v>201</v>
      </c>
      <c r="E417" s="183" t="s">
        <v>209</v>
      </c>
      <c r="F417" s="185">
        <f t="shared" ref="F417:F420" si="155">H417+G417</f>
      </c>
      <c r="G417" s="204">
        <v>4562.09</v>
      </c>
      <c r="H417" s="204">
        <v>692.25</v>
      </c>
      <c r="I417" s="187">
        <v>13</v>
      </c>
      <c r="J417" s="187">
        <v>12</v>
      </c>
      <c r="K417" s="188">
        <v>7912.799999999999</v>
      </c>
      <c r="L417" s="189">
        <f t="shared" ref="L417:L432" si="202">AQ417/J417</f>
      </c>
      <c r="M417" s="190">
        <f t="shared" ref="M417:M432" si="424">K417/J417</f>
      </c>
      <c r="N417" s="191">
        <f t="shared" ref="N417:N432" si="14">F417/J417</f>
      </c>
      <c r="O417" s="191">
        <f t="shared" ref="O417:O432" si="307">K417/F417</f>
      </c>
      <c r="P417" s="191">
        <f t="shared" ref="P417:P432" si="352">K417/((300*AR417)+F417)</f>
      </c>
      <c r="Q417" s="191">
        <f t="shared" ref="Q417:Q432" si="247">F417/AJ417</f>
      </c>
      <c r="R417" s="191">
        <f t="shared" ref="R417:R432" si="277">F417/AK417</f>
      </c>
      <c r="S417" s="191">
        <f t="shared" ref="S417:S432" si="172">F417/AL417</f>
      </c>
      <c r="T417" s="191">
        <f t="shared" ref="T417:T432" si="217">F417/AM417</f>
      </c>
      <c r="U417" s="189">
        <f t="shared" ref="U417:U432" si="439">AI417/AJ417</f>
      </c>
      <c r="V417" s="189">
        <f t="shared" ref="V417:V432" si="29">AK417/AJ417</f>
      </c>
      <c r="W417" s="189">
        <f t="shared" ref="W417:W432" si="44">AL417/AK417</f>
      </c>
      <c r="X417" s="189">
        <f t="shared" ref="X417:X432" si="59">AM417/AL417</f>
      </c>
      <c r="Y417" s="189">
        <f t="shared" ref="Y417:Y432" si="322">AI417/AH417</f>
      </c>
      <c r="Z417" s="189">
        <f t="shared" ref="Z417:Z432" si="367">AM417/AI417</f>
      </c>
      <c r="AA417" s="190">
        <f t="shared" ref="AA417:AA432" si="262">F417/AH417*1000</f>
      </c>
      <c r="AB417" s="190">
        <f t="shared" ref="AB417:AB432" si="292">F417/AI417</f>
      </c>
      <c r="AC417" s="190">
        <f t="shared" ref="AC417:AC432" si="187">F417/AN417</f>
      </c>
      <c r="AD417" s="189">
        <f t="shared" ref="AD417:AD432" si="232">AN417/AJ417</f>
      </c>
      <c r="AE417" s="190">
        <f t="shared" ref="AE417:AE432" si="454">F417/AO417</f>
      </c>
      <c r="AF417" s="189">
        <f t="shared" ref="AF417:AF432" si="74">AO417/AJ417</f>
      </c>
      <c r="AG417" s="189">
        <f t="shared" ref="AG417:AG432" si="337">AP417/AJ417</f>
      </c>
      <c r="AH417" s="192">
        <v>87458</v>
      </c>
      <c r="AI417" s="193">
        <v>1178</v>
      </c>
      <c r="AJ417" s="193">
        <v>1359</v>
      </c>
      <c r="AK417" s="192">
        <v>28</v>
      </c>
      <c r="AL417" s="192">
        <v>12</v>
      </c>
      <c r="AM417" s="192">
        <v>9</v>
      </c>
      <c r="AN417" s="192">
        <v>218</v>
      </c>
      <c r="AO417" s="192">
        <v>120</v>
      </c>
      <c r="AP417" s="192">
        <v>26</v>
      </c>
      <c r="AQ417" s="187">
        <v>2</v>
      </c>
      <c r="AR417" s="213">
        <f t="shared" ref="AR417:AR420" si="407">COUNT(AQ417)</f>
      </c>
    </row>
    <row r="418">
      <c r="A418" s="182"/>
      <c r="B418" s="184" t="s">
        <v>191</v>
      </c>
      <c r="C418" s="184" t="s">
        <v>192</v>
      </c>
      <c r="D418" s="183" t="s">
        <v>201</v>
      </c>
      <c r="E418" s="183" t="s">
        <v>210</v>
      </c>
      <c r="F418" s="185">
        <f t="shared" si="155"/>
      </c>
      <c r="G418" s="212">
        <v>3384.75</v>
      </c>
      <c r="H418" s="204">
        <v>802.45</v>
      </c>
      <c r="I418" s="187">
        <v>13</v>
      </c>
      <c r="J418" s="187">
        <v>13</v>
      </c>
      <c r="K418" s="188">
        <v>5974.799999999999</v>
      </c>
      <c r="L418" s="189">
        <f t="shared" si="202"/>
      </c>
      <c r="M418" s="190">
        <f t="shared" si="424"/>
      </c>
      <c r="N418" s="191">
        <f t="shared" si="14"/>
      </c>
      <c r="O418" s="191">
        <f t="shared" si="307"/>
      </c>
      <c r="P418" s="191">
        <f t="shared" si="352"/>
      </c>
      <c r="Q418" s="191">
        <f t="shared" si="247"/>
      </c>
      <c r="R418" s="191">
        <f t="shared" si="277"/>
      </c>
      <c r="S418" s="191">
        <f t="shared" si="172"/>
      </c>
      <c r="T418" s="191">
        <f t="shared" si="217"/>
      </c>
      <c r="U418" s="189">
        <f t="shared" si="439"/>
      </c>
      <c r="V418" s="189">
        <f t="shared" si="29"/>
      </c>
      <c r="W418" s="189">
        <f t="shared" si="44"/>
      </c>
      <c r="X418" s="189">
        <f t="shared" si="59"/>
      </c>
      <c r="Y418" s="189">
        <f t="shared" si="322"/>
      </c>
      <c r="Z418" s="189">
        <f t="shared" si="367"/>
      </c>
      <c r="AA418" s="190">
        <f t="shared" si="262"/>
      </c>
      <c r="AB418" s="190">
        <f t="shared" si="292"/>
      </c>
      <c r="AC418" s="190">
        <f t="shared" si="187"/>
      </c>
      <c r="AD418" s="189">
        <f t="shared" si="232"/>
      </c>
      <c r="AE418" s="190">
        <f t="shared" si="454"/>
      </c>
      <c r="AF418" s="189">
        <f t="shared" si="74"/>
      </c>
      <c r="AG418" s="189">
        <f t="shared" si="337"/>
      </c>
      <c r="AH418" s="192">
        <v>57762</v>
      </c>
      <c r="AI418" s="192">
        <v>1063</v>
      </c>
      <c r="AJ418" s="192">
        <v>1173</v>
      </c>
      <c r="AK418" s="192">
        <v>39</v>
      </c>
      <c r="AL418" s="192">
        <v>10</v>
      </c>
      <c r="AM418" s="192">
        <v>12</v>
      </c>
      <c r="AN418" s="192">
        <v>174</v>
      </c>
      <c r="AO418" s="192">
        <v>75</v>
      </c>
      <c r="AP418" s="192">
        <v>24</v>
      </c>
      <c r="AQ418" s="187">
        <v>2</v>
      </c>
      <c r="AR418" s="213">
        <f t="shared" si="407"/>
      </c>
    </row>
    <row r="419">
      <c r="A419" s="182"/>
      <c r="B419" s="184" t="s">
        <v>191</v>
      </c>
      <c r="C419" s="184" t="s">
        <v>192</v>
      </c>
      <c r="D419" s="183" t="s">
        <v>201</v>
      </c>
      <c r="E419" s="183" t="s">
        <v>211</v>
      </c>
      <c r="F419" s="185">
        <f t="shared" si="155"/>
      </c>
      <c r="G419" s="204">
        <v>4922.39</v>
      </c>
      <c r="H419" s="204">
        <v>1103.94</v>
      </c>
      <c r="I419" s="187">
        <v>20</v>
      </c>
      <c r="J419" s="187">
        <v>19</v>
      </c>
      <c r="K419" s="188">
        <v>9579.200000000004</v>
      </c>
      <c r="L419" s="189">
        <f t="shared" si="202"/>
      </c>
      <c r="M419" s="190">
        <f t="shared" si="424"/>
      </c>
      <c r="N419" s="191">
        <f t="shared" si="14"/>
      </c>
      <c r="O419" s="191">
        <f t="shared" si="307"/>
      </c>
      <c r="P419" s="191">
        <f t="shared" si="352"/>
      </c>
      <c r="Q419" s="191">
        <f t="shared" si="247"/>
      </c>
      <c r="R419" s="191">
        <f t="shared" si="277"/>
      </c>
      <c r="S419" s="191">
        <f t="shared" si="172"/>
      </c>
      <c r="T419" s="191">
        <f t="shared" si="217"/>
      </c>
      <c r="U419" s="189">
        <f t="shared" si="439"/>
      </c>
      <c r="V419" s="189">
        <f t="shared" si="29"/>
      </c>
      <c r="W419" s="189">
        <f t="shared" si="44"/>
      </c>
      <c r="X419" s="189">
        <f t="shared" si="59"/>
      </c>
      <c r="Y419" s="189">
        <f t="shared" si="322"/>
      </c>
      <c r="Z419" s="189">
        <f t="shared" si="367"/>
      </c>
      <c r="AA419" s="190">
        <f t="shared" si="262"/>
      </c>
      <c r="AB419" s="190">
        <f t="shared" si="292"/>
      </c>
      <c r="AC419" s="190">
        <f t="shared" si="187"/>
      </c>
      <c r="AD419" s="189">
        <f t="shared" si="232"/>
      </c>
      <c r="AE419" s="190">
        <f t="shared" si="454"/>
      </c>
      <c r="AF419" s="189">
        <f t="shared" si="74"/>
      </c>
      <c r="AG419" s="189">
        <f t="shared" si="337"/>
      </c>
      <c r="AH419" s="192">
        <v>102455</v>
      </c>
      <c r="AI419" s="192">
        <v>1674</v>
      </c>
      <c r="AJ419" s="192">
        <v>1982</v>
      </c>
      <c r="AK419" s="192">
        <v>45</v>
      </c>
      <c r="AL419" s="187">
        <v>14</v>
      </c>
      <c r="AM419" s="192">
        <v>14</v>
      </c>
      <c r="AN419" s="192">
        <v>213</v>
      </c>
      <c r="AO419" s="192">
        <v>67</v>
      </c>
      <c r="AP419" s="192">
        <v>30</v>
      </c>
      <c r="AQ419" s="187">
        <v>3</v>
      </c>
      <c r="AR419" s="213">
        <f t="shared" si="407"/>
      </c>
    </row>
    <row r="420">
      <c r="A420" s="182"/>
      <c r="B420" s="184" t="s">
        <v>191</v>
      </c>
      <c r="C420" s="184" t="s">
        <v>192</v>
      </c>
      <c r="D420" s="183" t="s">
        <v>201</v>
      </c>
      <c r="E420" s="183" t="s">
        <v>212</v>
      </c>
      <c r="F420" s="185">
        <f t="shared" si="155"/>
      </c>
      <c r="G420" s="204">
        <v>5797.26</v>
      </c>
      <c r="H420" s="204">
        <v>497.1</v>
      </c>
      <c r="I420" s="187">
        <v>15</v>
      </c>
      <c r="J420" s="187">
        <v>13</v>
      </c>
      <c r="K420" s="188">
        <v>7851.799999999999</v>
      </c>
      <c r="L420" s="189">
        <f t="shared" si="202"/>
      </c>
      <c r="M420" s="190">
        <f t="shared" si="424"/>
      </c>
      <c r="N420" s="191">
        <f t="shared" si="14"/>
      </c>
      <c r="O420" s="191">
        <f t="shared" si="307"/>
      </c>
      <c r="P420" s="191">
        <f t="shared" si="352"/>
      </c>
      <c r="Q420" s="191">
        <f t="shared" si="247"/>
      </c>
      <c r="R420" s="191">
        <f t="shared" si="277"/>
      </c>
      <c r="S420" s="191">
        <f t="shared" si="172"/>
      </c>
      <c r="T420" s="191">
        <f t="shared" si="217"/>
      </c>
      <c r="U420" s="189">
        <f t="shared" si="439"/>
      </c>
      <c r="V420" s="189">
        <f t="shared" si="29"/>
      </c>
      <c r="W420" s="189">
        <f t="shared" si="44"/>
      </c>
      <c r="X420" s="189">
        <f t="shared" si="59"/>
      </c>
      <c r="Y420" s="189">
        <f t="shared" si="322"/>
      </c>
      <c r="Z420" s="189">
        <f t="shared" si="367"/>
      </c>
      <c r="AA420" s="190">
        <f t="shared" si="262"/>
      </c>
      <c r="AB420" s="190">
        <f t="shared" si="292"/>
      </c>
      <c r="AC420" s="190">
        <f t="shared" si="187"/>
      </c>
      <c r="AD420" s="189">
        <f t="shared" si="232"/>
      </c>
      <c r="AE420" s="190">
        <f t="shared" si="454"/>
      </c>
      <c r="AF420" s="189">
        <f t="shared" si="74"/>
      </c>
      <c r="AG420" s="189">
        <f t="shared" si="337"/>
      </c>
      <c r="AH420" s="192">
        <v>115819</v>
      </c>
      <c r="AI420" s="192">
        <v>1489</v>
      </c>
      <c r="AJ420" s="192">
        <v>1708</v>
      </c>
      <c r="AK420" s="192">
        <v>17</v>
      </c>
      <c r="AL420" s="187">
        <v>14</v>
      </c>
      <c r="AM420" s="187">
        <v>11</v>
      </c>
      <c r="AN420" s="192">
        <v>225</v>
      </c>
      <c r="AO420" s="192">
        <v>78</v>
      </c>
      <c r="AP420" s="192">
        <v>36</v>
      </c>
      <c r="AQ420" s="187">
        <v>2</v>
      </c>
      <c r="AR420" s="213">
        <f t="shared" si="407"/>
      </c>
    </row>
    <row r="421">
      <c r="A421" s="182"/>
      <c r="B421" s="197" t="s">
        <v>197</v>
      </c>
      <c r="C421" s="197"/>
      <c r="D421" s="197"/>
      <c r="E421" s="197"/>
      <c r="F421" s="198">
        <f>SUM(F417:F420)</f>
      </c>
      <c r="G421" s="198">
        <f>SUM(G417:G420)</f>
      </c>
      <c r="H421" s="198">
        <f>SUM(H417:H420)</f>
      </c>
      <c r="I421" s="199">
        <f>SUM(I417:I420)</f>
      </c>
      <c r="J421" s="199">
        <f>SUM(J417:J420)</f>
      </c>
      <c r="K421" s="198">
        <f>SUM(K417:K420)</f>
      </c>
      <c r="L421" s="200">
        <f t="shared" si="202"/>
      </c>
      <c r="M421" s="201">
        <f t="shared" si="424"/>
      </c>
      <c r="N421" s="202">
        <f t="shared" si="14"/>
      </c>
      <c r="O421" s="202">
        <f t="shared" si="307"/>
      </c>
      <c r="P421" s="202">
        <f t="shared" si="352"/>
      </c>
      <c r="Q421" s="202">
        <f t="shared" si="247"/>
      </c>
      <c r="R421" s="202">
        <f t="shared" si="277"/>
      </c>
      <c r="S421" s="202">
        <f t="shared" si="172"/>
      </c>
      <c r="T421" s="202">
        <f t="shared" si="217"/>
      </c>
      <c r="U421" s="200">
        <f t="shared" si="439"/>
      </c>
      <c r="V421" s="200">
        <f t="shared" si="29"/>
      </c>
      <c r="W421" s="200">
        <f t="shared" si="44"/>
      </c>
      <c r="X421" s="200">
        <f t="shared" si="59"/>
      </c>
      <c r="Y421" s="200">
        <f t="shared" si="322"/>
      </c>
      <c r="Z421" s="200">
        <f t="shared" si="367"/>
      </c>
      <c r="AA421" s="201">
        <f t="shared" si="262"/>
      </c>
      <c r="AB421" s="201">
        <f t="shared" si="292"/>
      </c>
      <c r="AC421" s="201">
        <f t="shared" si="187"/>
      </c>
      <c r="AD421" s="200">
        <f t="shared" si="232"/>
      </c>
      <c r="AE421" s="201">
        <f t="shared" si="454"/>
      </c>
      <c r="AF421" s="200">
        <f t="shared" si="74"/>
      </c>
      <c r="AG421" s="200">
        <f t="shared" si="337"/>
      </c>
      <c r="AH421" s="199">
        <f>SUM(AH417:AH420)</f>
      </c>
      <c r="AI421" s="199">
        <f>SUM(AI417:AI420)</f>
      </c>
      <c r="AJ421" s="199">
        <f>SUM(AJ417:AJ420)</f>
      </c>
      <c r="AK421" s="199">
        <f>SUM(AK417:AK420)</f>
      </c>
      <c r="AL421" s="199">
        <f>SUM(AL417:AL420)</f>
      </c>
      <c r="AM421" s="199">
        <f>SUM(AM417:AM420)</f>
      </c>
      <c r="AN421" s="199">
        <f>SUM(AN417:AN420)</f>
      </c>
      <c r="AO421" s="199">
        <f>SUM(AO417:AO420)</f>
      </c>
      <c r="AP421" s="199">
        <f>SUM(AP417:AP420)</f>
      </c>
      <c r="AQ421" s="199">
        <f>SUM(AQ417:AQ420)</f>
      </c>
      <c r="AR421" s="203">
        <f>SUM(AR417:AR420)</f>
      </c>
    </row>
    <row r="422">
      <c r="A422" s="182"/>
      <c r="B422" s="184" t="s">
        <v>191</v>
      </c>
      <c r="C422" s="184" t="s">
        <v>192</v>
      </c>
      <c r="D422" s="183" t="s">
        <v>207</v>
      </c>
      <c r="E422" s="183" t="s">
        <v>194</v>
      </c>
      <c r="F422" s="185">
        <f t="shared" ref="F422:F425" si="156">H422+G422</f>
      </c>
      <c r="G422" s="204">
        <v>5468.66</v>
      </c>
      <c r="H422" s="204">
        <v>629.45</v>
      </c>
      <c r="I422" s="187">
        <v>12</v>
      </c>
      <c r="J422" s="187">
        <v>11</v>
      </c>
      <c r="K422" s="188">
        <v>6718.600000000002</v>
      </c>
      <c r="L422" s="189">
        <f t="shared" si="202"/>
      </c>
      <c r="M422" s="190">
        <f t="shared" si="424"/>
      </c>
      <c r="N422" s="191">
        <f t="shared" si="14"/>
      </c>
      <c r="O422" s="191">
        <f t="shared" si="307"/>
      </c>
      <c r="P422" s="191">
        <f t="shared" si="352"/>
      </c>
      <c r="Q422" s="191">
        <f t="shared" si="247"/>
      </c>
      <c r="R422" s="191">
        <f t="shared" si="277"/>
      </c>
      <c r="S422" s="191">
        <f t="shared" si="172"/>
      </c>
      <c r="T422" s="191">
        <f t="shared" si="217"/>
      </c>
      <c r="U422" s="189">
        <f t="shared" si="439"/>
      </c>
      <c r="V422" s="189">
        <f t="shared" si="29"/>
      </c>
      <c r="W422" s="189">
        <f t="shared" si="44"/>
      </c>
      <c r="X422" s="189">
        <f t="shared" si="59"/>
      </c>
      <c r="Y422" s="189">
        <f t="shared" si="322"/>
      </c>
      <c r="Z422" s="189">
        <f t="shared" si="367"/>
      </c>
      <c r="AA422" s="190">
        <f t="shared" si="262"/>
      </c>
      <c r="AB422" s="190">
        <f t="shared" si="292"/>
      </c>
      <c r="AC422" s="190">
        <f t="shared" si="187"/>
      </c>
      <c r="AD422" s="189">
        <f t="shared" si="232"/>
      </c>
      <c r="AE422" s="190">
        <f t="shared" si="454"/>
      </c>
      <c r="AF422" s="189">
        <f t="shared" si="74"/>
      </c>
      <c r="AG422" s="189">
        <f t="shared" si="337"/>
      </c>
      <c r="AH422" s="192">
        <v>121896</v>
      </c>
      <c r="AI422" s="192">
        <v>1579</v>
      </c>
      <c r="AJ422" s="192">
        <v>1806</v>
      </c>
      <c r="AK422" s="192">
        <v>34</v>
      </c>
      <c r="AL422" s="187">
        <v>10</v>
      </c>
      <c r="AM422" s="187">
        <v>10</v>
      </c>
      <c r="AN422" s="192">
        <v>231</v>
      </c>
      <c r="AO422" s="192">
        <v>104</v>
      </c>
      <c r="AP422" s="192">
        <v>29</v>
      </c>
      <c r="AQ422" s="187">
        <v>1</v>
      </c>
      <c r="AR422" s="213">
        <f t="shared" ref="AR422:AR425" si="408">COUNT(AQ422)</f>
      </c>
    </row>
    <row r="423">
      <c r="A423" s="182"/>
      <c r="B423" s="184" t="s">
        <v>191</v>
      </c>
      <c r="C423" s="184" t="s">
        <v>192</v>
      </c>
      <c r="D423" s="183" t="s">
        <v>207</v>
      </c>
      <c r="E423" s="183" t="s">
        <v>195</v>
      </c>
      <c r="F423" s="185">
        <f t="shared" si="156"/>
      </c>
      <c r="G423" s="204">
        <v>4284.69</v>
      </c>
      <c r="H423" s="204">
        <v>594.34</v>
      </c>
      <c r="I423" s="187">
        <v>7</v>
      </c>
      <c r="J423" s="192">
        <v>7</v>
      </c>
      <c r="K423" s="196">
        <v>4306.199999999997</v>
      </c>
      <c r="L423" s="189">
        <f t="shared" si="202"/>
      </c>
      <c r="M423" s="190">
        <f t="shared" si="424"/>
      </c>
      <c r="N423" s="191">
        <f t="shared" si="14"/>
      </c>
      <c r="O423" s="191">
        <f t="shared" si="307"/>
      </c>
      <c r="P423" s="191">
        <f t="shared" si="352"/>
      </c>
      <c r="Q423" s="191">
        <f t="shared" si="247"/>
      </c>
      <c r="R423" s="191">
        <f t="shared" si="277"/>
      </c>
      <c r="S423" s="191">
        <f t="shared" si="172"/>
      </c>
      <c r="T423" s="191">
        <f t="shared" si="217"/>
      </c>
      <c r="U423" s="189">
        <f t="shared" si="439"/>
      </c>
      <c r="V423" s="189">
        <f t="shared" si="29"/>
      </c>
      <c r="W423" s="189">
        <f t="shared" si="44"/>
      </c>
      <c r="X423" s="189">
        <f t="shared" si="59"/>
      </c>
      <c r="Y423" s="189">
        <f t="shared" si="322"/>
      </c>
      <c r="Z423" s="189">
        <f t="shared" si="367"/>
      </c>
      <c r="AA423" s="190">
        <f t="shared" si="262"/>
      </c>
      <c r="AB423" s="190">
        <f t="shared" si="292"/>
      </c>
      <c r="AC423" s="190">
        <f t="shared" si="187"/>
      </c>
      <c r="AD423" s="189">
        <f t="shared" si="232"/>
      </c>
      <c r="AE423" s="190">
        <f t="shared" si="454"/>
      </c>
      <c r="AF423" s="189">
        <f t="shared" si="74"/>
      </c>
      <c r="AG423" s="189">
        <f t="shared" si="337"/>
      </c>
      <c r="AH423" s="192">
        <v>107815</v>
      </c>
      <c r="AI423" s="192">
        <v>1310</v>
      </c>
      <c r="AJ423" s="192">
        <v>1481</v>
      </c>
      <c r="AK423" s="192">
        <v>16</v>
      </c>
      <c r="AL423" s="192">
        <v>6</v>
      </c>
      <c r="AM423" s="192">
        <v>5</v>
      </c>
      <c r="AN423" s="192">
        <v>155</v>
      </c>
      <c r="AO423" s="192">
        <v>77</v>
      </c>
      <c r="AP423" s="192">
        <v>14</v>
      </c>
      <c r="AQ423" s="187">
        <v>1</v>
      </c>
      <c r="AR423" s="213">
        <f t="shared" si="408"/>
      </c>
    </row>
    <row r="424">
      <c r="A424" s="182"/>
      <c r="B424" s="184" t="s">
        <v>191</v>
      </c>
      <c r="C424" s="184" t="s">
        <v>192</v>
      </c>
      <c r="D424" s="183" t="s">
        <v>207</v>
      </c>
      <c r="E424" s="183" t="s">
        <v>196</v>
      </c>
      <c r="F424" s="185">
        <f t="shared" si="156"/>
      </c>
      <c r="G424" s="204">
        <v>4215.4</v>
      </c>
      <c r="H424" s="204">
        <v>916.06</v>
      </c>
      <c r="I424" s="187">
        <v>10</v>
      </c>
      <c r="J424" s="187">
        <v>8</v>
      </c>
      <c r="K424" s="188">
        <v>5329.200000000004</v>
      </c>
      <c r="L424" s="189">
        <f t="shared" si="202"/>
      </c>
      <c r="M424" s="190">
        <f t="shared" si="424"/>
      </c>
      <c r="N424" s="191">
        <f t="shared" si="14"/>
      </c>
      <c r="O424" s="191">
        <f t="shared" si="307"/>
      </c>
      <c r="P424" s="191">
        <f t="shared" si="352"/>
      </c>
      <c r="Q424" s="191">
        <f t="shared" si="247"/>
      </c>
      <c r="R424" s="191">
        <f t="shared" si="277"/>
      </c>
      <c r="S424" s="191">
        <f t="shared" si="172"/>
      </c>
      <c r="T424" s="191">
        <f t="shared" si="217"/>
      </c>
      <c r="U424" s="189">
        <f t="shared" si="439"/>
      </c>
      <c r="V424" s="189">
        <f t="shared" si="29"/>
      </c>
      <c r="W424" s="189">
        <f t="shared" si="44"/>
      </c>
      <c r="X424" s="189">
        <f t="shared" si="59"/>
      </c>
      <c r="Y424" s="189">
        <f t="shared" si="322"/>
      </c>
      <c r="Z424" s="189">
        <f t="shared" si="367"/>
      </c>
      <c r="AA424" s="190">
        <f t="shared" si="262"/>
      </c>
      <c r="AB424" s="190">
        <f t="shared" si="292"/>
      </c>
      <c r="AC424" s="190">
        <f t="shared" si="187"/>
      </c>
      <c r="AD424" s="189">
        <f t="shared" si="232"/>
      </c>
      <c r="AE424" s="190">
        <f t="shared" si="454"/>
      </c>
      <c r="AF424" s="189">
        <f t="shared" si="74"/>
      </c>
      <c r="AG424" s="189">
        <f t="shared" si="337"/>
      </c>
      <c r="AH424" s="192">
        <v>113314</v>
      </c>
      <c r="AI424" s="192">
        <v>1648</v>
      </c>
      <c r="AJ424" s="192">
        <v>1916</v>
      </c>
      <c r="AK424" s="192">
        <v>36</v>
      </c>
      <c r="AL424" s="192">
        <v>8</v>
      </c>
      <c r="AM424" s="192">
        <v>7</v>
      </c>
      <c r="AN424" s="192">
        <v>197</v>
      </c>
      <c r="AO424" s="192">
        <v>93</v>
      </c>
      <c r="AP424" s="192">
        <v>19</v>
      </c>
      <c r="AQ424" s="187">
        <v>2</v>
      </c>
      <c r="AR424" s="213">
        <f t="shared" si="408"/>
      </c>
    </row>
    <row r="425">
      <c r="A425" s="182"/>
      <c r="B425" s="184" t="s">
        <v>191</v>
      </c>
      <c r="C425" s="184" t="s">
        <v>192</v>
      </c>
      <c r="D425" s="183" t="s">
        <v>207</v>
      </c>
      <c r="E425" s="183" t="s">
        <v>199</v>
      </c>
      <c r="F425" s="185">
        <f t="shared" si="156"/>
      </c>
      <c r="G425" s="204">
        <v>2274.55</v>
      </c>
      <c r="H425" s="204">
        <v>586.77</v>
      </c>
      <c r="I425" s="187">
        <v>16</v>
      </c>
      <c r="J425" s="187">
        <v>16</v>
      </c>
      <c r="K425" s="188">
        <v>9770.999999999993</v>
      </c>
      <c r="L425" s="189">
        <f t="shared" si="202"/>
      </c>
      <c r="M425" s="190">
        <f t="shared" si="424"/>
      </c>
      <c r="N425" s="191">
        <f t="shared" si="14"/>
      </c>
      <c r="O425" s="191">
        <f t="shared" si="307"/>
      </c>
      <c r="P425" s="191">
        <f t="shared" si="352"/>
      </c>
      <c r="Q425" s="191">
        <f t="shared" si="247"/>
      </c>
      <c r="R425" s="191">
        <f t="shared" si="277"/>
      </c>
      <c r="S425" s="191">
        <f t="shared" si="172"/>
      </c>
      <c r="T425" s="191">
        <f t="shared" si="217"/>
      </c>
      <c r="U425" s="189">
        <f t="shared" si="439"/>
      </c>
      <c r="V425" s="189">
        <f t="shared" si="29"/>
      </c>
      <c r="W425" s="189">
        <f t="shared" si="44"/>
      </c>
      <c r="X425" s="189">
        <f t="shared" si="59"/>
      </c>
      <c r="Y425" s="189">
        <f t="shared" si="322"/>
      </c>
      <c r="Z425" s="189">
        <f t="shared" si="367"/>
      </c>
      <c r="AA425" s="190">
        <f t="shared" si="262"/>
      </c>
      <c r="AB425" s="190">
        <f t="shared" si="292"/>
      </c>
      <c r="AC425" s="190">
        <f t="shared" si="187"/>
      </c>
      <c r="AD425" s="189">
        <f t="shared" si="232"/>
      </c>
      <c r="AE425" s="190">
        <f t="shared" si="454"/>
      </c>
      <c r="AF425" s="189">
        <f t="shared" si="74"/>
      </c>
      <c r="AG425" s="189">
        <f t="shared" si="337"/>
      </c>
      <c r="AH425" s="192">
        <v>62884</v>
      </c>
      <c r="AI425" s="192">
        <v>1003</v>
      </c>
      <c r="AJ425" s="192">
        <v>1286</v>
      </c>
      <c r="AK425" s="192">
        <v>24</v>
      </c>
      <c r="AL425" s="192">
        <v>9</v>
      </c>
      <c r="AM425" s="192">
        <v>8</v>
      </c>
      <c r="AN425" s="192">
        <v>153</v>
      </c>
      <c r="AO425" s="192">
        <v>136</v>
      </c>
      <c r="AP425" s="192">
        <v>9</v>
      </c>
      <c r="AQ425" s="187">
        <v>3</v>
      </c>
      <c r="AR425" s="213">
        <f t="shared" si="408"/>
      </c>
    </row>
    <row r="426">
      <c r="A426" s="182"/>
      <c r="B426" s="197" t="s">
        <v>197</v>
      </c>
      <c r="C426" s="197"/>
      <c r="D426" s="197"/>
      <c r="E426" s="197"/>
      <c r="F426" s="198">
        <f>SUM(F422:F425)</f>
      </c>
      <c r="G426" s="198">
        <f>SUM(G422:G425)</f>
      </c>
      <c r="H426" s="198">
        <f>SUM(H422:H425)</f>
      </c>
      <c r="I426" s="199">
        <f>SUM(I422:I425)</f>
      </c>
      <c r="J426" s="199">
        <f>SUM(J422:J425)</f>
      </c>
      <c r="K426" s="198">
        <f>SUM(K422:K425)</f>
      </c>
      <c r="L426" s="200">
        <f t="shared" si="202"/>
      </c>
      <c r="M426" s="201">
        <f t="shared" si="424"/>
      </c>
      <c r="N426" s="202">
        <f t="shared" si="14"/>
      </c>
      <c r="O426" s="202">
        <f t="shared" si="307"/>
      </c>
      <c r="P426" s="202">
        <f t="shared" si="352"/>
      </c>
      <c r="Q426" s="202">
        <f t="shared" si="247"/>
      </c>
      <c r="R426" s="202">
        <f t="shared" si="277"/>
      </c>
      <c r="S426" s="202">
        <f t="shared" si="172"/>
      </c>
      <c r="T426" s="202">
        <f t="shared" si="217"/>
      </c>
      <c r="U426" s="200">
        <f t="shared" si="439"/>
      </c>
      <c r="V426" s="200">
        <f t="shared" si="29"/>
      </c>
      <c r="W426" s="200">
        <f t="shared" si="44"/>
      </c>
      <c r="X426" s="200">
        <f t="shared" si="59"/>
      </c>
      <c r="Y426" s="200">
        <f t="shared" si="322"/>
      </c>
      <c r="Z426" s="200">
        <f t="shared" si="367"/>
      </c>
      <c r="AA426" s="201">
        <f t="shared" si="262"/>
      </c>
      <c r="AB426" s="201">
        <f t="shared" si="292"/>
      </c>
      <c r="AC426" s="201">
        <f t="shared" si="187"/>
      </c>
      <c r="AD426" s="200">
        <f t="shared" si="232"/>
      </c>
      <c r="AE426" s="201">
        <f t="shared" si="454"/>
      </c>
      <c r="AF426" s="200">
        <f t="shared" si="74"/>
      </c>
      <c r="AG426" s="200">
        <f t="shared" si="337"/>
      </c>
      <c r="AH426" s="199">
        <f>SUM(AH422:AH425)</f>
      </c>
      <c r="AI426" s="199">
        <f>SUM(AI422:AI425)</f>
      </c>
      <c r="AJ426" s="199">
        <f>SUM(AJ422:AJ425)</f>
      </c>
      <c r="AK426" s="199">
        <f>SUM(AK422:AK425)</f>
      </c>
      <c r="AL426" s="199">
        <f>SUM(AL422:AL425)</f>
      </c>
      <c r="AM426" s="199">
        <f>SUM(AM422:AM425)</f>
      </c>
      <c r="AN426" s="199">
        <f>SUM(AN422:AN425)</f>
      </c>
      <c r="AO426" s="199">
        <f>SUM(AO422:AO425)</f>
      </c>
      <c r="AP426" s="199">
        <f>SUM(AP422:AP425)</f>
      </c>
      <c r="AQ426" s="199">
        <f>SUM(AQ422:AQ425)</f>
      </c>
      <c r="AR426" s="203">
        <f>SUM(AR422:AR425)</f>
      </c>
    </row>
    <row r="427">
      <c r="A427" s="182"/>
      <c r="B427" s="184" t="s">
        <v>191</v>
      </c>
      <c r="C427" s="184" t="s">
        <v>192</v>
      </c>
      <c r="D427" s="183" t="s">
        <v>206</v>
      </c>
      <c r="E427" s="183" t="s">
        <v>200</v>
      </c>
      <c r="F427" s="185">
        <f t="shared" ref="F427:F430" si="157">H427+G427</f>
      </c>
      <c r="G427" s="204">
        <v>3265.35</v>
      </c>
      <c r="H427" s="204">
        <v>412.93</v>
      </c>
      <c r="I427" s="187">
        <v>6</v>
      </c>
      <c r="J427" s="192">
        <v>6</v>
      </c>
      <c r="K427" s="196">
        <v>3602.4000000000015</v>
      </c>
      <c r="L427" s="189">
        <f t="shared" si="202"/>
      </c>
      <c r="M427" s="190">
        <f t="shared" si="424"/>
      </c>
      <c r="N427" s="191">
        <f t="shared" si="14"/>
      </c>
      <c r="O427" s="191">
        <f t="shared" si="307"/>
      </c>
      <c r="P427" s="191">
        <f t="shared" si="352"/>
      </c>
      <c r="Q427" s="191">
        <f t="shared" si="247"/>
      </c>
      <c r="R427" s="191">
        <f t="shared" si="277"/>
      </c>
      <c r="S427" s="191">
        <f t="shared" si="172"/>
      </c>
      <c r="T427" s="191">
        <f t="shared" si="217"/>
      </c>
      <c r="U427" s="189">
        <f t="shared" si="439"/>
      </c>
      <c r="V427" s="189">
        <f t="shared" si="29"/>
      </c>
      <c r="W427" s="189">
        <f t="shared" si="44"/>
      </c>
      <c r="X427" s="189">
        <f t="shared" si="59"/>
      </c>
      <c r="Y427" s="189">
        <f t="shared" si="322"/>
      </c>
      <c r="Z427" s="189">
        <f t="shared" si="367"/>
      </c>
      <c r="AA427" s="190">
        <f t="shared" si="262"/>
      </c>
      <c r="AB427" s="190">
        <f t="shared" si="292"/>
      </c>
      <c r="AC427" s="190">
        <f t="shared" si="187"/>
      </c>
      <c r="AD427" s="189">
        <f t="shared" si="232"/>
      </c>
      <c r="AE427" s="190">
        <f t="shared" si="454"/>
      </c>
      <c r="AF427" s="189">
        <f t="shared" si="74"/>
      </c>
      <c r="AG427" s="189">
        <f t="shared" si="337"/>
      </c>
      <c r="AH427" s="192">
        <v>62853</v>
      </c>
      <c r="AI427" s="192">
        <v>1032</v>
      </c>
      <c r="AJ427" s="192">
        <v>1277</v>
      </c>
      <c r="AK427" s="192">
        <v>22</v>
      </c>
      <c r="AL427" s="192">
        <v>5</v>
      </c>
      <c r="AM427" s="192">
        <v>6</v>
      </c>
      <c r="AN427" s="192">
        <v>171</v>
      </c>
      <c r="AO427" s="192">
        <v>97</v>
      </c>
      <c r="AP427" s="192">
        <v>11</v>
      </c>
      <c r="AQ427" s="187">
        <v>1</v>
      </c>
      <c r="AR427" s="213">
        <f t="shared" ref="AR427:AR430" si="409">COUNT(AQ427)</f>
      </c>
    </row>
    <row r="428">
      <c r="A428" s="182"/>
      <c r="B428" s="184" t="s">
        <v>191</v>
      </c>
      <c r="C428" s="184" t="s">
        <v>192</v>
      </c>
      <c r="D428" s="183" t="s">
        <v>206</v>
      </c>
      <c r="E428" s="184" t="s">
        <v>202</v>
      </c>
      <c r="F428" s="185">
        <f t="shared" si="157"/>
      </c>
      <c r="G428" s="204">
        <v>2511.87</v>
      </c>
      <c r="H428" s="204">
        <v>393.71</v>
      </c>
      <c r="I428" s="187">
        <v>4</v>
      </c>
      <c r="J428" s="192">
        <v>3</v>
      </c>
      <c r="K428" s="188">
        <v>1867.199999999997</v>
      </c>
      <c r="L428" s="189">
        <f t="shared" si="202"/>
      </c>
      <c r="M428" s="190">
        <f t="shared" si="424"/>
      </c>
      <c r="N428" s="191">
        <f t="shared" si="14"/>
      </c>
      <c r="O428" s="191">
        <f t="shared" si="307"/>
      </c>
      <c r="P428" s="191">
        <f t="shared" si="352"/>
      </c>
      <c r="Q428" s="191">
        <f t="shared" si="247"/>
      </c>
      <c r="R428" s="191">
        <f t="shared" si="277"/>
      </c>
      <c r="S428" s="191">
        <f t="shared" si="172"/>
      </c>
      <c r="T428" s="191">
        <f t="shared" si="217"/>
      </c>
      <c r="U428" s="189">
        <f t="shared" si="439"/>
      </c>
      <c r="V428" s="189">
        <f t="shared" si="29"/>
      </c>
      <c r="W428" s="189">
        <f t="shared" si="44"/>
      </c>
      <c r="X428" s="189">
        <f t="shared" si="59"/>
      </c>
      <c r="Y428" s="189">
        <f t="shared" si="322"/>
      </c>
      <c r="Z428" s="189">
        <f t="shared" si="367"/>
      </c>
      <c r="AA428" s="190">
        <f t="shared" si="262"/>
      </c>
      <c r="AB428" s="190">
        <f t="shared" si="292"/>
      </c>
      <c r="AC428" s="190">
        <f t="shared" si="187"/>
      </c>
      <c r="AD428" s="189">
        <f t="shared" si="232"/>
      </c>
      <c r="AE428" s="190">
        <f t="shared" si="454"/>
      </c>
      <c r="AF428" s="189">
        <f t="shared" si="74"/>
      </c>
      <c r="AG428" s="189">
        <f t="shared" si="337"/>
      </c>
      <c r="AH428" s="192">
        <v>45559</v>
      </c>
      <c r="AI428" s="192">
        <v>779</v>
      </c>
      <c r="AJ428" s="192">
        <v>994</v>
      </c>
      <c r="AK428" s="192">
        <v>18</v>
      </c>
      <c r="AL428" s="192">
        <v>2</v>
      </c>
      <c r="AM428" s="192">
        <v>1</v>
      </c>
      <c r="AN428" s="192">
        <v>98</v>
      </c>
      <c r="AO428" s="192">
        <v>77</v>
      </c>
      <c r="AP428" s="192">
        <v>6</v>
      </c>
      <c r="AQ428" s="187">
        <v>1</v>
      </c>
      <c r="AR428" s="213">
        <f t="shared" si="409"/>
      </c>
    </row>
    <row r="429">
      <c r="A429" s="182"/>
      <c r="B429" s="184" t="s">
        <v>191</v>
      </c>
      <c r="C429" s="184" t="s">
        <v>192</v>
      </c>
      <c r="D429" s="183" t="s">
        <v>206</v>
      </c>
      <c r="E429" s="184" t="s">
        <v>203</v>
      </c>
      <c r="F429" s="185">
        <f t="shared" si="157"/>
      </c>
      <c r="G429" s="204">
        <v>2266.4</v>
      </c>
      <c r="H429" s="204">
        <v>505.24</v>
      </c>
      <c r="I429" s="187">
        <v>3</v>
      </c>
      <c r="J429" s="192">
        <v>3</v>
      </c>
      <c r="K429" s="188">
        <v>2335.199999999997</v>
      </c>
      <c r="L429" s="189">
        <f t="shared" si="202"/>
      </c>
      <c r="M429" s="190">
        <f t="shared" si="424"/>
      </c>
      <c r="N429" s="191">
        <f t="shared" si="14"/>
      </c>
      <c r="O429" s="191">
        <f t="shared" si="307"/>
      </c>
      <c r="P429" s="191">
        <f t="shared" si="352"/>
      </c>
      <c r="Q429" s="191">
        <f t="shared" si="247"/>
      </c>
      <c r="R429" s="191">
        <f t="shared" si="277"/>
      </c>
      <c r="S429" s="191">
        <f t="shared" si="172"/>
      </c>
      <c r="T429" s="191">
        <f t="shared" si="217"/>
      </c>
      <c r="U429" s="189">
        <f t="shared" si="439"/>
      </c>
      <c r="V429" s="189">
        <f t="shared" si="29"/>
      </c>
      <c r="W429" s="189">
        <f t="shared" si="44"/>
      </c>
      <c r="X429" s="189">
        <f t="shared" si="59"/>
      </c>
      <c r="Y429" s="189">
        <f t="shared" si="322"/>
      </c>
      <c r="Z429" s="189">
        <f t="shared" si="367"/>
      </c>
      <c r="AA429" s="190">
        <f t="shared" si="262"/>
      </c>
      <c r="AB429" s="190">
        <f t="shared" si="292"/>
      </c>
      <c r="AC429" s="190">
        <f t="shared" si="187"/>
      </c>
      <c r="AD429" s="189">
        <f t="shared" si="232"/>
      </c>
      <c r="AE429" s="190">
        <f t="shared" si="454"/>
      </c>
      <c r="AF429" s="189">
        <f t="shared" si="74"/>
      </c>
      <c r="AG429" s="189">
        <f t="shared" si="337"/>
      </c>
      <c r="AH429" s="192">
        <v>41092</v>
      </c>
      <c r="AI429" s="192">
        <v>747</v>
      </c>
      <c r="AJ429" s="192">
        <v>926</v>
      </c>
      <c r="AK429" s="192">
        <v>25</v>
      </c>
      <c r="AL429" s="192">
        <v>2</v>
      </c>
      <c r="AM429" s="192">
        <v>2</v>
      </c>
      <c r="AN429" s="192">
        <v>121</v>
      </c>
      <c r="AO429" s="192">
        <v>73</v>
      </c>
      <c r="AP429" s="192">
        <v>17</v>
      </c>
      <c r="AQ429" s="187">
        <v>1</v>
      </c>
      <c r="AR429" s="213">
        <f t="shared" si="409"/>
      </c>
    </row>
    <row r="430">
      <c r="A430" s="182"/>
      <c r="B430" s="184" t="s">
        <v>191</v>
      </c>
      <c r="C430" s="184" t="s">
        <v>192</v>
      </c>
      <c r="D430" s="183" t="s">
        <v>206</v>
      </c>
      <c r="E430" s="183" t="s">
        <v>204</v>
      </c>
      <c r="F430" s="185">
        <f t="shared" si="157"/>
      </c>
      <c r="G430" s="214">
        <v>1143.18</v>
      </c>
      <c r="H430" s="214">
        <v>217.08</v>
      </c>
      <c r="I430" s="215">
        <v>4</v>
      </c>
      <c r="J430" s="192">
        <v>4</v>
      </c>
      <c r="K430" s="196">
        <v>2778</v>
      </c>
      <c r="L430" s="189">
        <f t="shared" si="202"/>
      </c>
      <c r="M430" s="190">
        <f t="shared" si="424"/>
      </c>
      <c r="N430" s="191">
        <f t="shared" si="14"/>
      </c>
      <c r="O430" s="191">
        <f t="shared" si="307"/>
      </c>
      <c r="P430" s="191">
        <f t="shared" si="352"/>
      </c>
      <c r="Q430" s="191">
        <f t="shared" si="247"/>
      </c>
      <c r="R430" s="191">
        <f t="shared" si="277"/>
      </c>
      <c r="S430" s="191">
        <f t="shared" si="172"/>
      </c>
      <c r="T430" s="191">
        <f t="shared" si="217"/>
      </c>
      <c r="U430" s="189">
        <f t="shared" si="439"/>
      </c>
      <c r="V430" s="189">
        <f t="shared" si="29"/>
      </c>
      <c r="W430" s="189">
        <f t="shared" si="44"/>
      </c>
      <c r="X430" s="189">
        <f t="shared" si="59"/>
      </c>
      <c r="Y430" s="189">
        <f t="shared" si="322"/>
      </c>
      <c r="Z430" s="189">
        <f t="shared" si="367"/>
      </c>
      <c r="AA430" s="190">
        <f t="shared" si="262"/>
      </c>
      <c r="AB430" s="190">
        <f t="shared" si="292"/>
      </c>
      <c r="AC430" s="190">
        <f t="shared" si="187"/>
      </c>
      <c r="AD430" s="189">
        <f t="shared" si="232"/>
      </c>
      <c r="AE430" s="190">
        <f t="shared" si="454"/>
      </c>
      <c r="AF430" s="189">
        <f t="shared" si="74"/>
      </c>
      <c r="AG430" s="189">
        <f t="shared" si="337"/>
      </c>
      <c r="AH430" s="192">
        <v>20681</v>
      </c>
      <c r="AI430" s="192">
        <v>329</v>
      </c>
      <c r="AJ430" s="192">
        <v>476</v>
      </c>
      <c r="AK430" s="192">
        <v>22</v>
      </c>
      <c r="AL430" s="192">
        <v>4</v>
      </c>
      <c r="AM430" s="192">
        <v>3</v>
      </c>
      <c r="AN430" s="192">
        <v>70</v>
      </c>
      <c r="AO430" s="192">
        <v>42</v>
      </c>
      <c r="AP430" s="192">
        <v>6</v>
      </c>
      <c r="AQ430" s="215">
        <v>0</v>
      </c>
      <c r="AR430" s="213">
        <f t="shared" si="409"/>
      </c>
    </row>
    <row r="431">
      <c r="A431" s="182"/>
      <c r="B431" s="197" t="s">
        <v>197</v>
      </c>
      <c r="C431" s="197"/>
      <c r="D431" s="197"/>
      <c r="E431" s="197"/>
      <c r="F431" s="198">
        <f>SUM(F427:F430)</f>
      </c>
      <c r="G431" s="198">
        <f>SUM(G427:G430)</f>
      </c>
      <c r="H431" s="198">
        <f>SUM(H427:H430)</f>
      </c>
      <c r="I431" s="199">
        <f>SUM(I427:I430)</f>
      </c>
      <c r="J431" s="199">
        <f>SUM(J427:J430)</f>
      </c>
      <c r="K431" s="198">
        <f>SUM(K427:K430)</f>
      </c>
      <c r="L431" s="200">
        <f t="shared" si="202"/>
      </c>
      <c r="M431" s="201">
        <f t="shared" si="424"/>
      </c>
      <c r="N431" s="202">
        <f t="shared" si="14"/>
      </c>
      <c r="O431" s="202">
        <f t="shared" si="307"/>
      </c>
      <c r="P431" s="202">
        <f t="shared" si="352"/>
      </c>
      <c r="Q431" s="202">
        <f t="shared" si="247"/>
      </c>
      <c r="R431" s="202">
        <f t="shared" si="277"/>
      </c>
      <c r="S431" s="202">
        <f t="shared" si="172"/>
      </c>
      <c r="T431" s="202">
        <f t="shared" si="217"/>
      </c>
      <c r="U431" s="200">
        <f t="shared" si="439"/>
      </c>
      <c r="V431" s="200">
        <f t="shared" si="29"/>
      </c>
      <c r="W431" s="200">
        <f t="shared" si="44"/>
      </c>
      <c r="X431" s="200">
        <f t="shared" si="59"/>
      </c>
      <c r="Y431" s="200">
        <f t="shared" si="322"/>
      </c>
      <c r="Z431" s="200">
        <f t="shared" si="367"/>
      </c>
      <c r="AA431" s="201">
        <f t="shared" si="262"/>
      </c>
      <c r="AB431" s="201">
        <f t="shared" si="292"/>
      </c>
      <c r="AC431" s="201">
        <f t="shared" si="187"/>
      </c>
      <c r="AD431" s="200">
        <f t="shared" si="232"/>
      </c>
      <c r="AE431" s="201">
        <f t="shared" si="454"/>
      </c>
      <c r="AF431" s="200">
        <f t="shared" si="74"/>
      </c>
      <c r="AG431" s="200">
        <f t="shared" si="337"/>
      </c>
      <c r="AH431" s="199">
        <f>SUM(AH427:AH430)</f>
      </c>
      <c r="AI431" s="199">
        <f>SUM(AI427:AI430)</f>
      </c>
      <c r="AJ431" s="199">
        <f>SUM(AJ427:AJ430)</f>
      </c>
      <c r="AK431" s="199">
        <f>SUM(AK427:AK430)</f>
      </c>
      <c r="AL431" s="199">
        <f>SUM(AL427:AL430)</f>
      </c>
      <c r="AM431" s="199">
        <f>SUM(AM427:AM430)</f>
      </c>
      <c r="AN431" s="199">
        <f>SUM(AN427:AN430)</f>
      </c>
      <c r="AO431" s="199">
        <f>SUM(AO427:AO430)</f>
      </c>
      <c r="AP431" s="199">
        <f>SUM(AP427:AP430)</f>
      </c>
      <c r="AQ431" s="199">
        <f>SUM(AQ427:AQ430)</f>
      </c>
      <c r="AR431" s="203">
        <f>SUM(AR427:AR430)</f>
      </c>
    </row>
    <row r="432">
      <c r="A432" s="182"/>
      <c r="B432" s="205" t="s">
        <v>205</v>
      </c>
      <c r="C432" s="205"/>
      <c r="D432" s="205"/>
      <c r="E432" s="205"/>
      <c r="F432" s="206">
        <f>H432+G432</f>
      </c>
      <c r="G432" s="206">
        <f>G426+G421+G431</f>
      </c>
      <c r="H432" s="206">
        <f>H426+H421+H431</f>
      </c>
      <c r="I432" s="206">
        <f>I426+I421+I431</f>
      </c>
      <c r="J432" s="206">
        <f>J426+J421+J431</f>
      </c>
      <c r="K432" s="206">
        <f>K426+K421+K431</f>
      </c>
      <c r="L432" s="207">
        <f t="shared" si="202"/>
      </c>
      <c r="M432" s="208">
        <f t="shared" si="424"/>
      </c>
      <c r="N432" s="209">
        <f t="shared" si="14"/>
      </c>
      <c r="O432" s="209">
        <f t="shared" si="307"/>
      </c>
      <c r="P432" s="209">
        <f t="shared" si="352"/>
      </c>
      <c r="Q432" s="209">
        <f t="shared" si="247"/>
      </c>
      <c r="R432" s="209">
        <f t="shared" si="277"/>
      </c>
      <c r="S432" s="209">
        <f t="shared" si="172"/>
      </c>
      <c r="T432" s="209">
        <f t="shared" si="217"/>
      </c>
      <c r="U432" s="207">
        <f t="shared" si="439"/>
      </c>
      <c r="V432" s="207">
        <f t="shared" si="29"/>
      </c>
      <c r="W432" s="207">
        <f t="shared" si="44"/>
      </c>
      <c r="X432" s="207">
        <f t="shared" si="59"/>
      </c>
      <c r="Y432" s="207">
        <f t="shared" si="322"/>
      </c>
      <c r="Z432" s="207">
        <f t="shared" si="367"/>
      </c>
      <c r="AA432" s="208">
        <f t="shared" si="262"/>
      </c>
      <c r="AB432" s="208">
        <f t="shared" si="292"/>
      </c>
      <c r="AC432" s="208">
        <f t="shared" si="187"/>
      </c>
      <c r="AD432" s="207">
        <f t="shared" si="232"/>
      </c>
      <c r="AE432" s="208">
        <f t="shared" si="454"/>
      </c>
      <c r="AF432" s="207">
        <f t="shared" si="74"/>
      </c>
      <c r="AG432" s="207">
        <f t="shared" si="337"/>
      </c>
      <c r="AH432" s="203">
        <f>AH426+AH421+AH431</f>
      </c>
      <c r="AI432" s="203">
        <f>AI426+AI421+AI431</f>
      </c>
      <c r="AJ432" s="203">
        <f>AJ426+AJ421+AJ431</f>
      </c>
      <c r="AK432" s="203">
        <f>AK426+AK421+AK431</f>
      </c>
      <c r="AL432" s="203">
        <f>AL426+AL421+AL431</f>
      </c>
      <c r="AM432" s="203">
        <f>AM426+AM421+AM431</f>
      </c>
      <c r="AN432" s="203">
        <f>AN426+AN421+AN431</f>
      </c>
      <c r="AO432" s="203">
        <f>AO426+AO421+AO431</f>
      </c>
      <c r="AP432" s="203">
        <f>AP426+AP421+AP431</f>
      </c>
      <c r="AQ432" s="203">
        <f>AQ426+AQ421+AQ431</f>
      </c>
      <c r="AR432" s="203">
        <f>AR426+AR421+AR431</f>
      </c>
    </row>
    <row r="433">
      <c r="A433" s="216"/>
      <c r="B433" s="216"/>
      <c r="C433" s="216"/>
      <c r="D433" s="216"/>
      <c r="E433" s="216"/>
      <c r="F433" s="216"/>
      <c r="G433" s="216"/>
      <c r="H433" s="216"/>
      <c r="I433" s="217"/>
      <c r="J433" s="217">
        <f>J434-J432</f>
      </c>
      <c r="K433" s="217">
        <f>K434-K432</f>
      </c>
      <c r="L433" s="216"/>
      <c r="M433" s="216"/>
      <c r="N433" s="216"/>
      <c r="O433" s="216"/>
      <c r="P433" s="216"/>
      <c r="Q433" s="216"/>
      <c r="R433" s="216"/>
      <c r="S433" s="216"/>
      <c r="T433" s="216"/>
      <c r="U433" s="216"/>
      <c r="V433" s="216"/>
      <c r="W433" s="216"/>
      <c r="X433" s="216"/>
      <c r="Y433" s="216"/>
      <c r="Z433" s="216"/>
      <c r="AA433" s="216"/>
      <c r="AB433" s="216"/>
      <c r="AC433" s="216"/>
      <c r="AD433" s="216"/>
      <c r="AE433" s="216"/>
      <c r="AF433" s="216"/>
      <c r="AG433" s="216"/>
      <c r="AH433" s="216">
        <f>AH434-AH432</f>
      </c>
      <c r="AI433" s="216">
        <f>AI434-AI432</f>
      </c>
      <c r="AJ433" s="216">
        <f>AJ434-AJ432</f>
      </c>
      <c r="AK433" s="216">
        <f>AK434-AK432</f>
      </c>
      <c r="AL433" s="216">
        <f>AL434-AL432</f>
      </c>
      <c r="AM433" s="216">
        <f>AM434-AM432</f>
      </c>
      <c r="AN433" s="216">
        <f>AN434-AN432</f>
      </c>
      <c r="AO433" s="216">
        <f>AO434-AO432</f>
      </c>
      <c r="AP433" s="216">
        <f>AP434-AP432</f>
      </c>
      <c r="AQ433" s="216"/>
      <c r="AR433" s="216"/>
    </row>
    <row r="434">
      <c r="A434" s="216"/>
      <c r="B434" s="216"/>
      <c r="C434" s="216"/>
      <c r="D434" s="216"/>
      <c r="E434" s="216"/>
      <c r="F434" s="216"/>
      <c r="G434" s="216"/>
      <c r="H434" s="216"/>
      <c r="I434" s="218"/>
      <c r="J434" s="218" cm="1">
        <f t="array" ref="J434:J434">IMPORTRANGE("https://meimeiwangluo.feishu.cn/sheets/DgmEs6UhHhIEDRtCWdlcHn9qnUd","'Sheet1'!C1")</f>
      </c>
      <c r="K434" s="218" cm="1">
        <f t="array" ref="K434:K434">IMPORTRANGE("https://meimeiwangluo.feishu.cn/sheets/DgmEs6UhHhIEDRtCWdlcHn9qnUd","'Sheet1'!E1")</f>
      </c>
      <c r="L434" s="216"/>
      <c r="M434" s="216"/>
      <c r="N434" s="216"/>
      <c r="O434" s="216"/>
      <c r="P434" s="216"/>
      <c r="Q434" s="216"/>
      <c r="R434" s="216"/>
      <c r="S434" s="216"/>
      <c r="T434" s="216"/>
      <c r="U434" s="216"/>
      <c r="V434" s="216"/>
      <c r="W434" s="216"/>
      <c r="X434" s="216"/>
      <c r="Y434" s="216"/>
      <c r="Z434" s="216"/>
      <c r="AA434" s="216"/>
      <c r="AB434" s="216"/>
      <c r="AC434" s="216"/>
      <c r="AD434" s="216"/>
      <c r="AE434" s="216"/>
      <c r="AF434" s="216"/>
      <c r="AG434" s="216"/>
      <c r="AH434" s="219">
        <v>0</v>
      </c>
      <c r="AI434" s="219">
        <v>0</v>
      </c>
      <c r="AJ434" s="219">
        <v>0</v>
      </c>
      <c r="AK434" s="219">
        <v>0</v>
      </c>
      <c r="AL434" s="219">
        <v>0</v>
      </c>
      <c r="AM434" s="219">
        <v>0</v>
      </c>
      <c r="AN434" s="219">
        <v>0</v>
      </c>
      <c r="AO434" s="219">
        <v>0</v>
      </c>
      <c r="AP434" s="219">
        <v>0</v>
      </c>
      <c r="AQ434" s="216"/>
      <c r="AR434" s="216"/>
    </row>
    <row r="435">
      <c r="A435" s="216"/>
      <c r="B435" s="216"/>
      <c r="C435" s="216"/>
      <c r="D435" s="216"/>
      <c r="E435" s="216"/>
      <c r="F435" s="216"/>
      <c r="G435" s="216"/>
      <c r="H435" s="216"/>
      <c r="I435" s="219"/>
      <c r="J435" s="216"/>
      <c r="K435" s="216"/>
      <c r="L435" s="216"/>
      <c r="M435" s="216"/>
      <c r="N435" s="216"/>
      <c r="O435" s="216"/>
      <c r="P435" s="216"/>
      <c r="Q435" s="216"/>
      <c r="R435" s="216"/>
      <c r="S435" s="216"/>
      <c r="T435" s="216"/>
      <c r="U435" s="216"/>
      <c r="V435" s="216"/>
      <c r="W435" s="216"/>
      <c r="X435" s="216"/>
      <c r="Y435" s="216"/>
      <c r="Z435" s="216"/>
      <c r="AA435" s="216"/>
      <c r="AB435" s="216"/>
      <c r="AC435" s="216"/>
      <c r="AD435" s="216"/>
      <c r="AE435" s="216"/>
      <c r="AF435" s="216"/>
      <c r="AG435" s="216"/>
      <c r="AH435" s="216"/>
      <c r="AI435" s="216"/>
      <c r="AJ435" s="216"/>
      <c r="AK435" s="216"/>
      <c r="AL435" s="216"/>
      <c r="AM435" s="216"/>
      <c r="AN435" s="216"/>
      <c r="AO435" s="216"/>
      <c r="AP435" s="216"/>
      <c r="AQ435" s="216"/>
      <c r="AR435" s="216"/>
    </row>
    <row r="436">
      <c r="A436" s="216"/>
      <c r="B436" s="216"/>
      <c r="C436" s="216"/>
      <c r="D436" s="216"/>
      <c r="E436" s="216"/>
      <c r="F436" s="216"/>
      <c r="G436" s="216"/>
      <c r="H436" s="216"/>
      <c r="I436" s="219"/>
      <c r="J436" s="216"/>
      <c r="K436" s="216"/>
      <c r="L436" s="216"/>
      <c r="M436" s="216"/>
      <c r="N436" s="216"/>
      <c r="O436" s="216"/>
      <c r="P436" s="216"/>
      <c r="Q436" s="216"/>
      <c r="R436" s="216"/>
      <c r="S436" s="216"/>
      <c r="T436" s="216"/>
      <c r="U436" s="216"/>
      <c r="V436" s="216"/>
      <c r="W436" s="216"/>
      <c r="X436" s="216"/>
      <c r="Y436" s="216"/>
      <c r="Z436" s="216"/>
      <c r="AA436" s="216"/>
      <c r="AB436" s="216"/>
      <c r="AC436" s="216"/>
      <c r="AD436" s="216"/>
      <c r="AE436" s="216"/>
      <c r="AF436" s="216"/>
      <c r="AG436" s="216"/>
      <c r="AH436" s="216"/>
      <c r="AI436" s="216"/>
      <c r="AJ436" s="216"/>
      <c r="AK436" s="216"/>
      <c r="AL436" s="216"/>
      <c r="AM436" s="216"/>
      <c r="AN436" s="216"/>
      <c r="AO436" s="216"/>
      <c r="AP436" s="216"/>
      <c r="AQ436" s="216"/>
      <c r="AR436" s="216"/>
    </row>
    <row r="437">
      <c r="A437" s="216"/>
      <c r="B437" s="216"/>
      <c r="C437" s="216"/>
      <c r="D437" s="216"/>
      <c r="E437" s="216"/>
      <c r="F437" s="216"/>
      <c r="G437" s="216"/>
      <c r="H437" s="216"/>
      <c r="I437" s="219"/>
      <c r="J437" s="216"/>
      <c r="K437" s="216"/>
      <c r="L437" s="216"/>
      <c r="M437" s="216"/>
      <c r="N437" s="216"/>
      <c r="O437" s="216"/>
      <c r="P437" s="216"/>
      <c r="Q437" s="216"/>
      <c r="R437" s="216"/>
      <c r="S437" s="216"/>
      <c r="T437" s="216"/>
      <c r="U437" s="216"/>
      <c r="V437" s="216"/>
      <c r="W437" s="216"/>
      <c r="X437" s="216"/>
      <c r="Y437" s="216"/>
      <c r="Z437" s="216"/>
      <c r="AA437" s="216"/>
      <c r="AB437" s="216"/>
      <c r="AC437" s="216"/>
      <c r="AD437" s="216"/>
      <c r="AE437" s="216"/>
      <c r="AF437" s="216"/>
      <c r="AG437" s="216"/>
      <c r="AH437" s="216"/>
      <c r="AI437" s="216"/>
      <c r="AJ437" s="216"/>
      <c r="AK437" s="216"/>
      <c r="AL437" s="216"/>
      <c r="AM437" s="216"/>
      <c r="AN437" s="216"/>
      <c r="AO437" s="216"/>
      <c r="AP437" s="216"/>
      <c r="AQ437" s="216"/>
      <c r="AR437" s="216"/>
    </row>
    <row r="438">
      <c r="A438" s="216"/>
      <c r="B438" s="216"/>
      <c r="C438" s="216"/>
      <c r="D438" s="216"/>
      <c r="E438" s="216"/>
      <c r="F438" s="216"/>
      <c r="G438" s="216"/>
      <c r="H438" s="216"/>
      <c r="I438" s="219"/>
      <c r="J438" s="216"/>
      <c r="K438" s="216"/>
      <c r="L438" s="216"/>
      <c r="M438" s="216"/>
      <c r="N438" s="216"/>
      <c r="O438" s="216"/>
      <c r="P438" s="216"/>
      <c r="Q438" s="216"/>
      <c r="R438" s="216"/>
      <c r="S438" s="216"/>
      <c r="T438" s="216"/>
      <c r="U438" s="216"/>
      <c r="V438" s="216"/>
      <c r="W438" s="216"/>
      <c r="X438" s="216"/>
      <c r="Y438" s="216"/>
      <c r="Z438" s="216"/>
      <c r="AA438" s="216"/>
      <c r="AB438" s="216"/>
      <c r="AC438" s="216"/>
      <c r="AD438" s="216"/>
      <c r="AE438" s="216"/>
      <c r="AF438" s="216"/>
      <c r="AG438" s="216"/>
      <c r="AH438" s="216"/>
      <c r="AI438" s="216"/>
      <c r="AJ438" s="216"/>
      <c r="AK438" s="216"/>
      <c r="AL438" s="216"/>
      <c r="AM438" s="216"/>
      <c r="AN438" s="216"/>
      <c r="AO438" s="216"/>
      <c r="AP438" s="216"/>
      <c r="AQ438" s="216"/>
      <c r="AR438" s="216"/>
    </row>
    <row r="439">
      <c r="A439" s="216"/>
      <c r="B439" s="216"/>
      <c r="C439" s="216"/>
      <c r="D439" s="216"/>
      <c r="E439" s="216"/>
      <c r="F439" s="216"/>
      <c r="G439" s="216"/>
      <c r="H439" s="216"/>
      <c r="I439" s="219"/>
      <c r="J439" s="216"/>
      <c r="K439" s="216"/>
      <c r="L439" s="216"/>
      <c r="M439" s="216"/>
      <c r="N439" s="216"/>
      <c r="O439" s="216"/>
      <c r="P439" s="216"/>
      <c r="Q439" s="216"/>
      <c r="R439" s="216"/>
      <c r="S439" s="216"/>
      <c r="T439" s="216"/>
      <c r="U439" s="216"/>
      <c r="V439" s="216"/>
      <c r="W439" s="216"/>
      <c r="X439" s="216"/>
      <c r="Y439" s="216"/>
      <c r="Z439" s="216"/>
      <c r="AA439" s="216"/>
      <c r="AB439" s="216"/>
      <c r="AC439" s="216"/>
      <c r="AD439" s="216"/>
      <c r="AE439" s="216"/>
      <c r="AF439" s="216"/>
      <c r="AG439" s="216"/>
      <c r="AH439" s="216"/>
      <c r="AI439" s="216"/>
      <c r="AJ439" s="216"/>
      <c r="AK439" s="216"/>
      <c r="AL439" s="216"/>
      <c r="AM439" s="216"/>
      <c r="AN439" s="216"/>
      <c r="AO439" s="216"/>
      <c r="AP439" s="216"/>
      <c r="AQ439" s="216"/>
      <c r="AR439" s="216"/>
    </row>
    <row r="440">
      <c r="A440" s="216"/>
      <c r="B440" s="216"/>
      <c r="C440" s="216"/>
      <c r="D440" s="216"/>
      <c r="E440" s="216"/>
      <c r="F440" s="216"/>
      <c r="G440" s="216"/>
      <c r="H440" s="216"/>
      <c r="I440" s="219"/>
      <c r="J440" s="216"/>
      <c r="K440" s="216"/>
      <c r="L440" s="216"/>
      <c r="M440" s="216"/>
      <c r="N440" s="216"/>
      <c r="O440" s="216"/>
      <c r="P440" s="216"/>
      <c r="Q440" s="216"/>
      <c r="R440" s="216"/>
      <c r="S440" s="216"/>
      <c r="T440" s="216"/>
      <c r="U440" s="216"/>
      <c r="V440" s="216"/>
      <c r="W440" s="216"/>
      <c r="X440" s="216"/>
      <c r="Y440" s="216"/>
      <c r="Z440" s="216"/>
      <c r="AA440" s="216"/>
      <c r="AB440" s="216"/>
      <c r="AC440" s="216"/>
      <c r="AD440" s="216"/>
      <c r="AE440" s="216"/>
      <c r="AF440" s="216"/>
      <c r="AG440" s="216"/>
      <c r="AH440" s="216"/>
      <c r="AI440" s="216"/>
      <c r="AJ440" s="216"/>
      <c r="AK440" s="216"/>
      <c r="AL440" s="216"/>
      <c r="AM440" s="216"/>
      <c r="AN440" s="216"/>
      <c r="AO440" s="216"/>
      <c r="AP440" s="216"/>
      <c r="AQ440" s="216"/>
      <c r="AR440" s="216"/>
    </row>
    <row r="441">
      <c r="A441" s="216"/>
      <c r="B441" s="216"/>
      <c r="C441" s="216"/>
      <c r="D441" s="216"/>
      <c r="E441" s="216"/>
      <c r="F441" s="216"/>
      <c r="G441" s="216"/>
      <c r="H441" s="216"/>
      <c r="I441" s="219"/>
      <c r="J441" s="216"/>
      <c r="K441" s="216"/>
      <c r="L441" s="216"/>
      <c r="M441" s="216"/>
      <c r="N441" s="216"/>
      <c r="O441" s="216"/>
      <c r="P441" s="216"/>
      <c r="Q441" s="216"/>
      <c r="R441" s="216"/>
      <c r="S441" s="216"/>
      <c r="T441" s="216"/>
      <c r="U441" s="216"/>
      <c r="V441" s="216"/>
      <c r="W441" s="216"/>
      <c r="X441" s="216"/>
      <c r="Y441" s="216"/>
      <c r="Z441" s="216"/>
      <c r="AA441" s="216"/>
      <c r="AB441" s="216"/>
      <c r="AC441" s="216"/>
      <c r="AD441" s="216"/>
      <c r="AE441" s="216"/>
      <c r="AF441" s="216"/>
      <c r="AG441" s="216"/>
      <c r="AH441" s="216"/>
      <c r="AI441" s="216"/>
      <c r="AJ441" s="216"/>
      <c r="AK441" s="216"/>
      <c r="AL441" s="216"/>
      <c r="AM441" s="216"/>
      <c r="AN441" s="216"/>
      <c r="AO441" s="216"/>
      <c r="AP441" s="216"/>
      <c r="AQ441" s="216"/>
      <c r="AR441" s="216"/>
    </row>
    <row r="442">
      <c r="A442" s="216"/>
      <c r="B442" s="216"/>
      <c r="C442" s="216"/>
      <c r="D442" s="216"/>
      <c r="E442" s="216"/>
      <c r="F442" s="216"/>
      <c r="G442" s="216"/>
      <c r="H442" s="216"/>
      <c r="I442" s="219"/>
      <c r="J442" s="216"/>
      <c r="K442" s="216"/>
      <c r="L442" s="216"/>
      <c r="M442" s="216"/>
      <c r="N442" s="216"/>
      <c r="O442" s="216"/>
      <c r="P442" s="216"/>
      <c r="Q442" s="216"/>
      <c r="R442" s="216"/>
      <c r="S442" s="216"/>
      <c r="T442" s="216"/>
      <c r="U442" s="216"/>
      <c r="V442" s="216"/>
      <c r="W442" s="216"/>
      <c r="X442" s="216"/>
      <c r="Y442" s="216"/>
      <c r="Z442" s="216"/>
      <c r="AA442" s="216"/>
      <c r="AB442" s="216"/>
      <c r="AC442" s="216"/>
      <c r="AD442" s="216"/>
      <c r="AE442" s="216"/>
      <c r="AF442" s="216"/>
      <c r="AG442" s="216"/>
      <c r="AH442" s="216"/>
      <c r="AI442" s="216"/>
      <c r="AJ442" s="216"/>
      <c r="AK442" s="216"/>
      <c r="AL442" s="216"/>
      <c r="AM442" s="216"/>
      <c r="AN442" s="216"/>
      <c r="AO442" s="216"/>
      <c r="AP442" s="216"/>
      <c r="AQ442" s="216"/>
      <c r="AR442" s="216"/>
    </row>
    <row r="443">
      <c r="A443" s="216"/>
      <c r="B443" s="216"/>
      <c r="C443" s="216"/>
      <c r="D443" s="216"/>
      <c r="E443" s="216"/>
      <c r="F443" s="216"/>
      <c r="G443" s="216"/>
      <c r="H443" s="216"/>
      <c r="I443" s="219"/>
      <c r="J443" s="216"/>
      <c r="K443" s="216"/>
      <c r="L443" s="216"/>
      <c r="M443" s="216"/>
      <c r="N443" s="216"/>
      <c r="O443" s="216"/>
      <c r="P443" s="216"/>
      <c r="Q443" s="216"/>
      <c r="R443" s="216"/>
      <c r="S443" s="216"/>
      <c r="T443" s="216"/>
      <c r="U443" s="216"/>
      <c r="V443" s="216"/>
      <c r="W443" s="216"/>
      <c r="X443" s="216"/>
      <c r="Y443" s="216"/>
      <c r="Z443" s="216"/>
      <c r="AA443" s="216"/>
      <c r="AB443" s="216"/>
      <c r="AC443" s="216"/>
      <c r="AD443" s="216"/>
      <c r="AE443" s="216"/>
      <c r="AF443" s="216"/>
      <c r="AG443" s="216"/>
      <c r="AH443" s="216"/>
      <c r="AI443" s="216"/>
      <c r="AJ443" s="216"/>
      <c r="AK443" s="216"/>
      <c r="AL443" s="216"/>
      <c r="AM443" s="216"/>
      <c r="AN443" s="216"/>
      <c r="AO443" s="216"/>
      <c r="AP443" s="216"/>
      <c r="AQ443" s="216"/>
      <c r="AR443" s="216"/>
    </row>
    <row r="444">
      <c r="A444" s="216"/>
      <c r="B444" s="216"/>
      <c r="C444" s="216"/>
      <c r="D444" s="216"/>
      <c r="E444" s="216"/>
      <c r="F444" s="216"/>
      <c r="G444" s="216"/>
      <c r="H444" s="216"/>
      <c r="I444" s="219"/>
      <c r="J444" s="216"/>
      <c r="K444" s="216"/>
      <c r="L444" s="216"/>
      <c r="M444" s="216"/>
      <c r="N444" s="216"/>
      <c r="O444" s="216"/>
      <c r="P444" s="216"/>
      <c r="Q444" s="216"/>
      <c r="R444" s="216"/>
      <c r="S444" s="216"/>
      <c r="T444" s="216"/>
      <c r="U444" s="216"/>
      <c r="V444" s="216"/>
      <c r="W444" s="216"/>
      <c r="X444" s="216"/>
      <c r="Y444" s="216"/>
      <c r="Z444" s="216"/>
      <c r="AA444" s="216"/>
      <c r="AB444" s="216"/>
      <c r="AC444" s="216"/>
      <c r="AD444" s="216"/>
      <c r="AE444" s="216"/>
      <c r="AF444" s="216"/>
      <c r="AG444" s="216"/>
      <c r="AH444" s="216"/>
      <c r="AI444" s="216"/>
      <c r="AJ444" s="216"/>
      <c r="AK444" s="216"/>
      <c r="AL444" s="216"/>
      <c r="AM444" s="216"/>
      <c r="AN444" s="216"/>
      <c r="AO444" s="216"/>
      <c r="AP444" s="216"/>
      <c r="AQ444" s="216"/>
      <c r="AR444" s="216"/>
    </row>
    <row r="445">
      <c r="A445" s="216"/>
      <c r="B445" s="216"/>
      <c r="C445" s="216"/>
      <c r="D445" s="216"/>
      <c r="E445" s="216"/>
      <c r="F445" s="216"/>
      <c r="G445" s="216"/>
      <c r="H445" s="216"/>
      <c r="I445" s="219"/>
      <c r="J445" s="216"/>
      <c r="K445" s="216"/>
      <c r="L445" s="216"/>
      <c r="M445" s="216"/>
      <c r="N445" s="216"/>
      <c r="O445" s="216"/>
      <c r="P445" s="216"/>
      <c r="Q445" s="216"/>
      <c r="R445" s="216"/>
      <c r="S445" s="216"/>
      <c r="T445" s="216"/>
      <c r="U445" s="216"/>
      <c r="V445" s="216"/>
      <c r="W445" s="216"/>
      <c r="X445" s="216"/>
      <c r="Y445" s="216"/>
      <c r="Z445" s="216"/>
      <c r="AA445" s="216"/>
      <c r="AB445" s="216"/>
      <c r="AC445" s="216"/>
      <c r="AD445" s="216"/>
      <c r="AE445" s="216"/>
      <c r="AF445" s="216"/>
      <c r="AG445" s="216"/>
      <c r="AH445" s="216"/>
      <c r="AI445" s="216"/>
      <c r="AJ445" s="216"/>
      <c r="AK445" s="216"/>
      <c r="AL445" s="216"/>
      <c r="AM445" s="216"/>
      <c r="AN445" s="216"/>
      <c r="AO445" s="216"/>
      <c r="AP445" s="216"/>
      <c r="AQ445" s="216"/>
      <c r="AR445" s="216"/>
    </row>
    <row r="446">
      <c r="A446" s="216"/>
      <c r="B446" s="216"/>
      <c r="C446" s="216"/>
      <c r="D446" s="216"/>
      <c r="E446" s="216"/>
      <c r="F446" s="216"/>
      <c r="G446" s="216"/>
      <c r="H446" s="216"/>
      <c r="I446" s="219"/>
      <c r="J446" s="216"/>
      <c r="K446" s="216"/>
      <c r="L446" s="216"/>
      <c r="M446" s="216"/>
      <c r="N446" s="216"/>
      <c r="O446" s="216"/>
      <c r="P446" s="216"/>
      <c r="Q446" s="216"/>
      <c r="R446" s="216"/>
      <c r="S446" s="216"/>
      <c r="T446" s="216"/>
      <c r="U446" s="216"/>
      <c r="V446" s="216"/>
      <c r="W446" s="216"/>
      <c r="X446" s="216"/>
      <c r="Y446" s="216"/>
      <c r="Z446" s="216"/>
      <c r="AA446" s="216"/>
      <c r="AB446" s="216"/>
      <c r="AC446" s="216"/>
      <c r="AD446" s="216"/>
      <c r="AE446" s="216"/>
      <c r="AF446" s="216"/>
      <c r="AG446" s="216"/>
      <c r="AH446" s="216"/>
      <c r="AI446" s="216"/>
      <c r="AJ446" s="216"/>
      <c r="AK446" s="216"/>
      <c r="AL446" s="216"/>
      <c r="AM446" s="216"/>
      <c r="AN446" s="216"/>
      <c r="AO446" s="216"/>
      <c r="AP446" s="216"/>
      <c r="AQ446" s="216"/>
      <c r="AR446" s="216"/>
    </row>
    <row r="447">
      <c r="A447" s="216"/>
      <c r="B447" s="216"/>
      <c r="C447" s="216"/>
      <c r="D447" s="216"/>
      <c r="E447" s="216"/>
      <c r="F447" s="216"/>
      <c r="G447" s="216"/>
      <c r="H447" s="216"/>
      <c r="I447" s="219"/>
      <c r="J447" s="216"/>
      <c r="K447" s="216"/>
      <c r="L447" s="216"/>
      <c r="M447" s="216"/>
      <c r="N447" s="216"/>
      <c r="O447" s="216"/>
      <c r="P447" s="216"/>
      <c r="Q447" s="216"/>
      <c r="R447" s="216"/>
      <c r="S447" s="216"/>
      <c r="T447" s="216"/>
      <c r="U447" s="216"/>
      <c r="V447" s="216"/>
      <c r="W447" s="216"/>
      <c r="X447" s="216"/>
      <c r="Y447" s="216"/>
      <c r="Z447" s="216"/>
      <c r="AA447" s="216"/>
      <c r="AB447" s="216"/>
      <c r="AC447" s="216"/>
      <c r="AD447" s="216"/>
      <c r="AE447" s="216"/>
      <c r="AF447" s="216"/>
      <c r="AG447" s="216"/>
      <c r="AH447" s="216"/>
      <c r="AI447" s="216"/>
      <c r="AJ447" s="216"/>
      <c r="AK447" s="216"/>
      <c r="AL447" s="216"/>
      <c r="AM447" s="216"/>
      <c r="AN447" s="216"/>
      <c r="AO447" s="216"/>
      <c r="AP447" s="216"/>
      <c r="AQ447" s="216"/>
      <c r="AR447" s="216"/>
    </row>
    <row r="448">
      <c r="A448" s="216"/>
      <c r="B448" s="216"/>
      <c r="C448" s="216"/>
      <c r="D448" s="216"/>
      <c r="E448" s="216"/>
      <c r="F448" s="216"/>
      <c r="G448" s="216"/>
      <c r="H448" s="216"/>
      <c r="I448" s="219"/>
      <c r="J448" s="216"/>
      <c r="K448" s="216"/>
      <c r="L448" s="216"/>
      <c r="M448" s="216"/>
      <c r="N448" s="216"/>
      <c r="O448" s="216"/>
      <c r="P448" s="216"/>
      <c r="Q448" s="216"/>
      <c r="R448" s="216"/>
      <c r="S448" s="216"/>
      <c r="T448" s="216"/>
      <c r="U448" s="216"/>
      <c r="V448" s="216"/>
      <c r="W448" s="216"/>
      <c r="X448" s="216"/>
      <c r="Y448" s="216"/>
      <c r="Z448" s="216"/>
      <c r="AA448" s="216"/>
      <c r="AB448" s="216"/>
      <c r="AC448" s="216"/>
      <c r="AD448" s="216"/>
      <c r="AE448" s="216"/>
      <c r="AF448" s="216"/>
      <c r="AG448" s="216"/>
      <c r="AH448" s="216"/>
      <c r="AI448" s="216"/>
      <c r="AJ448" s="216"/>
      <c r="AK448" s="216"/>
      <c r="AL448" s="216"/>
      <c r="AM448" s="216"/>
      <c r="AN448" s="216"/>
      <c r="AO448" s="216"/>
      <c r="AP448" s="216"/>
      <c r="AQ448" s="216"/>
      <c r="AR448" s="216"/>
    </row>
    <row r="449">
      <c r="A449" s="216"/>
      <c r="B449" s="216"/>
      <c r="C449" s="216"/>
      <c r="D449" s="216"/>
      <c r="E449" s="216"/>
      <c r="F449" s="216"/>
      <c r="G449" s="216"/>
      <c r="H449" s="216"/>
      <c r="I449" s="219"/>
      <c r="J449" s="216"/>
      <c r="K449" s="216"/>
      <c r="L449" s="216"/>
      <c r="M449" s="216"/>
      <c r="N449" s="216"/>
      <c r="O449" s="216"/>
      <c r="P449" s="216"/>
      <c r="Q449" s="216"/>
      <c r="R449" s="216"/>
      <c r="S449" s="216"/>
      <c r="T449" s="216"/>
      <c r="U449" s="216"/>
      <c r="V449" s="216"/>
      <c r="W449" s="216"/>
      <c r="X449" s="216"/>
      <c r="Y449" s="216"/>
      <c r="Z449" s="216"/>
      <c r="AA449" s="216"/>
      <c r="AB449" s="216"/>
      <c r="AC449" s="216"/>
      <c r="AD449" s="216"/>
      <c r="AE449" s="216"/>
      <c r="AF449" s="216"/>
      <c r="AG449" s="216"/>
      <c r="AH449" s="216"/>
      <c r="AI449" s="216"/>
      <c r="AJ449" s="216"/>
      <c r="AK449" s="216"/>
      <c r="AL449" s="216"/>
      <c r="AM449" s="216"/>
      <c r="AN449" s="216"/>
      <c r="AO449" s="216"/>
      <c r="AP449" s="216"/>
      <c r="AQ449" s="216"/>
      <c r="AR449" s="216"/>
    </row>
    <row r="450">
      <c r="A450" s="216"/>
      <c r="B450" s="216"/>
      <c r="C450" s="216"/>
      <c r="D450" s="216"/>
      <c r="E450" s="216"/>
      <c r="F450" s="216"/>
      <c r="G450" s="216"/>
      <c r="H450" s="216"/>
      <c r="I450" s="219"/>
      <c r="J450" s="216"/>
      <c r="K450" s="216"/>
      <c r="L450" s="216"/>
      <c r="M450" s="216"/>
      <c r="N450" s="216"/>
      <c r="O450" s="216"/>
      <c r="P450" s="216"/>
      <c r="Q450" s="216"/>
      <c r="R450" s="216"/>
      <c r="S450" s="216"/>
      <c r="T450" s="216"/>
      <c r="U450" s="216"/>
      <c r="V450" s="216"/>
      <c r="W450" s="216"/>
      <c r="X450" s="216"/>
      <c r="Y450" s="216"/>
      <c r="Z450" s="216"/>
      <c r="AA450" s="216"/>
      <c r="AB450" s="216"/>
      <c r="AC450" s="216"/>
      <c r="AD450" s="216"/>
      <c r="AE450" s="216"/>
      <c r="AF450" s="216"/>
      <c r="AG450" s="216"/>
      <c r="AH450" s="216"/>
      <c r="AI450" s="216"/>
      <c r="AJ450" s="216"/>
      <c r="AK450" s="216"/>
      <c r="AL450" s="216"/>
      <c r="AM450" s="216"/>
      <c r="AN450" s="216"/>
      <c r="AO450" s="216"/>
      <c r="AP450" s="216"/>
      <c r="AQ450" s="216"/>
      <c r="AR450" s="216"/>
    </row>
    <row r="451">
      <c r="A451" s="216"/>
      <c r="B451" s="216"/>
      <c r="C451" s="216"/>
      <c r="D451" s="216"/>
      <c r="E451" s="216"/>
      <c r="F451" s="216"/>
      <c r="G451" s="216"/>
      <c r="H451" s="216"/>
      <c r="I451" s="219"/>
      <c r="J451" s="216"/>
      <c r="K451" s="216"/>
      <c r="L451" s="216"/>
      <c r="M451" s="216"/>
      <c r="N451" s="216"/>
      <c r="O451" s="216"/>
      <c r="P451" s="216"/>
      <c r="Q451" s="216"/>
      <c r="R451" s="216"/>
      <c r="S451" s="216"/>
      <c r="T451" s="216"/>
      <c r="U451" s="216"/>
      <c r="V451" s="216"/>
      <c r="W451" s="216"/>
      <c r="X451" s="216"/>
      <c r="Y451" s="216"/>
      <c r="Z451" s="216"/>
      <c r="AA451" s="216"/>
      <c r="AB451" s="216"/>
      <c r="AC451" s="216"/>
      <c r="AD451" s="216"/>
      <c r="AE451" s="216"/>
      <c r="AF451" s="216"/>
      <c r="AG451" s="216"/>
      <c r="AH451" s="216"/>
      <c r="AI451" s="216"/>
      <c r="AJ451" s="216"/>
      <c r="AK451" s="216"/>
      <c r="AL451" s="216"/>
      <c r="AM451" s="216"/>
      <c r="AN451" s="216"/>
      <c r="AO451" s="216"/>
      <c r="AP451" s="216"/>
      <c r="AQ451" s="216"/>
      <c r="AR451" s="216"/>
    </row>
    <row r="452">
      <c r="A452" s="216"/>
      <c r="B452" s="216"/>
      <c r="C452" s="216"/>
      <c r="D452" s="216"/>
      <c r="E452" s="216"/>
      <c r="F452" s="216"/>
      <c r="G452" s="216"/>
      <c r="H452" s="216"/>
      <c r="I452" s="219"/>
      <c r="J452" s="216"/>
      <c r="K452" s="216"/>
      <c r="L452" s="216"/>
      <c r="M452" s="216"/>
      <c r="N452" s="216"/>
      <c r="O452" s="216"/>
      <c r="P452" s="216"/>
      <c r="Q452" s="216"/>
      <c r="R452" s="216"/>
      <c r="S452" s="216"/>
      <c r="T452" s="216"/>
      <c r="U452" s="216"/>
      <c r="V452" s="216"/>
      <c r="W452" s="216"/>
      <c r="X452" s="216"/>
      <c r="Y452" s="216"/>
      <c r="Z452" s="216"/>
      <c r="AA452" s="216"/>
      <c r="AB452" s="216"/>
      <c r="AC452" s="216"/>
      <c r="AD452" s="216"/>
      <c r="AE452" s="216"/>
      <c r="AF452" s="216"/>
      <c r="AG452" s="216"/>
      <c r="AH452" s="216"/>
      <c r="AI452" s="216"/>
      <c r="AJ452" s="216"/>
      <c r="AK452" s="216"/>
      <c r="AL452" s="216"/>
      <c r="AM452" s="216"/>
      <c r="AN452" s="216"/>
      <c r="AO452" s="216"/>
      <c r="AP452" s="216"/>
      <c r="AQ452" s="216"/>
      <c r="AR452" s="216"/>
    </row>
    <row r="453">
      <c r="A453" s="216"/>
      <c r="B453" s="216"/>
      <c r="C453" s="216"/>
      <c r="D453" s="216"/>
      <c r="E453" s="216"/>
      <c r="F453" s="216"/>
      <c r="G453" s="216"/>
      <c r="H453" s="216"/>
      <c r="I453" s="219"/>
      <c r="J453" s="216"/>
      <c r="K453" s="216"/>
      <c r="L453" s="216"/>
      <c r="M453" s="216"/>
      <c r="N453" s="216"/>
      <c r="O453" s="216"/>
      <c r="P453" s="216"/>
      <c r="Q453" s="216"/>
      <c r="R453" s="216"/>
      <c r="S453" s="216"/>
      <c r="T453" s="216"/>
      <c r="U453" s="216"/>
      <c r="V453" s="216"/>
      <c r="W453" s="216"/>
      <c r="X453" s="216"/>
      <c r="Y453" s="216"/>
      <c r="Z453" s="216"/>
      <c r="AA453" s="216"/>
      <c r="AB453" s="216"/>
      <c r="AC453" s="216"/>
      <c r="AD453" s="216"/>
      <c r="AE453" s="216"/>
      <c r="AF453" s="216"/>
      <c r="AG453" s="216"/>
      <c r="AH453" s="216"/>
      <c r="AI453" s="216"/>
      <c r="AJ453" s="216"/>
      <c r="AK453" s="216"/>
      <c r="AL453" s="216"/>
      <c r="AM453" s="216"/>
      <c r="AN453" s="216"/>
      <c r="AO453" s="216"/>
      <c r="AP453" s="216"/>
      <c r="AQ453" s="216"/>
      <c r="AR453" s="216"/>
    </row>
    <row r="454">
      <c r="A454" s="216"/>
      <c r="B454" s="216"/>
      <c r="C454" s="216"/>
      <c r="D454" s="216"/>
      <c r="E454" s="216"/>
      <c r="F454" s="216"/>
      <c r="G454" s="216"/>
      <c r="H454" s="216"/>
      <c r="I454" s="219"/>
      <c r="J454" s="216"/>
      <c r="K454" s="216"/>
      <c r="L454" s="216"/>
      <c r="M454" s="216"/>
      <c r="N454" s="216"/>
      <c r="O454" s="216"/>
      <c r="P454" s="216"/>
      <c r="Q454" s="216"/>
      <c r="R454" s="216"/>
      <c r="S454" s="216"/>
      <c r="T454" s="216"/>
      <c r="U454" s="216"/>
      <c r="V454" s="216"/>
      <c r="W454" s="216"/>
      <c r="X454" s="216"/>
      <c r="Y454" s="216"/>
      <c r="Z454" s="216"/>
      <c r="AA454" s="216"/>
      <c r="AB454" s="216"/>
      <c r="AC454" s="216"/>
      <c r="AD454" s="216"/>
      <c r="AE454" s="216"/>
      <c r="AF454" s="216"/>
      <c r="AG454" s="216"/>
      <c r="AH454" s="216"/>
      <c r="AI454" s="216"/>
      <c r="AJ454" s="216"/>
      <c r="AK454" s="216"/>
      <c r="AL454" s="216"/>
      <c r="AM454" s="216"/>
      <c r="AN454" s="216"/>
      <c r="AO454" s="216"/>
      <c r="AP454" s="216"/>
      <c r="AQ454" s="216"/>
      <c r="AR454" s="216"/>
    </row>
    <row r="455">
      <c r="A455" s="216"/>
      <c r="B455" s="216"/>
      <c r="C455" s="216"/>
      <c r="D455" s="216"/>
      <c r="E455" s="216"/>
      <c r="F455" s="216"/>
      <c r="G455" s="216"/>
      <c r="H455" s="216"/>
      <c r="I455" s="219"/>
      <c r="J455" s="216"/>
      <c r="K455" s="216"/>
      <c r="L455" s="216"/>
      <c r="M455" s="216"/>
      <c r="N455" s="216"/>
      <c r="O455" s="216"/>
      <c r="P455" s="216"/>
      <c r="Q455" s="216"/>
      <c r="R455" s="216"/>
      <c r="S455" s="216"/>
      <c r="T455" s="216"/>
      <c r="U455" s="216"/>
      <c r="V455" s="216"/>
      <c r="W455" s="216"/>
      <c r="X455" s="216"/>
      <c r="Y455" s="216"/>
      <c r="Z455" s="216"/>
      <c r="AA455" s="216"/>
      <c r="AB455" s="216"/>
      <c r="AC455" s="216"/>
      <c r="AD455" s="216"/>
      <c r="AE455" s="216"/>
      <c r="AF455" s="216"/>
      <c r="AG455" s="216"/>
      <c r="AH455" s="216"/>
      <c r="AI455" s="216"/>
      <c r="AJ455" s="216"/>
      <c r="AK455" s="216"/>
      <c r="AL455" s="216"/>
      <c r="AM455" s="216"/>
      <c r="AN455" s="216"/>
      <c r="AO455" s="216"/>
      <c r="AP455" s="216"/>
      <c r="AQ455" s="216"/>
      <c r="AR455" s="216"/>
    </row>
    <row r="456">
      <c r="A456" s="216"/>
      <c r="B456" s="216"/>
      <c r="C456" s="216"/>
      <c r="D456" s="216"/>
      <c r="E456" s="216"/>
      <c r="F456" s="216"/>
      <c r="G456" s="216"/>
      <c r="H456" s="216"/>
      <c r="I456" s="219"/>
      <c r="J456" s="216"/>
      <c r="K456" s="216"/>
      <c r="L456" s="216"/>
      <c r="M456" s="216"/>
      <c r="N456" s="216"/>
      <c r="O456" s="216"/>
      <c r="P456" s="216"/>
      <c r="Q456" s="216"/>
      <c r="R456" s="216"/>
      <c r="S456" s="216"/>
      <c r="T456" s="216"/>
      <c r="U456" s="216"/>
      <c r="V456" s="216"/>
      <c r="W456" s="216"/>
      <c r="X456" s="216"/>
      <c r="Y456" s="216"/>
      <c r="Z456" s="216"/>
      <c r="AA456" s="216"/>
      <c r="AB456" s="216"/>
      <c r="AC456" s="216"/>
      <c r="AD456" s="216"/>
      <c r="AE456" s="216"/>
      <c r="AF456" s="216"/>
      <c r="AG456" s="216"/>
      <c r="AH456" s="216"/>
      <c r="AI456" s="216"/>
      <c r="AJ456" s="216"/>
      <c r="AK456" s="216"/>
      <c r="AL456" s="216"/>
      <c r="AM456" s="216"/>
      <c r="AN456" s="216"/>
      <c r="AO456" s="216"/>
      <c r="AP456" s="216"/>
      <c r="AQ456" s="216"/>
      <c r="AR456" s="216"/>
    </row>
    <row r="457">
      <c r="A457" s="216"/>
      <c r="B457" s="216"/>
      <c r="C457" s="216"/>
      <c r="D457" s="216"/>
      <c r="E457" s="216"/>
      <c r="F457" s="216"/>
      <c r="G457" s="216"/>
      <c r="H457" s="216"/>
      <c r="I457" s="219"/>
      <c r="J457" s="216"/>
      <c r="K457" s="216"/>
      <c r="L457" s="216"/>
      <c r="M457" s="216"/>
      <c r="N457" s="216"/>
      <c r="O457" s="216"/>
      <c r="P457" s="216"/>
      <c r="Q457" s="216"/>
      <c r="R457" s="216"/>
      <c r="S457" s="216"/>
      <c r="T457" s="216"/>
      <c r="U457" s="216"/>
      <c r="V457" s="216"/>
      <c r="W457" s="216"/>
      <c r="X457" s="216"/>
      <c r="Y457" s="216"/>
      <c r="Z457" s="216"/>
      <c r="AA457" s="216"/>
      <c r="AB457" s="216"/>
      <c r="AC457" s="216"/>
      <c r="AD457" s="216"/>
      <c r="AE457" s="216"/>
      <c r="AF457" s="216"/>
      <c r="AG457" s="216"/>
      <c r="AH457" s="216"/>
      <c r="AI457" s="216"/>
      <c r="AJ457" s="216"/>
      <c r="AK457" s="216"/>
      <c r="AL457" s="216"/>
      <c r="AM457" s="216"/>
      <c r="AN457" s="216"/>
      <c r="AO457" s="216"/>
      <c r="AP457" s="216"/>
      <c r="AQ457" s="216"/>
      <c r="AR457" s="216"/>
    </row>
    <row r="458">
      <c r="A458" s="216"/>
      <c r="B458" s="216"/>
      <c r="C458" s="216"/>
      <c r="D458" s="216"/>
      <c r="E458" s="216"/>
      <c r="F458" s="216"/>
      <c r="G458" s="216"/>
      <c r="H458" s="216"/>
      <c r="I458" s="219"/>
      <c r="J458" s="216"/>
      <c r="K458" s="216"/>
      <c r="L458" s="216"/>
      <c r="M458" s="216"/>
      <c r="N458" s="216"/>
      <c r="O458" s="216"/>
      <c r="P458" s="216"/>
      <c r="Q458" s="216"/>
      <c r="R458" s="216"/>
      <c r="S458" s="216"/>
      <c r="T458" s="216"/>
      <c r="U458" s="216"/>
      <c r="V458" s="216"/>
      <c r="W458" s="216"/>
      <c r="X458" s="216"/>
      <c r="Y458" s="216"/>
      <c r="Z458" s="216"/>
      <c r="AA458" s="216"/>
      <c r="AB458" s="216"/>
      <c r="AC458" s="216"/>
      <c r="AD458" s="216"/>
      <c r="AE458" s="216"/>
      <c r="AF458" s="216"/>
      <c r="AG458" s="216"/>
      <c r="AH458" s="216"/>
      <c r="AI458" s="216"/>
      <c r="AJ458" s="216"/>
      <c r="AK458" s="216"/>
      <c r="AL458" s="216"/>
      <c r="AM458" s="216"/>
      <c r="AN458" s="216"/>
      <c r="AO458" s="216"/>
      <c r="AP458" s="216"/>
      <c r="AQ458" s="216"/>
      <c r="AR458" s="216"/>
    </row>
    <row r="459">
      <c r="A459" s="216"/>
      <c r="B459" s="216"/>
      <c r="C459" s="216"/>
      <c r="D459" s="216"/>
      <c r="E459" s="216"/>
      <c r="F459" s="216"/>
      <c r="G459" s="216"/>
      <c r="H459" s="216"/>
      <c r="I459" s="219"/>
      <c r="J459" s="216"/>
      <c r="K459" s="216"/>
      <c r="L459" s="216"/>
      <c r="M459" s="216"/>
      <c r="N459" s="216"/>
      <c r="O459" s="216"/>
      <c r="P459" s="216"/>
      <c r="Q459" s="216"/>
      <c r="R459" s="216"/>
      <c r="S459" s="216"/>
      <c r="T459" s="216"/>
      <c r="U459" s="216"/>
      <c r="V459" s="216"/>
      <c r="W459" s="216"/>
      <c r="X459" s="216"/>
      <c r="Y459" s="216"/>
      <c r="Z459" s="216"/>
      <c r="AA459" s="216"/>
      <c r="AB459" s="216"/>
      <c r="AC459" s="216"/>
      <c r="AD459" s="216"/>
      <c r="AE459" s="216"/>
      <c r="AF459" s="216"/>
      <c r="AG459" s="216"/>
      <c r="AH459" s="216"/>
      <c r="AI459" s="216"/>
      <c r="AJ459" s="216"/>
      <c r="AK459" s="216"/>
      <c r="AL459" s="216"/>
      <c r="AM459" s="216"/>
      <c r="AN459" s="216"/>
      <c r="AO459" s="216"/>
      <c r="AP459" s="216"/>
      <c r="AQ459" s="216"/>
      <c r="AR459" s="216"/>
    </row>
    <row r="460">
      <c r="A460" s="216"/>
      <c r="B460" s="216"/>
      <c r="C460" s="216"/>
      <c r="D460" s="216"/>
      <c r="E460" s="216"/>
      <c r="F460" s="216"/>
      <c r="G460" s="216"/>
      <c r="H460" s="216"/>
      <c r="I460" s="219"/>
      <c r="J460" s="216"/>
      <c r="K460" s="216"/>
      <c r="L460" s="216"/>
      <c r="M460" s="216"/>
      <c r="N460" s="216"/>
      <c r="O460" s="216"/>
      <c r="P460" s="216"/>
      <c r="Q460" s="216"/>
      <c r="R460" s="216"/>
      <c r="S460" s="216"/>
      <c r="T460" s="216"/>
      <c r="U460" s="216"/>
      <c r="V460" s="216"/>
      <c r="W460" s="216"/>
      <c r="X460" s="216"/>
      <c r="Y460" s="216"/>
      <c r="Z460" s="216"/>
      <c r="AA460" s="216"/>
      <c r="AB460" s="216"/>
      <c r="AC460" s="216"/>
      <c r="AD460" s="216"/>
      <c r="AE460" s="216"/>
      <c r="AF460" s="216"/>
      <c r="AG460" s="216"/>
      <c r="AH460" s="216"/>
      <c r="AI460" s="216"/>
      <c r="AJ460" s="216"/>
      <c r="AK460" s="216"/>
      <c r="AL460" s="216"/>
      <c r="AM460" s="216"/>
      <c r="AN460" s="216"/>
      <c r="AO460" s="216"/>
      <c r="AP460" s="216"/>
      <c r="AQ460" s="216"/>
      <c r="AR460" s="216"/>
    </row>
    <row r="461">
      <c r="A461" s="216"/>
      <c r="B461" s="216"/>
      <c r="C461" s="216"/>
      <c r="D461" s="216"/>
      <c r="E461" s="216"/>
      <c r="F461" s="216"/>
      <c r="G461" s="216"/>
      <c r="H461" s="216"/>
      <c r="I461" s="219"/>
      <c r="J461" s="216"/>
      <c r="K461" s="216"/>
      <c r="L461" s="216"/>
      <c r="M461" s="216"/>
      <c r="N461" s="216"/>
      <c r="O461" s="216"/>
      <c r="P461" s="216"/>
      <c r="Q461" s="216"/>
      <c r="R461" s="216"/>
      <c r="S461" s="216"/>
      <c r="T461" s="216"/>
      <c r="U461" s="216"/>
      <c r="V461" s="216"/>
      <c r="W461" s="216"/>
      <c r="X461" s="216"/>
      <c r="Y461" s="216"/>
      <c r="Z461" s="216"/>
      <c r="AA461" s="216"/>
      <c r="AB461" s="216"/>
      <c r="AC461" s="216"/>
      <c r="AD461" s="216"/>
      <c r="AE461" s="216"/>
      <c r="AF461" s="216"/>
      <c r="AG461" s="216"/>
      <c r="AH461" s="216"/>
      <c r="AI461" s="216"/>
      <c r="AJ461" s="216"/>
      <c r="AK461" s="216"/>
      <c r="AL461" s="216"/>
      <c r="AM461" s="216"/>
      <c r="AN461" s="216"/>
      <c r="AO461" s="216"/>
      <c r="AP461" s="216"/>
      <c r="AQ461" s="216"/>
      <c r="AR461" s="216"/>
    </row>
    <row r="462">
      <c r="A462" s="216"/>
      <c r="B462" s="216"/>
      <c r="C462" s="216"/>
      <c r="D462" s="216"/>
      <c r="E462" s="216"/>
      <c r="F462" s="216"/>
      <c r="G462" s="216"/>
      <c r="H462" s="216"/>
      <c r="I462" s="219"/>
      <c r="J462" s="216"/>
      <c r="K462" s="216"/>
      <c r="L462" s="216"/>
      <c r="M462" s="216"/>
      <c r="N462" s="216"/>
      <c r="O462" s="216"/>
      <c r="P462" s="216"/>
      <c r="Q462" s="216"/>
      <c r="R462" s="216"/>
      <c r="S462" s="216"/>
      <c r="T462" s="216"/>
      <c r="U462" s="216"/>
      <c r="V462" s="216"/>
      <c r="W462" s="216"/>
      <c r="X462" s="216"/>
      <c r="Y462" s="216"/>
      <c r="Z462" s="216"/>
      <c r="AA462" s="216"/>
      <c r="AB462" s="216"/>
      <c r="AC462" s="216"/>
      <c r="AD462" s="216"/>
      <c r="AE462" s="216"/>
      <c r="AF462" s="216"/>
      <c r="AG462" s="216"/>
      <c r="AH462" s="216"/>
      <c r="AI462" s="216"/>
      <c r="AJ462" s="216"/>
      <c r="AK462" s="216"/>
      <c r="AL462" s="216"/>
      <c r="AM462" s="216"/>
      <c r="AN462" s="216"/>
      <c r="AO462" s="216"/>
      <c r="AP462" s="216"/>
      <c r="AQ462" s="216"/>
      <c r="AR462" s="216"/>
    </row>
    <row r="463">
      <c r="A463" s="216"/>
      <c r="B463" s="216"/>
      <c r="C463" s="216"/>
      <c r="D463" s="216"/>
      <c r="E463" s="216"/>
      <c r="F463" s="216"/>
      <c r="G463" s="216"/>
      <c r="H463" s="216"/>
      <c r="I463" s="219"/>
      <c r="J463" s="216"/>
      <c r="K463" s="216"/>
      <c r="L463" s="216"/>
      <c r="M463" s="216"/>
      <c r="N463" s="216"/>
      <c r="O463" s="216"/>
      <c r="P463" s="216"/>
      <c r="Q463" s="216"/>
      <c r="R463" s="216"/>
      <c r="S463" s="216"/>
      <c r="T463" s="216"/>
      <c r="U463" s="216"/>
      <c r="V463" s="216"/>
      <c r="W463" s="216"/>
      <c r="X463" s="216"/>
      <c r="Y463" s="216"/>
      <c r="Z463" s="216"/>
      <c r="AA463" s="216"/>
      <c r="AB463" s="216"/>
      <c r="AC463" s="216"/>
      <c r="AD463" s="216"/>
      <c r="AE463" s="216"/>
      <c r="AF463" s="216"/>
      <c r="AG463" s="216"/>
      <c r="AH463" s="216"/>
      <c r="AI463" s="216"/>
      <c r="AJ463" s="216"/>
      <c r="AK463" s="216"/>
      <c r="AL463" s="216"/>
      <c r="AM463" s="216"/>
      <c r="AN463" s="216"/>
      <c r="AO463" s="216"/>
      <c r="AP463" s="216"/>
      <c r="AQ463" s="216"/>
      <c r="AR463" s="216"/>
    </row>
    <row r="464">
      <c r="A464" s="216"/>
      <c r="B464" s="216"/>
      <c r="C464" s="216"/>
      <c r="D464" s="216"/>
      <c r="E464" s="216"/>
      <c r="F464" s="216"/>
      <c r="G464" s="216"/>
      <c r="H464" s="216"/>
      <c r="I464" s="219"/>
      <c r="J464" s="216"/>
      <c r="K464" s="216"/>
      <c r="L464" s="216"/>
      <c r="M464" s="216"/>
      <c r="N464" s="216"/>
      <c r="O464" s="216"/>
      <c r="P464" s="216"/>
      <c r="Q464" s="216"/>
      <c r="R464" s="216"/>
      <c r="S464" s="216"/>
      <c r="T464" s="216"/>
      <c r="U464" s="216"/>
      <c r="V464" s="216"/>
      <c r="W464" s="216"/>
      <c r="X464" s="216"/>
      <c r="Y464" s="216"/>
      <c r="Z464" s="216"/>
      <c r="AA464" s="216"/>
      <c r="AB464" s="216"/>
      <c r="AC464" s="216"/>
      <c r="AD464" s="216"/>
      <c r="AE464" s="216"/>
      <c r="AF464" s="216"/>
      <c r="AG464" s="216"/>
      <c r="AH464" s="216"/>
      <c r="AI464" s="216"/>
      <c r="AJ464" s="216"/>
      <c r="AK464" s="216"/>
      <c r="AL464" s="216"/>
      <c r="AM464" s="216"/>
      <c r="AN464" s="216"/>
      <c r="AO464" s="216"/>
      <c r="AP464" s="216"/>
      <c r="AQ464" s="216"/>
      <c r="AR464" s="216"/>
    </row>
    <row r="465">
      <c r="A465" s="216"/>
      <c r="B465" s="216"/>
      <c r="C465" s="216"/>
      <c r="D465" s="216"/>
      <c r="E465" s="216"/>
      <c r="F465" s="216"/>
      <c r="G465" s="216"/>
      <c r="H465" s="216"/>
      <c r="I465" s="219"/>
      <c r="J465" s="216"/>
      <c r="K465" s="216"/>
      <c r="L465" s="216"/>
      <c r="M465" s="216"/>
      <c r="N465" s="216"/>
      <c r="O465" s="216"/>
      <c r="P465" s="216"/>
      <c r="Q465" s="216"/>
      <c r="R465" s="216"/>
      <c r="S465" s="216"/>
      <c r="T465" s="216"/>
      <c r="U465" s="216"/>
      <c r="V465" s="216"/>
      <c r="W465" s="216"/>
      <c r="X465" s="216"/>
      <c r="Y465" s="216"/>
      <c r="Z465" s="216"/>
      <c r="AA465" s="216"/>
      <c r="AB465" s="216"/>
      <c r="AC465" s="216"/>
      <c r="AD465" s="216"/>
      <c r="AE465" s="216"/>
      <c r="AF465" s="216"/>
      <c r="AG465" s="216"/>
      <c r="AH465" s="216"/>
      <c r="AI465" s="216"/>
      <c r="AJ465" s="216"/>
      <c r="AK465" s="216"/>
      <c r="AL465" s="216"/>
      <c r="AM465" s="216"/>
      <c r="AN465" s="216"/>
      <c r="AO465" s="216"/>
      <c r="AP465" s="216"/>
      <c r="AQ465" s="216"/>
      <c r="AR465" s="216"/>
    </row>
    <row r="466">
      <c r="A466" s="216"/>
      <c r="B466" s="216"/>
      <c r="C466" s="216"/>
      <c r="D466" s="216"/>
      <c r="E466" s="216"/>
      <c r="F466" s="216"/>
      <c r="G466" s="216"/>
      <c r="H466" s="216"/>
      <c r="I466" s="219"/>
      <c r="J466" s="216"/>
      <c r="K466" s="216"/>
      <c r="L466" s="216"/>
      <c r="M466" s="216"/>
      <c r="N466" s="216"/>
      <c r="O466" s="216"/>
      <c r="P466" s="216"/>
      <c r="Q466" s="216"/>
      <c r="R466" s="216"/>
      <c r="S466" s="216"/>
      <c r="T466" s="216"/>
      <c r="U466" s="216"/>
      <c r="V466" s="216"/>
      <c r="W466" s="216"/>
      <c r="X466" s="216"/>
      <c r="Y466" s="216"/>
      <c r="Z466" s="216"/>
      <c r="AA466" s="216"/>
      <c r="AB466" s="216"/>
      <c r="AC466" s="216"/>
      <c r="AD466" s="216"/>
      <c r="AE466" s="216"/>
      <c r="AF466" s="216"/>
      <c r="AG466" s="216"/>
      <c r="AH466" s="216"/>
      <c r="AI466" s="216"/>
      <c r="AJ466" s="216"/>
      <c r="AK466" s="216"/>
      <c r="AL466" s="216"/>
      <c r="AM466" s="216"/>
      <c r="AN466" s="216"/>
      <c r="AO466" s="216"/>
      <c r="AP466" s="216"/>
      <c r="AQ466" s="216"/>
      <c r="AR466" s="216"/>
    </row>
    <row r="467">
      <c r="A467" s="216"/>
      <c r="B467" s="216"/>
      <c r="C467" s="216"/>
      <c r="D467" s="216"/>
      <c r="E467" s="216"/>
      <c r="F467" s="216"/>
      <c r="G467" s="216"/>
      <c r="H467" s="216"/>
      <c r="I467" s="219"/>
      <c r="J467" s="216"/>
      <c r="K467" s="216"/>
      <c r="L467" s="216"/>
      <c r="M467" s="216"/>
      <c r="N467" s="216"/>
      <c r="O467" s="216"/>
      <c r="P467" s="216"/>
      <c r="Q467" s="216"/>
      <c r="R467" s="216"/>
      <c r="S467" s="216"/>
      <c r="T467" s="216"/>
      <c r="U467" s="216"/>
      <c r="V467" s="216"/>
      <c r="W467" s="216"/>
      <c r="X467" s="216"/>
      <c r="Y467" s="216"/>
      <c r="Z467" s="216"/>
      <c r="AA467" s="216"/>
      <c r="AB467" s="216"/>
      <c r="AC467" s="216"/>
      <c r="AD467" s="216"/>
      <c r="AE467" s="216"/>
      <c r="AF467" s="216"/>
      <c r="AG467" s="216"/>
      <c r="AH467" s="216"/>
      <c r="AI467" s="216"/>
      <c r="AJ467" s="216"/>
      <c r="AK467" s="216"/>
      <c r="AL467" s="216"/>
      <c r="AM467" s="216"/>
      <c r="AN467" s="216"/>
      <c r="AO467" s="216"/>
      <c r="AP467" s="216"/>
      <c r="AQ467" s="216"/>
      <c r="AR467" s="216"/>
    </row>
    <row r="468">
      <c r="A468" s="216"/>
      <c r="B468" s="216"/>
      <c r="C468" s="216"/>
      <c r="D468" s="216"/>
      <c r="E468" s="216"/>
      <c r="F468" s="216"/>
      <c r="G468" s="216"/>
      <c r="H468" s="216"/>
      <c r="I468" s="219"/>
      <c r="J468" s="216"/>
      <c r="K468" s="216"/>
      <c r="L468" s="216"/>
      <c r="M468" s="216"/>
      <c r="N468" s="216"/>
      <c r="O468" s="216"/>
      <c r="P468" s="216"/>
      <c r="Q468" s="216"/>
      <c r="R468" s="216"/>
      <c r="S468" s="216"/>
      <c r="T468" s="216"/>
      <c r="U468" s="216"/>
      <c r="V468" s="216"/>
      <c r="W468" s="216"/>
      <c r="X468" s="216"/>
      <c r="Y468" s="216"/>
      <c r="Z468" s="216"/>
      <c r="AA468" s="216"/>
      <c r="AB468" s="216"/>
      <c r="AC468" s="216"/>
      <c r="AD468" s="216"/>
      <c r="AE468" s="216"/>
      <c r="AF468" s="216"/>
      <c r="AG468" s="216"/>
      <c r="AH468" s="216"/>
      <c r="AI468" s="216"/>
      <c r="AJ468" s="216"/>
      <c r="AK468" s="216"/>
      <c r="AL468" s="216"/>
      <c r="AM468" s="216"/>
      <c r="AN468" s="216"/>
      <c r="AO468" s="216"/>
      <c r="AP468" s="216"/>
      <c r="AQ468" s="216"/>
      <c r="AR468" s="216"/>
    </row>
    <row r="469">
      <c r="A469" s="216"/>
      <c r="B469" s="216"/>
      <c r="C469" s="216"/>
      <c r="D469" s="216"/>
      <c r="E469" s="216"/>
      <c r="F469" s="216"/>
      <c r="G469" s="216"/>
      <c r="H469" s="216"/>
      <c r="I469" s="219"/>
      <c r="J469" s="216"/>
      <c r="K469" s="216"/>
      <c r="L469" s="216"/>
      <c r="M469" s="216"/>
      <c r="N469" s="216"/>
      <c r="O469" s="216"/>
      <c r="P469" s="216"/>
      <c r="Q469" s="216"/>
      <c r="R469" s="216"/>
      <c r="S469" s="216"/>
      <c r="T469" s="216"/>
      <c r="U469" s="216"/>
      <c r="V469" s="216"/>
      <c r="W469" s="216"/>
      <c r="X469" s="216"/>
      <c r="Y469" s="216"/>
      <c r="Z469" s="216"/>
      <c r="AA469" s="216"/>
      <c r="AB469" s="216"/>
      <c r="AC469" s="216"/>
      <c r="AD469" s="216"/>
      <c r="AE469" s="216"/>
      <c r="AF469" s="216"/>
      <c r="AG469" s="216"/>
      <c r="AH469" s="216"/>
      <c r="AI469" s="216"/>
      <c r="AJ469" s="216"/>
      <c r="AK469" s="216"/>
      <c r="AL469" s="216"/>
      <c r="AM469" s="216"/>
      <c r="AN469" s="216"/>
      <c r="AO469" s="216"/>
      <c r="AP469" s="216"/>
      <c r="AQ469" s="216"/>
      <c r="AR469" s="216"/>
    </row>
    <row r="470">
      <c r="A470" s="216"/>
      <c r="B470" s="216"/>
      <c r="C470" s="216"/>
      <c r="D470" s="216"/>
      <c r="E470" s="216"/>
      <c r="F470" s="216"/>
      <c r="G470" s="216"/>
      <c r="H470" s="216"/>
      <c r="I470" s="219"/>
      <c r="J470" s="216"/>
      <c r="K470" s="216"/>
      <c r="L470" s="216"/>
      <c r="M470" s="216"/>
      <c r="N470" s="216"/>
      <c r="O470" s="216"/>
      <c r="P470" s="216"/>
      <c r="Q470" s="216"/>
      <c r="R470" s="216"/>
      <c r="S470" s="216"/>
      <c r="T470" s="216"/>
      <c r="U470" s="216"/>
      <c r="V470" s="216"/>
      <c r="W470" s="216"/>
      <c r="X470" s="216"/>
      <c r="Y470" s="216"/>
      <c r="Z470" s="216"/>
      <c r="AA470" s="216"/>
      <c r="AB470" s="216"/>
      <c r="AC470" s="216"/>
      <c r="AD470" s="216"/>
      <c r="AE470" s="216"/>
      <c r="AF470" s="216"/>
      <c r="AG470" s="216"/>
      <c r="AH470" s="216"/>
      <c r="AI470" s="216"/>
      <c r="AJ470" s="216"/>
      <c r="AK470" s="216"/>
      <c r="AL470" s="216"/>
      <c r="AM470" s="216"/>
      <c r="AN470" s="216"/>
      <c r="AO470" s="216"/>
      <c r="AP470" s="216"/>
      <c r="AQ470" s="216"/>
      <c r="AR470" s="216"/>
    </row>
    <row r="471">
      <c r="A471" s="216"/>
      <c r="B471" s="216"/>
      <c r="C471" s="216"/>
      <c r="D471" s="216"/>
      <c r="E471" s="216"/>
      <c r="F471" s="216"/>
      <c r="G471" s="216"/>
      <c r="H471" s="216"/>
      <c r="I471" s="219"/>
      <c r="J471" s="216"/>
      <c r="K471" s="216"/>
      <c r="L471" s="216"/>
      <c r="M471" s="216"/>
      <c r="N471" s="216"/>
      <c r="O471" s="216"/>
      <c r="P471" s="216"/>
      <c r="Q471" s="216"/>
      <c r="R471" s="216"/>
      <c r="S471" s="216"/>
      <c r="T471" s="216"/>
      <c r="U471" s="216"/>
      <c r="V471" s="216"/>
      <c r="W471" s="216"/>
      <c r="X471" s="216"/>
      <c r="Y471" s="216"/>
      <c r="Z471" s="216"/>
      <c r="AA471" s="216"/>
      <c r="AB471" s="216"/>
      <c r="AC471" s="216"/>
      <c r="AD471" s="216"/>
      <c r="AE471" s="216"/>
      <c r="AF471" s="216"/>
      <c r="AG471" s="216"/>
      <c r="AH471" s="216"/>
      <c r="AI471" s="216"/>
      <c r="AJ471" s="216"/>
      <c r="AK471" s="216"/>
      <c r="AL471" s="216"/>
      <c r="AM471" s="216"/>
      <c r="AN471" s="216"/>
      <c r="AO471" s="216"/>
      <c r="AP471" s="216"/>
      <c r="AQ471" s="216"/>
      <c r="AR471" s="216"/>
    </row>
    <row r="472">
      <c r="A472" s="216"/>
      <c r="B472" s="216"/>
      <c r="C472" s="216"/>
      <c r="D472" s="216"/>
      <c r="E472" s="216"/>
      <c r="F472" s="216"/>
      <c r="G472" s="216"/>
      <c r="H472" s="216"/>
      <c r="I472" s="219"/>
      <c r="J472" s="216"/>
      <c r="K472" s="216"/>
      <c r="L472" s="216"/>
      <c r="M472" s="216"/>
      <c r="N472" s="216"/>
      <c r="O472" s="216"/>
      <c r="P472" s="216"/>
      <c r="Q472" s="216"/>
      <c r="R472" s="216"/>
      <c r="S472" s="216"/>
      <c r="T472" s="216"/>
      <c r="U472" s="216"/>
      <c r="V472" s="216"/>
      <c r="W472" s="216"/>
      <c r="X472" s="216"/>
      <c r="Y472" s="216"/>
      <c r="Z472" s="216"/>
      <c r="AA472" s="216"/>
      <c r="AB472" s="216"/>
      <c r="AC472" s="216"/>
      <c r="AD472" s="216"/>
      <c r="AE472" s="216"/>
      <c r="AF472" s="216"/>
      <c r="AG472" s="216"/>
      <c r="AH472" s="216"/>
      <c r="AI472" s="216"/>
      <c r="AJ472" s="216"/>
      <c r="AK472" s="216"/>
      <c r="AL472" s="216"/>
      <c r="AM472" s="216"/>
      <c r="AN472" s="216"/>
      <c r="AO472" s="216"/>
      <c r="AP472" s="216"/>
      <c r="AQ472" s="216"/>
      <c r="AR472" s="216"/>
    </row>
    <row r="473">
      <c r="A473" s="216"/>
      <c r="B473" s="216"/>
      <c r="C473" s="216"/>
      <c r="D473" s="216"/>
      <c r="E473" s="216"/>
      <c r="F473" s="216"/>
      <c r="G473" s="216"/>
      <c r="H473" s="216"/>
      <c r="I473" s="219"/>
      <c r="J473" s="216"/>
      <c r="K473" s="216"/>
      <c r="L473" s="216"/>
      <c r="M473" s="216"/>
      <c r="N473" s="216"/>
      <c r="O473" s="216"/>
      <c r="P473" s="216"/>
      <c r="Q473" s="216"/>
      <c r="R473" s="216"/>
      <c r="S473" s="216"/>
      <c r="T473" s="216"/>
      <c r="U473" s="216"/>
      <c r="V473" s="216"/>
      <c r="W473" s="216"/>
      <c r="X473" s="216"/>
      <c r="Y473" s="216"/>
      <c r="Z473" s="216"/>
      <c r="AA473" s="216"/>
      <c r="AB473" s="216"/>
      <c r="AC473" s="216"/>
      <c r="AD473" s="216"/>
      <c r="AE473" s="216"/>
      <c r="AF473" s="216"/>
      <c r="AG473" s="216"/>
      <c r="AH473" s="216"/>
      <c r="AI473" s="216"/>
      <c r="AJ473" s="216"/>
      <c r="AK473" s="216"/>
      <c r="AL473" s="216"/>
      <c r="AM473" s="216"/>
      <c r="AN473" s="216"/>
      <c r="AO473" s="216"/>
      <c r="AP473" s="216"/>
      <c r="AQ473" s="216"/>
      <c r="AR473" s="216"/>
    </row>
    <row r="474">
      <c r="A474" s="216"/>
      <c r="B474" s="216"/>
      <c r="C474" s="216"/>
      <c r="D474" s="216"/>
      <c r="E474" s="216"/>
      <c r="F474" s="216"/>
      <c r="G474" s="216"/>
      <c r="H474" s="216"/>
      <c r="I474" s="219"/>
      <c r="J474" s="216"/>
      <c r="K474" s="216"/>
      <c r="L474" s="216"/>
      <c r="M474" s="216"/>
      <c r="N474" s="216"/>
      <c r="O474" s="216"/>
      <c r="P474" s="216"/>
      <c r="Q474" s="216"/>
      <c r="R474" s="216"/>
      <c r="S474" s="216"/>
      <c r="T474" s="216"/>
      <c r="U474" s="216"/>
      <c r="V474" s="216"/>
      <c r="W474" s="216"/>
      <c r="X474" s="216"/>
      <c r="Y474" s="216"/>
      <c r="Z474" s="216"/>
      <c r="AA474" s="216"/>
      <c r="AB474" s="216"/>
      <c r="AC474" s="216"/>
      <c r="AD474" s="216"/>
      <c r="AE474" s="216"/>
      <c r="AF474" s="216"/>
      <c r="AG474" s="216"/>
      <c r="AH474" s="216"/>
      <c r="AI474" s="216"/>
      <c r="AJ474" s="216"/>
      <c r="AK474" s="216"/>
      <c r="AL474" s="216"/>
      <c r="AM474" s="216"/>
      <c r="AN474" s="216"/>
      <c r="AO474" s="216"/>
      <c r="AP474" s="216"/>
      <c r="AQ474" s="216"/>
      <c r="AR474" s="216"/>
    </row>
    <row r="475">
      <c r="A475" s="216"/>
      <c r="B475" s="216"/>
      <c r="C475" s="216"/>
      <c r="D475" s="216"/>
      <c r="E475" s="216"/>
      <c r="F475" s="216"/>
      <c r="G475" s="216"/>
      <c r="H475" s="216"/>
      <c r="I475" s="219"/>
      <c r="J475" s="216"/>
      <c r="K475" s="216"/>
      <c r="L475" s="216"/>
      <c r="M475" s="216"/>
      <c r="N475" s="216"/>
      <c r="O475" s="216"/>
      <c r="P475" s="216"/>
      <c r="Q475" s="216"/>
      <c r="R475" s="216"/>
      <c r="S475" s="216"/>
      <c r="T475" s="216"/>
      <c r="U475" s="216"/>
      <c r="V475" s="216"/>
      <c r="W475" s="216"/>
      <c r="X475" s="216"/>
      <c r="Y475" s="216"/>
      <c r="Z475" s="216"/>
      <c r="AA475" s="216"/>
      <c r="AB475" s="216"/>
      <c r="AC475" s="216"/>
      <c r="AD475" s="216"/>
      <c r="AE475" s="216"/>
      <c r="AF475" s="216"/>
      <c r="AG475" s="216"/>
      <c r="AH475" s="216"/>
      <c r="AI475" s="216"/>
      <c r="AJ475" s="216"/>
      <c r="AK475" s="216"/>
      <c r="AL475" s="216"/>
      <c r="AM475" s="216"/>
      <c r="AN475" s="216"/>
      <c r="AO475" s="216"/>
      <c r="AP475" s="216"/>
      <c r="AQ475" s="216"/>
      <c r="AR475" s="216"/>
    </row>
    <row r="476">
      <c r="A476" s="216"/>
      <c r="B476" s="216"/>
      <c r="C476" s="216"/>
      <c r="D476" s="216"/>
      <c r="E476" s="216"/>
      <c r="F476" s="216"/>
      <c r="G476" s="216"/>
      <c r="H476" s="216"/>
      <c r="I476" s="219"/>
      <c r="J476" s="216"/>
      <c r="K476" s="216"/>
      <c r="L476" s="216"/>
      <c r="M476" s="216"/>
      <c r="N476" s="216"/>
      <c r="O476" s="216"/>
      <c r="P476" s="216"/>
      <c r="Q476" s="216"/>
      <c r="R476" s="216"/>
      <c r="S476" s="216"/>
      <c r="T476" s="216"/>
      <c r="U476" s="216"/>
      <c r="V476" s="216"/>
      <c r="W476" s="216"/>
      <c r="X476" s="216"/>
      <c r="Y476" s="216"/>
      <c r="Z476" s="216"/>
      <c r="AA476" s="216"/>
      <c r="AB476" s="216"/>
      <c r="AC476" s="216"/>
      <c r="AD476" s="216"/>
      <c r="AE476" s="216"/>
      <c r="AF476" s="216"/>
      <c r="AG476" s="216"/>
      <c r="AH476" s="216"/>
      <c r="AI476" s="216"/>
      <c r="AJ476" s="216"/>
      <c r="AK476" s="216"/>
      <c r="AL476" s="216"/>
      <c r="AM476" s="216"/>
      <c r="AN476" s="216"/>
      <c r="AO476" s="216"/>
      <c r="AP476" s="216"/>
      <c r="AQ476" s="216"/>
      <c r="AR476" s="216"/>
    </row>
    <row r="477">
      <c r="A477" s="216"/>
      <c r="B477" s="216"/>
      <c r="C477" s="216"/>
      <c r="D477" s="216"/>
      <c r="E477" s="216"/>
      <c r="F477" s="216"/>
      <c r="G477" s="216"/>
      <c r="H477" s="216"/>
      <c r="I477" s="219"/>
      <c r="J477" s="216"/>
      <c r="K477" s="216"/>
      <c r="L477" s="216"/>
      <c r="M477" s="216"/>
      <c r="N477" s="216"/>
      <c r="O477" s="216"/>
      <c r="P477" s="216"/>
      <c r="Q477" s="216"/>
      <c r="R477" s="216"/>
      <c r="S477" s="216"/>
      <c r="T477" s="216"/>
      <c r="U477" s="216"/>
      <c r="V477" s="216"/>
      <c r="W477" s="216"/>
      <c r="X477" s="216"/>
      <c r="Y477" s="216"/>
      <c r="Z477" s="216"/>
      <c r="AA477" s="216"/>
      <c r="AB477" s="216"/>
      <c r="AC477" s="216"/>
      <c r="AD477" s="216"/>
      <c r="AE477" s="216"/>
      <c r="AF477" s="216"/>
      <c r="AG477" s="216"/>
      <c r="AH477" s="216"/>
      <c r="AI477" s="216"/>
      <c r="AJ477" s="216"/>
      <c r="AK477" s="216"/>
      <c r="AL477" s="216"/>
      <c r="AM477" s="216"/>
      <c r="AN477" s="216"/>
      <c r="AO477" s="216"/>
      <c r="AP477" s="216"/>
      <c r="AQ477" s="216"/>
      <c r="AR477" s="216"/>
    </row>
    <row r="478">
      <c r="A478" s="216"/>
      <c r="B478" s="216"/>
      <c r="C478" s="216"/>
      <c r="D478" s="216"/>
      <c r="E478" s="216"/>
      <c r="F478" s="216"/>
      <c r="G478" s="216"/>
      <c r="H478" s="216"/>
      <c r="I478" s="219"/>
      <c r="J478" s="216"/>
      <c r="K478" s="216"/>
      <c r="L478" s="216"/>
      <c r="M478" s="216"/>
      <c r="N478" s="216"/>
      <c r="O478" s="216"/>
      <c r="P478" s="216"/>
      <c r="Q478" s="216"/>
      <c r="R478" s="216"/>
      <c r="S478" s="216"/>
      <c r="T478" s="216"/>
      <c r="U478" s="216"/>
      <c r="V478" s="216"/>
      <c r="W478" s="216"/>
      <c r="X478" s="216"/>
      <c r="Y478" s="216"/>
      <c r="Z478" s="216"/>
      <c r="AA478" s="216"/>
      <c r="AB478" s="216"/>
      <c r="AC478" s="216"/>
      <c r="AD478" s="216"/>
      <c r="AE478" s="216"/>
      <c r="AF478" s="216"/>
      <c r="AG478" s="216"/>
      <c r="AH478" s="216"/>
      <c r="AI478" s="216"/>
      <c r="AJ478" s="216"/>
      <c r="AK478" s="216"/>
      <c r="AL478" s="216"/>
      <c r="AM478" s="216"/>
      <c r="AN478" s="216"/>
      <c r="AO478" s="216"/>
      <c r="AP478" s="216"/>
      <c r="AQ478" s="216"/>
      <c r="AR478" s="216"/>
    </row>
    <row r="479">
      <c r="A479" s="216"/>
      <c r="B479" s="216"/>
      <c r="C479" s="216"/>
      <c r="D479" s="216"/>
      <c r="E479" s="216"/>
      <c r="F479" s="216"/>
      <c r="G479" s="216"/>
      <c r="H479" s="216"/>
      <c r="I479" s="219"/>
      <c r="J479" s="216"/>
      <c r="K479" s="216"/>
      <c r="L479" s="216"/>
      <c r="M479" s="216"/>
      <c r="N479" s="216"/>
      <c r="O479" s="216"/>
      <c r="P479" s="216"/>
      <c r="Q479" s="216"/>
      <c r="R479" s="216"/>
      <c r="S479" s="216"/>
      <c r="T479" s="216"/>
      <c r="U479" s="216"/>
      <c r="V479" s="216"/>
      <c r="W479" s="216"/>
      <c r="X479" s="216"/>
      <c r="Y479" s="216"/>
      <c r="Z479" s="216"/>
      <c r="AA479" s="216"/>
      <c r="AB479" s="216"/>
      <c r="AC479" s="216"/>
      <c r="AD479" s="216"/>
      <c r="AE479" s="216"/>
      <c r="AF479" s="216"/>
      <c r="AG479" s="216"/>
      <c r="AH479" s="216"/>
      <c r="AI479" s="216"/>
      <c r="AJ479" s="216"/>
      <c r="AK479" s="216"/>
      <c r="AL479" s="216"/>
      <c r="AM479" s="216"/>
      <c r="AN479" s="216"/>
      <c r="AO479" s="216"/>
      <c r="AP479" s="216"/>
      <c r="AQ479" s="216"/>
      <c r="AR479" s="216"/>
    </row>
    <row r="480">
      <c r="A480" s="216"/>
      <c r="B480" s="216"/>
      <c r="C480" s="216"/>
      <c r="D480" s="216"/>
      <c r="E480" s="216"/>
      <c r="F480" s="216"/>
      <c r="G480" s="216"/>
      <c r="H480" s="216"/>
      <c r="I480" s="219"/>
      <c r="J480" s="216"/>
      <c r="K480" s="216"/>
      <c r="L480" s="216"/>
      <c r="M480" s="216"/>
      <c r="N480" s="216"/>
      <c r="O480" s="216"/>
      <c r="P480" s="216"/>
      <c r="Q480" s="216"/>
      <c r="R480" s="216"/>
      <c r="S480" s="216"/>
      <c r="T480" s="216"/>
      <c r="U480" s="216"/>
      <c r="V480" s="216"/>
      <c r="W480" s="216"/>
      <c r="X480" s="216"/>
      <c r="Y480" s="216"/>
      <c r="Z480" s="216"/>
      <c r="AA480" s="216"/>
      <c r="AB480" s="216"/>
      <c r="AC480" s="216"/>
      <c r="AD480" s="216"/>
      <c r="AE480" s="216"/>
      <c r="AF480" s="216"/>
      <c r="AG480" s="216"/>
      <c r="AH480" s="216"/>
      <c r="AI480" s="216"/>
      <c r="AJ480" s="216"/>
      <c r="AK480" s="216"/>
      <c r="AL480" s="216"/>
      <c r="AM480" s="216"/>
      <c r="AN480" s="216"/>
      <c r="AO480" s="216"/>
      <c r="AP480" s="216"/>
      <c r="AQ480" s="216"/>
      <c r="AR480" s="216"/>
    </row>
    <row r="481">
      <c r="A481" s="216"/>
      <c r="B481" s="216"/>
      <c r="C481" s="216"/>
      <c r="D481" s="216"/>
      <c r="E481" s="216"/>
      <c r="F481" s="216"/>
      <c r="G481" s="216"/>
      <c r="H481" s="216"/>
      <c r="I481" s="219"/>
      <c r="J481" s="216"/>
      <c r="K481" s="216"/>
      <c r="L481" s="216"/>
      <c r="M481" s="216"/>
      <c r="N481" s="216"/>
      <c r="O481" s="216"/>
      <c r="P481" s="216"/>
      <c r="Q481" s="216"/>
      <c r="R481" s="216"/>
      <c r="S481" s="216"/>
      <c r="T481" s="216"/>
      <c r="U481" s="216"/>
      <c r="V481" s="216"/>
      <c r="W481" s="216"/>
      <c r="X481" s="216"/>
      <c r="Y481" s="216"/>
      <c r="Z481" s="216"/>
      <c r="AA481" s="216"/>
      <c r="AB481" s="216"/>
      <c r="AC481" s="216"/>
      <c r="AD481" s="216"/>
      <c r="AE481" s="216"/>
      <c r="AF481" s="216"/>
      <c r="AG481" s="216"/>
      <c r="AH481" s="216"/>
      <c r="AI481" s="216"/>
      <c r="AJ481" s="216"/>
      <c r="AK481" s="216"/>
      <c r="AL481" s="216"/>
      <c r="AM481" s="216"/>
      <c r="AN481" s="216"/>
      <c r="AO481" s="216"/>
      <c r="AP481" s="216"/>
      <c r="AQ481" s="216"/>
      <c r="AR481" s="216"/>
    </row>
    <row r="482">
      <c r="A482" s="216"/>
      <c r="B482" s="216"/>
      <c r="C482" s="216"/>
      <c r="D482" s="216"/>
      <c r="E482" s="216"/>
      <c r="F482" s="216"/>
      <c r="G482" s="216"/>
      <c r="H482" s="216"/>
      <c r="I482" s="219"/>
      <c r="J482" s="216"/>
      <c r="K482" s="216"/>
      <c r="L482" s="216"/>
      <c r="M482" s="216"/>
      <c r="N482" s="216"/>
      <c r="O482" s="216"/>
      <c r="P482" s="216"/>
      <c r="Q482" s="216"/>
      <c r="R482" s="216"/>
      <c r="S482" s="216"/>
      <c r="T482" s="216"/>
      <c r="U482" s="216"/>
      <c r="V482" s="216"/>
      <c r="W482" s="216"/>
      <c r="X482" s="216"/>
      <c r="Y482" s="216"/>
      <c r="Z482" s="216"/>
      <c r="AA482" s="216"/>
      <c r="AB482" s="216"/>
      <c r="AC482" s="216"/>
      <c r="AD482" s="216"/>
      <c r="AE482" s="216"/>
      <c r="AF482" s="216"/>
      <c r="AG482" s="216"/>
      <c r="AH482" s="216"/>
      <c r="AI482" s="216"/>
      <c r="AJ482" s="216"/>
      <c r="AK482" s="216"/>
      <c r="AL482" s="216"/>
      <c r="AM482" s="216"/>
      <c r="AN482" s="216"/>
      <c r="AO482" s="216"/>
      <c r="AP482" s="216"/>
      <c r="AQ482" s="216"/>
      <c r="AR482" s="216"/>
    </row>
    <row r="483">
      <c r="A483" s="216"/>
      <c r="B483" s="216"/>
      <c r="C483" s="216"/>
      <c r="D483" s="216"/>
      <c r="E483" s="216"/>
      <c r="F483" s="216"/>
      <c r="G483" s="216"/>
      <c r="H483" s="216"/>
      <c r="I483" s="219"/>
      <c r="J483" s="216"/>
      <c r="K483" s="216"/>
      <c r="L483" s="216"/>
      <c r="M483" s="216"/>
      <c r="N483" s="216"/>
      <c r="O483" s="216"/>
      <c r="P483" s="216"/>
      <c r="Q483" s="216"/>
      <c r="R483" s="216"/>
      <c r="S483" s="216"/>
      <c r="T483" s="216"/>
      <c r="U483" s="216"/>
      <c r="V483" s="216"/>
      <c r="W483" s="216"/>
      <c r="X483" s="216"/>
      <c r="Y483" s="216"/>
      <c r="Z483" s="216"/>
      <c r="AA483" s="216"/>
      <c r="AB483" s="216"/>
      <c r="AC483" s="216"/>
      <c r="AD483" s="216"/>
      <c r="AE483" s="216"/>
      <c r="AF483" s="216"/>
      <c r="AG483" s="216"/>
      <c r="AH483" s="216"/>
      <c r="AI483" s="216"/>
      <c r="AJ483" s="216"/>
      <c r="AK483" s="216"/>
      <c r="AL483" s="216"/>
      <c r="AM483" s="216"/>
      <c r="AN483" s="216"/>
      <c r="AO483" s="216"/>
      <c r="AP483" s="216"/>
      <c r="AQ483" s="216"/>
      <c r="AR483" s="216"/>
    </row>
    <row r="484">
      <c r="A484" s="216"/>
      <c r="B484" s="216"/>
      <c r="C484" s="216"/>
      <c r="D484" s="216"/>
      <c r="E484" s="216"/>
      <c r="F484" s="216"/>
      <c r="G484" s="216"/>
      <c r="H484" s="216"/>
      <c r="I484" s="219"/>
      <c r="J484" s="216"/>
      <c r="K484" s="216"/>
      <c r="L484" s="216"/>
      <c r="M484" s="216"/>
      <c r="N484" s="216"/>
      <c r="O484" s="216"/>
      <c r="P484" s="216"/>
      <c r="Q484" s="216"/>
      <c r="R484" s="216"/>
      <c r="S484" s="216"/>
      <c r="T484" s="216"/>
      <c r="U484" s="216"/>
      <c r="V484" s="216"/>
      <c r="W484" s="216"/>
      <c r="X484" s="216"/>
      <c r="Y484" s="216"/>
      <c r="Z484" s="216"/>
      <c r="AA484" s="216"/>
      <c r="AB484" s="216"/>
      <c r="AC484" s="216"/>
      <c r="AD484" s="216"/>
      <c r="AE484" s="216"/>
      <c r="AF484" s="216"/>
      <c r="AG484" s="216"/>
      <c r="AH484" s="216"/>
      <c r="AI484" s="216"/>
      <c r="AJ484" s="216"/>
      <c r="AK484" s="216"/>
      <c r="AL484" s="216"/>
      <c r="AM484" s="216"/>
      <c r="AN484" s="216"/>
      <c r="AO484" s="216"/>
      <c r="AP484" s="216"/>
      <c r="AQ484" s="216"/>
      <c r="AR484" s="216"/>
    </row>
    <row r="485">
      <c r="A485" s="216"/>
      <c r="B485" s="216"/>
      <c r="C485" s="216"/>
      <c r="D485" s="216"/>
      <c r="E485" s="216"/>
      <c r="F485" s="216"/>
      <c r="G485" s="216"/>
      <c r="H485" s="216"/>
      <c r="I485" s="219"/>
      <c r="J485" s="216"/>
      <c r="K485" s="216"/>
      <c r="L485" s="216"/>
      <c r="M485" s="216"/>
      <c r="N485" s="216"/>
      <c r="O485" s="216"/>
      <c r="P485" s="216"/>
      <c r="Q485" s="216"/>
      <c r="R485" s="216"/>
      <c r="S485" s="216"/>
      <c r="T485" s="216"/>
      <c r="U485" s="216"/>
      <c r="V485" s="216"/>
      <c r="W485" s="216"/>
      <c r="X485" s="216"/>
      <c r="Y485" s="216"/>
      <c r="Z485" s="216"/>
      <c r="AA485" s="216"/>
      <c r="AB485" s="216"/>
      <c r="AC485" s="216"/>
      <c r="AD485" s="216"/>
      <c r="AE485" s="216"/>
      <c r="AF485" s="216"/>
      <c r="AG485" s="216"/>
      <c r="AH485" s="216"/>
      <c r="AI485" s="216"/>
      <c r="AJ485" s="216"/>
      <c r="AK485" s="216"/>
      <c r="AL485" s="216"/>
      <c r="AM485" s="216"/>
      <c r="AN485" s="216"/>
      <c r="AO485" s="216"/>
      <c r="AP485" s="216"/>
      <c r="AQ485" s="216"/>
      <c r="AR485" s="216"/>
    </row>
    <row r="486">
      <c r="A486" s="216"/>
      <c r="B486" s="216"/>
      <c r="C486" s="216"/>
      <c r="D486" s="216"/>
      <c r="E486" s="216"/>
      <c r="F486" s="216"/>
      <c r="G486" s="216"/>
      <c r="H486" s="216"/>
      <c r="I486" s="219"/>
      <c r="J486" s="216"/>
      <c r="K486" s="216"/>
      <c r="L486" s="216"/>
      <c r="M486" s="216"/>
      <c r="N486" s="216"/>
      <c r="O486" s="216"/>
      <c r="P486" s="216"/>
      <c r="Q486" s="216"/>
      <c r="R486" s="216"/>
      <c r="S486" s="216"/>
      <c r="T486" s="216"/>
      <c r="U486" s="216"/>
      <c r="V486" s="216"/>
      <c r="W486" s="216"/>
      <c r="X486" s="216"/>
      <c r="Y486" s="216"/>
      <c r="Z486" s="216"/>
      <c r="AA486" s="216"/>
      <c r="AB486" s="216"/>
      <c r="AC486" s="216"/>
      <c r="AD486" s="216"/>
      <c r="AE486" s="216"/>
      <c r="AF486" s="216"/>
      <c r="AG486" s="216"/>
      <c r="AH486" s="216"/>
      <c r="AI486" s="216"/>
      <c r="AJ486" s="216"/>
      <c r="AK486" s="216"/>
      <c r="AL486" s="216"/>
      <c r="AM486" s="216"/>
      <c r="AN486" s="216"/>
      <c r="AO486" s="216"/>
      <c r="AP486" s="216"/>
      <c r="AQ486" s="216"/>
      <c r="AR486" s="216"/>
    </row>
    <row r="487">
      <c r="A487" s="216"/>
      <c r="B487" s="216"/>
      <c r="C487" s="216"/>
      <c r="D487" s="216"/>
      <c r="E487" s="216"/>
      <c r="F487" s="216"/>
      <c r="G487" s="216"/>
      <c r="H487" s="216"/>
      <c r="I487" s="219"/>
      <c r="J487" s="216"/>
      <c r="K487" s="216"/>
      <c r="L487" s="216"/>
      <c r="M487" s="216"/>
      <c r="N487" s="216"/>
      <c r="O487" s="216"/>
      <c r="P487" s="216"/>
      <c r="Q487" s="216"/>
      <c r="R487" s="216"/>
      <c r="S487" s="216"/>
      <c r="T487" s="216"/>
      <c r="U487" s="216"/>
      <c r="V487" s="216"/>
      <c r="W487" s="216"/>
      <c r="X487" s="216"/>
      <c r="Y487" s="216"/>
      <c r="Z487" s="216"/>
      <c r="AA487" s="216"/>
      <c r="AB487" s="216"/>
      <c r="AC487" s="216"/>
      <c r="AD487" s="216"/>
      <c r="AE487" s="216"/>
      <c r="AF487" s="216"/>
      <c r="AG487" s="216"/>
      <c r="AH487" s="216"/>
      <c r="AI487" s="216"/>
      <c r="AJ487" s="216"/>
      <c r="AK487" s="216"/>
      <c r="AL487" s="216"/>
      <c r="AM487" s="216"/>
      <c r="AN487" s="216"/>
      <c r="AO487" s="216"/>
      <c r="AP487" s="216"/>
      <c r="AQ487" s="216"/>
      <c r="AR487" s="216"/>
    </row>
    <row r="488">
      <c r="A488" s="216"/>
      <c r="B488" s="216"/>
      <c r="C488" s="216"/>
      <c r="D488" s="216"/>
      <c r="E488" s="216"/>
      <c r="F488" s="216"/>
      <c r="G488" s="216"/>
      <c r="H488" s="216"/>
      <c r="I488" s="219"/>
      <c r="J488" s="216"/>
      <c r="K488" s="216"/>
      <c r="L488" s="216"/>
      <c r="M488" s="216"/>
      <c r="N488" s="216"/>
      <c r="O488" s="216"/>
      <c r="P488" s="216"/>
      <c r="Q488" s="216"/>
      <c r="R488" s="216"/>
      <c r="S488" s="216"/>
      <c r="T488" s="216"/>
      <c r="U488" s="216"/>
      <c r="V488" s="216"/>
      <c r="W488" s="216"/>
      <c r="X488" s="216"/>
      <c r="Y488" s="216"/>
      <c r="Z488" s="216"/>
      <c r="AA488" s="216"/>
      <c r="AB488" s="216"/>
      <c r="AC488" s="216"/>
      <c r="AD488" s="216"/>
      <c r="AE488" s="216"/>
      <c r="AF488" s="216"/>
      <c r="AG488" s="216"/>
      <c r="AH488" s="216"/>
      <c r="AI488" s="216"/>
      <c r="AJ488" s="216"/>
      <c r="AK488" s="216"/>
      <c r="AL488" s="216"/>
      <c r="AM488" s="216"/>
      <c r="AN488" s="216"/>
      <c r="AO488" s="216"/>
      <c r="AP488" s="216"/>
      <c r="AQ488" s="216"/>
      <c r="AR488" s="216"/>
    </row>
    <row r="489">
      <c r="A489" s="216"/>
      <c r="B489" s="216"/>
      <c r="C489" s="216"/>
      <c r="D489" s="216"/>
      <c r="E489" s="216"/>
      <c r="F489" s="216"/>
      <c r="G489" s="216"/>
      <c r="H489" s="216"/>
      <c r="I489" s="219"/>
      <c r="J489" s="216"/>
      <c r="K489" s="216"/>
      <c r="L489" s="216"/>
      <c r="M489" s="216"/>
      <c r="N489" s="216"/>
      <c r="O489" s="216"/>
      <c r="P489" s="216"/>
      <c r="Q489" s="216"/>
      <c r="R489" s="216"/>
      <c r="S489" s="216"/>
      <c r="T489" s="216"/>
      <c r="U489" s="216"/>
      <c r="V489" s="216"/>
      <c r="W489" s="216"/>
      <c r="X489" s="216"/>
      <c r="Y489" s="216"/>
      <c r="Z489" s="216"/>
      <c r="AA489" s="216"/>
      <c r="AB489" s="216"/>
      <c r="AC489" s="216"/>
      <c r="AD489" s="216"/>
      <c r="AE489" s="216"/>
      <c r="AF489" s="216"/>
      <c r="AG489" s="216"/>
      <c r="AH489" s="216"/>
      <c r="AI489" s="216"/>
      <c r="AJ489" s="216"/>
      <c r="AK489" s="216"/>
      <c r="AL489" s="216"/>
      <c r="AM489" s="216"/>
      <c r="AN489" s="216"/>
      <c r="AO489" s="216"/>
      <c r="AP489" s="216"/>
      <c r="AQ489" s="216"/>
      <c r="AR489" s="216"/>
    </row>
    <row r="490">
      <c r="A490" s="216"/>
      <c r="B490" s="216"/>
      <c r="C490" s="216"/>
      <c r="D490" s="216"/>
      <c r="E490" s="216"/>
      <c r="F490" s="216"/>
      <c r="G490" s="216"/>
      <c r="H490" s="216"/>
      <c r="I490" s="219"/>
      <c r="J490" s="216"/>
      <c r="K490" s="216"/>
      <c r="L490" s="216"/>
      <c r="M490" s="216"/>
      <c r="N490" s="216"/>
      <c r="O490" s="216"/>
      <c r="P490" s="216"/>
      <c r="Q490" s="216"/>
      <c r="R490" s="216"/>
      <c r="S490" s="216"/>
      <c r="T490" s="216"/>
      <c r="U490" s="216"/>
      <c r="V490" s="216"/>
      <c r="W490" s="216"/>
      <c r="X490" s="216"/>
      <c r="Y490" s="216"/>
      <c r="Z490" s="216"/>
      <c r="AA490" s="216"/>
      <c r="AB490" s="216"/>
      <c r="AC490" s="216"/>
      <c r="AD490" s="216"/>
      <c r="AE490" s="216"/>
      <c r="AF490" s="216"/>
      <c r="AG490" s="216"/>
      <c r="AH490" s="216"/>
      <c r="AI490" s="216"/>
      <c r="AJ490" s="216"/>
      <c r="AK490" s="216"/>
      <c r="AL490" s="216"/>
      <c r="AM490" s="216"/>
      <c r="AN490" s="216"/>
      <c r="AO490" s="216"/>
      <c r="AP490" s="216"/>
      <c r="AQ490" s="216"/>
      <c r="AR490" s="216"/>
    </row>
    <row r="491">
      <c r="A491" s="216"/>
      <c r="B491" s="216"/>
      <c r="C491" s="216"/>
      <c r="D491" s="216"/>
      <c r="E491" s="216"/>
      <c r="F491" s="216"/>
      <c r="G491" s="216"/>
      <c r="H491" s="216"/>
      <c r="I491" s="219"/>
      <c r="J491" s="216"/>
      <c r="K491" s="216"/>
      <c r="L491" s="216"/>
      <c r="M491" s="216"/>
      <c r="N491" s="216"/>
      <c r="O491" s="216"/>
      <c r="P491" s="216"/>
      <c r="Q491" s="216"/>
      <c r="R491" s="216"/>
      <c r="S491" s="216"/>
      <c r="T491" s="216"/>
      <c r="U491" s="216"/>
      <c r="V491" s="216"/>
      <c r="W491" s="216"/>
      <c r="X491" s="216"/>
      <c r="Y491" s="216"/>
      <c r="Z491" s="216"/>
      <c r="AA491" s="216"/>
      <c r="AB491" s="216"/>
      <c r="AC491" s="216"/>
      <c r="AD491" s="216"/>
      <c r="AE491" s="216"/>
      <c r="AF491" s="216"/>
      <c r="AG491" s="216"/>
      <c r="AH491" s="216"/>
      <c r="AI491" s="216"/>
      <c r="AJ491" s="216"/>
      <c r="AK491" s="216"/>
      <c r="AL491" s="216"/>
      <c r="AM491" s="216"/>
      <c r="AN491" s="216"/>
      <c r="AO491" s="216"/>
      <c r="AP491" s="216"/>
      <c r="AQ491" s="216"/>
      <c r="AR491" s="216"/>
    </row>
    <row r="492">
      <c r="A492" s="216"/>
      <c r="B492" s="216"/>
      <c r="C492" s="216"/>
      <c r="D492" s="216"/>
      <c r="E492" s="216"/>
      <c r="F492" s="216"/>
      <c r="G492" s="216"/>
      <c r="H492" s="216"/>
      <c r="I492" s="219"/>
      <c r="J492" s="216"/>
      <c r="K492" s="216"/>
      <c r="L492" s="216"/>
      <c r="M492" s="216"/>
      <c r="N492" s="216"/>
      <c r="O492" s="216"/>
      <c r="P492" s="216"/>
      <c r="Q492" s="216"/>
      <c r="R492" s="216"/>
      <c r="S492" s="216"/>
      <c r="T492" s="216"/>
      <c r="U492" s="216"/>
      <c r="V492" s="216"/>
      <c r="W492" s="216"/>
      <c r="X492" s="216"/>
      <c r="Y492" s="216"/>
      <c r="Z492" s="216"/>
      <c r="AA492" s="216"/>
      <c r="AB492" s="216"/>
      <c r="AC492" s="216"/>
      <c r="AD492" s="216"/>
      <c r="AE492" s="216"/>
      <c r="AF492" s="216"/>
      <c r="AG492" s="216"/>
      <c r="AH492" s="216"/>
      <c r="AI492" s="216"/>
      <c r="AJ492" s="216"/>
      <c r="AK492" s="216"/>
      <c r="AL492" s="216"/>
      <c r="AM492" s="216"/>
      <c r="AN492" s="216"/>
      <c r="AO492" s="216"/>
      <c r="AP492" s="216"/>
      <c r="AQ492" s="216"/>
      <c r="AR492" s="216"/>
    </row>
    <row r="493">
      <c r="A493" s="216"/>
      <c r="B493" s="216"/>
      <c r="C493" s="216"/>
      <c r="D493" s="216"/>
      <c r="E493" s="216"/>
      <c r="F493" s="216"/>
      <c r="G493" s="216"/>
      <c r="H493" s="216"/>
      <c r="I493" s="219"/>
      <c r="J493" s="216"/>
      <c r="K493" s="216"/>
      <c r="L493" s="216"/>
      <c r="M493" s="216"/>
      <c r="N493" s="216"/>
      <c r="O493" s="216"/>
      <c r="P493" s="216"/>
      <c r="Q493" s="216"/>
      <c r="R493" s="216"/>
      <c r="S493" s="216"/>
      <c r="T493" s="216"/>
      <c r="U493" s="216"/>
      <c r="V493" s="216"/>
      <c r="W493" s="216"/>
      <c r="X493" s="216"/>
      <c r="Y493" s="216"/>
      <c r="Z493" s="216"/>
      <c r="AA493" s="216"/>
      <c r="AB493" s="216"/>
      <c r="AC493" s="216"/>
      <c r="AD493" s="216"/>
      <c r="AE493" s="216"/>
      <c r="AF493" s="216"/>
      <c r="AG493" s="216"/>
      <c r="AH493" s="216"/>
      <c r="AI493" s="216"/>
      <c r="AJ493" s="216"/>
      <c r="AK493" s="216"/>
      <c r="AL493" s="216"/>
      <c r="AM493" s="216"/>
      <c r="AN493" s="216"/>
      <c r="AO493" s="216"/>
      <c r="AP493" s="216"/>
      <c r="AQ493" s="216"/>
      <c r="AR493" s="216"/>
    </row>
    <row r="494">
      <c r="A494" s="216"/>
      <c r="B494" s="216"/>
      <c r="C494" s="216"/>
      <c r="D494" s="216"/>
      <c r="E494" s="216"/>
      <c r="F494" s="216"/>
      <c r="G494" s="216"/>
      <c r="H494" s="216"/>
      <c r="I494" s="219"/>
      <c r="J494" s="216"/>
      <c r="K494" s="216"/>
      <c r="L494" s="216"/>
      <c r="M494" s="216"/>
      <c r="N494" s="216"/>
      <c r="O494" s="216"/>
      <c r="P494" s="216"/>
      <c r="Q494" s="216"/>
      <c r="R494" s="216"/>
      <c r="S494" s="216"/>
      <c r="T494" s="216"/>
      <c r="U494" s="216"/>
      <c r="V494" s="216"/>
      <c r="W494" s="216"/>
      <c r="X494" s="216"/>
      <c r="Y494" s="216"/>
      <c r="Z494" s="216"/>
      <c r="AA494" s="216"/>
      <c r="AB494" s="216"/>
      <c r="AC494" s="216"/>
      <c r="AD494" s="216"/>
      <c r="AE494" s="216"/>
      <c r="AF494" s="216"/>
      <c r="AG494" s="216"/>
      <c r="AH494" s="216"/>
      <c r="AI494" s="216"/>
      <c r="AJ494" s="216"/>
      <c r="AK494" s="216"/>
      <c r="AL494" s="216"/>
      <c r="AM494" s="216"/>
      <c r="AN494" s="216"/>
      <c r="AO494" s="216"/>
      <c r="AP494" s="216"/>
      <c r="AQ494" s="216"/>
      <c r="AR494" s="216"/>
    </row>
    <row r="495">
      <c r="A495" s="216"/>
      <c r="B495" s="216"/>
      <c r="C495" s="216"/>
      <c r="D495" s="216"/>
      <c r="E495" s="216"/>
      <c r="F495" s="216"/>
      <c r="G495" s="216"/>
      <c r="H495" s="216"/>
      <c r="I495" s="219"/>
      <c r="J495" s="216"/>
      <c r="K495" s="216"/>
      <c r="L495" s="216"/>
      <c r="M495" s="216"/>
      <c r="N495" s="216"/>
      <c r="O495" s="216"/>
      <c r="P495" s="216"/>
      <c r="Q495" s="216"/>
      <c r="R495" s="216"/>
      <c r="S495" s="216"/>
      <c r="T495" s="216"/>
      <c r="U495" s="216"/>
      <c r="V495" s="216"/>
      <c r="W495" s="216"/>
      <c r="X495" s="216"/>
      <c r="Y495" s="216"/>
      <c r="Z495" s="216"/>
      <c r="AA495" s="216"/>
      <c r="AB495" s="216"/>
      <c r="AC495" s="216"/>
      <c r="AD495" s="216"/>
      <c r="AE495" s="216"/>
      <c r="AF495" s="216"/>
      <c r="AG495" s="216"/>
      <c r="AH495" s="216"/>
      <c r="AI495" s="216"/>
      <c r="AJ495" s="216"/>
      <c r="AK495" s="216"/>
      <c r="AL495" s="216"/>
      <c r="AM495" s="216"/>
      <c r="AN495" s="216"/>
      <c r="AO495" s="216"/>
      <c r="AP495" s="216"/>
      <c r="AQ495" s="216"/>
      <c r="AR495" s="216"/>
    </row>
    <row r="496">
      <c r="A496" s="216"/>
      <c r="B496" s="216"/>
      <c r="C496" s="216"/>
      <c r="D496" s="216"/>
      <c r="E496" s="216"/>
      <c r="F496" s="216"/>
      <c r="G496" s="216"/>
      <c r="H496" s="216"/>
      <c r="I496" s="219"/>
      <c r="J496" s="216"/>
      <c r="K496" s="216"/>
      <c r="L496" s="216"/>
      <c r="M496" s="216"/>
      <c r="N496" s="216"/>
      <c r="O496" s="216"/>
      <c r="P496" s="216"/>
      <c r="Q496" s="216"/>
      <c r="R496" s="216"/>
      <c r="S496" s="216"/>
      <c r="T496" s="216"/>
      <c r="U496" s="216"/>
      <c r="V496" s="216"/>
      <c r="W496" s="216"/>
      <c r="X496" s="216"/>
      <c r="Y496" s="216"/>
      <c r="Z496" s="216"/>
      <c r="AA496" s="216"/>
      <c r="AB496" s="216"/>
      <c r="AC496" s="216"/>
      <c r="AD496" s="216"/>
      <c r="AE496" s="216"/>
      <c r="AF496" s="216"/>
      <c r="AG496" s="216"/>
      <c r="AH496" s="216"/>
      <c r="AI496" s="216"/>
      <c r="AJ496" s="216"/>
      <c r="AK496" s="216"/>
      <c r="AL496" s="216"/>
      <c r="AM496" s="216"/>
      <c r="AN496" s="216"/>
      <c r="AO496" s="216"/>
      <c r="AP496" s="216"/>
      <c r="AQ496" s="216"/>
      <c r="AR496" s="216"/>
    </row>
    <row r="497">
      <c r="A497" s="216"/>
      <c r="B497" s="216"/>
      <c r="C497" s="216"/>
      <c r="D497" s="216"/>
      <c r="E497" s="216"/>
      <c r="F497" s="216"/>
      <c r="G497" s="216"/>
      <c r="H497" s="216"/>
      <c r="I497" s="219"/>
      <c r="J497" s="216"/>
      <c r="K497" s="216"/>
      <c r="L497" s="216"/>
      <c r="M497" s="216"/>
      <c r="N497" s="216"/>
      <c r="O497" s="216"/>
      <c r="P497" s="216"/>
      <c r="Q497" s="216"/>
      <c r="R497" s="216"/>
      <c r="S497" s="216"/>
      <c r="T497" s="216"/>
      <c r="U497" s="216"/>
      <c r="V497" s="216"/>
      <c r="W497" s="216"/>
      <c r="X497" s="216"/>
      <c r="Y497" s="216"/>
      <c r="Z497" s="216"/>
      <c r="AA497" s="216"/>
      <c r="AB497" s="216"/>
      <c r="AC497" s="216"/>
      <c r="AD497" s="216"/>
      <c r="AE497" s="216"/>
      <c r="AF497" s="216"/>
      <c r="AG497" s="216"/>
      <c r="AH497" s="216"/>
      <c r="AI497" s="216"/>
      <c r="AJ497" s="216"/>
      <c r="AK497" s="216"/>
      <c r="AL497" s="216"/>
      <c r="AM497" s="216"/>
      <c r="AN497" s="216"/>
      <c r="AO497" s="216"/>
      <c r="AP497" s="216"/>
      <c r="AQ497" s="216"/>
      <c r="AR497" s="216"/>
    </row>
    <row r="498">
      <c r="A498" s="216"/>
      <c r="B498" s="216"/>
      <c r="C498" s="216"/>
      <c r="D498" s="216"/>
      <c r="E498" s="216"/>
      <c r="F498" s="216"/>
      <c r="G498" s="216"/>
      <c r="H498" s="216"/>
      <c r="I498" s="219"/>
      <c r="J498" s="216"/>
      <c r="K498" s="216"/>
      <c r="L498" s="216"/>
      <c r="M498" s="216"/>
      <c r="N498" s="216"/>
      <c r="O498" s="216"/>
      <c r="P498" s="216"/>
      <c r="Q498" s="216"/>
      <c r="R498" s="216"/>
      <c r="S498" s="216"/>
      <c r="T498" s="216"/>
      <c r="U498" s="216"/>
      <c r="V498" s="216"/>
      <c r="W498" s="216"/>
      <c r="X498" s="216"/>
      <c r="Y498" s="216"/>
      <c r="Z498" s="216"/>
      <c r="AA498" s="216"/>
      <c r="AB498" s="216"/>
      <c r="AC498" s="216"/>
      <c r="AD498" s="216"/>
      <c r="AE498" s="216"/>
      <c r="AF498" s="216"/>
      <c r="AG498" s="216"/>
      <c r="AH498" s="216"/>
      <c r="AI498" s="216"/>
      <c r="AJ498" s="216"/>
      <c r="AK498" s="216"/>
      <c r="AL498" s="216"/>
      <c r="AM498" s="216"/>
      <c r="AN498" s="216"/>
      <c r="AO498" s="216"/>
      <c r="AP498" s="216"/>
      <c r="AQ498" s="216"/>
      <c r="AR498" s="216"/>
    </row>
    <row r="499">
      <c r="A499" s="216"/>
      <c r="B499" s="216"/>
      <c r="C499" s="216"/>
      <c r="D499" s="216"/>
      <c r="E499" s="216"/>
      <c r="F499" s="216"/>
      <c r="G499" s="216"/>
      <c r="H499" s="216"/>
      <c r="I499" s="219"/>
      <c r="J499" s="216"/>
      <c r="K499" s="216"/>
      <c r="L499" s="216"/>
      <c r="M499" s="216"/>
      <c r="N499" s="216"/>
      <c r="O499" s="216"/>
      <c r="P499" s="216"/>
      <c r="Q499" s="216"/>
      <c r="R499" s="216"/>
      <c r="S499" s="216"/>
      <c r="T499" s="216"/>
      <c r="U499" s="216"/>
      <c r="V499" s="216"/>
      <c r="W499" s="216"/>
      <c r="X499" s="216"/>
      <c r="Y499" s="216"/>
      <c r="Z499" s="216"/>
      <c r="AA499" s="216"/>
      <c r="AB499" s="216"/>
      <c r="AC499" s="216"/>
      <c r="AD499" s="216"/>
      <c r="AE499" s="216"/>
      <c r="AF499" s="216"/>
      <c r="AG499" s="216"/>
      <c r="AH499" s="216"/>
      <c r="AI499" s="216"/>
      <c r="AJ499" s="216"/>
      <c r="AK499" s="216"/>
      <c r="AL499" s="216"/>
      <c r="AM499" s="216"/>
      <c r="AN499" s="216"/>
      <c r="AO499" s="216"/>
      <c r="AP499" s="216"/>
      <c r="AQ499" s="216"/>
      <c r="AR499" s="216"/>
    </row>
    <row r="500">
      <c r="A500" s="216"/>
      <c r="B500" s="216"/>
      <c r="C500" s="216"/>
      <c r="D500" s="216"/>
      <c r="E500" s="216"/>
      <c r="F500" s="216"/>
      <c r="G500" s="216"/>
      <c r="H500" s="216"/>
      <c r="I500" s="219"/>
      <c r="J500" s="216"/>
      <c r="K500" s="216"/>
      <c r="L500" s="216"/>
      <c r="M500" s="216"/>
      <c r="N500" s="216"/>
      <c r="O500" s="216"/>
      <c r="P500" s="216"/>
      <c r="Q500" s="216"/>
      <c r="R500" s="216"/>
      <c r="S500" s="216"/>
      <c r="T500" s="216"/>
      <c r="U500" s="216"/>
      <c r="V500" s="216"/>
      <c r="W500" s="216"/>
      <c r="X500" s="216"/>
      <c r="Y500" s="216"/>
      <c r="Z500" s="216"/>
      <c r="AA500" s="216"/>
      <c r="AB500" s="216"/>
      <c r="AC500" s="216"/>
      <c r="AD500" s="216"/>
      <c r="AE500" s="216"/>
      <c r="AF500" s="216"/>
      <c r="AG500" s="216"/>
      <c r="AH500" s="216"/>
      <c r="AI500" s="216"/>
      <c r="AJ500" s="216"/>
      <c r="AK500" s="216"/>
      <c r="AL500" s="216"/>
      <c r="AM500" s="216"/>
      <c r="AN500" s="216"/>
      <c r="AO500" s="216"/>
      <c r="AP500" s="216"/>
      <c r="AQ500" s="216"/>
      <c r="AR500" s="216"/>
    </row>
    <row r="501">
      <c r="A501" s="216"/>
      <c r="B501" s="216"/>
      <c r="C501" s="216"/>
      <c r="D501" s="216"/>
      <c r="E501" s="216"/>
      <c r="F501" s="216"/>
      <c r="G501" s="216"/>
      <c r="H501" s="216"/>
      <c r="I501" s="219"/>
      <c r="J501" s="216"/>
      <c r="K501" s="216"/>
      <c r="L501" s="216"/>
      <c r="M501" s="216"/>
      <c r="N501" s="216"/>
      <c r="O501" s="216"/>
      <c r="P501" s="216"/>
      <c r="Q501" s="216"/>
      <c r="R501" s="216"/>
      <c r="S501" s="216"/>
      <c r="T501" s="216"/>
      <c r="U501" s="216"/>
      <c r="V501" s="216"/>
      <c r="W501" s="216"/>
      <c r="X501" s="216"/>
      <c r="Y501" s="216"/>
      <c r="Z501" s="216"/>
      <c r="AA501" s="216"/>
      <c r="AB501" s="216"/>
      <c r="AC501" s="216"/>
      <c r="AD501" s="216"/>
      <c r="AE501" s="216"/>
      <c r="AF501" s="216"/>
      <c r="AG501" s="216"/>
      <c r="AH501" s="216"/>
      <c r="AI501" s="216"/>
      <c r="AJ501" s="216"/>
      <c r="AK501" s="216"/>
      <c r="AL501" s="216"/>
      <c r="AM501" s="216"/>
      <c r="AN501" s="216"/>
      <c r="AO501" s="216"/>
      <c r="AP501" s="216"/>
      <c r="AQ501" s="216"/>
      <c r="AR501" s="216"/>
    </row>
    <row r="502">
      <c r="A502" s="216"/>
      <c r="B502" s="216"/>
      <c r="C502" s="216"/>
      <c r="D502" s="216"/>
      <c r="E502" s="216"/>
      <c r="F502" s="216"/>
      <c r="G502" s="216"/>
      <c r="H502" s="216"/>
      <c r="I502" s="219"/>
      <c r="J502" s="216"/>
      <c r="K502" s="216"/>
      <c r="L502" s="216"/>
      <c r="M502" s="216"/>
      <c r="N502" s="216"/>
      <c r="O502" s="216"/>
      <c r="P502" s="216"/>
      <c r="Q502" s="216"/>
      <c r="R502" s="216"/>
      <c r="S502" s="216"/>
      <c r="T502" s="216"/>
      <c r="U502" s="216"/>
      <c r="V502" s="216"/>
      <c r="W502" s="216"/>
      <c r="X502" s="216"/>
      <c r="Y502" s="216"/>
      <c r="Z502" s="216"/>
      <c r="AA502" s="216"/>
      <c r="AB502" s="216"/>
      <c r="AC502" s="216"/>
      <c r="AD502" s="216"/>
      <c r="AE502" s="216"/>
      <c r="AF502" s="216"/>
      <c r="AG502" s="216"/>
      <c r="AH502" s="216"/>
      <c r="AI502" s="216"/>
      <c r="AJ502" s="216"/>
      <c r="AK502" s="216"/>
      <c r="AL502" s="216"/>
      <c r="AM502" s="216"/>
      <c r="AN502" s="216"/>
      <c r="AO502" s="216"/>
      <c r="AP502" s="216"/>
      <c r="AQ502" s="216"/>
      <c r="AR502" s="216"/>
    </row>
    <row r="503">
      <c r="A503" s="216"/>
      <c r="B503" s="216"/>
      <c r="C503" s="216"/>
      <c r="D503" s="216"/>
      <c r="E503" s="216"/>
      <c r="F503" s="216"/>
      <c r="G503" s="216"/>
      <c r="H503" s="216"/>
      <c r="I503" s="219"/>
      <c r="J503" s="216"/>
      <c r="K503" s="216"/>
      <c r="L503" s="216"/>
      <c r="M503" s="216"/>
      <c r="N503" s="216"/>
      <c r="O503" s="216"/>
      <c r="P503" s="216"/>
      <c r="Q503" s="216"/>
      <c r="R503" s="216"/>
      <c r="S503" s="216"/>
      <c r="T503" s="216"/>
      <c r="U503" s="216"/>
      <c r="V503" s="216"/>
      <c r="W503" s="216"/>
      <c r="X503" s="216"/>
      <c r="Y503" s="216"/>
      <c r="Z503" s="216"/>
      <c r="AA503" s="216"/>
      <c r="AB503" s="216"/>
      <c r="AC503" s="216"/>
      <c r="AD503" s="216"/>
      <c r="AE503" s="216"/>
      <c r="AF503" s="216"/>
      <c r="AG503" s="216"/>
      <c r="AH503" s="216"/>
      <c r="AI503" s="216"/>
      <c r="AJ503" s="216"/>
      <c r="AK503" s="216"/>
      <c r="AL503" s="216"/>
      <c r="AM503" s="216"/>
      <c r="AN503" s="216"/>
      <c r="AO503" s="216"/>
      <c r="AP503" s="216"/>
      <c r="AQ503" s="216"/>
      <c r="AR503" s="216"/>
    </row>
    <row r="504">
      <c r="A504" s="216"/>
      <c r="B504" s="216"/>
      <c r="C504" s="216"/>
      <c r="D504" s="216"/>
      <c r="E504" s="216"/>
      <c r="F504" s="216"/>
      <c r="G504" s="216"/>
      <c r="H504" s="216"/>
      <c r="I504" s="219"/>
      <c r="J504" s="216"/>
      <c r="K504" s="216"/>
      <c r="L504" s="216"/>
      <c r="M504" s="216"/>
      <c r="N504" s="216"/>
      <c r="O504" s="216"/>
      <c r="P504" s="216"/>
      <c r="Q504" s="216"/>
      <c r="R504" s="216"/>
      <c r="S504" s="216"/>
      <c r="T504" s="216"/>
      <c r="U504" s="216"/>
      <c r="V504" s="216"/>
      <c r="W504" s="216"/>
      <c r="X504" s="216"/>
      <c r="Y504" s="216"/>
      <c r="Z504" s="216"/>
      <c r="AA504" s="216"/>
      <c r="AB504" s="216"/>
      <c r="AC504" s="216"/>
      <c r="AD504" s="216"/>
      <c r="AE504" s="216"/>
      <c r="AF504" s="216"/>
      <c r="AG504" s="216"/>
      <c r="AH504" s="216"/>
      <c r="AI504" s="216"/>
      <c r="AJ504" s="216"/>
      <c r="AK504" s="216"/>
      <c r="AL504" s="216"/>
      <c r="AM504" s="216"/>
      <c r="AN504" s="216"/>
      <c r="AO504" s="216"/>
      <c r="AP504" s="216"/>
      <c r="AQ504" s="216"/>
      <c r="AR504" s="216"/>
    </row>
    <row r="505">
      <c r="A505" s="216"/>
      <c r="B505" s="216"/>
      <c r="C505" s="216"/>
      <c r="D505" s="216"/>
      <c r="E505" s="216"/>
      <c r="F505" s="216"/>
      <c r="G505" s="216"/>
      <c r="H505" s="216"/>
      <c r="I505" s="219"/>
      <c r="J505" s="216"/>
      <c r="K505" s="216"/>
      <c r="L505" s="216"/>
      <c r="M505" s="216"/>
      <c r="N505" s="216"/>
      <c r="O505" s="216"/>
      <c r="P505" s="216"/>
      <c r="Q505" s="216"/>
      <c r="R505" s="216"/>
      <c r="S505" s="216"/>
      <c r="T505" s="216"/>
      <c r="U505" s="216"/>
      <c r="V505" s="216"/>
      <c r="W505" s="216"/>
      <c r="X505" s="216"/>
      <c r="Y505" s="216"/>
      <c r="Z505" s="216"/>
      <c r="AA505" s="216"/>
      <c r="AB505" s="216"/>
      <c r="AC505" s="216"/>
      <c r="AD505" s="216"/>
      <c r="AE505" s="216"/>
      <c r="AF505" s="216"/>
      <c r="AG505" s="216"/>
      <c r="AH505" s="216"/>
      <c r="AI505" s="216"/>
      <c r="AJ505" s="216"/>
      <c r="AK505" s="216"/>
      <c r="AL505" s="216"/>
      <c r="AM505" s="216"/>
      <c r="AN505" s="216"/>
      <c r="AO505" s="216"/>
      <c r="AP505" s="216"/>
      <c r="AQ505" s="216"/>
      <c r="AR505" s="216"/>
    </row>
    <row r="506">
      <c r="A506" s="216"/>
      <c r="B506" s="216"/>
      <c r="C506" s="216"/>
      <c r="D506" s="216"/>
      <c r="E506" s="216"/>
      <c r="F506" s="216"/>
      <c r="G506" s="216"/>
      <c r="H506" s="216"/>
      <c r="I506" s="219"/>
      <c r="J506" s="216"/>
      <c r="K506" s="216"/>
      <c r="L506" s="216"/>
      <c r="M506" s="216"/>
      <c r="N506" s="216"/>
      <c r="O506" s="216"/>
      <c r="P506" s="216"/>
      <c r="Q506" s="216"/>
      <c r="R506" s="216"/>
      <c r="S506" s="216"/>
      <c r="T506" s="216"/>
      <c r="U506" s="216"/>
      <c r="V506" s="216"/>
      <c r="W506" s="216"/>
      <c r="X506" s="216"/>
      <c r="Y506" s="216"/>
      <c r="Z506" s="216"/>
      <c r="AA506" s="216"/>
      <c r="AB506" s="216"/>
      <c r="AC506" s="216"/>
      <c r="AD506" s="216"/>
      <c r="AE506" s="216"/>
      <c r="AF506" s="216"/>
      <c r="AG506" s="216"/>
      <c r="AH506" s="216"/>
      <c r="AI506" s="216"/>
      <c r="AJ506" s="216"/>
      <c r="AK506" s="216"/>
      <c r="AL506" s="216"/>
      <c r="AM506" s="216"/>
      <c r="AN506" s="216"/>
      <c r="AO506" s="216"/>
      <c r="AP506" s="216"/>
      <c r="AQ506" s="216"/>
      <c r="AR506" s="216"/>
    </row>
    <row r="507">
      <c r="A507" s="216"/>
      <c r="B507" s="216"/>
      <c r="C507" s="216"/>
      <c r="D507" s="216"/>
      <c r="E507" s="216"/>
      <c r="F507" s="216"/>
      <c r="G507" s="216"/>
      <c r="H507" s="216"/>
      <c r="I507" s="219"/>
      <c r="J507" s="216"/>
      <c r="K507" s="216"/>
      <c r="L507" s="216"/>
      <c r="M507" s="216"/>
      <c r="N507" s="216"/>
      <c r="O507" s="216"/>
      <c r="P507" s="216"/>
      <c r="Q507" s="216"/>
      <c r="R507" s="216"/>
      <c r="S507" s="216"/>
      <c r="T507" s="216"/>
      <c r="U507" s="216"/>
      <c r="V507" s="216"/>
      <c r="W507" s="216"/>
      <c r="X507" s="216"/>
      <c r="Y507" s="216"/>
      <c r="Z507" s="216"/>
      <c r="AA507" s="216"/>
      <c r="AB507" s="216"/>
      <c r="AC507" s="216"/>
      <c r="AD507" s="216"/>
      <c r="AE507" s="216"/>
      <c r="AF507" s="216"/>
      <c r="AG507" s="216"/>
      <c r="AH507" s="216"/>
      <c r="AI507" s="216"/>
      <c r="AJ507" s="216"/>
      <c r="AK507" s="216"/>
      <c r="AL507" s="216"/>
      <c r="AM507" s="216"/>
      <c r="AN507" s="216"/>
      <c r="AO507" s="216"/>
      <c r="AP507" s="216"/>
      <c r="AQ507" s="216"/>
      <c r="AR507" s="216"/>
    </row>
    <row r="508">
      <c r="A508" s="216"/>
      <c r="B508" s="216"/>
      <c r="C508" s="216"/>
      <c r="D508" s="216"/>
      <c r="E508" s="216"/>
      <c r="F508" s="216"/>
      <c r="G508" s="216"/>
      <c r="H508" s="216"/>
      <c r="I508" s="219"/>
      <c r="J508" s="216"/>
      <c r="K508" s="216"/>
      <c r="L508" s="216"/>
      <c r="M508" s="216"/>
      <c r="N508" s="216"/>
      <c r="O508" s="216"/>
      <c r="P508" s="216"/>
      <c r="Q508" s="216"/>
      <c r="R508" s="216"/>
      <c r="S508" s="216"/>
      <c r="T508" s="216"/>
      <c r="U508" s="216"/>
      <c r="V508" s="216"/>
      <c r="W508" s="216"/>
      <c r="X508" s="216"/>
      <c r="Y508" s="216"/>
      <c r="Z508" s="216"/>
      <c r="AA508" s="216"/>
      <c r="AB508" s="216"/>
      <c r="AC508" s="216"/>
      <c r="AD508" s="216"/>
      <c r="AE508" s="216"/>
      <c r="AF508" s="216"/>
      <c r="AG508" s="216"/>
      <c r="AH508" s="216"/>
      <c r="AI508" s="216"/>
      <c r="AJ508" s="216"/>
      <c r="AK508" s="216"/>
      <c r="AL508" s="216"/>
      <c r="AM508" s="216"/>
      <c r="AN508" s="216"/>
      <c r="AO508" s="216"/>
      <c r="AP508" s="216"/>
      <c r="AQ508" s="216"/>
      <c r="AR508" s="216"/>
    </row>
    <row r="509">
      <c r="A509" s="216"/>
      <c r="B509" s="216"/>
      <c r="C509" s="216"/>
      <c r="D509" s="216"/>
      <c r="E509" s="216"/>
      <c r="F509" s="216"/>
      <c r="G509" s="216"/>
      <c r="H509" s="216"/>
      <c r="I509" s="219"/>
      <c r="J509" s="216"/>
      <c r="K509" s="216"/>
      <c r="L509" s="216"/>
      <c r="M509" s="216"/>
      <c r="N509" s="216"/>
      <c r="O509" s="216"/>
      <c r="P509" s="216"/>
      <c r="Q509" s="216"/>
      <c r="R509" s="216"/>
      <c r="S509" s="216"/>
      <c r="T509" s="216"/>
      <c r="U509" s="216"/>
      <c r="V509" s="216"/>
      <c r="W509" s="216"/>
      <c r="X509" s="216"/>
      <c r="Y509" s="216"/>
      <c r="Z509" s="216"/>
      <c r="AA509" s="216"/>
      <c r="AB509" s="216"/>
      <c r="AC509" s="216"/>
      <c r="AD509" s="216"/>
      <c r="AE509" s="216"/>
      <c r="AF509" s="216"/>
      <c r="AG509" s="216"/>
      <c r="AH509" s="216"/>
      <c r="AI509" s="216"/>
      <c r="AJ509" s="216"/>
      <c r="AK509" s="216"/>
      <c r="AL509" s="216"/>
      <c r="AM509" s="216"/>
      <c r="AN509" s="216"/>
      <c r="AO509" s="216"/>
      <c r="AP509" s="216"/>
      <c r="AQ509" s="216"/>
      <c r="AR509" s="216"/>
    </row>
    <row r="510">
      <c r="A510" s="216"/>
      <c r="B510" s="216"/>
      <c r="C510" s="216"/>
      <c r="D510" s="216"/>
      <c r="E510" s="216"/>
      <c r="F510" s="216"/>
      <c r="G510" s="216"/>
      <c r="H510" s="216"/>
      <c r="I510" s="219"/>
      <c r="J510" s="216"/>
      <c r="K510" s="216"/>
      <c r="L510" s="216"/>
      <c r="M510" s="216"/>
      <c r="N510" s="216"/>
      <c r="O510" s="216"/>
      <c r="P510" s="216"/>
      <c r="Q510" s="216"/>
      <c r="R510" s="216"/>
      <c r="S510" s="216"/>
      <c r="T510" s="216"/>
      <c r="U510" s="216"/>
      <c r="V510" s="216"/>
      <c r="W510" s="216"/>
      <c r="X510" s="216"/>
      <c r="Y510" s="216"/>
      <c r="Z510" s="216"/>
      <c r="AA510" s="216"/>
      <c r="AB510" s="216"/>
      <c r="AC510" s="216"/>
      <c r="AD510" s="216"/>
      <c r="AE510" s="216"/>
      <c r="AF510" s="216"/>
      <c r="AG510" s="216"/>
      <c r="AH510" s="216"/>
      <c r="AI510" s="216"/>
      <c r="AJ510" s="216"/>
      <c r="AK510" s="216"/>
      <c r="AL510" s="216"/>
      <c r="AM510" s="216"/>
      <c r="AN510" s="216"/>
      <c r="AO510" s="216"/>
      <c r="AP510" s="216"/>
      <c r="AQ510" s="216"/>
      <c r="AR510" s="216"/>
    </row>
    <row r="511">
      <c r="A511" s="216"/>
      <c r="B511" s="216"/>
      <c r="C511" s="216"/>
      <c r="D511" s="216"/>
      <c r="E511" s="216"/>
      <c r="F511" s="216"/>
      <c r="G511" s="216"/>
      <c r="H511" s="216"/>
      <c r="I511" s="219"/>
      <c r="J511" s="216"/>
      <c r="K511" s="216"/>
      <c r="L511" s="216"/>
      <c r="M511" s="216"/>
      <c r="N511" s="216"/>
      <c r="O511" s="216"/>
      <c r="P511" s="216"/>
      <c r="Q511" s="216"/>
      <c r="R511" s="216"/>
      <c r="S511" s="216"/>
      <c r="T511" s="216"/>
      <c r="U511" s="216"/>
      <c r="V511" s="216"/>
      <c r="W511" s="216"/>
      <c r="X511" s="216"/>
      <c r="Y511" s="216"/>
      <c r="Z511" s="216"/>
      <c r="AA511" s="216"/>
      <c r="AB511" s="216"/>
      <c r="AC511" s="216"/>
      <c r="AD511" s="216"/>
      <c r="AE511" s="216"/>
      <c r="AF511" s="216"/>
      <c r="AG511" s="216"/>
      <c r="AH511" s="216"/>
      <c r="AI511" s="216"/>
      <c r="AJ511" s="216"/>
      <c r="AK511" s="216"/>
      <c r="AL511" s="216"/>
      <c r="AM511" s="216"/>
      <c r="AN511" s="216"/>
      <c r="AO511" s="216"/>
      <c r="AP511" s="216"/>
      <c r="AQ511" s="216"/>
      <c r="AR511" s="216"/>
    </row>
    <row r="512">
      <c r="A512" s="216"/>
      <c r="B512" s="216"/>
      <c r="C512" s="216"/>
      <c r="D512" s="216"/>
      <c r="E512" s="216"/>
      <c r="F512" s="216"/>
      <c r="G512" s="216"/>
      <c r="H512" s="216"/>
      <c r="I512" s="219"/>
      <c r="J512" s="216"/>
      <c r="K512" s="216"/>
      <c r="L512" s="216"/>
      <c r="M512" s="216"/>
      <c r="N512" s="216"/>
      <c r="O512" s="216"/>
      <c r="P512" s="216"/>
      <c r="Q512" s="216"/>
      <c r="R512" s="216"/>
      <c r="S512" s="216"/>
      <c r="T512" s="216"/>
      <c r="U512" s="216"/>
      <c r="V512" s="216"/>
      <c r="W512" s="216"/>
      <c r="X512" s="216"/>
      <c r="Y512" s="216"/>
      <c r="Z512" s="216"/>
      <c r="AA512" s="216"/>
      <c r="AB512" s="216"/>
      <c r="AC512" s="216"/>
      <c r="AD512" s="216"/>
      <c r="AE512" s="216"/>
      <c r="AF512" s="216"/>
      <c r="AG512" s="216"/>
      <c r="AH512" s="216"/>
      <c r="AI512" s="216"/>
      <c r="AJ512" s="216"/>
      <c r="AK512" s="216"/>
      <c r="AL512" s="216"/>
      <c r="AM512" s="216"/>
      <c r="AN512" s="216"/>
      <c r="AO512" s="216"/>
      <c r="AP512" s="216"/>
      <c r="AQ512" s="216"/>
      <c r="AR512" s="216"/>
    </row>
    <row r="513">
      <c r="A513" s="216"/>
      <c r="B513" s="216"/>
      <c r="C513" s="216"/>
      <c r="D513" s="216"/>
      <c r="E513" s="216"/>
      <c r="F513" s="216"/>
      <c r="G513" s="216"/>
      <c r="H513" s="216"/>
      <c r="I513" s="219"/>
      <c r="J513" s="216"/>
      <c r="K513" s="216"/>
      <c r="L513" s="216"/>
      <c r="M513" s="216"/>
      <c r="N513" s="216"/>
      <c r="O513" s="216"/>
      <c r="P513" s="216"/>
      <c r="Q513" s="216"/>
      <c r="R513" s="216"/>
      <c r="S513" s="216"/>
      <c r="T513" s="216"/>
      <c r="U513" s="216"/>
      <c r="V513" s="216"/>
      <c r="W513" s="216"/>
      <c r="X513" s="216"/>
      <c r="Y513" s="216"/>
      <c r="Z513" s="216"/>
      <c r="AA513" s="216"/>
      <c r="AB513" s="216"/>
      <c r="AC513" s="216"/>
      <c r="AD513" s="216"/>
      <c r="AE513" s="216"/>
      <c r="AF513" s="216"/>
      <c r="AG513" s="216"/>
      <c r="AH513" s="216"/>
      <c r="AI513" s="216"/>
      <c r="AJ513" s="216"/>
      <c r="AK513" s="216"/>
      <c r="AL513" s="216"/>
      <c r="AM513" s="216"/>
      <c r="AN513" s="216"/>
      <c r="AO513" s="216"/>
      <c r="AP513" s="216"/>
      <c r="AQ513" s="216"/>
      <c r="AR513" s="216"/>
    </row>
    <row r="514">
      <c r="A514" s="216"/>
      <c r="B514" s="216"/>
      <c r="C514" s="216"/>
      <c r="D514" s="216"/>
      <c r="E514" s="216"/>
      <c r="F514" s="216"/>
      <c r="G514" s="216"/>
      <c r="H514" s="216"/>
      <c r="I514" s="219"/>
      <c r="J514" s="216"/>
      <c r="K514" s="216"/>
      <c r="L514" s="216"/>
      <c r="M514" s="216"/>
      <c r="N514" s="216"/>
      <c r="O514" s="216"/>
      <c r="P514" s="216"/>
      <c r="Q514" s="216"/>
      <c r="R514" s="216"/>
      <c r="S514" s="216"/>
      <c r="T514" s="216"/>
      <c r="U514" s="216"/>
      <c r="V514" s="216"/>
      <c r="W514" s="216"/>
      <c r="X514" s="216"/>
      <c r="Y514" s="216"/>
      <c r="Z514" s="216"/>
      <c r="AA514" s="216"/>
      <c r="AB514" s="216"/>
      <c r="AC514" s="216"/>
      <c r="AD514" s="216"/>
      <c r="AE514" s="216"/>
      <c r="AF514" s="216"/>
      <c r="AG514" s="216"/>
      <c r="AH514" s="216"/>
      <c r="AI514" s="216"/>
      <c r="AJ514" s="216"/>
      <c r="AK514" s="216"/>
      <c r="AL514" s="216"/>
      <c r="AM514" s="216"/>
      <c r="AN514" s="216"/>
      <c r="AO514" s="216"/>
      <c r="AP514" s="216"/>
      <c r="AQ514" s="216"/>
      <c r="AR514" s="216"/>
    </row>
    <row r="515">
      <c r="A515" s="216"/>
      <c r="B515" s="216"/>
      <c r="C515" s="216"/>
      <c r="D515" s="216"/>
      <c r="E515" s="216"/>
      <c r="F515" s="216"/>
      <c r="G515" s="216"/>
      <c r="H515" s="216"/>
      <c r="I515" s="219"/>
      <c r="J515" s="216"/>
      <c r="K515" s="216"/>
      <c r="L515" s="216"/>
      <c r="M515" s="216"/>
      <c r="N515" s="216"/>
      <c r="O515" s="216"/>
      <c r="P515" s="216"/>
      <c r="Q515" s="216"/>
      <c r="R515" s="216"/>
      <c r="S515" s="216"/>
      <c r="T515" s="216"/>
      <c r="U515" s="216"/>
      <c r="V515" s="216"/>
      <c r="W515" s="216"/>
      <c r="X515" s="216"/>
      <c r="Y515" s="216"/>
      <c r="Z515" s="216"/>
      <c r="AA515" s="216"/>
      <c r="AB515" s="216"/>
      <c r="AC515" s="216"/>
      <c r="AD515" s="216"/>
      <c r="AE515" s="216"/>
      <c r="AF515" s="216"/>
      <c r="AG515" s="216"/>
      <c r="AH515" s="216"/>
      <c r="AI515" s="216"/>
      <c r="AJ515" s="216"/>
      <c r="AK515" s="216"/>
      <c r="AL515" s="216"/>
      <c r="AM515" s="216"/>
      <c r="AN515" s="216"/>
      <c r="AO515" s="216"/>
      <c r="AP515" s="216"/>
      <c r="AQ515" s="216"/>
      <c r="AR515" s="216"/>
    </row>
    <row r="516">
      <c r="A516" s="216"/>
      <c r="B516" s="216"/>
      <c r="C516" s="216"/>
      <c r="D516" s="216"/>
      <c r="E516" s="216"/>
      <c r="F516" s="216"/>
      <c r="G516" s="216"/>
      <c r="H516" s="216"/>
      <c r="I516" s="219"/>
      <c r="J516" s="216"/>
      <c r="K516" s="216"/>
      <c r="L516" s="216"/>
      <c r="M516" s="216"/>
      <c r="N516" s="216"/>
      <c r="O516" s="216"/>
      <c r="P516" s="216"/>
      <c r="Q516" s="216"/>
      <c r="R516" s="216"/>
      <c r="S516" s="216"/>
      <c r="T516" s="216"/>
      <c r="U516" s="216"/>
      <c r="V516" s="216"/>
      <c r="W516" s="216"/>
      <c r="X516" s="216"/>
      <c r="Y516" s="216"/>
      <c r="Z516" s="216"/>
      <c r="AA516" s="216"/>
      <c r="AB516" s="216"/>
      <c r="AC516" s="216"/>
      <c r="AD516" s="216"/>
      <c r="AE516" s="216"/>
      <c r="AF516" s="216"/>
      <c r="AG516" s="216"/>
      <c r="AH516" s="216"/>
      <c r="AI516" s="216"/>
      <c r="AJ516" s="216"/>
      <c r="AK516" s="216"/>
      <c r="AL516" s="216"/>
      <c r="AM516" s="216"/>
      <c r="AN516" s="216"/>
      <c r="AO516" s="216"/>
      <c r="AP516" s="216"/>
      <c r="AQ516" s="216"/>
      <c r="AR516" s="216"/>
    </row>
    <row r="517">
      <c r="A517" s="216"/>
      <c r="B517" s="216"/>
      <c r="C517" s="216"/>
      <c r="D517" s="216"/>
      <c r="E517" s="216"/>
      <c r="F517" s="216"/>
      <c r="G517" s="216"/>
      <c r="H517" s="216"/>
      <c r="I517" s="219"/>
      <c r="J517" s="216"/>
      <c r="K517" s="216"/>
      <c r="L517" s="216"/>
      <c r="M517" s="216"/>
      <c r="N517" s="216"/>
      <c r="O517" s="216"/>
      <c r="P517" s="216"/>
      <c r="Q517" s="216"/>
      <c r="R517" s="216"/>
      <c r="S517" s="216"/>
      <c r="T517" s="216"/>
      <c r="U517" s="216"/>
      <c r="V517" s="216"/>
      <c r="W517" s="216"/>
      <c r="X517" s="216"/>
      <c r="Y517" s="216"/>
      <c r="Z517" s="216"/>
      <c r="AA517" s="216"/>
      <c r="AB517" s="216"/>
      <c r="AC517" s="216"/>
      <c r="AD517" s="216"/>
      <c r="AE517" s="216"/>
      <c r="AF517" s="216"/>
      <c r="AG517" s="216"/>
      <c r="AH517" s="216"/>
      <c r="AI517" s="216"/>
      <c r="AJ517" s="216"/>
      <c r="AK517" s="216"/>
      <c r="AL517" s="216"/>
      <c r="AM517" s="216"/>
      <c r="AN517" s="216"/>
      <c r="AO517" s="216"/>
      <c r="AP517" s="216"/>
      <c r="AQ517" s="216"/>
      <c r="AR517" s="216"/>
    </row>
    <row r="518">
      <c r="A518" s="216"/>
      <c r="B518" s="216"/>
      <c r="C518" s="216"/>
      <c r="D518" s="216"/>
      <c r="E518" s="216"/>
      <c r="F518" s="216"/>
      <c r="G518" s="216"/>
      <c r="H518" s="216"/>
      <c r="I518" s="219"/>
      <c r="J518" s="216"/>
      <c r="K518" s="216"/>
      <c r="L518" s="216"/>
      <c r="M518" s="216"/>
      <c r="N518" s="216"/>
      <c r="O518" s="216"/>
      <c r="P518" s="216"/>
      <c r="Q518" s="216"/>
      <c r="R518" s="216"/>
      <c r="S518" s="216"/>
      <c r="T518" s="216"/>
      <c r="U518" s="216"/>
      <c r="V518" s="216"/>
      <c r="W518" s="216"/>
      <c r="X518" s="216"/>
      <c r="Y518" s="216"/>
      <c r="Z518" s="216"/>
      <c r="AA518" s="216"/>
      <c r="AB518" s="216"/>
      <c r="AC518" s="216"/>
      <c r="AD518" s="216"/>
      <c r="AE518" s="216"/>
      <c r="AF518" s="216"/>
      <c r="AG518" s="216"/>
      <c r="AH518" s="216"/>
      <c r="AI518" s="216"/>
      <c r="AJ518" s="216"/>
      <c r="AK518" s="216"/>
      <c r="AL518" s="216"/>
      <c r="AM518" s="216"/>
      <c r="AN518" s="216"/>
      <c r="AO518" s="216"/>
      <c r="AP518" s="216"/>
      <c r="AQ518" s="216"/>
      <c r="AR518" s="216"/>
    </row>
    <row r="519">
      <c r="A519" s="216"/>
      <c r="B519" s="216"/>
      <c r="C519" s="216"/>
      <c r="D519" s="216"/>
      <c r="E519" s="216"/>
      <c r="F519" s="216"/>
      <c r="G519" s="216"/>
      <c r="H519" s="216"/>
      <c r="I519" s="219"/>
      <c r="J519" s="216"/>
      <c r="K519" s="216"/>
      <c r="L519" s="216"/>
      <c r="M519" s="216"/>
      <c r="N519" s="216"/>
      <c r="O519" s="216"/>
      <c r="P519" s="216"/>
      <c r="Q519" s="216"/>
      <c r="R519" s="216"/>
      <c r="S519" s="216"/>
      <c r="T519" s="216"/>
      <c r="U519" s="216"/>
      <c r="V519" s="216"/>
      <c r="W519" s="216"/>
      <c r="X519" s="216"/>
      <c r="Y519" s="216"/>
      <c r="Z519" s="216"/>
      <c r="AA519" s="216"/>
      <c r="AB519" s="216"/>
      <c r="AC519" s="216"/>
      <c r="AD519" s="216"/>
      <c r="AE519" s="216"/>
      <c r="AF519" s="216"/>
      <c r="AG519" s="216"/>
      <c r="AH519" s="216"/>
      <c r="AI519" s="216"/>
      <c r="AJ519" s="216"/>
      <c r="AK519" s="216"/>
      <c r="AL519" s="216"/>
      <c r="AM519" s="216"/>
      <c r="AN519" s="216"/>
      <c r="AO519" s="216"/>
      <c r="AP519" s="216"/>
      <c r="AQ519" s="216"/>
      <c r="AR519" s="216"/>
    </row>
    <row r="520">
      <c r="A520" s="216"/>
      <c r="B520" s="216"/>
      <c r="C520" s="216"/>
      <c r="D520" s="216"/>
      <c r="E520" s="216"/>
      <c r="F520" s="216"/>
      <c r="G520" s="216"/>
      <c r="H520" s="216"/>
      <c r="I520" s="219"/>
      <c r="J520" s="216"/>
      <c r="K520" s="216"/>
      <c r="L520" s="216"/>
      <c r="M520" s="216"/>
      <c r="N520" s="216"/>
      <c r="O520" s="216"/>
      <c r="P520" s="216"/>
      <c r="Q520" s="216"/>
      <c r="R520" s="216"/>
      <c r="S520" s="216"/>
      <c r="T520" s="216"/>
      <c r="U520" s="216"/>
      <c r="V520" s="216"/>
      <c r="W520" s="216"/>
      <c r="X520" s="216"/>
      <c r="Y520" s="216"/>
      <c r="Z520" s="216"/>
      <c r="AA520" s="216"/>
      <c r="AB520" s="216"/>
      <c r="AC520" s="216"/>
      <c r="AD520" s="216"/>
      <c r="AE520" s="216"/>
      <c r="AF520" s="216"/>
      <c r="AG520" s="216"/>
      <c r="AH520" s="216"/>
      <c r="AI520" s="216"/>
      <c r="AJ520" s="216"/>
      <c r="AK520" s="216"/>
      <c r="AL520" s="216"/>
      <c r="AM520" s="216"/>
      <c r="AN520" s="216"/>
      <c r="AO520" s="216"/>
      <c r="AP520" s="216"/>
      <c r="AQ520" s="216"/>
      <c r="AR520" s="216"/>
    </row>
    <row r="521">
      <c r="A521" s="216"/>
      <c r="B521" s="216"/>
      <c r="C521" s="216"/>
      <c r="D521" s="216"/>
      <c r="E521" s="216"/>
      <c r="F521" s="216"/>
      <c r="G521" s="216"/>
      <c r="H521" s="216"/>
      <c r="I521" s="219"/>
      <c r="J521" s="216"/>
      <c r="K521" s="216"/>
      <c r="L521" s="216"/>
      <c r="M521" s="216"/>
      <c r="N521" s="216"/>
      <c r="O521" s="216"/>
      <c r="P521" s="216"/>
      <c r="Q521" s="216"/>
      <c r="R521" s="216"/>
      <c r="S521" s="216"/>
      <c r="T521" s="216"/>
      <c r="U521" s="216"/>
      <c r="V521" s="216"/>
      <c r="W521" s="216"/>
      <c r="X521" s="216"/>
      <c r="Y521" s="216"/>
      <c r="Z521" s="216"/>
      <c r="AA521" s="216"/>
      <c r="AB521" s="216"/>
      <c r="AC521" s="216"/>
      <c r="AD521" s="216"/>
      <c r="AE521" s="216"/>
      <c r="AF521" s="216"/>
      <c r="AG521" s="216"/>
      <c r="AH521" s="216"/>
      <c r="AI521" s="216"/>
      <c r="AJ521" s="216"/>
      <c r="AK521" s="216"/>
      <c r="AL521" s="216"/>
      <c r="AM521" s="216"/>
      <c r="AN521" s="216"/>
      <c r="AO521" s="216"/>
      <c r="AP521" s="216"/>
      <c r="AQ521" s="216"/>
      <c r="AR521" s="216"/>
    </row>
    <row r="522">
      <c r="A522" s="216"/>
      <c r="B522" s="216"/>
      <c r="C522" s="216"/>
      <c r="D522" s="216"/>
      <c r="E522" s="216"/>
      <c r="F522" s="216"/>
      <c r="G522" s="216"/>
      <c r="H522" s="216"/>
      <c r="I522" s="219"/>
      <c r="J522" s="216"/>
      <c r="K522" s="216"/>
      <c r="L522" s="216"/>
      <c r="M522" s="216"/>
      <c r="N522" s="216"/>
      <c r="O522" s="216"/>
      <c r="P522" s="216"/>
      <c r="Q522" s="216"/>
      <c r="R522" s="216"/>
      <c r="S522" s="216"/>
      <c r="T522" s="216"/>
      <c r="U522" s="216"/>
      <c r="V522" s="216"/>
      <c r="W522" s="216"/>
      <c r="X522" s="216"/>
      <c r="Y522" s="216"/>
      <c r="Z522" s="216"/>
      <c r="AA522" s="216"/>
      <c r="AB522" s="216"/>
      <c r="AC522" s="216"/>
      <c r="AD522" s="216"/>
      <c r="AE522" s="216"/>
      <c r="AF522" s="216"/>
      <c r="AG522" s="216"/>
      <c r="AH522" s="216"/>
      <c r="AI522" s="216"/>
      <c r="AJ522" s="216"/>
      <c r="AK522" s="216"/>
      <c r="AL522" s="216"/>
      <c r="AM522" s="216"/>
      <c r="AN522" s="216"/>
      <c r="AO522" s="216"/>
      <c r="AP522" s="216"/>
      <c r="AQ522" s="216"/>
      <c r="AR522" s="216"/>
    </row>
    <row r="523">
      <c r="A523" s="216"/>
      <c r="B523" s="216"/>
      <c r="C523" s="216"/>
      <c r="D523" s="216"/>
      <c r="E523" s="216"/>
      <c r="F523" s="216"/>
      <c r="G523" s="216"/>
      <c r="H523" s="216"/>
      <c r="I523" s="219"/>
      <c r="J523" s="216"/>
      <c r="K523" s="216"/>
      <c r="L523" s="216"/>
      <c r="M523" s="216"/>
      <c r="N523" s="216"/>
      <c r="O523" s="216"/>
      <c r="P523" s="216"/>
      <c r="Q523" s="216"/>
      <c r="R523" s="216"/>
      <c r="S523" s="216"/>
      <c r="T523" s="216"/>
      <c r="U523" s="216"/>
      <c r="V523" s="216"/>
      <c r="W523" s="216"/>
      <c r="X523" s="216"/>
      <c r="Y523" s="216"/>
      <c r="Z523" s="216"/>
      <c r="AA523" s="216"/>
      <c r="AB523" s="216"/>
      <c r="AC523" s="216"/>
      <c r="AD523" s="216"/>
      <c r="AE523" s="216"/>
      <c r="AF523" s="216"/>
      <c r="AG523" s="216"/>
      <c r="AH523" s="216"/>
      <c r="AI523" s="216"/>
      <c r="AJ523" s="216"/>
      <c r="AK523" s="216"/>
      <c r="AL523" s="216"/>
      <c r="AM523" s="216"/>
      <c r="AN523" s="216"/>
      <c r="AO523" s="216"/>
      <c r="AP523" s="216"/>
      <c r="AQ523" s="216"/>
      <c r="AR523" s="216"/>
    </row>
    <row r="524">
      <c r="A524" s="216"/>
      <c r="B524" s="216"/>
      <c r="C524" s="216"/>
      <c r="D524" s="216"/>
      <c r="E524" s="216"/>
      <c r="F524" s="216"/>
      <c r="G524" s="216"/>
      <c r="H524" s="216"/>
      <c r="I524" s="219"/>
      <c r="J524" s="216"/>
      <c r="K524" s="216"/>
      <c r="L524" s="216"/>
      <c r="M524" s="216"/>
      <c r="N524" s="216"/>
      <c r="O524" s="216"/>
      <c r="P524" s="216"/>
      <c r="Q524" s="216"/>
      <c r="R524" s="216"/>
      <c r="S524" s="216"/>
      <c r="T524" s="216"/>
      <c r="U524" s="216"/>
      <c r="V524" s="216"/>
      <c r="W524" s="216"/>
      <c r="X524" s="216"/>
      <c r="Y524" s="216"/>
      <c r="Z524" s="216"/>
      <c r="AA524" s="216"/>
      <c r="AB524" s="216"/>
      <c r="AC524" s="216"/>
      <c r="AD524" s="216"/>
      <c r="AE524" s="216"/>
      <c r="AF524" s="216"/>
      <c r="AG524" s="216"/>
      <c r="AH524" s="216"/>
      <c r="AI524" s="216"/>
      <c r="AJ524" s="216"/>
      <c r="AK524" s="216"/>
      <c r="AL524" s="216"/>
      <c r="AM524" s="216"/>
      <c r="AN524" s="216"/>
      <c r="AO524" s="216"/>
      <c r="AP524" s="216"/>
      <c r="AQ524" s="216"/>
      <c r="AR524" s="216"/>
    </row>
    <row r="525">
      <c r="A525" s="216"/>
      <c r="B525" s="216"/>
      <c r="C525" s="216"/>
      <c r="D525" s="216"/>
      <c r="E525" s="216"/>
      <c r="F525" s="216"/>
      <c r="G525" s="216"/>
      <c r="H525" s="216"/>
      <c r="I525" s="219"/>
      <c r="J525" s="216"/>
      <c r="K525" s="216"/>
      <c r="L525" s="216"/>
      <c r="M525" s="216"/>
      <c r="N525" s="216"/>
      <c r="O525" s="216"/>
      <c r="P525" s="216"/>
      <c r="Q525" s="216"/>
      <c r="R525" s="216"/>
      <c r="S525" s="216"/>
      <c r="T525" s="216"/>
      <c r="U525" s="216"/>
      <c r="V525" s="216"/>
      <c r="W525" s="216"/>
      <c r="X525" s="216"/>
      <c r="Y525" s="216"/>
      <c r="Z525" s="216"/>
      <c r="AA525" s="216"/>
      <c r="AB525" s="216"/>
      <c r="AC525" s="216"/>
      <c r="AD525" s="216"/>
      <c r="AE525" s="216"/>
      <c r="AF525" s="216"/>
      <c r="AG525" s="216"/>
      <c r="AH525" s="216"/>
      <c r="AI525" s="216"/>
      <c r="AJ525" s="216"/>
      <c r="AK525" s="216"/>
      <c r="AL525" s="216"/>
      <c r="AM525" s="216"/>
      <c r="AN525" s="216"/>
      <c r="AO525" s="216"/>
      <c r="AP525" s="216"/>
      <c r="AQ525" s="216"/>
      <c r="AR525" s="216"/>
    </row>
    <row r="526">
      <c r="A526" s="216"/>
      <c r="B526" s="216"/>
      <c r="C526" s="216"/>
      <c r="D526" s="216"/>
      <c r="E526" s="216"/>
      <c r="F526" s="216"/>
      <c r="G526" s="216"/>
      <c r="H526" s="216"/>
      <c r="I526" s="219"/>
      <c r="J526" s="216"/>
      <c r="K526" s="216"/>
      <c r="L526" s="216"/>
      <c r="M526" s="216"/>
      <c r="N526" s="216"/>
      <c r="O526" s="216"/>
      <c r="P526" s="216"/>
      <c r="Q526" s="216"/>
      <c r="R526" s="216"/>
      <c r="S526" s="216"/>
      <c r="T526" s="216"/>
      <c r="U526" s="216"/>
      <c r="V526" s="216"/>
      <c r="W526" s="216"/>
      <c r="X526" s="216"/>
      <c r="Y526" s="216"/>
      <c r="Z526" s="216"/>
      <c r="AA526" s="216"/>
      <c r="AB526" s="216"/>
      <c r="AC526" s="216"/>
      <c r="AD526" s="216"/>
      <c r="AE526" s="216"/>
      <c r="AF526" s="216"/>
      <c r="AG526" s="216"/>
      <c r="AH526" s="216"/>
      <c r="AI526" s="216"/>
      <c r="AJ526" s="216"/>
      <c r="AK526" s="216"/>
      <c r="AL526" s="216"/>
      <c r="AM526" s="216"/>
      <c r="AN526" s="216"/>
      <c r="AO526" s="216"/>
      <c r="AP526" s="216"/>
      <c r="AQ526" s="216"/>
      <c r="AR526" s="216"/>
    </row>
    <row r="527">
      <c r="A527" s="216"/>
      <c r="B527" s="216"/>
      <c r="C527" s="216"/>
      <c r="D527" s="216"/>
      <c r="E527" s="216"/>
      <c r="F527" s="216"/>
      <c r="G527" s="216"/>
      <c r="H527" s="216"/>
      <c r="I527" s="219"/>
      <c r="J527" s="216"/>
      <c r="K527" s="216"/>
      <c r="L527" s="216"/>
      <c r="M527" s="216"/>
      <c r="N527" s="216"/>
      <c r="O527" s="216"/>
      <c r="P527" s="216"/>
      <c r="Q527" s="216"/>
      <c r="R527" s="216"/>
      <c r="S527" s="216"/>
      <c r="T527" s="216"/>
      <c r="U527" s="216"/>
      <c r="V527" s="216"/>
      <c r="W527" s="216"/>
      <c r="X527" s="216"/>
      <c r="Y527" s="216"/>
      <c r="Z527" s="216"/>
      <c r="AA527" s="216"/>
      <c r="AB527" s="216"/>
      <c r="AC527" s="216"/>
      <c r="AD527" s="216"/>
      <c r="AE527" s="216"/>
      <c r="AF527" s="216"/>
      <c r="AG527" s="216"/>
      <c r="AH527" s="216"/>
      <c r="AI527" s="216"/>
      <c r="AJ527" s="216"/>
      <c r="AK527" s="216"/>
      <c r="AL527" s="216"/>
      <c r="AM527" s="216"/>
      <c r="AN527" s="216"/>
      <c r="AO527" s="216"/>
      <c r="AP527" s="216"/>
      <c r="AQ527" s="216"/>
      <c r="AR527" s="216"/>
    </row>
    <row r="528">
      <c r="A528" s="216"/>
      <c r="B528" s="216"/>
      <c r="C528" s="216"/>
      <c r="D528" s="216"/>
      <c r="E528" s="216"/>
      <c r="F528" s="216"/>
      <c r="G528" s="216"/>
      <c r="H528" s="216"/>
      <c r="I528" s="219"/>
      <c r="J528" s="216"/>
      <c r="K528" s="216"/>
      <c r="L528" s="216"/>
      <c r="M528" s="216"/>
      <c r="N528" s="216"/>
      <c r="O528" s="216"/>
      <c r="P528" s="216"/>
      <c r="Q528" s="216"/>
      <c r="R528" s="216"/>
      <c r="S528" s="216"/>
      <c r="T528" s="216"/>
      <c r="U528" s="216"/>
      <c r="V528" s="216"/>
      <c r="W528" s="216"/>
      <c r="X528" s="216"/>
      <c r="Y528" s="216"/>
      <c r="Z528" s="216"/>
      <c r="AA528" s="216"/>
      <c r="AB528" s="216"/>
      <c r="AC528" s="216"/>
      <c r="AD528" s="216"/>
      <c r="AE528" s="216"/>
      <c r="AF528" s="216"/>
      <c r="AG528" s="216"/>
      <c r="AH528" s="216"/>
      <c r="AI528" s="216"/>
      <c r="AJ528" s="216"/>
      <c r="AK528" s="216"/>
      <c r="AL528" s="216"/>
      <c r="AM528" s="216"/>
      <c r="AN528" s="216"/>
      <c r="AO528" s="216"/>
      <c r="AP528" s="216"/>
      <c r="AQ528" s="216"/>
      <c r="AR528" s="216"/>
    </row>
    <row r="529">
      <c r="A529" s="216"/>
      <c r="B529" s="216"/>
      <c r="C529" s="216"/>
      <c r="D529" s="216"/>
      <c r="E529" s="216"/>
      <c r="F529" s="216"/>
      <c r="G529" s="216"/>
      <c r="H529" s="216"/>
      <c r="I529" s="219"/>
      <c r="J529" s="216"/>
      <c r="K529" s="216"/>
      <c r="L529" s="216"/>
      <c r="M529" s="216"/>
      <c r="N529" s="216"/>
      <c r="O529" s="216"/>
      <c r="P529" s="216"/>
      <c r="Q529" s="216"/>
      <c r="R529" s="216"/>
      <c r="S529" s="216"/>
      <c r="T529" s="216"/>
      <c r="U529" s="216"/>
      <c r="V529" s="216"/>
      <c r="W529" s="216"/>
      <c r="X529" s="216"/>
      <c r="Y529" s="216"/>
      <c r="Z529" s="216"/>
      <c r="AA529" s="216"/>
      <c r="AB529" s="216"/>
      <c r="AC529" s="216"/>
      <c r="AD529" s="216"/>
      <c r="AE529" s="216"/>
      <c r="AF529" s="216"/>
      <c r="AG529" s="216"/>
      <c r="AH529" s="216"/>
      <c r="AI529" s="216"/>
      <c r="AJ529" s="216"/>
      <c r="AK529" s="216"/>
      <c r="AL529" s="216"/>
      <c r="AM529" s="216"/>
      <c r="AN529" s="216"/>
      <c r="AO529" s="216"/>
      <c r="AP529" s="216"/>
      <c r="AQ529" s="216"/>
      <c r="AR529" s="216"/>
    </row>
    <row r="530">
      <c r="A530" s="216"/>
      <c r="B530" s="216"/>
      <c r="C530" s="216"/>
      <c r="D530" s="216"/>
      <c r="E530" s="216"/>
      <c r="F530" s="216"/>
      <c r="G530" s="216"/>
      <c r="H530" s="216"/>
      <c r="I530" s="219"/>
      <c r="J530" s="216"/>
      <c r="K530" s="216"/>
      <c r="L530" s="216"/>
      <c r="M530" s="216"/>
      <c r="N530" s="216"/>
      <c r="O530" s="216"/>
      <c r="P530" s="216"/>
      <c r="Q530" s="216"/>
      <c r="R530" s="216"/>
      <c r="S530" s="216"/>
      <c r="T530" s="216"/>
      <c r="U530" s="216"/>
      <c r="V530" s="216"/>
      <c r="W530" s="216"/>
      <c r="X530" s="216"/>
      <c r="Y530" s="216"/>
      <c r="Z530" s="216"/>
      <c r="AA530" s="216"/>
      <c r="AB530" s="216"/>
      <c r="AC530" s="216"/>
      <c r="AD530" s="216"/>
      <c r="AE530" s="216"/>
      <c r="AF530" s="216"/>
      <c r="AG530" s="216"/>
      <c r="AH530" s="216"/>
      <c r="AI530" s="216"/>
      <c r="AJ530" s="216"/>
      <c r="AK530" s="216"/>
      <c r="AL530" s="216"/>
      <c r="AM530" s="216"/>
      <c r="AN530" s="216"/>
      <c r="AO530" s="216"/>
      <c r="AP530" s="216"/>
      <c r="AQ530" s="216"/>
      <c r="AR530" s="216"/>
    </row>
    <row r="531">
      <c r="A531" s="216"/>
      <c r="B531" s="216"/>
      <c r="C531" s="216"/>
      <c r="D531" s="216"/>
      <c r="E531" s="216"/>
      <c r="F531" s="216"/>
      <c r="G531" s="216"/>
      <c r="H531" s="216"/>
      <c r="I531" s="219"/>
      <c r="J531" s="216"/>
      <c r="K531" s="216"/>
      <c r="L531" s="216"/>
      <c r="M531" s="216"/>
      <c r="N531" s="216"/>
      <c r="O531" s="216"/>
      <c r="P531" s="216"/>
      <c r="Q531" s="216"/>
      <c r="R531" s="216"/>
      <c r="S531" s="216"/>
      <c r="T531" s="216"/>
      <c r="U531" s="216"/>
      <c r="V531" s="216"/>
      <c r="W531" s="216"/>
      <c r="X531" s="216"/>
      <c r="Y531" s="216"/>
      <c r="Z531" s="216"/>
      <c r="AA531" s="216"/>
      <c r="AB531" s="216"/>
      <c r="AC531" s="216"/>
      <c r="AD531" s="216"/>
      <c r="AE531" s="216"/>
      <c r="AF531" s="216"/>
      <c r="AG531" s="216"/>
      <c r="AH531" s="216"/>
      <c r="AI531" s="216"/>
      <c r="AJ531" s="216"/>
      <c r="AK531" s="216"/>
      <c r="AL531" s="216"/>
      <c r="AM531" s="216"/>
      <c r="AN531" s="216"/>
      <c r="AO531" s="216"/>
      <c r="AP531" s="216"/>
      <c r="AQ531" s="216"/>
      <c r="AR531" s="216"/>
    </row>
    <row r="532">
      <c r="A532" s="216"/>
      <c r="B532" s="216"/>
      <c r="C532" s="216"/>
      <c r="D532" s="216"/>
      <c r="E532" s="216"/>
      <c r="F532" s="216"/>
      <c r="G532" s="216"/>
      <c r="H532" s="216"/>
      <c r="I532" s="219"/>
      <c r="J532" s="216"/>
      <c r="K532" s="216"/>
      <c r="L532" s="216"/>
      <c r="M532" s="216"/>
      <c r="N532" s="216"/>
      <c r="O532" s="216"/>
      <c r="P532" s="216"/>
      <c r="Q532" s="216"/>
      <c r="R532" s="216"/>
      <c r="S532" s="216"/>
      <c r="T532" s="216"/>
      <c r="U532" s="216"/>
      <c r="V532" s="216"/>
      <c r="W532" s="216"/>
      <c r="X532" s="216"/>
      <c r="Y532" s="216"/>
      <c r="Z532" s="216"/>
      <c r="AA532" s="216"/>
      <c r="AB532" s="216"/>
      <c r="AC532" s="216"/>
      <c r="AD532" s="216"/>
      <c r="AE532" s="216"/>
      <c r="AF532" s="216"/>
      <c r="AG532" s="216"/>
      <c r="AH532" s="216"/>
      <c r="AI532" s="216"/>
      <c r="AJ532" s="216"/>
      <c r="AK532" s="216"/>
      <c r="AL532" s="216"/>
      <c r="AM532" s="216"/>
      <c r="AN532" s="216"/>
      <c r="AO532" s="216"/>
      <c r="AP532" s="216"/>
      <c r="AQ532" s="216"/>
      <c r="AR532" s="216"/>
    </row>
    <row r="533">
      <c r="A533" s="216"/>
      <c r="B533" s="216"/>
      <c r="C533" s="216"/>
      <c r="D533" s="216"/>
      <c r="E533" s="216"/>
      <c r="F533" s="216"/>
      <c r="G533" s="216"/>
      <c r="H533" s="216"/>
      <c r="I533" s="219"/>
      <c r="J533" s="216"/>
      <c r="K533" s="216"/>
      <c r="L533" s="216"/>
      <c r="M533" s="216"/>
      <c r="N533" s="216"/>
      <c r="O533" s="216"/>
      <c r="P533" s="216"/>
      <c r="Q533" s="216"/>
      <c r="R533" s="216"/>
      <c r="S533" s="216"/>
      <c r="T533" s="216"/>
      <c r="U533" s="216"/>
      <c r="V533" s="216"/>
      <c r="W533" s="216"/>
      <c r="X533" s="216"/>
      <c r="Y533" s="216"/>
      <c r="Z533" s="216"/>
      <c r="AA533" s="216"/>
      <c r="AB533" s="216"/>
      <c r="AC533" s="216"/>
      <c r="AD533" s="216"/>
      <c r="AE533" s="216"/>
      <c r="AF533" s="216"/>
      <c r="AG533" s="216"/>
      <c r="AH533" s="216"/>
      <c r="AI533" s="216"/>
      <c r="AJ533" s="216"/>
      <c r="AK533" s="216"/>
      <c r="AL533" s="216"/>
      <c r="AM533" s="216"/>
      <c r="AN533" s="216"/>
      <c r="AO533" s="216"/>
      <c r="AP533" s="216"/>
      <c r="AQ533" s="216"/>
      <c r="AR533" s="216"/>
    </row>
    <row r="534">
      <c r="A534" s="216"/>
      <c r="B534" s="216"/>
      <c r="C534" s="216"/>
      <c r="D534" s="216"/>
      <c r="E534" s="216"/>
      <c r="F534" s="216"/>
      <c r="G534" s="216"/>
      <c r="H534" s="216"/>
      <c r="I534" s="219"/>
      <c r="J534" s="216"/>
      <c r="K534" s="216"/>
      <c r="L534" s="216"/>
      <c r="M534" s="216"/>
      <c r="N534" s="216"/>
      <c r="O534" s="216"/>
      <c r="P534" s="216"/>
      <c r="Q534" s="216"/>
      <c r="R534" s="216"/>
      <c r="S534" s="216"/>
      <c r="T534" s="216"/>
      <c r="U534" s="216"/>
      <c r="V534" s="216"/>
      <c r="W534" s="216"/>
      <c r="X534" s="216"/>
      <c r="Y534" s="216"/>
      <c r="Z534" s="216"/>
      <c r="AA534" s="216"/>
      <c r="AB534" s="216"/>
      <c r="AC534" s="216"/>
      <c r="AD534" s="216"/>
      <c r="AE534" s="216"/>
      <c r="AF534" s="216"/>
      <c r="AG534" s="216"/>
      <c r="AH534" s="216"/>
      <c r="AI534" s="216"/>
      <c r="AJ534" s="216"/>
      <c r="AK534" s="216"/>
      <c r="AL534" s="216"/>
      <c r="AM534" s="216"/>
      <c r="AN534" s="216"/>
      <c r="AO534" s="216"/>
      <c r="AP534" s="216"/>
      <c r="AQ534" s="216"/>
      <c r="AR534" s="216"/>
    </row>
    <row r="535">
      <c r="A535" s="216"/>
      <c r="B535" s="216"/>
      <c r="C535" s="216"/>
      <c r="D535" s="216"/>
      <c r="E535" s="216"/>
      <c r="F535" s="216"/>
      <c r="G535" s="216"/>
      <c r="H535" s="216"/>
      <c r="I535" s="219"/>
      <c r="J535" s="216"/>
      <c r="K535" s="216"/>
      <c r="L535" s="216"/>
      <c r="M535" s="216"/>
      <c r="N535" s="216"/>
      <c r="O535" s="216"/>
      <c r="P535" s="216"/>
      <c r="Q535" s="216"/>
      <c r="R535" s="216"/>
      <c r="S535" s="216"/>
      <c r="T535" s="216"/>
      <c r="U535" s="216"/>
      <c r="V535" s="216"/>
      <c r="W535" s="216"/>
      <c r="X535" s="216"/>
      <c r="Y535" s="216"/>
      <c r="Z535" s="216"/>
      <c r="AA535" s="216"/>
      <c r="AB535" s="216"/>
      <c r="AC535" s="216"/>
      <c r="AD535" s="216"/>
      <c r="AE535" s="216"/>
      <c r="AF535" s="216"/>
      <c r="AG535" s="216"/>
      <c r="AH535" s="216"/>
      <c r="AI535" s="216"/>
      <c r="AJ535" s="216"/>
      <c r="AK535" s="216"/>
      <c r="AL535" s="216"/>
      <c r="AM535" s="216"/>
      <c r="AN535" s="216"/>
      <c r="AO535" s="216"/>
      <c r="AP535" s="216"/>
      <c r="AQ535" s="216"/>
      <c r="AR535" s="216"/>
    </row>
    <row r="536">
      <c r="A536" s="216"/>
      <c r="B536" s="216"/>
      <c r="C536" s="216"/>
      <c r="D536" s="216"/>
      <c r="E536" s="216"/>
      <c r="F536" s="216"/>
      <c r="G536" s="216"/>
      <c r="H536" s="216"/>
      <c r="I536" s="219"/>
      <c r="J536" s="216"/>
      <c r="K536" s="216"/>
      <c r="L536" s="216"/>
      <c r="M536" s="216"/>
      <c r="N536" s="216"/>
      <c r="O536" s="216"/>
      <c r="P536" s="216"/>
      <c r="Q536" s="216"/>
      <c r="R536" s="216"/>
      <c r="S536" s="216"/>
      <c r="T536" s="216"/>
      <c r="U536" s="216"/>
      <c r="V536" s="216"/>
      <c r="W536" s="216"/>
      <c r="X536" s="216"/>
      <c r="Y536" s="216"/>
      <c r="Z536" s="216"/>
      <c r="AA536" s="216"/>
      <c r="AB536" s="216"/>
      <c r="AC536" s="216"/>
      <c r="AD536" s="216"/>
      <c r="AE536" s="216"/>
      <c r="AF536" s="216"/>
      <c r="AG536" s="216"/>
      <c r="AH536" s="216"/>
      <c r="AI536" s="216"/>
      <c r="AJ536" s="216"/>
      <c r="AK536" s="216"/>
      <c r="AL536" s="216"/>
      <c r="AM536" s="216"/>
      <c r="AN536" s="216"/>
      <c r="AO536" s="216"/>
      <c r="AP536" s="216"/>
      <c r="AQ536" s="216"/>
      <c r="AR536" s="216"/>
    </row>
    <row r="537">
      <c r="A537" s="216"/>
      <c r="B537" s="216"/>
      <c r="C537" s="216"/>
      <c r="D537" s="216"/>
      <c r="E537" s="216"/>
      <c r="F537" s="216"/>
      <c r="G537" s="216"/>
      <c r="H537" s="216"/>
      <c r="I537" s="219"/>
      <c r="J537" s="216"/>
      <c r="K537" s="216"/>
      <c r="L537" s="216"/>
      <c r="M537" s="216"/>
      <c r="N537" s="216"/>
      <c r="O537" s="216"/>
      <c r="P537" s="216"/>
      <c r="Q537" s="216"/>
      <c r="R537" s="216"/>
      <c r="S537" s="216"/>
      <c r="T537" s="216"/>
      <c r="U537" s="216"/>
      <c r="V537" s="216"/>
      <c r="W537" s="216"/>
      <c r="X537" s="216"/>
      <c r="Y537" s="216"/>
      <c r="Z537" s="216"/>
      <c r="AA537" s="216"/>
      <c r="AB537" s="216"/>
      <c r="AC537" s="216"/>
      <c r="AD537" s="216"/>
      <c r="AE537" s="216"/>
      <c r="AF537" s="216"/>
      <c r="AG537" s="216"/>
      <c r="AH537" s="216"/>
      <c r="AI537" s="216"/>
      <c r="AJ537" s="216"/>
      <c r="AK537" s="216"/>
      <c r="AL537" s="216"/>
      <c r="AM537" s="216"/>
      <c r="AN537" s="216"/>
      <c r="AO537" s="216"/>
      <c r="AP537" s="216"/>
      <c r="AQ537" s="216"/>
      <c r="AR537" s="216"/>
    </row>
    <row r="538">
      <c r="A538" s="216"/>
      <c r="B538" s="216"/>
      <c r="C538" s="216"/>
      <c r="D538" s="216"/>
      <c r="E538" s="216"/>
      <c r="F538" s="216"/>
      <c r="G538" s="216"/>
      <c r="H538" s="216"/>
      <c r="I538" s="219"/>
      <c r="J538" s="216"/>
      <c r="K538" s="216"/>
      <c r="L538" s="216"/>
      <c r="M538" s="216"/>
      <c r="N538" s="216"/>
      <c r="O538" s="216"/>
      <c r="P538" s="216"/>
      <c r="Q538" s="216"/>
      <c r="R538" s="216"/>
      <c r="S538" s="216"/>
      <c r="T538" s="216"/>
      <c r="U538" s="216"/>
      <c r="V538" s="216"/>
      <c r="W538" s="216"/>
      <c r="X538" s="216"/>
      <c r="Y538" s="216"/>
      <c r="Z538" s="216"/>
      <c r="AA538" s="216"/>
      <c r="AB538" s="216"/>
      <c r="AC538" s="216"/>
      <c r="AD538" s="216"/>
      <c r="AE538" s="216"/>
      <c r="AF538" s="216"/>
      <c r="AG538" s="216"/>
      <c r="AH538" s="216"/>
      <c r="AI538" s="216"/>
      <c r="AJ538" s="216"/>
      <c r="AK538" s="216"/>
      <c r="AL538" s="216"/>
      <c r="AM538" s="216"/>
      <c r="AN538" s="216"/>
      <c r="AO538" s="216"/>
      <c r="AP538" s="216"/>
      <c r="AQ538" s="216"/>
      <c r="AR538" s="216"/>
    </row>
    <row r="539">
      <c r="A539" s="216"/>
      <c r="B539" s="216"/>
      <c r="C539" s="216"/>
      <c r="D539" s="216"/>
      <c r="E539" s="216"/>
      <c r="F539" s="216"/>
      <c r="G539" s="216"/>
      <c r="H539" s="216"/>
      <c r="I539" s="219"/>
      <c r="J539" s="216"/>
      <c r="K539" s="216"/>
      <c r="L539" s="216"/>
      <c r="M539" s="216"/>
      <c r="N539" s="216"/>
      <c r="O539" s="216"/>
      <c r="P539" s="216"/>
      <c r="Q539" s="216"/>
      <c r="R539" s="216"/>
      <c r="S539" s="216"/>
      <c r="T539" s="216"/>
      <c r="U539" s="216"/>
      <c r="V539" s="216"/>
      <c r="W539" s="216"/>
      <c r="X539" s="216"/>
      <c r="Y539" s="216"/>
      <c r="Z539" s="216"/>
      <c r="AA539" s="216"/>
      <c r="AB539" s="216"/>
      <c r="AC539" s="216"/>
      <c r="AD539" s="216"/>
      <c r="AE539" s="216"/>
      <c r="AF539" s="216"/>
      <c r="AG539" s="216"/>
      <c r="AH539" s="216"/>
      <c r="AI539" s="216"/>
      <c r="AJ539" s="216"/>
      <c r="AK539" s="216"/>
      <c r="AL539" s="216"/>
      <c r="AM539" s="216"/>
      <c r="AN539" s="216"/>
      <c r="AO539" s="216"/>
      <c r="AP539" s="216"/>
      <c r="AQ539" s="216"/>
      <c r="AR539" s="216"/>
    </row>
    <row r="540">
      <c r="A540" s="216"/>
      <c r="B540" s="216"/>
      <c r="C540" s="216"/>
      <c r="D540" s="216"/>
      <c r="E540" s="216"/>
      <c r="F540" s="216"/>
      <c r="G540" s="216"/>
      <c r="H540" s="216"/>
      <c r="I540" s="219"/>
      <c r="J540" s="216"/>
      <c r="K540" s="216"/>
      <c r="L540" s="216"/>
      <c r="M540" s="216"/>
      <c r="N540" s="216"/>
      <c r="O540" s="216"/>
      <c r="P540" s="216"/>
      <c r="Q540" s="216"/>
      <c r="R540" s="216"/>
      <c r="S540" s="216"/>
      <c r="T540" s="216"/>
      <c r="U540" s="216"/>
      <c r="V540" s="216"/>
      <c r="W540" s="216"/>
      <c r="X540" s="216"/>
      <c r="Y540" s="216"/>
      <c r="Z540" s="216"/>
      <c r="AA540" s="216"/>
      <c r="AB540" s="216"/>
      <c r="AC540" s="216"/>
      <c r="AD540" s="216"/>
      <c r="AE540" s="216"/>
      <c r="AF540" s="216"/>
      <c r="AG540" s="216"/>
      <c r="AH540" s="216"/>
      <c r="AI540" s="216"/>
      <c r="AJ540" s="216"/>
      <c r="AK540" s="216"/>
      <c r="AL540" s="216"/>
      <c r="AM540" s="216"/>
      <c r="AN540" s="216"/>
      <c r="AO540" s="216"/>
      <c r="AP540" s="216"/>
      <c r="AQ540" s="216"/>
      <c r="AR540" s="216"/>
    </row>
    <row r="541">
      <c r="A541" s="216"/>
      <c r="B541" s="216"/>
      <c r="C541" s="216"/>
      <c r="D541" s="216"/>
      <c r="E541" s="216"/>
      <c r="F541" s="216"/>
      <c r="G541" s="216"/>
      <c r="H541" s="216"/>
      <c r="I541" s="219"/>
      <c r="J541" s="216"/>
      <c r="K541" s="216"/>
      <c r="L541" s="216"/>
      <c r="M541" s="216"/>
      <c r="N541" s="216"/>
      <c r="O541" s="216"/>
      <c r="P541" s="216"/>
      <c r="Q541" s="216"/>
      <c r="R541" s="216"/>
      <c r="S541" s="216"/>
      <c r="T541" s="216"/>
      <c r="U541" s="216"/>
      <c r="V541" s="216"/>
      <c r="W541" s="216"/>
      <c r="X541" s="216"/>
      <c r="Y541" s="216"/>
      <c r="Z541" s="216"/>
      <c r="AA541" s="216"/>
      <c r="AB541" s="216"/>
      <c r="AC541" s="216"/>
      <c r="AD541" s="216"/>
      <c r="AE541" s="216"/>
      <c r="AF541" s="216"/>
      <c r="AG541" s="216"/>
      <c r="AH541" s="216"/>
      <c r="AI541" s="216"/>
      <c r="AJ541" s="216"/>
      <c r="AK541" s="216"/>
      <c r="AL541" s="216"/>
      <c r="AM541" s="216"/>
      <c r="AN541" s="216"/>
      <c r="AO541" s="216"/>
      <c r="AP541" s="216"/>
      <c r="AQ541" s="216"/>
      <c r="AR541" s="216"/>
    </row>
    <row r="542">
      <c r="A542" s="216"/>
      <c r="B542" s="216"/>
      <c r="C542" s="216"/>
      <c r="D542" s="216"/>
      <c r="E542" s="216"/>
      <c r="F542" s="216"/>
      <c r="G542" s="216"/>
      <c r="H542" s="216"/>
      <c r="I542" s="219"/>
      <c r="J542" s="216"/>
      <c r="K542" s="216"/>
      <c r="L542" s="216"/>
      <c r="M542" s="216"/>
      <c r="N542" s="216"/>
      <c r="O542" s="216"/>
      <c r="P542" s="216"/>
      <c r="Q542" s="216"/>
      <c r="R542" s="216"/>
      <c r="S542" s="216"/>
      <c r="T542" s="216"/>
      <c r="U542" s="216"/>
      <c r="V542" s="216"/>
      <c r="W542" s="216"/>
      <c r="X542" s="216"/>
      <c r="Y542" s="216"/>
      <c r="Z542" s="216"/>
      <c r="AA542" s="216"/>
      <c r="AB542" s="216"/>
      <c r="AC542" s="216"/>
      <c r="AD542" s="216"/>
      <c r="AE542" s="216"/>
      <c r="AF542" s="216"/>
      <c r="AG542" s="216"/>
      <c r="AH542" s="216"/>
      <c r="AI542" s="216"/>
      <c r="AJ542" s="216"/>
      <c r="AK542" s="216"/>
      <c r="AL542" s="216"/>
      <c r="AM542" s="216"/>
      <c r="AN542" s="216"/>
      <c r="AO542" s="216"/>
      <c r="AP542" s="216"/>
      <c r="AQ542" s="216"/>
      <c r="AR542" s="216"/>
    </row>
    <row r="543">
      <c r="A543" s="216"/>
      <c r="B543" s="216"/>
      <c r="C543" s="216"/>
      <c r="D543" s="216"/>
      <c r="E543" s="216"/>
      <c r="F543" s="216"/>
      <c r="G543" s="216"/>
      <c r="H543" s="216"/>
      <c r="I543" s="219"/>
      <c r="J543" s="216"/>
      <c r="K543" s="216"/>
      <c r="L543" s="216"/>
      <c r="M543" s="216"/>
      <c r="N543" s="216"/>
      <c r="O543" s="216"/>
      <c r="P543" s="216"/>
      <c r="Q543" s="216"/>
      <c r="R543" s="216"/>
      <c r="S543" s="216"/>
      <c r="T543" s="216"/>
      <c r="U543" s="216"/>
      <c r="V543" s="216"/>
      <c r="W543" s="216"/>
      <c r="X543" s="216"/>
      <c r="Y543" s="216"/>
      <c r="Z543" s="216"/>
      <c r="AA543" s="216"/>
      <c r="AB543" s="216"/>
      <c r="AC543" s="216"/>
      <c r="AD543" s="216"/>
      <c r="AE543" s="216"/>
      <c r="AF543" s="216"/>
      <c r="AG543" s="216"/>
      <c r="AH543" s="216"/>
      <c r="AI543" s="216"/>
      <c r="AJ543" s="216"/>
      <c r="AK543" s="216"/>
      <c r="AL543" s="216"/>
      <c r="AM543" s="216"/>
      <c r="AN543" s="216"/>
      <c r="AO543" s="216"/>
      <c r="AP543" s="216"/>
      <c r="AQ543" s="216"/>
      <c r="AR543" s="216"/>
    </row>
    <row r="544">
      <c r="A544" s="216"/>
      <c r="B544" s="216"/>
      <c r="C544" s="216"/>
      <c r="D544" s="216"/>
      <c r="E544" s="216"/>
      <c r="F544" s="216"/>
      <c r="G544" s="216"/>
      <c r="H544" s="216"/>
      <c r="I544" s="219"/>
      <c r="J544" s="216"/>
      <c r="K544" s="216"/>
      <c r="L544" s="216"/>
      <c r="M544" s="216"/>
      <c r="N544" s="216"/>
      <c r="O544" s="216"/>
      <c r="P544" s="216"/>
      <c r="Q544" s="216"/>
      <c r="R544" s="216"/>
      <c r="S544" s="216"/>
      <c r="T544" s="216"/>
      <c r="U544" s="216"/>
      <c r="V544" s="216"/>
      <c r="W544" s="216"/>
      <c r="X544" s="216"/>
      <c r="Y544" s="216"/>
      <c r="Z544" s="216"/>
      <c r="AA544" s="216"/>
      <c r="AB544" s="216"/>
      <c r="AC544" s="216"/>
      <c r="AD544" s="216"/>
      <c r="AE544" s="216"/>
      <c r="AF544" s="216"/>
      <c r="AG544" s="216"/>
      <c r="AH544" s="216"/>
      <c r="AI544" s="216"/>
      <c r="AJ544" s="216"/>
      <c r="AK544" s="216"/>
      <c r="AL544" s="216"/>
      <c r="AM544" s="216"/>
      <c r="AN544" s="216"/>
      <c r="AO544" s="216"/>
      <c r="AP544" s="216"/>
      <c r="AQ544" s="216"/>
      <c r="AR544" s="216"/>
    </row>
    <row r="545">
      <c r="A545" s="216"/>
      <c r="B545" s="216"/>
      <c r="C545" s="216"/>
      <c r="D545" s="216"/>
      <c r="E545" s="216"/>
      <c r="F545" s="216"/>
      <c r="G545" s="216"/>
      <c r="H545" s="216"/>
      <c r="I545" s="219"/>
      <c r="J545" s="216"/>
      <c r="K545" s="216"/>
      <c r="L545" s="216"/>
      <c r="M545" s="216"/>
      <c r="N545" s="216"/>
      <c r="O545" s="216"/>
      <c r="P545" s="216"/>
      <c r="Q545" s="216"/>
      <c r="R545" s="216"/>
      <c r="S545" s="216"/>
      <c r="T545" s="216"/>
      <c r="U545" s="216"/>
      <c r="V545" s="216"/>
      <c r="W545" s="216"/>
      <c r="X545" s="216"/>
      <c r="Y545" s="216"/>
      <c r="Z545" s="216"/>
      <c r="AA545" s="216"/>
      <c r="AB545" s="216"/>
      <c r="AC545" s="216"/>
      <c r="AD545" s="216"/>
      <c r="AE545" s="216"/>
      <c r="AF545" s="216"/>
      <c r="AG545" s="216"/>
      <c r="AH545" s="216"/>
      <c r="AI545" s="216"/>
      <c r="AJ545" s="216"/>
      <c r="AK545" s="216"/>
      <c r="AL545" s="216"/>
      <c r="AM545" s="216"/>
      <c r="AN545" s="216"/>
      <c r="AO545" s="216"/>
      <c r="AP545" s="216"/>
      <c r="AQ545" s="216"/>
      <c r="AR545" s="216"/>
    </row>
    <row r="546">
      <c r="A546" s="216"/>
      <c r="B546" s="216"/>
      <c r="C546" s="216"/>
      <c r="D546" s="216"/>
      <c r="E546" s="216"/>
      <c r="F546" s="216"/>
      <c r="G546" s="216"/>
      <c r="H546" s="216"/>
      <c r="I546" s="219"/>
      <c r="J546" s="216"/>
      <c r="K546" s="216"/>
      <c r="L546" s="216"/>
      <c r="M546" s="216"/>
      <c r="N546" s="216"/>
      <c r="O546" s="216"/>
      <c r="P546" s="216"/>
      <c r="Q546" s="216"/>
      <c r="R546" s="216"/>
      <c r="S546" s="216"/>
      <c r="T546" s="216"/>
      <c r="U546" s="216"/>
      <c r="V546" s="216"/>
      <c r="W546" s="216"/>
      <c r="X546" s="216"/>
      <c r="Y546" s="216"/>
      <c r="Z546" s="216"/>
      <c r="AA546" s="216"/>
      <c r="AB546" s="216"/>
      <c r="AC546" s="216"/>
      <c r="AD546" s="216"/>
      <c r="AE546" s="216"/>
      <c r="AF546" s="216"/>
      <c r="AG546" s="216"/>
      <c r="AH546" s="216"/>
      <c r="AI546" s="216"/>
      <c r="AJ546" s="216"/>
      <c r="AK546" s="216"/>
      <c r="AL546" s="216"/>
      <c r="AM546" s="216"/>
      <c r="AN546" s="216"/>
      <c r="AO546" s="216"/>
      <c r="AP546" s="216"/>
      <c r="AQ546" s="216"/>
      <c r="AR546" s="216"/>
    </row>
    <row r="547">
      <c r="A547" s="216"/>
      <c r="B547" s="216"/>
      <c r="C547" s="216"/>
      <c r="D547" s="216"/>
      <c r="E547" s="216"/>
      <c r="F547" s="216"/>
      <c r="G547" s="216"/>
      <c r="H547" s="216"/>
      <c r="I547" s="219"/>
      <c r="J547" s="216"/>
      <c r="K547" s="216"/>
      <c r="L547" s="216"/>
      <c r="M547" s="216"/>
      <c r="N547" s="216"/>
      <c r="O547" s="216"/>
      <c r="P547" s="216"/>
      <c r="Q547" s="216"/>
      <c r="R547" s="216"/>
      <c r="S547" s="216"/>
      <c r="T547" s="216"/>
      <c r="U547" s="216"/>
      <c r="V547" s="216"/>
      <c r="W547" s="216"/>
      <c r="X547" s="216"/>
      <c r="Y547" s="216"/>
      <c r="Z547" s="216"/>
      <c r="AA547" s="216"/>
      <c r="AB547" s="216"/>
      <c r="AC547" s="216"/>
      <c r="AD547" s="216"/>
      <c r="AE547" s="216"/>
      <c r="AF547" s="216"/>
      <c r="AG547" s="216"/>
      <c r="AH547" s="216"/>
      <c r="AI547" s="216"/>
      <c r="AJ547" s="216"/>
      <c r="AK547" s="216"/>
      <c r="AL547" s="216"/>
      <c r="AM547" s="216"/>
      <c r="AN547" s="216"/>
      <c r="AO547" s="216"/>
      <c r="AP547" s="216"/>
      <c r="AQ547" s="216"/>
      <c r="AR547" s="216"/>
    </row>
    <row r="548">
      <c r="A548" s="216"/>
      <c r="B548" s="216"/>
      <c r="C548" s="216"/>
      <c r="D548" s="216"/>
      <c r="E548" s="216"/>
      <c r="F548" s="216"/>
      <c r="G548" s="216"/>
      <c r="H548" s="216"/>
      <c r="I548" s="219"/>
      <c r="J548" s="216"/>
      <c r="K548" s="216"/>
      <c r="L548" s="216"/>
      <c r="M548" s="216"/>
      <c r="N548" s="216"/>
      <c r="O548" s="216"/>
      <c r="P548" s="216"/>
      <c r="Q548" s="216"/>
      <c r="R548" s="216"/>
      <c r="S548" s="216"/>
      <c r="T548" s="216"/>
      <c r="U548" s="216"/>
      <c r="V548" s="216"/>
      <c r="W548" s="216"/>
      <c r="X548" s="216"/>
      <c r="Y548" s="216"/>
      <c r="Z548" s="216"/>
      <c r="AA548" s="216"/>
      <c r="AB548" s="216"/>
      <c r="AC548" s="216"/>
      <c r="AD548" s="216"/>
      <c r="AE548" s="216"/>
      <c r="AF548" s="216"/>
      <c r="AG548" s="216"/>
      <c r="AH548" s="216"/>
      <c r="AI548" s="216"/>
      <c r="AJ548" s="216"/>
      <c r="AK548" s="216"/>
      <c r="AL548" s="216"/>
      <c r="AM548" s="216"/>
      <c r="AN548" s="216"/>
      <c r="AO548" s="216"/>
      <c r="AP548" s="216"/>
      <c r="AQ548" s="216"/>
      <c r="AR548" s="216"/>
    </row>
    <row r="549">
      <c r="A549" s="216"/>
      <c r="B549" s="216"/>
      <c r="C549" s="216"/>
      <c r="D549" s="216"/>
      <c r="E549" s="216"/>
      <c r="F549" s="216"/>
      <c r="G549" s="216"/>
      <c r="H549" s="216"/>
      <c r="I549" s="219"/>
      <c r="J549" s="216"/>
      <c r="K549" s="216"/>
      <c r="L549" s="216"/>
      <c r="M549" s="216"/>
      <c r="N549" s="216"/>
      <c r="O549" s="216"/>
      <c r="P549" s="216"/>
      <c r="Q549" s="216"/>
      <c r="R549" s="216"/>
      <c r="S549" s="216"/>
      <c r="T549" s="216"/>
      <c r="U549" s="216"/>
      <c r="V549" s="216"/>
      <c r="W549" s="216"/>
      <c r="X549" s="216"/>
      <c r="Y549" s="216"/>
      <c r="Z549" s="216"/>
      <c r="AA549" s="216"/>
      <c r="AB549" s="216"/>
      <c r="AC549" s="216"/>
      <c r="AD549" s="216"/>
      <c r="AE549" s="216"/>
      <c r="AF549" s="216"/>
      <c r="AG549" s="216"/>
      <c r="AH549" s="216"/>
      <c r="AI549" s="216"/>
      <c r="AJ549" s="216"/>
      <c r="AK549" s="216"/>
      <c r="AL549" s="216"/>
      <c r="AM549" s="216"/>
      <c r="AN549" s="216"/>
      <c r="AO549" s="216"/>
      <c r="AP549" s="216"/>
      <c r="AQ549" s="216"/>
      <c r="AR549" s="216"/>
    </row>
    <row r="550">
      <c r="A550" s="216"/>
      <c r="B550" s="216"/>
      <c r="C550" s="216"/>
      <c r="D550" s="216"/>
      <c r="E550" s="216"/>
      <c r="F550" s="216"/>
      <c r="G550" s="216"/>
      <c r="H550" s="216"/>
      <c r="I550" s="219"/>
      <c r="J550" s="216"/>
      <c r="K550" s="216"/>
      <c r="L550" s="216"/>
      <c r="M550" s="216"/>
      <c r="N550" s="216"/>
      <c r="O550" s="216"/>
      <c r="P550" s="216"/>
      <c r="Q550" s="216"/>
      <c r="R550" s="216"/>
      <c r="S550" s="216"/>
      <c r="T550" s="216"/>
      <c r="U550" s="216"/>
      <c r="V550" s="216"/>
      <c r="W550" s="216"/>
      <c r="X550" s="216"/>
      <c r="Y550" s="216"/>
      <c r="Z550" s="216"/>
      <c r="AA550" s="216"/>
      <c r="AB550" s="216"/>
      <c r="AC550" s="216"/>
      <c r="AD550" s="216"/>
      <c r="AE550" s="216"/>
      <c r="AF550" s="216"/>
      <c r="AG550" s="216"/>
      <c r="AH550" s="216"/>
      <c r="AI550" s="216"/>
      <c r="AJ550" s="216"/>
      <c r="AK550" s="216"/>
      <c r="AL550" s="216"/>
      <c r="AM550" s="216"/>
      <c r="AN550" s="216"/>
      <c r="AO550" s="216"/>
      <c r="AP550" s="216"/>
      <c r="AQ550" s="216"/>
      <c r="AR550" s="216"/>
    </row>
    <row r="551">
      <c r="A551" s="216"/>
      <c r="B551" s="216"/>
      <c r="C551" s="216"/>
      <c r="D551" s="216"/>
      <c r="E551" s="216"/>
      <c r="F551" s="216"/>
      <c r="G551" s="216"/>
      <c r="H551" s="216"/>
      <c r="I551" s="219"/>
      <c r="J551" s="216"/>
      <c r="K551" s="216"/>
      <c r="L551" s="216"/>
      <c r="M551" s="216"/>
      <c r="N551" s="216"/>
      <c r="O551" s="216"/>
      <c r="P551" s="216"/>
      <c r="Q551" s="216"/>
      <c r="R551" s="216"/>
      <c r="S551" s="216"/>
      <c r="T551" s="216"/>
      <c r="U551" s="216"/>
      <c r="V551" s="216"/>
      <c r="W551" s="216"/>
      <c r="X551" s="216"/>
      <c r="Y551" s="216"/>
      <c r="Z551" s="216"/>
      <c r="AA551" s="216"/>
      <c r="AB551" s="216"/>
      <c r="AC551" s="216"/>
      <c r="AD551" s="216"/>
      <c r="AE551" s="216"/>
      <c r="AF551" s="216"/>
      <c r="AG551" s="216"/>
      <c r="AH551" s="216"/>
      <c r="AI551" s="216"/>
      <c r="AJ551" s="216"/>
      <c r="AK551" s="216"/>
      <c r="AL551" s="216"/>
      <c r="AM551" s="216"/>
      <c r="AN551" s="216"/>
      <c r="AO551" s="216"/>
      <c r="AP551" s="216"/>
      <c r="AQ551" s="216"/>
      <c r="AR551" s="216"/>
    </row>
    <row r="552">
      <c r="A552" s="216"/>
      <c r="B552" s="216"/>
      <c r="C552" s="216"/>
      <c r="D552" s="216"/>
      <c r="E552" s="216"/>
      <c r="F552" s="216"/>
      <c r="G552" s="216"/>
      <c r="H552" s="216"/>
      <c r="I552" s="219"/>
      <c r="J552" s="216"/>
      <c r="K552" s="216"/>
      <c r="L552" s="216"/>
      <c r="M552" s="216"/>
      <c r="N552" s="216"/>
      <c r="O552" s="216"/>
      <c r="P552" s="216"/>
      <c r="Q552" s="216"/>
      <c r="R552" s="216"/>
      <c r="S552" s="216"/>
      <c r="T552" s="216"/>
      <c r="U552" s="216"/>
      <c r="V552" s="216"/>
      <c r="W552" s="216"/>
      <c r="X552" s="216"/>
      <c r="Y552" s="216"/>
      <c r="Z552" s="216"/>
      <c r="AA552" s="216"/>
      <c r="AB552" s="216"/>
      <c r="AC552" s="216"/>
      <c r="AD552" s="216"/>
      <c r="AE552" s="216"/>
      <c r="AF552" s="216"/>
      <c r="AG552" s="216"/>
      <c r="AH552" s="216"/>
      <c r="AI552" s="216"/>
      <c r="AJ552" s="216"/>
      <c r="AK552" s="216"/>
      <c r="AL552" s="216"/>
      <c r="AM552" s="216"/>
      <c r="AN552" s="216"/>
      <c r="AO552" s="216"/>
      <c r="AP552" s="216"/>
      <c r="AQ552" s="216"/>
      <c r="AR552" s="216"/>
    </row>
    <row r="553">
      <c r="A553" s="216"/>
      <c r="B553" s="216"/>
      <c r="C553" s="216"/>
      <c r="D553" s="216"/>
      <c r="E553" s="216"/>
      <c r="F553" s="216"/>
      <c r="G553" s="216"/>
      <c r="H553" s="216"/>
      <c r="I553" s="219"/>
      <c r="J553" s="216"/>
      <c r="K553" s="216"/>
      <c r="L553" s="216"/>
      <c r="M553" s="216"/>
      <c r="N553" s="216"/>
      <c r="O553" s="216"/>
      <c r="P553" s="216"/>
      <c r="Q553" s="216"/>
      <c r="R553" s="216"/>
      <c r="S553" s="216"/>
      <c r="T553" s="216"/>
      <c r="U553" s="216"/>
      <c r="V553" s="216"/>
      <c r="W553" s="216"/>
      <c r="X553" s="216"/>
      <c r="Y553" s="216"/>
      <c r="Z553" s="216"/>
      <c r="AA553" s="216"/>
      <c r="AB553" s="216"/>
      <c r="AC553" s="216"/>
      <c r="AD553" s="216"/>
      <c r="AE553" s="216"/>
      <c r="AF553" s="216"/>
      <c r="AG553" s="216"/>
      <c r="AH553" s="216"/>
      <c r="AI553" s="216"/>
      <c r="AJ553" s="216"/>
      <c r="AK553" s="216"/>
      <c r="AL553" s="216"/>
      <c r="AM553" s="216"/>
      <c r="AN553" s="216"/>
      <c r="AO553" s="216"/>
      <c r="AP553" s="216"/>
      <c r="AQ553" s="216"/>
      <c r="AR553" s="216"/>
    </row>
    <row r="554">
      <c r="A554" s="216"/>
      <c r="B554" s="216"/>
      <c r="C554" s="216"/>
      <c r="D554" s="216"/>
      <c r="E554" s="216"/>
      <c r="F554" s="216"/>
      <c r="G554" s="216"/>
      <c r="H554" s="216"/>
      <c r="I554" s="219"/>
      <c r="J554" s="216"/>
      <c r="K554" s="216"/>
      <c r="L554" s="216"/>
      <c r="M554" s="216"/>
      <c r="N554" s="216"/>
      <c r="O554" s="216"/>
      <c r="P554" s="216"/>
      <c r="Q554" s="216"/>
      <c r="R554" s="216"/>
      <c r="S554" s="216"/>
      <c r="T554" s="216"/>
      <c r="U554" s="216"/>
      <c r="V554" s="216"/>
      <c r="W554" s="216"/>
      <c r="X554" s="216"/>
      <c r="Y554" s="216"/>
      <c r="Z554" s="216"/>
      <c r="AA554" s="216"/>
      <c r="AB554" s="216"/>
      <c r="AC554" s="216"/>
      <c r="AD554" s="216"/>
      <c r="AE554" s="216"/>
      <c r="AF554" s="216"/>
      <c r="AG554" s="216"/>
      <c r="AH554" s="216"/>
      <c r="AI554" s="216"/>
      <c r="AJ554" s="216"/>
      <c r="AK554" s="216"/>
      <c r="AL554" s="216"/>
      <c r="AM554" s="216"/>
      <c r="AN554" s="216"/>
      <c r="AO554" s="216"/>
      <c r="AP554" s="216"/>
      <c r="AQ554" s="216"/>
      <c r="AR554" s="216"/>
    </row>
    <row r="555">
      <c r="A555" s="216"/>
      <c r="B555" s="216"/>
      <c r="C555" s="216"/>
      <c r="D555" s="216"/>
      <c r="E555" s="216"/>
      <c r="F555" s="216"/>
      <c r="G555" s="216"/>
      <c r="H555" s="216"/>
      <c r="I555" s="219"/>
      <c r="J555" s="216"/>
      <c r="K555" s="216"/>
      <c r="L555" s="216"/>
      <c r="M555" s="216"/>
      <c r="N555" s="216"/>
      <c r="O555" s="216"/>
      <c r="P555" s="216"/>
      <c r="Q555" s="216"/>
      <c r="R555" s="216"/>
      <c r="S555" s="216"/>
      <c r="T555" s="216"/>
      <c r="U555" s="216"/>
      <c r="V555" s="216"/>
      <c r="W555" s="216"/>
      <c r="X555" s="216"/>
      <c r="Y555" s="216"/>
      <c r="Z555" s="216"/>
      <c r="AA555" s="216"/>
      <c r="AB555" s="216"/>
      <c r="AC555" s="216"/>
      <c r="AD555" s="216"/>
      <c r="AE555" s="216"/>
      <c r="AF555" s="216"/>
      <c r="AG555" s="216"/>
      <c r="AH555" s="216"/>
      <c r="AI555" s="216"/>
      <c r="AJ555" s="216"/>
      <c r="AK555" s="216"/>
      <c r="AL555" s="216"/>
      <c r="AM555" s="216"/>
      <c r="AN555" s="216"/>
      <c r="AO555" s="216"/>
      <c r="AP555" s="216"/>
      <c r="AQ555" s="216"/>
      <c r="AR555" s="216"/>
    </row>
    <row r="556">
      <c r="A556" s="216"/>
      <c r="B556" s="216"/>
      <c r="C556" s="216"/>
      <c r="D556" s="216"/>
      <c r="E556" s="216"/>
      <c r="F556" s="216"/>
      <c r="G556" s="216"/>
      <c r="H556" s="216"/>
      <c r="I556" s="219"/>
      <c r="J556" s="216"/>
      <c r="K556" s="216"/>
      <c r="L556" s="216"/>
      <c r="M556" s="216"/>
      <c r="N556" s="216"/>
      <c r="O556" s="216"/>
      <c r="P556" s="216"/>
      <c r="Q556" s="216"/>
      <c r="R556" s="216"/>
      <c r="S556" s="216"/>
      <c r="T556" s="216"/>
      <c r="U556" s="216"/>
      <c r="V556" s="216"/>
      <c r="W556" s="216"/>
      <c r="X556" s="216"/>
      <c r="Y556" s="216"/>
      <c r="Z556" s="216"/>
      <c r="AA556" s="216"/>
      <c r="AB556" s="216"/>
      <c r="AC556" s="216"/>
      <c r="AD556" s="216"/>
      <c r="AE556" s="216"/>
      <c r="AF556" s="216"/>
      <c r="AG556" s="216"/>
      <c r="AH556" s="216"/>
      <c r="AI556" s="216"/>
      <c r="AJ556" s="216"/>
      <c r="AK556" s="216"/>
      <c r="AL556" s="216"/>
      <c r="AM556" s="216"/>
      <c r="AN556" s="216"/>
      <c r="AO556" s="216"/>
      <c r="AP556" s="216"/>
      <c r="AQ556" s="216"/>
      <c r="AR556" s="216"/>
    </row>
    <row r="557">
      <c r="A557" s="216"/>
      <c r="B557" s="216"/>
      <c r="C557" s="216"/>
      <c r="D557" s="216"/>
      <c r="E557" s="216"/>
      <c r="F557" s="216"/>
      <c r="G557" s="216"/>
      <c r="H557" s="216"/>
      <c r="I557" s="219"/>
      <c r="J557" s="216"/>
      <c r="K557" s="216"/>
      <c r="L557" s="216"/>
      <c r="M557" s="216"/>
      <c r="N557" s="216"/>
      <c r="O557" s="216"/>
      <c r="P557" s="216"/>
      <c r="Q557" s="216"/>
      <c r="R557" s="216"/>
      <c r="S557" s="216"/>
      <c r="T557" s="216"/>
      <c r="U557" s="216"/>
      <c r="V557" s="216"/>
      <c r="W557" s="216"/>
      <c r="X557" s="216"/>
      <c r="Y557" s="216"/>
      <c r="Z557" s="216"/>
      <c r="AA557" s="216"/>
      <c r="AB557" s="216"/>
      <c r="AC557" s="216"/>
      <c r="AD557" s="216"/>
      <c r="AE557" s="216"/>
      <c r="AF557" s="216"/>
      <c r="AG557" s="216"/>
      <c r="AH557" s="216"/>
      <c r="AI557" s="216"/>
      <c r="AJ557" s="216"/>
      <c r="AK557" s="216"/>
      <c r="AL557" s="216"/>
      <c r="AM557" s="216"/>
      <c r="AN557" s="216"/>
      <c r="AO557" s="216"/>
      <c r="AP557" s="216"/>
      <c r="AQ557" s="216"/>
      <c r="AR557" s="216"/>
    </row>
    <row r="558">
      <c r="A558" s="216"/>
      <c r="B558" s="216"/>
      <c r="C558" s="216"/>
      <c r="D558" s="216"/>
      <c r="E558" s="216"/>
      <c r="F558" s="216"/>
      <c r="G558" s="216"/>
      <c r="H558" s="216"/>
      <c r="I558" s="219"/>
      <c r="J558" s="216"/>
      <c r="K558" s="216"/>
      <c r="L558" s="216"/>
      <c r="M558" s="216"/>
      <c r="N558" s="216"/>
      <c r="O558" s="216"/>
      <c r="P558" s="216"/>
      <c r="Q558" s="216"/>
      <c r="R558" s="216"/>
      <c r="S558" s="216"/>
      <c r="T558" s="216"/>
      <c r="U558" s="216"/>
      <c r="V558" s="216"/>
      <c r="W558" s="216"/>
      <c r="X558" s="216"/>
      <c r="Y558" s="216"/>
      <c r="Z558" s="216"/>
      <c r="AA558" s="216"/>
      <c r="AB558" s="216"/>
      <c r="AC558" s="216"/>
      <c r="AD558" s="216"/>
      <c r="AE558" s="216"/>
      <c r="AF558" s="216"/>
      <c r="AG558" s="216"/>
      <c r="AH558" s="216"/>
      <c r="AI558" s="216"/>
      <c r="AJ558" s="216"/>
      <c r="AK558" s="216"/>
      <c r="AL558" s="216"/>
      <c r="AM558" s="216"/>
      <c r="AN558" s="216"/>
      <c r="AO558" s="216"/>
      <c r="AP558" s="216"/>
      <c r="AQ558" s="216"/>
      <c r="AR558" s="216"/>
    </row>
    <row r="559">
      <c r="A559" s="216"/>
      <c r="B559" s="216"/>
      <c r="C559" s="216"/>
      <c r="D559" s="216"/>
      <c r="E559" s="216"/>
      <c r="F559" s="216"/>
      <c r="G559" s="216"/>
      <c r="H559" s="216"/>
      <c r="I559" s="219"/>
      <c r="J559" s="216"/>
      <c r="K559" s="216"/>
      <c r="L559" s="216"/>
      <c r="M559" s="216"/>
      <c r="N559" s="216"/>
      <c r="O559" s="216"/>
      <c r="P559" s="216"/>
      <c r="Q559" s="216"/>
      <c r="R559" s="216"/>
      <c r="S559" s="216"/>
      <c r="T559" s="216"/>
      <c r="U559" s="216"/>
      <c r="V559" s="216"/>
      <c r="W559" s="216"/>
      <c r="X559" s="216"/>
      <c r="Y559" s="216"/>
      <c r="Z559" s="216"/>
      <c r="AA559" s="216"/>
      <c r="AB559" s="216"/>
      <c r="AC559" s="216"/>
      <c r="AD559" s="216"/>
      <c r="AE559" s="216"/>
      <c r="AF559" s="216"/>
      <c r="AG559" s="216"/>
      <c r="AH559" s="216"/>
      <c r="AI559" s="216"/>
      <c r="AJ559" s="216"/>
      <c r="AK559" s="216"/>
      <c r="AL559" s="216"/>
      <c r="AM559" s="216"/>
      <c r="AN559" s="216"/>
      <c r="AO559" s="216"/>
      <c r="AP559" s="216"/>
      <c r="AQ559" s="216"/>
      <c r="AR559" s="216"/>
    </row>
    <row r="560">
      <c r="A560" s="216"/>
      <c r="B560" s="216"/>
      <c r="C560" s="216"/>
      <c r="D560" s="216"/>
      <c r="E560" s="216"/>
      <c r="F560" s="216"/>
      <c r="G560" s="216"/>
      <c r="H560" s="216"/>
      <c r="I560" s="219"/>
      <c r="J560" s="216"/>
      <c r="K560" s="216"/>
      <c r="L560" s="216"/>
      <c r="M560" s="216"/>
      <c r="N560" s="216"/>
      <c r="O560" s="216"/>
      <c r="P560" s="216"/>
      <c r="Q560" s="216"/>
      <c r="R560" s="216"/>
      <c r="S560" s="216"/>
      <c r="T560" s="216"/>
      <c r="U560" s="216"/>
      <c r="V560" s="216"/>
      <c r="W560" s="216"/>
      <c r="X560" s="216"/>
      <c r="Y560" s="216"/>
      <c r="Z560" s="216"/>
      <c r="AA560" s="216"/>
      <c r="AB560" s="216"/>
      <c r="AC560" s="216"/>
      <c r="AD560" s="216"/>
      <c r="AE560" s="216"/>
      <c r="AF560" s="216"/>
      <c r="AG560" s="216"/>
      <c r="AH560" s="216"/>
      <c r="AI560" s="216"/>
      <c r="AJ560" s="216"/>
      <c r="AK560" s="216"/>
      <c r="AL560" s="216"/>
      <c r="AM560" s="216"/>
      <c r="AN560" s="216"/>
      <c r="AO560" s="216"/>
      <c r="AP560" s="216"/>
      <c r="AQ560" s="216"/>
      <c r="AR560" s="216"/>
    </row>
    <row r="561">
      <c r="A561" s="216"/>
      <c r="B561" s="216"/>
      <c r="C561" s="216"/>
      <c r="D561" s="216"/>
      <c r="E561" s="216"/>
      <c r="F561" s="216"/>
      <c r="G561" s="216"/>
      <c r="H561" s="216"/>
      <c r="I561" s="219"/>
      <c r="J561" s="216"/>
      <c r="K561" s="216"/>
      <c r="L561" s="216"/>
      <c r="M561" s="216"/>
      <c r="N561" s="216"/>
      <c r="O561" s="216"/>
      <c r="P561" s="216"/>
      <c r="Q561" s="216"/>
      <c r="R561" s="216"/>
      <c r="S561" s="216"/>
      <c r="T561" s="216"/>
      <c r="U561" s="216"/>
      <c r="V561" s="216"/>
      <c r="W561" s="216"/>
      <c r="X561" s="216"/>
      <c r="Y561" s="216"/>
      <c r="Z561" s="216"/>
      <c r="AA561" s="216"/>
      <c r="AB561" s="216"/>
      <c r="AC561" s="216"/>
      <c r="AD561" s="216"/>
      <c r="AE561" s="216"/>
      <c r="AF561" s="216"/>
      <c r="AG561" s="216"/>
      <c r="AH561" s="216"/>
      <c r="AI561" s="216"/>
      <c r="AJ561" s="216"/>
      <c r="AK561" s="216"/>
      <c r="AL561" s="216"/>
      <c r="AM561" s="216"/>
      <c r="AN561" s="216"/>
      <c r="AO561" s="216"/>
      <c r="AP561" s="216"/>
      <c r="AQ561" s="216"/>
      <c r="AR561" s="216"/>
    </row>
    <row r="562">
      <c r="A562" s="216"/>
      <c r="B562" s="216"/>
      <c r="C562" s="216"/>
      <c r="D562" s="216"/>
      <c r="E562" s="216"/>
      <c r="F562" s="216"/>
      <c r="G562" s="216"/>
      <c r="H562" s="216"/>
      <c r="I562" s="219"/>
      <c r="J562" s="216"/>
      <c r="K562" s="216"/>
      <c r="L562" s="216"/>
      <c r="M562" s="216"/>
      <c r="N562" s="216"/>
      <c r="O562" s="216"/>
      <c r="P562" s="216"/>
      <c r="Q562" s="216"/>
      <c r="R562" s="216"/>
      <c r="S562" s="216"/>
      <c r="T562" s="216"/>
      <c r="U562" s="216"/>
      <c r="V562" s="216"/>
      <c r="W562" s="216"/>
      <c r="X562" s="216"/>
      <c r="Y562" s="216"/>
      <c r="Z562" s="216"/>
      <c r="AA562" s="216"/>
      <c r="AB562" s="216"/>
      <c r="AC562" s="216"/>
      <c r="AD562" s="216"/>
      <c r="AE562" s="216"/>
      <c r="AF562" s="216"/>
      <c r="AG562" s="216"/>
      <c r="AH562" s="216"/>
      <c r="AI562" s="216"/>
      <c r="AJ562" s="216"/>
      <c r="AK562" s="216"/>
      <c r="AL562" s="216"/>
      <c r="AM562" s="216"/>
      <c r="AN562" s="216"/>
      <c r="AO562" s="216"/>
      <c r="AP562" s="216"/>
      <c r="AQ562" s="216"/>
      <c r="AR562" s="216"/>
    </row>
    <row r="563">
      <c r="A563" s="216"/>
      <c r="B563" s="216"/>
      <c r="C563" s="216"/>
      <c r="D563" s="216"/>
      <c r="E563" s="216"/>
      <c r="F563" s="216"/>
      <c r="G563" s="216"/>
      <c r="H563" s="216"/>
      <c r="I563" s="219"/>
      <c r="J563" s="216"/>
      <c r="K563" s="216"/>
      <c r="L563" s="216"/>
      <c r="M563" s="216"/>
      <c r="N563" s="216"/>
      <c r="O563" s="216"/>
      <c r="P563" s="216"/>
      <c r="Q563" s="216"/>
      <c r="R563" s="216"/>
      <c r="S563" s="216"/>
      <c r="T563" s="216"/>
      <c r="U563" s="216"/>
      <c r="V563" s="216"/>
      <c r="W563" s="216"/>
      <c r="X563" s="216"/>
      <c r="Y563" s="216"/>
      <c r="Z563" s="216"/>
      <c r="AA563" s="216"/>
      <c r="AB563" s="216"/>
      <c r="AC563" s="216"/>
      <c r="AD563" s="216"/>
      <c r="AE563" s="216"/>
      <c r="AF563" s="216"/>
      <c r="AG563" s="216"/>
      <c r="AH563" s="216"/>
      <c r="AI563" s="216"/>
      <c r="AJ563" s="216"/>
      <c r="AK563" s="216"/>
      <c r="AL563" s="216"/>
      <c r="AM563" s="216"/>
      <c r="AN563" s="216"/>
      <c r="AO563" s="216"/>
      <c r="AP563" s="216"/>
      <c r="AQ563" s="216"/>
      <c r="AR563" s="216"/>
    </row>
    <row r="564">
      <c r="A564" s="216"/>
      <c r="B564" s="216"/>
      <c r="C564" s="216"/>
      <c r="D564" s="216"/>
      <c r="E564" s="216"/>
      <c r="F564" s="216"/>
      <c r="G564" s="216"/>
      <c r="H564" s="216"/>
      <c r="I564" s="219"/>
      <c r="J564" s="216"/>
      <c r="K564" s="216"/>
      <c r="L564" s="216"/>
      <c r="M564" s="216"/>
      <c r="N564" s="216"/>
      <c r="O564" s="216"/>
      <c r="P564" s="216"/>
      <c r="Q564" s="216"/>
      <c r="R564" s="216"/>
      <c r="S564" s="216"/>
      <c r="T564" s="216"/>
      <c r="U564" s="216"/>
      <c r="V564" s="216"/>
      <c r="W564" s="216"/>
      <c r="X564" s="216"/>
      <c r="Y564" s="216"/>
      <c r="Z564" s="216"/>
      <c r="AA564" s="216"/>
      <c r="AB564" s="216"/>
      <c r="AC564" s="216"/>
      <c r="AD564" s="216"/>
      <c r="AE564" s="216"/>
      <c r="AF564" s="216"/>
      <c r="AG564" s="216"/>
      <c r="AH564" s="216"/>
      <c r="AI564" s="216"/>
      <c r="AJ564" s="216"/>
      <c r="AK564" s="216"/>
      <c r="AL564" s="216"/>
      <c r="AM564" s="216"/>
      <c r="AN564" s="216"/>
      <c r="AO564" s="216"/>
      <c r="AP564" s="216"/>
      <c r="AQ564" s="216"/>
      <c r="AR564" s="216"/>
    </row>
    <row r="565">
      <c r="A565" s="216"/>
      <c r="B565" s="216"/>
      <c r="C565" s="216"/>
      <c r="D565" s="216"/>
      <c r="E565" s="216"/>
      <c r="F565" s="216"/>
      <c r="G565" s="216"/>
      <c r="H565" s="216"/>
      <c r="I565" s="219"/>
      <c r="J565" s="216"/>
      <c r="K565" s="216"/>
      <c r="L565" s="216"/>
      <c r="M565" s="216"/>
      <c r="N565" s="216"/>
      <c r="O565" s="216"/>
      <c r="P565" s="216"/>
      <c r="Q565" s="216"/>
      <c r="R565" s="216"/>
      <c r="S565" s="216"/>
      <c r="T565" s="216"/>
      <c r="U565" s="216"/>
      <c r="V565" s="216"/>
      <c r="W565" s="216"/>
      <c r="X565" s="216"/>
      <c r="Y565" s="216"/>
      <c r="Z565" s="216"/>
      <c r="AA565" s="216"/>
      <c r="AB565" s="216"/>
      <c r="AC565" s="216"/>
      <c r="AD565" s="216"/>
      <c r="AE565" s="216"/>
      <c r="AF565" s="216"/>
      <c r="AG565" s="216"/>
      <c r="AH565" s="216"/>
      <c r="AI565" s="216"/>
      <c r="AJ565" s="216"/>
      <c r="AK565" s="216"/>
      <c r="AL565" s="216"/>
      <c r="AM565" s="216"/>
      <c r="AN565" s="216"/>
      <c r="AO565" s="216"/>
      <c r="AP565" s="216"/>
      <c r="AQ565" s="216"/>
      <c r="AR565" s="216"/>
    </row>
    <row r="566">
      <c r="A566" s="216"/>
      <c r="B566" s="216"/>
      <c r="C566" s="216"/>
      <c r="D566" s="216"/>
      <c r="E566" s="216"/>
      <c r="F566" s="216"/>
      <c r="G566" s="216"/>
      <c r="H566" s="216"/>
      <c r="I566" s="219"/>
      <c r="J566" s="216"/>
      <c r="K566" s="216"/>
      <c r="L566" s="216"/>
      <c r="M566" s="216"/>
      <c r="N566" s="216"/>
      <c r="O566" s="216"/>
      <c r="P566" s="216"/>
      <c r="Q566" s="216"/>
      <c r="R566" s="216"/>
      <c r="S566" s="216"/>
      <c r="T566" s="216"/>
      <c r="U566" s="216"/>
      <c r="V566" s="216"/>
      <c r="W566" s="216"/>
      <c r="X566" s="216"/>
      <c r="Y566" s="216"/>
      <c r="Z566" s="216"/>
      <c r="AA566" s="216"/>
      <c r="AB566" s="216"/>
      <c r="AC566" s="216"/>
      <c r="AD566" s="216"/>
      <c r="AE566" s="216"/>
      <c r="AF566" s="216"/>
      <c r="AG566" s="216"/>
      <c r="AH566" s="216"/>
      <c r="AI566" s="216"/>
      <c r="AJ566" s="216"/>
      <c r="AK566" s="216"/>
      <c r="AL566" s="216"/>
      <c r="AM566" s="216"/>
      <c r="AN566" s="216"/>
      <c r="AO566" s="216"/>
      <c r="AP566" s="216"/>
      <c r="AQ566" s="216"/>
      <c r="AR566" s="216"/>
    </row>
    <row r="567">
      <c r="A567" s="216"/>
      <c r="B567" s="216"/>
      <c r="C567" s="216"/>
      <c r="D567" s="216"/>
      <c r="E567" s="216"/>
      <c r="F567" s="216"/>
      <c r="G567" s="216"/>
      <c r="H567" s="216"/>
      <c r="I567" s="219"/>
      <c r="J567" s="216"/>
      <c r="K567" s="216"/>
      <c r="L567" s="216"/>
      <c r="M567" s="216"/>
      <c r="N567" s="216"/>
      <c r="O567" s="216"/>
      <c r="P567" s="216"/>
      <c r="Q567" s="216"/>
      <c r="R567" s="216"/>
      <c r="S567" s="216"/>
      <c r="T567" s="216"/>
      <c r="U567" s="216"/>
      <c r="V567" s="216"/>
      <c r="W567" s="216"/>
      <c r="X567" s="216"/>
      <c r="Y567" s="216"/>
      <c r="Z567" s="216"/>
      <c r="AA567" s="216"/>
      <c r="AB567" s="216"/>
      <c r="AC567" s="216"/>
      <c r="AD567" s="216"/>
      <c r="AE567" s="216"/>
      <c r="AF567" s="216"/>
      <c r="AG567" s="216"/>
      <c r="AH567" s="216"/>
      <c r="AI567" s="216"/>
      <c r="AJ567" s="216"/>
      <c r="AK567" s="216"/>
      <c r="AL567" s="216"/>
      <c r="AM567" s="216"/>
      <c r="AN567" s="216"/>
      <c r="AO567" s="216"/>
      <c r="AP567" s="216"/>
      <c r="AQ567" s="216"/>
      <c r="AR567" s="216"/>
    </row>
    <row r="568">
      <c r="A568" s="216"/>
      <c r="B568" s="216"/>
      <c r="C568" s="216"/>
      <c r="D568" s="216"/>
      <c r="E568" s="216"/>
      <c r="F568" s="216"/>
      <c r="G568" s="216"/>
      <c r="H568" s="216"/>
      <c r="I568" s="219"/>
      <c r="J568" s="216"/>
      <c r="K568" s="216"/>
      <c r="L568" s="216"/>
      <c r="M568" s="216"/>
      <c r="N568" s="216"/>
      <c r="O568" s="216"/>
      <c r="P568" s="216"/>
      <c r="Q568" s="216"/>
      <c r="R568" s="216"/>
      <c r="S568" s="216"/>
      <c r="T568" s="216"/>
      <c r="U568" s="216"/>
      <c r="V568" s="216"/>
      <c r="W568" s="216"/>
      <c r="X568" s="216"/>
      <c r="Y568" s="216"/>
      <c r="Z568" s="216"/>
      <c r="AA568" s="216"/>
      <c r="AB568" s="216"/>
      <c r="AC568" s="216"/>
      <c r="AD568" s="216"/>
      <c r="AE568" s="216"/>
      <c r="AF568" s="216"/>
      <c r="AG568" s="216"/>
      <c r="AH568" s="216"/>
      <c r="AI568" s="216"/>
      <c r="AJ568" s="216"/>
      <c r="AK568" s="216"/>
      <c r="AL568" s="216"/>
      <c r="AM568" s="216"/>
      <c r="AN568" s="216"/>
      <c r="AO568" s="216"/>
      <c r="AP568" s="216"/>
      <c r="AQ568" s="216"/>
      <c r="AR568" s="216"/>
    </row>
    <row r="569">
      <c r="A569" s="216"/>
      <c r="B569" s="216"/>
      <c r="C569" s="216"/>
      <c r="D569" s="216"/>
      <c r="E569" s="216"/>
      <c r="F569" s="216"/>
      <c r="G569" s="216"/>
      <c r="H569" s="216"/>
      <c r="I569" s="219"/>
      <c r="J569" s="216"/>
      <c r="K569" s="216"/>
      <c r="L569" s="216"/>
      <c r="M569" s="216"/>
      <c r="N569" s="216"/>
      <c r="O569" s="216"/>
      <c r="P569" s="216"/>
      <c r="Q569" s="216"/>
      <c r="R569" s="216"/>
      <c r="S569" s="216"/>
      <c r="T569" s="216"/>
      <c r="U569" s="216"/>
      <c r="V569" s="216"/>
      <c r="W569" s="216"/>
      <c r="X569" s="216"/>
      <c r="Y569" s="216"/>
      <c r="Z569" s="216"/>
      <c r="AA569" s="216"/>
      <c r="AB569" s="216"/>
      <c r="AC569" s="216"/>
      <c r="AD569" s="216"/>
      <c r="AE569" s="216"/>
      <c r="AF569" s="216"/>
      <c r="AG569" s="216"/>
      <c r="AH569" s="216"/>
      <c r="AI569" s="216"/>
      <c r="AJ569" s="216"/>
      <c r="AK569" s="216"/>
      <c r="AL569" s="216"/>
      <c r="AM569" s="216"/>
      <c r="AN569" s="216"/>
      <c r="AO569" s="216"/>
      <c r="AP569" s="216"/>
      <c r="AQ569" s="216"/>
      <c r="AR569" s="216"/>
    </row>
    <row r="570">
      <c r="A570" s="216"/>
      <c r="B570" s="216"/>
      <c r="C570" s="216"/>
      <c r="D570" s="216"/>
      <c r="E570" s="216"/>
      <c r="F570" s="216"/>
      <c r="G570" s="216"/>
      <c r="H570" s="216"/>
      <c r="I570" s="219"/>
      <c r="J570" s="216"/>
      <c r="K570" s="216"/>
      <c r="L570" s="216"/>
      <c r="M570" s="216"/>
      <c r="N570" s="216"/>
      <c r="O570" s="216"/>
      <c r="P570" s="216"/>
      <c r="Q570" s="216"/>
      <c r="R570" s="216"/>
      <c r="S570" s="216"/>
      <c r="T570" s="216"/>
      <c r="U570" s="216"/>
      <c r="V570" s="216"/>
      <c r="W570" s="216"/>
      <c r="X570" s="216"/>
      <c r="Y570" s="216"/>
      <c r="Z570" s="216"/>
      <c r="AA570" s="216"/>
      <c r="AB570" s="216"/>
      <c r="AC570" s="216"/>
      <c r="AD570" s="216"/>
      <c r="AE570" s="216"/>
      <c r="AF570" s="216"/>
      <c r="AG570" s="216"/>
      <c r="AH570" s="216"/>
      <c r="AI570" s="216"/>
      <c r="AJ570" s="216"/>
      <c r="AK570" s="216"/>
      <c r="AL570" s="216"/>
      <c r="AM570" s="216"/>
      <c r="AN570" s="216"/>
      <c r="AO570" s="216"/>
      <c r="AP570" s="216"/>
      <c r="AQ570" s="216"/>
      <c r="AR570" s="216"/>
    </row>
    <row r="571">
      <c r="A571" s="216"/>
      <c r="B571" s="216"/>
      <c r="C571" s="216"/>
      <c r="D571" s="216"/>
      <c r="E571" s="216"/>
      <c r="F571" s="216"/>
      <c r="G571" s="216"/>
      <c r="H571" s="216"/>
      <c r="I571" s="219"/>
      <c r="J571" s="216"/>
      <c r="K571" s="216"/>
      <c r="L571" s="216"/>
      <c r="M571" s="216"/>
      <c r="N571" s="216"/>
      <c r="O571" s="216"/>
      <c r="P571" s="216"/>
      <c r="Q571" s="216"/>
      <c r="R571" s="216"/>
      <c r="S571" s="216"/>
      <c r="T571" s="216"/>
      <c r="U571" s="216"/>
      <c r="V571" s="216"/>
      <c r="W571" s="216"/>
      <c r="X571" s="216"/>
      <c r="Y571" s="216"/>
      <c r="Z571" s="216"/>
      <c r="AA571" s="216"/>
      <c r="AB571" s="216"/>
      <c r="AC571" s="216"/>
      <c r="AD571" s="216"/>
      <c r="AE571" s="216"/>
      <c r="AF571" s="216"/>
      <c r="AG571" s="216"/>
      <c r="AH571" s="216"/>
      <c r="AI571" s="216"/>
      <c r="AJ571" s="216"/>
      <c r="AK571" s="216"/>
      <c r="AL571" s="216"/>
      <c r="AM571" s="216"/>
      <c r="AN571" s="216"/>
      <c r="AO571" s="216"/>
      <c r="AP571" s="216"/>
      <c r="AQ571" s="216"/>
      <c r="AR571" s="216"/>
    </row>
    <row r="572">
      <c r="A572" s="216"/>
      <c r="B572" s="216"/>
      <c r="C572" s="216"/>
      <c r="D572" s="216"/>
      <c r="E572" s="216"/>
      <c r="F572" s="216"/>
      <c r="G572" s="216"/>
      <c r="H572" s="216"/>
      <c r="I572" s="219"/>
      <c r="J572" s="216"/>
      <c r="K572" s="216"/>
      <c r="L572" s="216"/>
      <c r="M572" s="216"/>
      <c r="N572" s="216"/>
      <c r="O572" s="216"/>
      <c r="P572" s="216"/>
      <c r="Q572" s="216"/>
      <c r="R572" s="216"/>
      <c r="S572" s="216"/>
      <c r="T572" s="216"/>
      <c r="U572" s="216"/>
      <c r="V572" s="216"/>
      <c r="W572" s="216"/>
      <c r="X572" s="216"/>
      <c r="Y572" s="216"/>
      <c r="Z572" s="216"/>
      <c r="AA572" s="216"/>
      <c r="AB572" s="216"/>
      <c r="AC572" s="216"/>
      <c r="AD572" s="216"/>
      <c r="AE572" s="216"/>
      <c r="AF572" s="216"/>
      <c r="AG572" s="216"/>
      <c r="AH572" s="216"/>
      <c r="AI572" s="216"/>
      <c r="AJ572" s="216"/>
      <c r="AK572" s="216"/>
      <c r="AL572" s="216"/>
      <c r="AM572" s="216"/>
      <c r="AN572" s="216"/>
      <c r="AO572" s="216"/>
      <c r="AP572" s="216"/>
      <c r="AQ572" s="216"/>
      <c r="AR572" s="216"/>
    </row>
    <row r="573">
      <c r="A573" s="216"/>
      <c r="B573" s="216"/>
      <c r="C573" s="216"/>
      <c r="D573" s="216"/>
      <c r="E573" s="216"/>
      <c r="F573" s="216"/>
      <c r="G573" s="216"/>
      <c r="H573" s="216"/>
      <c r="I573" s="219"/>
      <c r="J573" s="216"/>
      <c r="K573" s="216"/>
      <c r="L573" s="216"/>
      <c r="M573" s="216"/>
      <c r="N573" s="216"/>
      <c r="O573" s="216"/>
      <c r="P573" s="216"/>
      <c r="Q573" s="216"/>
      <c r="R573" s="216"/>
      <c r="S573" s="216"/>
      <c r="T573" s="216"/>
      <c r="U573" s="216"/>
      <c r="V573" s="216"/>
      <c r="W573" s="216"/>
      <c r="X573" s="216"/>
      <c r="Y573" s="216"/>
      <c r="Z573" s="216"/>
      <c r="AA573" s="216"/>
      <c r="AB573" s="216"/>
      <c r="AC573" s="216"/>
      <c r="AD573" s="216"/>
      <c r="AE573" s="216"/>
      <c r="AF573" s="216"/>
      <c r="AG573" s="216"/>
      <c r="AH573" s="216"/>
      <c r="AI573" s="216"/>
      <c r="AJ573" s="216"/>
      <c r="AK573" s="216"/>
      <c r="AL573" s="216"/>
      <c r="AM573" s="216"/>
      <c r="AN573" s="216"/>
      <c r="AO573" s="216"/>
      <c r="AP573" s="216"/>
      <c r="AQ573" s="216"/>
      <c r="AR573" s="216"/>
    </row>
    <row r="574">
      <c r="A574" s="216"/>
      <c r="B574" s="216"/>
      <c r="C574" s="216"/>
      <c r="D574" s="216"/>
      <c r="E574" s="216"/>
      <c r="F574" s="216"/>
      <c r="G574" s="216"/>
      <c r="H574" s="216"/>
      <c r="I574" s="219"/>
      <c r="J574" s="216"/>
      <c r="K574" s="216"/>
      <c r="L574" s="216"/>
      <c r="M574" s="216"/>
      <c r="N574" s="216"/>
      <c r="O574" s="216"/>
      <c r="P574" s="216"/>
      <c r="Q574" s="216"/>
      <c r="R574" s="216"/>
      <c r="S574" s="216"/>
      <c r="T574" s="216"/>
      <c r="U574" s="216"/>
      <c r="V574" s="216"/>
      <c r="W574" s="216"/>
      <c r="X574" s="216"/>
      <c r="Y574" s="216"/>
      <c r="Z574" s="216"/>
      <c r="AA574" s="216"/>
      <c r="AB574" s="216"/>
      <c r="AC574" s="216"/>
      <c r="AD574" s="216"/>
      <c r="AE574" s="216"/>
      <c r="AF574" s="216"/>
      <c r="AG574" s="216"/>
      <c r="AH574" s="216"/>
      <c r="AI574" s="216"/>
      <c r="AJ574" s="216"/>
      <c r="AK574" s="216"/>
      <c r="AL574" s="216"/>
      <c r="AM574" s="216"/>
      <c r="AN574" s="216"/>
      <c r="AO574" s="216"/>
      <c r="AP574" s="216"/>
      <c r="AQ574" s="216"/>
      <c r="AR574" s="216"/>
    </row>
    <row r="575">
      <c r="A575" s="216"/>
      <c r="B575" s="216"/>
      <c r="C575" s="216"/>
      <c r="D575" s="216"/>
      <c r="E575" s="216"/>
      <c r="F575" s="216"/>
      <c r="G575" s="216"/>
      <c r="H575" s="216"/>
      <c r="I575" s="219"/>
      <c r="J575" s="216"/>
      <c r="K575" s="216"/>
      <c r="L575" s="216"/>
      <c r="M575" s="216"/>
      <c r="N575" s="216"/>
      <c r="O575" s="216"/>
      <c r="P575" s="216"/>
      <c r="Q575" s="216"/>
      <c r="R575" s="216"/>
      <c r="S575" s="216"/>
      <c r="T575" s="216"/>
      <c r="U575" s="216"/>
      <c r="V575" s="216"/>
      <c r="W575" s="216"/>
      <c r="X575" s="216"/>
      <c r="Y575" s="216"/>
      <c r="Z575" s="216"/>
      <c r="AA575" s="216"/>
      <c r="AB575" s="216"/>
      <c r="AC575" s="216"/>
      <c r="AD575" s="216"/>
      <c r="AE575" s="216"/>
      <c r="AF575" s="216"/>
      <c r="AG575" s="216"/>
      <c r="AH575" s="216"/>
      <c r="AI575" s="216"/>
      <c r="AJ575" s="216"/>
      <c r="AK575" s="216"/>
      <c r="AL575" s="216"/>
      <c r="AM575" s="216"/>
      <c r="AN575" s="216"/>
      <c r="AO575" s="216"/>
      <c r="AP575" s="216"/>
      <c r="AQ575" s="216"/>
      <c r="AR575" s="216"/>
    </row>
    <row r="576">
      <c r="A576" s="216"/>
      <c r="B576" s="216"/>
      <c r="C576" s="216"/>
      <c r="D576" s="216"/>
      <c r="E576" s="216"/>
      <c r="F576" s="216"/>
      <c r="G576" s="216"/>
      <c r="H576" s="216"/>
      <c r="I576" s="219"/>
      <c r="J576" s="216"/>
      <c r="K576" s="216"/>
      <c r="L576" s="216"/>
      <c r="M576" s="216"/>
      <c r="N576" s="216"/>
      <c r="O576" s="216"/>
      <c r="P576" s="216"/>
      <c r="Q576" s="216"/>
      <c r="R576" s="216"/>
      <c r="S576" s="216"/>
      <c r="T576" s="216"/>
      <c r="U576" s="216"/>
      <c r="V576" s="216"/>
      <c r="W576" s="216"/>
      <c r="X576" s="216"/>
      <c r="Y576" s="216"/>
      <c r="Z576" s="216"/>
      <c r="AA576" s="216"/>
      <c r="AB576" s="216"/>
      <c r="AC576" s="216"/>
      <c r="AD576" s="216"/>
      <c r="AE576" s="216"/>
      <c r="AF576" s="216"/>
      <c r="AG576" s="216"/>
      <c r="AH576" s="216"/>
      <c r="AI576" s="216"/>
      <c r="AJ576" s="216"/>
      <c r="AK576" s="216"/>
      <c r="AL576" s="216"/>
      <c r="AM576" s="216"/>
      <c r="AN576" s="216"/>
      <c r="AO576" s="216"/>
      <c r="AP576" s="216"/>
      <c r="AQ576" s="216"/>
      <c r="AR576" s="216"/>
    </row>
    <row r="577">
      <c r="A577" s="216"/>
      <c r="B577" s="216"/>
      <c r="C577" s="216"/>
      <c r="D577" s="216"/>
      <c r="E577" s="216"/>
      <c r="F577" s="216"/>
      <c r="G577" s="216"/>
      <c r="H577" s="216"/>
      <c r="I577" s="219"/>
      <c r="J577" s="216"/>
      <c r="K577" s="216"/>
      <c r="L577" s="216"/>
      <c r="M577" s="216"/>
      <c r="N577" s="216"/>
      <c r="O577" s="216"/>
      <c r="P577" s="216"/>
      <c r="Q577" s="216"/>
      <c r="R577" s="216"/>
      <c r="S577" s="216"/>
      <c r="T577" s="216"/>
      <c r="U577" s="216"/>
      <c r="V577" s="216"/>
      <c r="W577" s="216"/>
      <c r="X577" s="216"/>
      <c r="Y577" s="216"/>
      <c r="Z577" s="216"/>
      <c r="AA577" s="216"/>
      <c r="AB577" s="216"/>
      <c r="AC577" s="216"/>
      <c r="AD577" s="216"/>
      <c r="AE577" s="216"/>
      <c r="AF577" s="216"/>
      <c r="AG577" s="216"/>
      <c r="AH577" s="216"/>
      <c r="AI577" s="216"/>
      <c r="AJ577" s="216"/>
      <c r="AK577" s="216"/>
      <c r="AL577" s="216"/>
      <c r="AM577" s="216"/>
      <c r="AN577" s="216"/>
      <c r="AO577" s="216"/>
      <c r="AP577" s="216"/>
      <c r="AQ577" s="216"/>
      <c r="AR577" s="216"/>
    </row>
    <row r="578">
      <c r="A578" s="216"/>
      <c r="B578" s="216"/>
      <c r="C578" s="216"/>
      <c r="D578" s="216"/>
      <c r="E578" s="216"/>
      <c r="F578" s="216"/>
      <c r="G578" s="216"/>
      <c r="H578" s="216"/>
      <c r="I578" s="219"/>
      <c r="J578" s="216"/>
      <c r="K578" s="216"/>
      <c r="L578" s="216"/>
      <c r="M578" s="216"/>
      <c r="N578" s="216"/>
      <c r="O578" s="216"/>
      <c r="P578" s="216"/>
      <c r="Q578" s="216"/>
      <c r="R578" s="216"/>
      <c r="S578" s="216"/>
      <c r="T578" s="216"/>
      <c r="U578" s="216"/>
      <c r="V578" s="216"/>
      <c r="W578" s="216"/>
      <c r="X578" s="216"/>
      <c r="Y578" s="216"/>
      <c r="Z578" s="216"/>
      <c r="AA578" s="216"/>
      <c r="AB578" s="216"/>
      <c r="AC578" s="216"/>
      <c r="AD578" s="216"/>
      <c r="AE578" s="216"/>
      <c r="AF578" s="216"/>
      <c r="AG578" s="216"/>
      <c r="AH578" s="216"/>
      <c r="AI578" s="216"/>
      <c r="AJ578" s="216"/>
      <c r="AK578" s="216"/>
      <c r="AL578" s="216"/>
      <c r="AM578" s="216"/>
      <c r="AN578" s="216"/>
      <c r="AO578" s="216"/>
      <c r="AP578" s="216"/>
      <c r="AQ578" s="216"/>
      <c r="AR578" s="216"/>
    </row>
    <row r="579">
      <c r="A579" s="216"/>
      <c r="B579" s="216"/>
      <c r="C579" s="216"/>
      <c r="D579" s="216"/>
      <c r="E579" s="216"/>
      <c r="F579" s="216"/>
      <c r="G579" s="216"/>
      <c r="H579" s="216"/>
      <c r="I579" s="219"/>
      <c r="J579" s="216"/>
      <c r="K579" s="216"/>
      <c r="L579" s="216"/>
      <c r="M579" s="216"/>
      <c r="N579" s="216"/>
      <c r="O579" s="216"/>
      <c r="P579" s="216"/>
      <c r="Q579" s="216"/>
      <c r="R579" s="216"/>
      <c r="S579" s="216"/>
      <c r="T579" s="216"/>
      <c r="U579" s="216"/>
      <c r="V579" s="216"/>
      <c r="W579" s="216"/>
      <c r="X579" s="216"/>
      <c r="Y579" s="216"/>
      <c r="Z579" s="216"/>
      <c r="AA579" s="216"/>
      <c r="AB579" s="216"/>
      <c r="AC579" s="216"/>
      <c r="AD579" s="216"/>
      <c r="AE579" s="216"/>
      <c r="AF579" s="216"/>
      <c r="AG579" s="216"/>
      <c r="AH579" s="216"/>
      <c r="AI579" s="216"/>
      <c r="AJ579" s="216"/>
      <c r="AK579" s="216"/>
      <c r="AL579" s="216"/>
      <c r="AM579" s="216"/>
      <c r="AN579" s="216"/>
      <c r="AO579" s="216"/>
      <c r="AP579" s="216"/>
      <c r="AQ579" s="216"/>
      <c r="AR579" s="216"/>
    </row>
    <row r="580">
      <c r="A580" s="216"/>
      <c r="B580" s="216"/>
      <c r="C580" s="216"/>
      <c r="D580" s="216"/>
      <c r="E580" s="216"/>
      <c r="F580" s="216"/>
      <c r="G580" s="216"/>
      <c r="H580" s="216"/>
      <c r="I580" s="219"/>
      <c r="J580" s="216"/>
      <c r="K580" s="216"/>
      <c r="L580" s="216"/>
      <c r="M580" s="216"/>
      <c r="N580" s="216"/>
      <c r="O580" s="216"/>
      <c r="P580" s="216"/>
      <c r="Q580" s="216"/>
      <c r="R580" s="216"/>
      <c r="S580" s="216"/>
      <c r="T580" s="216"/>
      <c r="U580" s="216"/>
      <c r="V580" s="216"/>
      <c r="W580" s="216"/>
      <c r="X580" s="216"/>
      <c r="Y580" s="216"/>
      <c r="Z580" s="216"/>
      <c r="AA580" s="216"/>
      <c r="AB580" s="216"/>
      <c r="AC580" s="216"/>
      <c r="AD580" s="216"/>
      <c r="AE580" s="216"/>
      <c r="AF580" s="216"/>
      <c r="AG580" s="216"/>
      <c r="AH580" s="216"/>
      <c r="AI580" s="216"/>
      <c r="AJ580" s="216"/>
      <c r="AK580" s="216"/>
      <c r="AL580" s="216"/>
      <c r="AM580" s="216"/>
      <c r="AN580" s="216"/>
      <c r="AO580" s="216"/>
      <c r="AP580" s="216"/>
      <c r="AQ580" s="216"/>
      <c r="AR580" s="216"/>
    </row>
    <row r="581">
      <c r="A581" s="216"/>
      <c r="B581" s="216"/>
      <c r="C581" s="216"/>
      <c r="D581" s="216"/>
      <c r="E581" s="216"/>
      <c r="F581" s="216"/>
      <c r="G581" s="216"/>
      <c r="H581" s="216"/>
      <c r="I581" s="219"/>
      <c r="J581" s="216"/>
      <c r="K581" s="216"/>
      <c r="L581" s="216"/>
      <c r="M581" s="216"/>
      <c r="N581" s="216"/>
      <c r="O581" s="216"/>
      <c r="P581" s="216"/>
      <c r="Q581" s="216"/>
      <c r="R581" s="216"/>
      <c r="S581" s="216"/>
      <c r="T581" s="216"/>
      <c r="U581" s="216"/>
      <c r="V581" s="216"/>
      <c r="W581" s="216"/>
      <c r="X581" s="216"/>
      <c r="Y581" s="216"/>
      <c r="Z581" s="216"/>
      <c r="AA581" s="216"/>
      <c r="AB581" s="216"/>
      <c r="AC581" s="216"/>
      <c r="AD581" s="216"/>
      <c r="AE581" s="216"/>
      <c r="AF581" s="216"/>
      <c r="AG581" s="216"/>
      <c r="AH581" s="216"/>
      <c r="AI581" s="216"/>
      <c r="AJ581" s="216"/>
      <c r="AK581" s="216"/>
      <c r="AL581" s="216"/>
      <c r="AM581" s="216"/>
      <c r="AN581" s="216"/>
      <c r="AO581" s="216"/>
      <c r="AP581" s="216"/>
      <c r="AQ581" s="216"/>
      <c r="AR581" s="216"/>
    </row>
    <row r="582">
      <c r="A582" s="216"/>
      <c r="B582" s="216"/>
      <c r="C582" s="216"/>
      <c r="D582" s="216"/>
      <c r="E582" s="216"/>
      <c r="F582" s="216"/>
      <c r="G582" s="216"/>
      <c r="H582" s="216"/>
      <c r="I582" s="219"/>
      <c r="J582" s="216"/>
      <c r="K582" s="216"/>
      <c r="L582" s="216"/>
      <c r="M582" s="216"/>
      <c r="N582" s="216"/>
      <c r="O582" s="216"/>
      <c r="P582" s="216"/>
      <c r="Q582" s="216"/>
      <c r="R582" s="216"/>
      <c r="S582" s="216"/>
      <c r="T582" s="216"/>
      <c r="U582" s="216"/>
      <c r="V582" s="216"/>
      <c r="W582" s="216"/>
      <c r="X582" s="216"/>
      <c r="Y582" s="216"/>
      <c r="Z582" s="216"/>
      <c r="AA582" s="216"/>
      <c r="AB582" s="216"/>
      <c r="AC582" s="216"/>
      <c r="AD582" s="216"/>
      <c r="AE582" s="216"/>
      <c r="AF582" s="216"/>
      <c r="AG582" s="216"/>
      <c r="AH582" s="216"/>
      <c r="AI582" s="216"/>
      <c r="AJ582" s="216"/>
      <c r="AK582" s="216"/>
      <c r="AL582" s="216"/>
      <c r="AM582" s="216"/>
      <c r="AN582" s="216"/>
      <c r="AO582" s="216"/>
      <c r="AP582" s="216"/>
      <c r="AQ582" s="216"/>
      <c r="AR582" s="216"/>
    </row>
    <row r="583">
      <c r="A583" s="216"/>
      <c r="B583" s="216"/>
      <c r="C583" s="216"/>
      <c r="D583" s="216"/>
      <c r="E583" s="216"/>
      <c r="F583" s="216"/>
      <c r="G583" s="216"/>
      <c r="H583" s="216"/>
      <c r="I583" s="219"/>
      <c r="J583" s="216"/>
      <c r="K583" s="216"/>
      <c r="L583" s="216"/>
      <c r="M583" s="216"/>
      <c r="N583" s="216"/>
      <c r="O583" s="216"/>
      <c r="P583" s="216"/>
      <c r="Q583" s="216"/>
      <c r="R583" s="216"/>
      <c r="S583" s="216"/>
      <c r="T583" s="216"/>
      <c r="U583" s="216"/>
      <c r="V583" s="216"/>
      <c r="W583" s="216"/>
      <c r="X583" s="216"/>
      <c r="Y583" s="216"/>
      <c r="Z583" s="216"/>
      <c r="AA583" s="216"/>
      <c r="AB583" s="216"/>
      <c r="AC583" s="216"/>
      <c r="AD583" s="216"/>
      <c r="AE583" s="216"/>
      <c r="AF583" s="216"/>
      <c r="AG583" s="216"/>
      <c r="AH583" s="216"/>
      <c r="AI583" s="216"/>
      <c r="AJ583" s="216"/>
      <c r="AK583" s="216"/>
      <c r="AL583" s="216"/>
      <c r="AM583" s="216"/>
      <c r="AN583" s="216"/>
      <c r="AO583" s="216"/>
      <c r="AP583" s="216"/>
      <c r="AQ583" s="216"/>
      <c r="AR583" s="216"/>
    </row>
    <row r="584">
      <c r="A584" s="216"/>
      <c r="B584" s="216"/>
      <c r="C584" s="216"/>
      <c r="D584" s="216"/>
      <c r="E584" s="216"/>
      <c r="F584" s="216"/>
      <c r="G584" s="216"/>
      <c r="H584" s="216"/>
      <c r="I584" s="219"/>
      <c r="J584" s="216"/>
      <c r="K584" s="216"/>
      <c r="L584" s="216"/>
      <c r="M584" s="216"/>
      <c r="N584" s="216"/>
      <c r="O584" s="216"/>
      <c r="P584" s="216"/>
      <c r="Q584" s="216"/>
      <c r="R584" s="216"/>
      <c r="S584" s="216"/>
      <c r="T584" s="216"/>
      <c r="U584" s="216"/>
      <c r="V584" s="216"/>
      <c r="W584" s="216"/>
      <c r="X584" s="216"/>
      <c r="Y584" s="216"/>
      <c r="Z584" s="216"/>
      <c r="AA584" s="216"/>
      <c r="AB584" s="216"/>
      <c r="AC584" s="216"/>
      <c r="AD584" s="216"/>
      <c r="AE584" s="216"/>
      <c r="AF584" s="216"/>
      <c r="AG584" s="216"/>
      <c r="AH584" s="216"/>
      <c r="AI584" s="216"/>
      <c r="AJ584" s="216"/>
      <c r="AK584" s="216"/>
      <c r="AL584" s="216"/>
      <c r="AM584" s="216"/>
      <c r="AN584" s="216"/>
      <c r="AO584" s="216"/>
      <c r="AP584" s="216"/>
      <c r="AQ584" s="216"/>
      <c r="AR584" s="216"/>
    </row>
    <row r="585">
      <c r="A585" s="216"/>
      <c r="B585" s="216"/>
      <c r="C585" s="216"/>
      <c r="D585" s="216"/>
      <c r="E585" s="216"/>
      <c r="F585" s="216"/>
      <c r="G585" s="216"/>
      <c r="H585" s="216"/>
      <c r="I585" s="219"/>
      <c r="J585" s="216"/>
      <c r="K585" s="216"/>
      <c r="L585" s="216"/>
      <c r="M585" s="216"/>
      <c r="N585" s="216"/>
      <c r="O585" s="216"/>
      <c r="P585" s="216"/>
      <c r="Q585" s="216"/>
      <c r="R585" s="216"/>
      <c r="S585" s="216"/>
      <c r="T585" s="216"/>
      <c r="U585" s="216"/>
      <c r="V585" s="216"/>
      <c r="W585" s="216"/>
      <c r="X585" s="216"/>
      <c r="Y585" s="216"/>
      <c r="Z585" s="216"/>
      <c r="AA585" s="216"/>
      <c r="AB585" s="216"/>
      <c r="AC585" s="216"/>
      <c r="AD585" s="216"/>
      <c r="AE585" s="216"/>
      <c r="AF585" s="216"/>
      <c r="AG585" s="216"/>
      <c r="AH585" s="216"/>
      <c r="AI585" s="216"/>
      <c r="AJ585" s="216"/>
      <c r="AK585" s="216"/>
      <c r="AL585" s="216"/>
      <c r="AM585" s="216"/>
      <c r="AN585" s="216"/>
      <c r="AO585" s="216"/>
      <c r="AP585" s="216"/>
      <c r="AQ585" s="216"/>
      <c r="AR585" s="216"/>
    </row>
    <row r="586">
      <c r="A586" s="216"/>
      <c r="B586" s="216"/>
      <c r="C586" s="216"/>
      <c r="D586" s="216"/>
      <c r="E586" s="216"/>
      <c r="F586" s="216"/>
      <c r="G586" s="216"/>
      <c r="H586" s="216"/>
      <c r="I586" s="219"/>
      <c r="J586" s="216"/>
      <c r="K586" s="216"/>
      <c r="L586" s="216"/>
      <c r="M586" s="216"/>
      <c r="N586" s="216"/>
      <c r="O586" s="216"/>
      <c r="P586" s="216"/>
      <c r="Q586" s="216"/>
      <c r="R586" s="216"/>
      <c r="S586" s="216"/>
      <c r="T586" s="216"/>
      <c r="U586" s="216"/>
      <c r="V586" s="216"/>
      <c r="W586" s="216"/>
      <c r="X586" s="216"/>
      <c r="Y586" s="216"/>
      <c r="Z586" s="216"/>
      <c r="AA586" s="216"/>
      <c r="AB586" s="216"/>
      <c r="AC586" s="216"/>
      <c r="AD586" s="216"/>
      <c r="AE586" s="216"/>
      <c r="AF586" s="216"/>
      <c r="AG586" s="216"/>
      <c r="AH586" s="216"/>
      <c r="AI586" s="216"/>
      <c r="AJ586" s="216"/>
      <c r="AK586" s="216"/>
      <c r="AL586" s="216"/>
      <c r="AM586" s="216"/>
      <c r="AN586" s="216"/>
      <c r="AO586" s="216"/>
      <c r="AP586" s="216"/>
      <c r="AQ586" s="216"/>
      <c r="AR586" s="216"/>
    </row>
    <row r="587">
      <c r="A587" s="216"/>
      <c r="B587" s="216"/>
      <c r="C587" s="216"/>
      <c r="D587" s="216"/>
      <c r="E587" s="216"/>
      <c r="F587" s="216"/>
      <c r="G587" s="216"/>
      <c r="H587" s="216"/>
      <c r="I587" s="219"/>
      <c r="J587" s="216"/>
      <c r="K587" s="216"/>
      <c r="L587" s="216"/>
      <c r="M587" s="216"/>
      <c r="N587" s="216"/>
      <c r="O587" s="216"/>
      <c r="P587" s="216"/>
      <c r="Q587" s="216"/>
      <c r="R587" s="216"/>
      <c r="S587" s="216"/>
      <c r="T587" s="216"/>
      <c r="U587" s="216"/>
      <c r="V587" s="216"/>
      <c r="W587" s="216"/>
      <c r="X587" s="216"/>
      <c r="Y587" s="216"/>
      <c r="Z587" s="216"/>
      <c r="AA587" s="216"/>
      <c r="AB587" s="216"/>
      <c r="AC587" s="216"/>
      <c r="AD587" s="216"/>
      <c r="AE587" s="216"/>
      <c r="AF587" s="216"/>
      <c r="AG587" s="216"/>
      <c r="AH587" s="216"/>
      <c r="AI587" s="216"/>
      <c r="AJ587" s="216"/>
      <c r="AK587" s="216"/>
      <c r="AL587" s="216"/>
      <c r="AM587" s="216"/>
      <c r="AN587" s="216"/>
      <c r="AO587" s="216"/>
      <c r="AP587" s="216"/>
      <c r="AQ587" s="216"/>
      <c r="AR587" s="216"/>
    </row>
    <row r="588">
      <c r="A588" s="216"/>
      <c r="B588" s="216"/>
      <c r="C588" s="216"/>
      <c r="D588" s="216"/>
      <c r="E588" s="216"/>
      <c r="F588" s="216"/>
      <c r="G588" s="216"/>
      <c r="H588" s="216"/>
      <c r="I588" s="219"/>
      <c r="J588" s="216"/>
      <c r="K588" s="216"/>
      <c r="L588" s="216"/>
      <c r="M588" s="216"/>
      <c r="N588" s="216"/>
      <c r="O588" s="216"/>
      <c r="P588" s="216"/>
      <c r="Q588" s="216"/>
      <c r="R588" s="216"/>
      <c r="S588" s="216"/>
      <c r="T588" s="216"/>
      <c r="U588" s="216"/>
      <c r="V588" s="216"/>
      <c r="W588" s="216"/>
      <c r="X588" s="216"/>
      <c r="Y588" s="216"/>
      <c r="Z588" s="216"/>
      <c r="AA588" s="216"/>
      <c r="AB588" s="216"/>
      <c r="AC588" s="216"/>
      <c r="AD588" s="216"/>
      <c r="AE588" s="216"/>
      <c r="AF588" s="216"/>
      <c r="AG588" s="216"/>
      <c r="AH588" s="216"/>
      <c r="AI588" s="216"/>
      <c r="AJ588" s="216"/>
      <c r="AK588" s="216"/>
      <c r="AL588" s="216"/>
      <c r="AM588" s="216"/>
      <c r="AN588" s="216"/>
      <c r="AO588" s="216"/>
      <c r="AP588" s="216"/>
      <c r="AQ588" s="216"/>
      <c r="AR588" s="216"/>
    </row>
    <row r="589">
      <c r="A589" s="216"/>
      <c r="B589" s="216"/>
      <c r="C589" s="216"/>
      <c r="D589" s="216"/>
      <c r="E589" s="216"/>
      <c r="F589" s="216"/>
      <c r="G589" s="216"/>
      <c r="H589" s="216"/>
      <c r="I589" s="219"/>
      <c r="J589" s="216"/>
      <c r="K589" s="216"/>
      <c r="L589" s="216"/>
      <c r="M589" s="216"/>
      <c r="N589" s="216"/>
      <c r="O589" s="216"/>
      <c r="P589" s="216"/>
      <c r="Q589" s="216"/>
      <c r="R589" s="216"/>
      <c r="S589" s="216"/>
      <c r="T589" s="216"/>
      <c r="U589" s="216"/>
      <c r="V589" s="216"/>
      <c r="W589" s="216"/>
      <c r="X589" s="216"/>
      <c r="Y589" s="216"/>
      <c r="Z589" s="216"/>
      <c r="AA589" s="216"/>
      <c r="AB589" s="216"/>
      <c r="AC589" s="216"/>
      <c r="AD589" s="216"/>
      <c r="AE589" s="216"/>
      <c r="AF589" s="216"/>
      <c r="AG589" s="216"/>
      <c r="AH589" s="216"/>
      <c r="AI589" s="216"/>
      <c r="AJ589" s="216"/>
      <c r="AK589" s="216"/>
      <c r="AL589" s="216"/>
      <c r="AM589" s="216"/>
      <c r="AN589" s="216"/>
      <c r="AO589" s="216"/>
      <c r="AP589" s="216"/>
      <c r="AQ589" s="216"/>
      <c r="AR589" s="216"/>
    </row>
    <row r="590">
      <c r="A590" s="216"/>
      <c r="B590" s="216"/>
      <c r="C590" s="216"/>
      <c r="D590" s="216"/>
      <c r="E590" s="216"/>
      <c r="F590" s="216"/>
      <c r="G590" s="216"/>
      <c r="H590" s="216"/>
      <c r="I590" s="219"/>
      <c r="J590" s="216"/>
      <c r="K590" s="216"/>
      <c r="L590" s="216"/>
      <c r="M590" s="216"/>
      <c r="N590" s="216"/>
      <c r="O590" s="216"/>
      <c r="P590" s="216"/>
      <c r="Q590" s="216"/>
      <c r="R590" s="216"/>
      <c r="S590" s="216"/>
      <c r="T590" s="216"/>
      <c r="U590" s="216"/>
      <c r="V590" s="216"/>
      <c r="W590" s="216"/>
      <c r="X590" s="216"/>
      <c r="Y590" s="216"/>
      <c r="Z590" s="216"/>
      <c r="AA590" s="216"/>
      <c r="AB590" s="216"/>
      <c r="AC590" s="216"/>
      <c r="AD590" s="216"/>
      <c r="AE590" s="216"/>
      <c r="AF590" s="216"/>
      <c r="AG590" s="216"/>
      <c r="AH590" s="216"/>
      <c r="AI590" s="216"/>
      <c r="AJ590" s="216"/>
      <c r="AK590" s="216"/>
      <c r="AL590" s="216"/>
      <c r="AM590" s="216"/>
      <c r="AN590" s="216"/>
      <c r="AO590" s="216"/>
      <c r="AP590" s="216"/>
      <c r="AQ590" s="216"/>
      <c r="AR590" s="216"/>
    </row>
    <row r="591">
      <c r="A591" s="216"/>
      <c r="B591" s="216"/>
      <c r="C591" s="216"/>
      <c r="D591" s="216"/>
      <c r="E591" s="216"/>
      <c r="F591" s="216"/>
      <c r="G591" s="216"/>
      <c r="H591" s="216"/>
      <c r="I591" s="219"/>
      <c r="J591" s="216"/>
      <c r="K591" s="216"/>
      <c r="L591" s="216"/>
      <c r="M591" s="216"/>
      <c r="N591" s="216"/>
      <c r="O591" s="216"/>
      <c r="P591" s="216"/>
      <c r="Q591" s="216"/>
      <c r="R591" s="216"/>
      <c r="S591" s="216"/>
      <c r="T591" s="216"/>
      <c r="U591" s="216"/>
      <c r="V591" s="216"/>
      <c r="W591" s="216"/>
      <c r="X591" s="216"/>
      <c r="Y591" s="216"/>
      <c r="Z591" s="216"/>
      <c r="AA591" s="216"/>
      <c r="AB591" s="216"/>
      <c r="AC591" s="216"/>
      <c r="AD591" s="216"/>
      <c r="AE591" s="216"/>
      <c r="AF591" s="216"/>
      <c r="AG591" s="216"/>
      <c r="AH591" s="216"/>
      <c r="AI591" s="216"/>
      <c r="AJ591" s="216"/>
      <c r="AK591" s="216"/>
      <c r="AL591" s="216"/>
      <c r="AM591" s="216"/>
      <c r="AN591" s="216"/>
      <c r="AO591" s="216"/>
      <c r="AP591" s="216"/>
      <c r="AQ591" s="216"/>
      <c r="AR591" s="216"/>
    </row>
    <row r="592">
      <c r="A592" s="216"/>
      <c r="B592" s="216"/>
      <c r="C592" s="216"/>
      <c r="D592" s="216"/>
      <c r="E592" s="216"/>
      <c r="F592" s="216"/>
      <c r="G592" s="216"/>
      <c r="H592" s="216"/>
      <c r="I592" s="219"/>
      <c r="J592" s="216"/>
      <c r="K592" s="216"/>
      <c r="L592" s="216"/>
      <c r="M592" s="216"/>
      <c r="N592" s="216"/>
      <c r="O592" s="216"/>
      <c r="P592" s="216"/>
      <c r="Q592" s="216"/>
      <c r="R592" s="216"/>
      <c r="S592" s="216"/>
      <c r="T592" s="216"/>
      <c r="U592" s="216"/>
      <c r="V592" s="216"/>
      <c r="W592" s="216"/>
      <c r="X592" s="216"/>
      <c r="Y592" s="216"/>
      <c r="Z592" s="216"/>
      <c r="AA592" s="216"/>
      <c r="AB592" s="216"/>
      <c r="AC592" s="216"/>
      <c r="AD592" s="216"/>
      <c r="AE592" s="216"/>
      <c r="AF592" s="216"/>
      <c r="AG592" s="216"/>
      <c r="AH592" s="216"/>
      <c r="AI592" s="216"/>
      <c r="AJ592" s="216"/>
      <c r="AK592" s="216"/>
      <c r="AL592" s="216"/>
      <c r="AM592" s="216"/>
      <c r="AN592" s="216"/>
      <c r="AO592" s="216"/>
      <c r="AP592" s="216"/>
      <c r="AQ592" s="216"/>
      <c r="AR592" s="216"/>
    </row>
    <row r="593">
      <c r="A593" s="216"/>
      <c r="B593" s="216"/>
      <c r="C593" s="216"/>
      <c r="D593" s="216"/>
      <c r="E593" s="216"/>
      <c r="F593" s="216"/>
      <c r="G593" s="216"/>
      <c r="H593" s="216"/>
      <c r="I593" s="219"/>
      <c r="J593" s="216"/>
      <c r="K593" s="216"/>
      <c r="L593" s="216"/>
      <c r="M593" s="216"/>
      <c r="N593" s="216"/>
      <c r="O593" s="216"/>
      <c r="P593" s="216"/>
      <c r="Q593" s="216"/>
      <c r="R593" s="216"/>
      <c r="S593" s="216"/>
      <c r="T593" s="216"/>
      <c r="U593" s="216"/>
      <c r="V593" s="216"/>
      <c r="W593" s="216"/>
      <c r="X593" s="216"/>
      <c r="Y593" s="216"/>
      <c r="Z593" s="216"/>
      <c r="AA593" s="216"/>
      <c r="AB593" s="216"/>
      <c r="AC593" s="216"/>
      <c r="AD593" s="216"/>
      <c r="AE593" s="216"/>
      <c r="AF593" s="216"/>
      <c r="AG593" s="216"/>
      <c r="AH593" s="216"/>
      <c r="AI593" s="216"/>
      <c r="AJ593" s="216"/>
      <c r="AK593" s="216"/>
      <c r="AL593" s="216"/>
      <c r="AM593" s="216"/>
      <c r="AN593" s="216"/>
      <c r="AO593" s="216"/>
      <c r="AP593" s="216"/>
      <c r="AQ593" s="216"/>
      <c r="AR593" s="216"/>
    </row>
    <row r="594">
      <c r="A594" s="216"/>
      <c r="B594" s="216"/>
      <c r="C594" s="216"/>
      <c r="D594" s="216"/>
      <c r="E594" s="216"/>
      <c r="F594" s="216"/>
      <c r="G594" s="216"/>
      <c r="H594" s="216"/>
      <c r="I594" s="219"/>
      <c r="J594" s="216"/>
      <c r="K594" s="216"/>
      <c r="L594" s="216"/>
      <c r="M594" s="216"/>
      <c r="N594" s="216"/>
      <c r="O594" s="216"/>
      <c r="P594" s="216"/>
      <c r="Q594" s="216"/>
      <c r="R594" s="216"/>
      <c r="S594" s="216"/>
      <c r="T594" s="216"/>
      <c r="U594" s="216"/>
      <c r="V594" s="216"/>
      <c r="W594" s="216"/>
      <c r="X594" s="216"/>
      <c r="Y594" s="216"/>
      <c r="Z594" s="216"/>
      <c r="AA594" s="216"/>
      <c r="AB594" s="216"/>
      <c r="AC594" s="216"/>
      <c r="AD594" s="216"/>
      <c r="AE594" s="216"/>
      <c r="AF594" s="216"/>
      <c r="AG594" s="216"/>
      <c r="AH594" s="216"/>
      <c r="AI594" s="216"/>
      <c r="AJ594" s="216"/>
      <c r="AK594" s="216"/>
      <c r="AL594" s="216"/>
      <c r="AM594" s="216"/>
      <c r="AN594" s="216"/>
      <c r="AO594" s="216"/>
      <c r="AP594" s="216"/>
      <c r="AQ594" s="216"/>
      <c r="AR594" s="216"/>
    </row>
    <row r="595">
      <c r="A595" s="216"/>
      <c r="B595" s="216"/>
      <c r="C595" s="216"/>
      <c r="D595" s="216"/>
      <c r="E595" s="216"/>
      <c r="F595" s="216"/>
      <c r="G595" s="216"/>
      <c r="H595" s="216"/>
      <c r="I595" s="219"/>
      <c r="J595" s="216"/>
      <c r="K595" s="216"/>
      <c r="L595" s="216"/>
      <c r="M595" s="216"/>
      <c r="N595" s="216"/>
      <c r="O595" s="216"/>
      <c r="P595" s="216"/>
      <c r="Q595" s="216"/>
      <c r="R595" s="216"/>
      <c r="S595" s="216"/>
      <c r="T595" s="216"/>
      <c r="U595" s="216"/>
      <c r="V595" s="216"/>
      <c r="W595" s="216"/>
      <c r="X595" s="216"/>
      <c r="Y595" s="216"/>
      <c r="Z595" s="216"/>
      <c r="AA595" s="216"/>
      <c r="AB595" s="216"/>
      <c r="AC595" s="216"/>
      <c r="AD595" s="216"/>
      <c r="AE595" s="216"/>
      <c r="AF595" s="216"/>
      <c r="AG595" s="216"/>
      <c r="AH595" s="216"/>
      <c r="AI595" s="216"/>
      <c r="AJ595" s="216"/>
      <c r="AK595" s="216"/>
      <c r="AL595" s="216"/>
      <c r="AM595" s="216"/>
      <c r="AN595" s="216"/>
      <c r="AO595" s="216"/>
      <c r="AP595" s="216"/>
      <c r="AQ595" s="216"/>
      <c r="AR595" s="216"/>
    </row>
    <row r="596">
      <c r="A596" s="216"/>
      <c r="B596" s="216"/>
      <c r="C596" s="216"/>
      <c r="D596" s="216"/>
      <c r="E596" s="216"/>
      <c r="F596" s="216"/>
      <c r="G596" s="216"/>
      <c r="H596" s="216"/>
      <c r="I596" s="219"/>
      <c r="J596" s="216"/>
      <c r="K596" s="216"/>
      <c r="L596" s="216"/>
      <c r="M596" s="216"/>
      <c r="N596" s="216"/>
      <c r="O596" s="216"/>
      <c r="P596" s="216"/>
      <c r="Q596" s="216"/>
      <c r="R596" s="216"/>
      <c r="S596" s="216"/>
      <c r="T596" s="216"/>
      <c r="U596" s="216"/>
      <c r="V596" s="216"/>
      <c r="W596" s="216"/>
      <c r="X596" s="216"/>
      <c r="Y596" s="216"/>
      <c r="Z596" s="216"/>
      <c r="AA596" s="216"/>
      <c r="AB596" s="216"/>
      <c r="AC596" s="216"/>
      <c r="AD596" s="216"/>
      <c r="AE596" s="216"/>
      <c r="AF596" s="216"/>
      <c r="AG596" s="216"/>
      <c r="AH596" s="216"/>
      <c r="AI596" s="216"/>
      <c r="AJ596" s="216"/>
      <c r="AK596" s="216"/>
      <c r="AL596" s="216"/>
      <c r="AM596" s="216"/>
      <c r="AN596" s="216"/>
      <c r="AO596" s="216"/>
      <c r="AP596" s="216"/>
      <c r="AQ596" s="216"/>
      <c r="AR596" s="216"/>
    </row>
    <row r="597">
      <c r="A597" s="216"/>
      <c r="B597" s="216"/>
      <c r="C597" s="216"/>
      <c r="D597" s="216"/>
      <c r="E597" s="216"/>
      <c r="F597" s="216"/>
      <c r="G597" s="216"/>
      <c r="H597" s="216"/>
      <c r="I597" s="219"/>
      <c r="J597" s="216"/>
      <c r="K597" s="216"/>
      <c r="L597" s="216"/>
      <c r="M597" s="216"/>
      <c r="N597" s="216"/>
      <c r="O597" s="216"/>
      <c r="P597" s="216"/>
      <c r="Q597" s="216"/>
      <c r="R597" s="216"/>
      <c r="S597" s="216"/>
      <c r="T597" s="216"/>
      <c r="U597" s="216"/>
      <c r="V597" s="216"/>
      <c r="W597" s="216"/>
      <c r="X597" s="216"/>
      <c r="Y597" s="216"/>
      <c r="Z597" s="216"/>
      <c r="AA597" s="216"/>
      <c r="AB597" s="216"/>
      <c r="AC597" s="216"/>
      <c r="AD597" s="216"/>
      <c r="AE597" s="216"/>
      <c r="AF597" s="216"/>
      <c r="AG597" s="216"/>
      <c r="AH597" s="216"/>
      <c r="AI597" s="216"/>
      <c r="AJ597" s="216"/>
      <c r="AK597" s="216"/>
      <c r="AL597" s="216"/>
      <c r="AM597" s="216"/>
      <c r="AN597" s="216"/>
      <c r="AO597" s="216"/>
      <c r="AP597" s="216"/>
      <c r="AQ597" s="216"/>
      <c r="AR597" s="216"/>
    </row>
    <row r="598">
      <c r="A598" s="216"/>
      <c r="B598" s="216"/>
      <c r="C598" s="216"/>
      <c r="D598" s="216"/>
      <c r="E598" s="216"/>
      <c r="F598" s="216"/>
      <c r="G598" s="216"/>
      <c r="H598" s="216"/>
      <c r="I598" s="219"/>
      <c r="J598" s="216"/>
      <c r="K598" s="216"/>
      <c r="L598" s="216"/>
      <c r="M598" s="216"/>
      <c r="N598" s="216"/>
      <c r="O598" s="216"/>
      <c r="P598" s="216"/>
      <c r="Q598" s="216"/>
      <c r="R598" s="216"/>
      <c r="S598" s="216"/>
      <c r="T598" s="216"/>
      <c r="U598" s="216"/>
      <c r="V598" s="216"/>
      <c r="W598" s="216"/>
      <c r="X598" s="216"/>
      <c r="Y598" s="216"/>
      <c r="Z598" s="216"/>
      <c r="AA598" s="216"/>
      <c r="AB598" s="216"/>
      <c r="AC598" s="216"/>
      <c r="AD598" s="216"/>
      <c r="AE598" s="216"/>
      <c r="AF598" s="216"/>
      <c r="AG598" s="216"/>
      <c r="AH598" s="216"/>
      <c r="AI598" s="216"/>
      <c r="AJ598" s="216"/>
      <c r="AK598" s="216"/>
      <c r="AL598" s="216"/>
      <c r="AM598" s="216"/>
      <c r="AN598" s="216"/>
      <c r="AO598" s="216"/>
      <c r="AP598" s="216"/>
      <c r="AQ598" s="216"/>
      <c r="AR598" s="216"/>
    </row>
    <row r="599">
      <c r="A599" s="216"/>
      <c r="B599" s="216"/>
      <c r="C599" s="216"/>
      <c r="D599" s="216"/>
      <c r="E599" s="216"/>
      <c r="F599" s="216"/>
      <c r="G599" s="216"/>
      <c r="H599" s="216"/>
      <c r="I599" s="219"/>
      <c r="J599" s="216"/>
      <c r="K599" s="216"/>
      <c r="L599" s="216"/>
      <c r="M599" s="216"/>
      <c r="N599" s="216"/>
      <c r="O599" s="216"/>
      <c r="P599" s="216"/>
      <c r="Q599" s="216"/>
      <c r="R599" s="216"/>
      <c r="S599" s="216"/>
      <c r="T599" s="216"/>
      <c r="U599" s="216"/>
      <c r="V599" s="216"/>
      <c r="W599" s="216"/>
      <c r="X599" s="216"/>
      <c r="Y599" s="216"/>
      <c r="Z599" s="216"/>
      <c r="AA599" s="216"/>
      <c r="AB599" s="216"/>
      <c r="AC599" s="216"/>
      <c r="AD599" s="216"/>
      <c r="AE599" s="216"/>
      <c r="AF599" s="216"/>
      <c r="AG599" s="216"/>
      <c r="AH599" s="216"/>
      <c r="AI599" s="216"/>
      <c r="AJ599" s="216"/>
      <c r="AK599" s="216"/>
      <c r="AL599" s="216"/>
      <c r="AM599" s="216"/>
      <c r="AN599" s="216"/>
      <c r="AO599" s="216"/>
      <c r="AP599" s="216"/>
      <c r="AQ599" s="216"/>
      <c r="AR599" s="216"/>
    </row>
  </sheetData>
  <autoFilter ref="A2:AR434"/>
  <mergeCells>
    <mergeCell ref="B378:E378"/>
    <mergeCell ref="B377:E377"/>
    <mergeCell ref="B372:E372"/>
    <mergeCell ref="B367:E367"/>
    <mergeCell ref="A363:A378"/>
    <mergeCell ref="AH361:AR361"/>
    <mergeCell ref="F361:P361"/>
    <mergeCell ref="Q361:AB361"/>
    <mergeCell ref="AC361:AG361"/>
    <mergeCell ref="A361:E361"/>
    <mergeCell ref="F343:P343"/>
    <mergeCell ref="B324:E324"/>
    <mergeCell ref="B323:E323"/>
    <mergeCell ref="B318:E318"/>
    <mergeCell ref="B313:E313"/>
    <mergeCell ref="A309:A324"/>
    <mergeCell ref="AH307:AR307"/>
    <mergeCell ref="F307:P307"/>
    <mergeCell ref="Q307:AB307"/>
    <mergeCell ref="AC307:AG307"/>
    <mergeCell ref="A307:E307"/>
    <mergeCell ref="B306:E306"/>
    <mergeCell ref="B305:E305"/>
    <mergeCell ref="B300:E300"/>
    <mergeCell ref="B295:E295"/>
    <mergeCell ref="A291:A306"/>
    <mergeCell ref="AH289:AR289"/>
    <mergeCell ref="F289:P289"/>
    <mergeCell ref="Q289:AB289"/>
    <mergeCell ref="AC289:AG289"/>
    <mergeCell ref="A289:E289"/>
    <mergeCell ref="B288:E288"/>
    <mergeCell ref="B287:E287"/>
    <mergeCell ref="B282:E282"/>
    <mergeCell ref="B277:E277"/>
    <mergeCell ref="A273:A288"/>
    <mergeCell ref="AH271:AR271"/>
    <mergeCell ref="F271:P271"/>
    <mergeCell ref="Q271:AB271"/>
    <mergeCell ref="AC271:AG271"/>
    <mergeCell ref="A271:E271"/>
    <mergeCell ref="B270:E270"/>
    <mergeCell ref="B269:E269"/>
    <mergeCell ref="B264:E264"/>
    <mergeCell ref="B259:E259"/>
    <mergeCell ref="A255:A270"/>
    <mergeCell ref="AH253:AR253"/>
    <mergeCell ref="F253:P253"/>
    <mergeCell ref="Q253:AB253"/>
    <mergeCell ref="AC253:AG253"/>
    <mergeCell ref="A253:E253"/>
    <mergeCell ref="B252:E252"/>
    <mergeCell ref="B251:E251"/>
    <mergeCell ref="B246:E246"/>
    <mergeCell ref="B241:E241"/>
    <mergeCell ref="A237:A252"/>
    <mergeCell ref="AH235:AR235"/>
    <mergeCell ref="F235:P235"/>
    <mergeCell ref="Q235:AB235"/>
    <mergeCell ref="AC235:AG235"/>
    <mergeCell ref="A235:E235"/>
    <mergeCell ref="B233:E233"/>
    <mergeCell ref="A219:A234"/>
    <mergeCell ref="B234:E234"/>
    <mergeCell ref="B228:E228"/>
    <mergeCell ref="B223:E223"/>
    <mergeCell ref="AH217:AR217"/>
    <mergeCell ref="F217:P217"/>
    <mergeCell ref="Q217:AB217"/>
    <mergeCell ref="AC217:AG217"/>
    <mergeCell ref="A217:E217"/>
    <mergeCell ref="B216:E216"/>
    <mergeCell ref="B215:E215"/>
    <mergeCell ref="B210:E210"/>
    <mergeCell ref="A206:A216"/>
    <mergeCell ref="AH204:AR204"/>
    <mergeCell ref="F204:P204"/>
    <mergeCell ref="Q204:AB204"/>
    <mergeCell ref="AC204:AG204"/>
    <mergeCell ref="A204:E204"/>
    <mergeCell ref="AH191:AR191"/>
    <mergeCell ref="F191:P191"/>
    <mergeCell ref="Q191:AB191"/>
    <mergeCell ref="AC191:AG191"/>
    <mergeCell ref="A191:E191"/>
    <mergeCell ref="A193:A203"/>
    <mergeCell ref="B197:E197"/>
    <mergeCell ref="B202:E202"/>
    <mergeCell ref="B203:E203"/>
    <mergeCell ref="B190:E190"/>
    <mergeCell ref="B189:E189"/>
    <mergeCell ref="B184:E184"/>
    <mergeCell ref="A180:A190"/>
    <mergeCell ref="A169:A179"/>
    <mergeCell ref="B168:E168"/>
    <mergeCell ref="B167:E167"/>
    <mergeCell ref="B163:E163"/>
    <mergeCell ref="B160:E160"/>
    <mergeCell ref="A157:A168"/>
    <mergeCell ref="A145:A156"/>
    <mergeCell ref="B156:E156"/>
    <mergeCell ref="B155:E155"/>
    <mergeCell ref="B151:E151"/>
    <mergeCell ref="B138:E138"/>
    <mergeCell ref="B136:E136"/>
    <mergeCell ref="B132:E132"/>
    <mergeCell ref="B131:E131"/>
    <mergeCell ref="B127:E127"/>
    <mergeCell ref="B124:E124"/>
    <mergeCell ref="A121:A132"/>
    <mergeCell ref="B120:E120"/>
    <mergeCell ref="B119:E119"/>
    <mergeCell ref="B115:E115"/>
    <mergeCell ref="B112:E112"/>
    <mergeCell ref="A109:A120"/>
    <mergeCell ref="B108:E108"/>
    <mergeCell ref="B107:E107"/>
    <mergeCell ref="B103:E103"/>
    <mergeCell ref="B100:E100"/>
    <mergeCell ref="A97:A108"/>
    <mergeCell ref="B96:E96"/>
    <mergeCell ref="B95:E95"/>
    <mergeCell ref="B91:E91"/>
    <mergeCell ref="B88:E88"/>
    <mergeCell ref="A85:A96"/>
    <mergeCell ref="B84:E84"/>
    <mergeCell ref="B83:E83"/>
    <mergeCell ref="B79:E79"/>
    <mergeCell ref="B76:E76"/>
    <mergeCell ref="A73:A84"/>
    <mergeCell ref="B60:E60"/>
    <mergeCell ref="B59:E59"/>
    <mergeCell ref="B54:E54"/>
    <mergeCell ref="A50:A60"/>
    <mergeCell ref="B26:E26"/>
    <mergeCell ref="B25:E25"/>
    <mergeCell ref="B21:E21"/>
    <mergeCell ref="B18:E18"/>
    <mergeCell ref="A15:A26"/>
    <mergeCell ref="AH1:AR1"/>
    <mergeCell ref="F1:P1"/>
    <mergeCell ref="Q1:AB1"/>
    <mergeCell ref="AC1:AG1"/>
    <mergeCell ref="A1:E1"/>
    <mergeCell ref="B14:E14"/>
    <mergeCell ref="B13:E13"/>
    <mergeCell ref="B9:E9"/>
    <mergeCell ref="B6:E6"/>
    <mergeCell ref="A3:A14"/>
    <mergeCell ref="B38:E38"/>
    <mergeCell ref="B37:E37"/>
    <mergeCell ref="B33:E33"/>
    <mergeCell ref="B30:E30"/>
    <mergeCell ref="A27:A38"/>
    <mergeCell ref="B43:E43"/>
    <mergeCell ref="A39:A49"/>
    <mergeCell ref="B48:E48"/>
    <mergeCell ref="B49:E49"/>
    <mergeCell ref="A61:A72"/>
    <mergeCell ref="B64:E64"/>
    <mergeCell ref="B67:E67"/>
    <mergeCell ref="B71:E71"/>
    <mergeCell ref="B72:E72"/>
    <mergeCell ref="B143:E143"/>
    <mergeCell ref="B144:E144"/>
    <mergeCell ref="A133:A144"/>
    <mergeCell ref="B148:E148"/>
    <mergeCell ref="B178:E178"/>
    <mergeCell ref="B179:E179"/>
    <mergeCell ref="B173:E173"/>
    <mergeCell ref="A325:E325"/>
    <mergeCell ref="AC325:AG325"/>
    <mergeCell ref="Q325:AB325"/>
    <mergeCell ref="F325:P325"/>
    <mergeCell ref="AH325:AR325"/>
    <mergeCell ref="A327:A342"/>
    <mergeCell ref="B331:E331"/>
    <mergeCell ref="B336:E336"/>
    <mergeCell ref="B341:E341"/>
    <mergeCell ref="B342:E342"/>
    <mergeCell ref="A343:E343"/>
    <mergeCell ref="AC343:AG343"/>
    <mergeCell ref="Q343:AB343"/>
    <mergeCell ref="AH343:AR343"/>
    <mergeCell ref="A345:A360"/>
    <mergeCell ref="B349:E349"/>
    <mergeCell ref="B354:E354"/>
    <mergeCell ref="B359:E359"/>
    <mergeCell ref="B360:E360"/>
    <mergeCell ref="AH379:AR379"/>
    <mergeCell ref="F379:P379"/>
    <mergeCell ref="Q379:AB379"/>
    <mergeCell ref="AC379:AG379"/>
    <mergeCell ref="A379:E379"/>
    <mergeCell ref="A381:A396"/>
    <mergeCell ref="B390:E390"/>
    <mergeCell ref="B395:E395"/>
    <mergeCell ref="B396:E396"/>
    <mergeCell ref="B385:E385"/>
    <mergeCell ref="AH397:AR397"/>
    <mergeCell ref="F397:P397"/>
    <mergeCell ref="Q397:AB397"/>
    <mergeCell ref="AC397:AG397"/>
    <mergeCell ref="A397:E397"/>
    <mergeCell ref="A399:A414"/>
    <mergeCell ref="B403:E403"/>
    <mergeCell ref="B408:E408"/>
    <mergeCell ref="B413:E413"/>
    <mergeCell ref="B414:E414"/>
    <mergeCell ref="AH415:AR415"/>
    <mergeCell ref="F415:P415"/>
    <mergeCell ref="Q415:AB415"/>
    <mergeCell ref="AC415:AG415"/>
    <mergeCell ref="A415:E415"/>
    <mergeCell ref="A417:A432"/>
    <mergeCell ref="B421:E421"/>
    <mergeCell ref="B426:E426"/>
    <mergeCell ref="B431:E431"/>
    <mergeCell ref="B432:E432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16"/>
  <cols>
    <col collapsed="false" customWidth="true" hidden="false" max="3" min="3" style="0" width="11.211267605633802"/>
    <col collapsed="false" customWidth="true" hidden="false" max="5" min="5" style="0" width="11.211267605633802"/>
    <col collapsed="false" customWidth="true" hidden="false" max="25" min="25" style="0" width="12.762011377117924"/>
    <col collapsed="false" customWidth="true" hidden="false" max="45" min="45" style="0" width="11.211267605633802"/>
    <col collapsed="false" customWidth="true" hidden="false" max="2" min="2" style="0" width="11.211267605633802"/>
    <col collapsed="false" customWidth="true" hidden="false" max="4" min="4" style="0" width="11.211267605633802"/>
    <col collapsed="false" customWidth="true" hidden="false" max="8" min="8" style="0" width="11.211267605633802"/>
    <col collapsed="false" customWidth="true" hidden="false" max="24" min="24" style="0" width="12.987363489793982"/>
    <col collapsed="false" customWidth="true" hidden="false" max="44" min="44" style="0" width="11.211267605633802"/>
  </cols>
  <sheetData>
    <row r="1">
      <c r="A1" s="220"/>
      <c r="B1" s="220"/>
      <c r="C1" s="220"/>
      <c r="D1" s="220"/>
      <c r="E1" s="220"/>
      <c r="F1" s="221" t="s">
        <v>213</v>
      </c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2" t="s">
        <v>214</v>
      </c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3" t="s">
        <v>215</v>
      </c>
      <c r="AE1" s="223"/>
      <c r="AF1" s="223"/>
      <c r="AG1" s="223"/>
      <c r="AH1" s="223"/>
      <c r="AI1" s="224" t="s">
        <v>216</v>
      </c>
      <c r="AJ1" s="225"/>
      <c r="AK1" s="225"/>
      <c r="AL1" s="225"/>
      <c r="AM1" s="225"/>
      <c r="AN1" s="225"/>
      <c r="AO1" s="225"/>
      <c r="AP1" s="225"/>
      <c r="AQ1" s="225"/>
      <c r="AR1" s="225"/>
      <c r="AS1" s="225"/>
    </row>
    <row r="2">
      <c r="A2" s="226" t="s">
        <v>217</v>
      </c>
      <c r="B2" s="227" t="s">
        <v>218</v>
      </c>
      <c r="C2" s="227" t="s">
        <v>219</v>
      </c>
      <c r="D2" s="228" t="s">
        <v>220</v>
      </c>
      <c r="E2" s="229" t="s">
        <v>221</v>
      </c>
      <c r="F2" s="230" t="s">
        <v>222</v>
      </c>
      <c r="G2" s="231" t="s">
        <v>223</v>
      </c>
      <c r="H2" s="232" t="s">
        <v>224</v>
      </c>
      <c r="I2" s="231" t="s">
        <v>225</v>
      </c>
      <c r="J2" s="233" t="s">
        <v>226</v>
      </c>
      <c r="K2" s="233" t="s">
        <v>227</v>
      </c>
      <c r="L2" s="231" t="s">
        <v>228</v>
      </c>
      <c r="M2" s="234" t="s">
        <v>229</v>
      </c>
      <c r="N2" s="235" t="s">
        <v>230</v>
      </c>
      <c r="O2" s="236" t="s">
        <v>231</v>
      </c>
      <c r="P2" s="236" t="s">
        <v>232</v>
      </c>
      <c r="Q2" s="237" t="s">
        <v>233</v>
      </c>
      <c r="R2" s="222" t="s">
        <v>234</v>
      </c>
      <c r="S2" s="238" t="s">
        <v>235</v>
      </c>
      <c r="T2" s="238" t="s">
        <v>236</v>
      </c>
      <c r="U2" s="238" t="s">
        <v>237</v>
      </c>
      <c r="V2" s="239" t="s">
        <v>238</v>
      </c>
      <c r="W2" s="239" t="s">
        <v>239</v>
      </c>
      <c r="X2" s="239" t="s">
        <v>240</v>
      </c>
      <c r="Y2" s="239" t="s">
        <v>241</v>
      </c>
      <c r="Z2" s="239" t="s">
        <v>242</v>
      </c>
      <c r="AA2" s="239" t="s">
        <v>243</v>
      </c>
      <c r="AB2" s="240" t="s">
        <v>244</v>
      </c>
      <c r="AC2" s="240" t="s">
        <v>245</v>
      </c>
      <c r="AD2" s="223" t="s">
        <v>246</v>
      </c>
      <c r="AE2" s="241" t="s">
        <v>247</v>
      </c>
      <c r="AF2" s="223" t="s">
        <v>248</v>
      </c>
      <c r="AG2" s="241" t="s">
        <v>249</v>
      </c>
      <c r="AH2" s="241" t="s">
        <v>250</v>
      </c>
      <c r="AI2" s="242" t="s">
        <v>251</v>
      </c>
      <c r="AJ2" s="242" t="s">
        <v>252</v>
      </c>
      <c r="AK2" s="242" t="s">
        <v>253</v>
      </c>
      <c r="AL2" s="242" t="s">
        <v>254</v>
      </c>
      <c r="AM2" s="242" t="s">
        <v>255</v>
      </c>
      <c r="AN2" s="242" t="s">
        <v>256</v>
      </c>
      <c r="AO2" s="242" t="s">
        <v>257</v>
      </c>
      <c r="AP2" s="242" t="s">
        <v>258</v>
      </c>
      <c r="AQ2" s="242" t="s">
        <v>259</v>
      </c>
      <c r="AR2" s="242" t="s">
        <v>260</v>
      </c>
      <c r="AS2" s="243" t="s">
        <v>261</v>
      </c>
    </row>
    <row r="3">
      <c r="A3" s="244">
        <v>46248</v>
      </c>
      <c r="B3" s="245" t="s">
        <v>262</v>
      </c>
      <c r="C3" s="245" t="s">
        <v>263</v>
      </c>
      <c r="D3" s="246" t="s">
        <v>264</v>
      </c>
      <c r="E3" s="245" t="s">
        <v>265</v>
      </c>
      <c r="F3" s="247">
        <f t="shared" ref="F3:F5" si="5">G3+I3</f>
      </c>
      <c r="G3" s="248">
        <v>0</v>
      </c>
      <c r="H3" s="248"/>
      <c r="I3" s="248">
        <v>0.61</v>
      </c>
      <c r="J3" s="249">
        <v>0</v>
      </c>
      <c r="K3" s="249">
        <v>0</v>
      </c>
      <c r="L3" s="250">
        <v>0</v>
      </c>
      <c r="M3" s="251">
        <f t="shared" ref="M3:M214" si="0">AR3/K3</f>
      </c>
      <c r="N3" s="252">
        <f t="shared" ref="N3:N214" si="69">L3/K3</f>
      </c>
      <c r="O3" s="253">
        <f t="shared" ref="O3:O214" si="20">F3/K3</f>
      </c>
      <c r="P3" s="253">
        <f t="shared" ref="P3:P214" si="79">L3/F3</f>
      </c>
      <c r="Q3" s="253">
        <f t="shared" ref="Q3:Q214" si="74">L3/((300*AS3)+F3)</f>
      </c>
      <c r="R3" s="253">
        <f t="shared" ref="R3:R49" si="86">F3/AK3</f>
      </c>
      <c r="S3" s="253">
        <f t="shared" ref="S3:S49" si="82">F3/AL3</f>
      </c>
      <c r="T3" s="253">
        <f t="shared" ref="T3:T49" si="16">F3/AM3</f>
      </c>
      <c r="U3" s="253">
        <f t="shared" ref="U3:U49" si="1">F3/AN3</f>
      </c>
      <c r="V3" s="251">
        <f t="shared" ref="V3:V49" si="70">AJ3/AK3</f>
      </c>
      <c r="W3" s="251">
        <f t="shared" ref="W3:W49" si="21">AL3/AK3</f>
      </c>
      <c r="X3" s="251">
        <f t="shared" ref="X3:X49" si="23">AM3/AL3</f>
      </c>
      <c r="Y3" s="251">
        <f t="shared" ref="Y3:Y49" si="25">AN3/AM3</f>
      </c>
      <c r="Z3" s="251">
        <f t="shared" ref="Z3:Z49" si="80">AJ3/AI3</f>
      </c>
      <c r="AA3" s="251">
        <f t="shared" ref="AA3:AA49" si="75">AN3/AJ3</f>
      </c>
      <c r="AB3" s="252">
        <f t="shared" ref="AB3:AB49" si="88">F3/AI3*1000</f>
      </c>
      <c r="AC3" s="252">
        <f t="shared" ref="AC3:AC49" si="84">F3/AJ3</f>
      </c>
      <c r="AD3" s="252">
        <f t="shared" ref="AD3:AD49" si="3">F3/AO3</f>
      </c>
      <c r="AE3" s="251">
        <f t="shared" ref="AE3:AE49" si="90">AO3/AK3</f>
      </c>
      <c r="AF3" s="252">
        <f t="shared" ref="AF3:AF49" si="27">F3/AP3</f>
      </c>
      <c r="AG3" s="251">
        <f t="shared" ref="AG3:AG49" si="18">AP3/AK3</f>
      </c>
      <c r="AH3" s="251">
        <f t="shared" ref="AH3:AH49" si="77">AQ3/AK3</f>
      </c>
      <c r="AI3" s="254">
        <v>24</v>
      </c>
      <c r="AJ3" s="254">
        <v>5</v>
      </c>
      <c r="AK3" s="254">
        <v>5</v>
      </c>
      <c r="AL3" s="254">
        <v>0</v>
      </c>
      <c r="AM3" s="254">
        <v>0</v>
      </c>
      <c r="AN3" s="254">
        <v>0</v>
      </c>
      <c r="AO3" s="254">
        <v>0</v>
      </c>
      <c r="AP3" s="254">
        <v>0</v>
      </c>
      <c r="AQ3" s="254">
        <v>0</v>
      </c>
      <c r="AR3" s="249">
        <v>0</v>
      </c>
      <c r="AS3" s="255">
        <f t="shared" ref="AS3:AS5" si="72">COUNT(AR3)</f>
      </c>
    </row>
    <row r="4">
      <c r="A4" s="256"/>
      <c r="B4" s="245" t="s">
        <v>262</v>
      </c>
      <c r="C4" s="245" t="s">
        <v>263</v>
      </c>
      <c r="D4" s="246" t="s">
        <v>264</v>
      </c>
      <c r="E4" s="245" t="s">
        <v>266</v>
      </c>
      <c r="F4" s="247">
        <f t="shared" si="5"/>
      </c>
      <c r="G4" s="248">
        <v>0</v>
      </c>
      <c r="H4" s="248"/>
      <c r="I4" s="248">
        <v>0.87</v>
      </c>
      <c r="J4" s="249">
        <v>0</v>
      </c>
      <c r="K4" s="249">
        <v>0</v>
      </c>
      <c r="L4" s="250">
        <v>0</v>
      </c>
      <c r="M4" s="251">
        <f t="shared" si="0"/>
      </c>
      <c r="N4" s="252">
        <f t="shared" si="69"/>
      </c>
      <c r="O4" s="253">
        <f t="shared" si="20"/>
      </c>
      <c r="P4" s="253">
        <f t="shared" si="79"/>
      </c>
      <c r="Q4" s="253">
        <f t="shared" si="74"/>
      </c>
      <c r="R4" s="253">
        <f t="shared" si="86"/>
      </c>
      <c r="S4" s="253">
        <f t="shared" si="82"/>
      </c>
      <c r="T4" s="253">
        <f t="shared" si="16"/>
      </c>
      <c r="U4" s="253">
        <f t="shared" si="1"/>
      </c>
      <c r="V4" s="251">
        <f t="shared" si="70"/>
      </c>
      <c r="W4" s="251">
        <f t="shared" si="21"/>
      </c>
      <c r="X4" s="251">
        <f t="shared" si="23"/>
      </c>
      <c r="Y4" s="251">
        <f t="shared" si="25"/>
      </c>
      <c r="Z4" s="251">
        <f t="shared" si="80"/>
      </c>
      <c r="AA4" s="251">
        <f t="shared" si="75"/>
      </c>
      <c r="AB4" s="252">
        <f t="shared" si="88"/>
      </c>
      <c r="AC4" s="252">
        <f t="shared" si="84"/>
      </c>
      <c r="AD4" s="252">
        <f t="shared" si="3"/>
      </c>
      <c r="AE4" s="251">
        <f t="shared" si="90"/>
      </c>
      <c r="AF4" s="252">
        <f t="shared" si="27"/>
      </c>
      <c r="AG4" s="251">
        <f t="shared" si="18"/>
      </c>
      <c r="AH4" s="251">
        <f t="shared" si="77"/>
      </c>
      <c r="AI4" s="254">
        <v>16</v>
      </c>
      <c r="AJ4" s="254">
        <v>6</v>
      </c>
      <c r="AK4" s="254">
        <v>8</v>
      </c>
      <c r="AL4" s="254">
        <v>0</v>
      </c>
      <c r="AM4" s="254">
        <v>0</v>
      </c>
      <c r="AN4" s="254">
        <v>0</v>
      </c>
      <c r="AO4" s="254">
        <v>0</v>
      </c>
      <c r="AP4" s="254">
        <v>0</v>
      </c>
      <c r="AQ4" s="254">
        <v>0</v>
      </c>
      <c r="AR4" s="249">
        <v>0</v>
      </c>
      <c r="AS4" s="255">
        <f t="shared" si="72"/>
      </c>
    </row>
    <row r="5">
      <c r="A5" s="256"/>
      <c r="B5" s="245" t="s">
        <v>262</v>
      </c>
      <c r="C5" s="245" t="s">
        <v>263</v>
      </c>
      <c r="D5" s="246" t="s">
        <v>264</v>
      </c>
      <c r="E5" s="245" t="s">
        <v>267</v>
      </c>
      <c r="F5" s="247">
        <f t="shared" si="5"/>
      </c>
      <c r="G5" s="248">
        <v>0.61</v>
      </c>
      <c r="H5" s="248"/>
      <c r="I5" s="248">
        <v>0.9</v>
      </c>
      <c r="J5" s="249">
        <v>0</v>
      </c>
      <c r="K5" s="249">
        <v>0</v>
      </c>
      <c r="L5" s="250">
        <v>0</v>
      </c>
      <c r="M5" s="251">
        <f t="shared" si="0"/>
      </c>
      <c r="N5" s="252">
        <f t="shared" si="69"/>
      </c>
      <c r="O5" s="253">
        <f t="shared" si="20"/>
      </c>
      <c r="P5" s="253">
        <f t="shared" si="79"/>
      </c>
      <c r="Q5" s="253">
        <f t="shared" si="74"/>
      </c>
      <c r="R5" s="253">
        <f t="shared" si="86"/>
      </c>
      <c r="S5" s="253">
        <f t="shared" si="82"/>
      </c>
      <c r="T5" s="253">
        <f t="shared" si="16"/>
      </c>
      <c r="U5" s="253">
        <f t="shared" si="1"/>
      </c>
      <c r="V5" s="251">
        <f t="shared" si="70"/>
      </c>
      <c r="W5" s="251">
        <f t="shared" si="21"/>
      </c>
      <c r="X5" s="251">
        <f t="shared" si="23"/>
      </c>
      <c r="Y5" s="251">
        <f t="shared" si="25"/>
      </c>
      <c r="Z5" s="251">
        <f t="shared" si="80"/>
      </c>
      <c r="AA5" s="251">
        <f t="shared" si="75"/>
      </c>
      <c r="AB5" s="252">
        <f t="shared" si="88"/>
      </c>
      <c r="AC5" s="252">
        <f t="shared" si="84"/>
      </c>
      <c r="AD5" s="252">
        <f t="shared" si="3"/>
      </c>
      <c r="AE5" s="251">
        <f t="shared" si="90"/>
      </c>
      <c r="AF5" s="252">
        <f t="shared" si="27"/>
      </c>
      <c r="AG5" s="251">
        <f t="shared" si="18"/>
      </c>
      <c r="AH5" s="251">
        <f t="shared" si="77"/>
      </c>
      <c r="AI5" s="254">
        <v>50</v>
      </c>
      <c r="AJ5" s="254">
        <v>20</v>
      </c>
      <c r="AK5" s="254">
        <v>21</v>
      </c>
      <c r="AL5" s="254">
        <v>1</v>
      </c>
      <c r="AM5" s="254">
        <v>0</v>
      </c>
      <c r="AN5" s="254">
        <v>0</v>
      </c>
      <c r="AO5" s="254">
        <v>0</v>
      </c>
      <c r="AP5" s="254">
        <v>0</v>
      </c>
      <c r="AQ5" s="254">
        <v>0</v>
      </c>
      <c r="AR5" s="254">
        <v>0</v>
      </c>
      <c r="AS5" s="255">
        <f t="shared" si="72"/>
      </c>
    </row>
    <row r="6">
      <c r="A6" s="256"/>
      <c r="B6" s="257" t="s">
        <v>268</v>
      </c>
      <c r="C6" s="257"/>
      <c r="D6" s="257"/>
      <c r="E6" s="257"/>
      <c r="F6" s="258">
        <f>SUM(F3:F5)</f>
      </c>
      <c r="G6" s="258">
        <f>SUM(G3:G5)</f>
      </c>
      <c r="H6" s="258"/>
      <c r="I6" s="258">
        <f>SUM(I3:I5)</f>
      </c>
      <c r="J6" s="259">
        <f>SUM(J3:J5)</f>
      </c>
      <c r="K6" s="259">
        <f>SUM(K3:K5)</f>
      </c>
      <c r="L6" s="258">
        <f>SUM(L3:L5)</f>
      </c>
      <c r="M6" s="260">
        <f t="shared" si="0"/>
      </c>
      <c r="N6" s="261">
        <f t="shared" si="69"/>
      </c>
      <c r="O6" s="262">
        <f t="shared" si="20"/>
      </c>
      <c r="P6" s="262">
        <f t="shared" si="79"/>
      </c>
      <c r="Q6" s="262">
        <f t="shared" si="74"/>
      </c>
      <c r="R6" s="262">
        <f t="shared" si="86"/>
      </c>
      <c r="S6" s="262">
        <f t="shared" si="82"/>
      </c>
      <c r="T6" s="262">
        <f t="shared" si="16"/>
      </c>
      <c r="U6" s="262">
        <f t="shared" si="1"/>
      </c>
      <c r="V6" s="260">
        <f t="shared" si="70"/>
      </c>
      <c r="W6" s="260">
        <f t="shared" si="21"/>
      </c>
      <c r="X6" s="260">
        <f t="shared" si="23"/>
      </c>
      <c r="Y6" s="260">
        <f t="shared" si="25"/>
      </c>
      <c r="Z6" s="260">
        <f t="shared" si="80"/>
      </c>
      <c r="AA6" s="260">
        <f t="shared" si="75"/>
      </c>
      <c r="AB6" s="261">
        <f t="shared" si="88"/>
      </c>
      <c r="AC6" s="261">
        <f t="shared" si="84"/>
      </c>
      <c r="AD6" s="261">
        <f t="shared" si="3"/>
      </c>
      <c r="AE6" s="260">
        <f t="shared" si="90"/>
      </c>
      <c r="AF6" s="261">
        <f t="shared" si="27"/>
      </c>
      <c r="AG6" s="260">
        <f t="shared" si="18"/>
      </c>
      <c r="AH6" s="260">
        <f t="shared" si="77"/>
      </c>
      <c r="AI6" s="259">
        <f>SUM(AI3:AI5)</f>
      </c>
      <c r="AJ6" s="259">
        <f>SUM(AJ3:AJ5)</f>
      </c>
      <c r="AK6" s="259">
        <f>SUM(AK3:AK5)</f>
      </c>
      <c r="AL6" s="259">
        <f>SUM(AL3:AL5)</f>
      </c>
      <c r="AM6" s="259">
        <f>SUM(AM3:AM5)</f>
      </c>
      <c r="AN6" s="259">
        <f>SUM(AN3:AN5)</f>
      </c>
      <c r="AO6" s="259">
        <f>SUM(AO3:AO5)</f>
      </c>
      <c r="AP6" s="259">
        <f>SUM(AP3:AP5)</f>
      </c>
      <c r="AQ6" s="259">
        <f>SUM(AQ3:AQ5)</f>
      </c>
      <c r="AR6" s="259">
        <f>SUM(AR3:AR5)</f>
      </c>
      <c r="AS6" s="263">
        <f>SUM(AS3:AS5)</f>
      </c>
    </row>
    <row r="7">
      <c r="A7" s="256"/>
      <c r="B7" s="245" t="s">
        <v>262</v>
      </c>
      <c r="C7" s="245" t="s">
        <v>263</v>
      </c>
      <c r="D7" s="246" t="s">
        <v>269</v>
      </c>
      <c r="E7" s="245" t="s">
        <v>270</v>
      </c>
      <c r="F7" s="247">
        <f t="shared" ref="F7:F9" si="6">G7+I7</f>
      </c>
      <c r="G7" s="248">
        <v>1.21</v>
      </c>
      <c r="H7" s="248"/>
      <c r="I7" s="248">
        <v>2</v>
      </c>
      <c r="J7" s="249">
        <v>0</v>
      </c>
      <c r="K7" s="249">
        <v>0</v>
      </c>
      <c r="L7" s="250">
        <v>0</v>
      </c>
      <c r="M7" s="251">
        <f t="shared" si="0"/>
      </c>
      <c r="N7" s="252">
        <f t="shared" si="69"/>
      </c>
      <c r="O7" s="253">
        <f t="shared" si="20"/>
      </c>
      <c r="P7" s="253">
        <f t="shared" si="79"/>
      </c>
      <c r="Q7" s="253">
        <f t="shared" si="74"/>
      </c>
      <c r="R7" s="253">
        <f t="shared" si="86"/>
      </c>
      <c r="S7" s="253">
        <f t="shared" si="82"/>
      </c>
      <c r="T7" s="253">
        <f t="shared" si="16"/>
      </c>
      <c r="U7" s="253">
        <f t="shared" si="1"/>
      </c>
      <c r="V7" s="251">
        <f t="shared" si="70"/>
      </c>
      <c r="W7" s="251">
        <f t="shared" si="21"/>
      </c>
      <c r="X7" s="251">
        <f t="shared" si="23"/>
      </c>
      <c r="Y7" s="251">
        <f t="shared" si="25"/>
      </c>
      <c r="Z7" s="251">
        <f t="shared" si="80"/>
      </c>
      <c r="AA7" s="251">
        <f t="shared" si="75"/>
      </c>
      <c r="AB7" s="252">
        <f t="shared" si="88"/>
      </c>
      <c r="AC7" s="252">
        <f t="shared" si="84"/>
      </c>
      <c r="AD7" s="252">
        <f t="shared" si="3"/>
      </c>
      <c r="AE7" s="251">
        <f t="shared" si="90"/>
      </c>
      <c r="AF7" s="252">
        <f t="shared" si="27"/>
      </c>
      <c r="AG7" s="251">
        <f t="shared" si="18"/>
      </c>
      <c r="AH7" s="251">
        <f t="shared" si="77"/>
      </c>
      <c r="AI7" s="254">
        <v>112</v>
      </c>
      <c r="AJ7" s="254">
        <v>26</v>
      </c>
      <c r="AK7" s="254">
        <v>28</v>
      </c>
      <c r="AL7" s="254">
        <v>1</v>
      </c>
      <c r="AM7" s="254">
        <v>0</v>
      </c>
      <c r="AN7" s="254">
        <v>0</v>
      </c>
      <c r="AO7" s="254">
        <v>0</v>
      </c>
      <c r="AP7" s="254">
        <v>0</v>
      </c>
      <c r="AQ7" s="254">
        <v>0</v>
      </c>
      <c r="AR7" s="254">
        <v>0</v>
      </c>
      <c r="AS7" s="255">
        <f t="shared" ref="AS7:AS9" si="73">COUNT(AR7)</f>
      </c>
    </row>
    <row r="8">
      <c r="A8" s="256"/>
      <c r="B8" s="245" t="s">
        <v>262</v>
      </c>
      <c r="C8" s="245" t="s">
        <v>263</v>
      </c>
      <c r="D8" s="246" t="s">
        <v>269</v>
      </c>
      <c r="E8" s="245" t="s">
        <v>271</v>
      </c>
      <c r="F8" s="247">
        <f t="shared" si="6"/>
      </c>
      <c r="G8" s="248">
        <v>4.43</v>
      </c>
      <c r="H8" s="248"/>
      <c r="I8" s="248">
        <v>18.01</v>
      </c>
      <c r="J8" s="249">
        <v>0</v>
      </c>
      <c r="K8" s="249">
        <v>0</v>
      </c>
      <c r="L8" s="250">
        <v>0</v>
      </c>
      <c r="M8" s="251">
        <f t="shared" si="0"/>
      </c>
      <c r="N8" s="252">
        <f t="shared" si="69"/>
      </c>
      <c r="O8" s="253">
        <f t="shared" si="20"/>
      </c>
      <c r="P8" s="253">
        <f t="shared" si="79"/>
      </c>
      <c r="Q8" s="253">
        <f t="shared" si="74"/>
      </c>
      <c r="R8" s="253">
        <f t="shared" si="86"/>
      </c>
      <c r="S8" s="253">
        <f t="shared" si="82"/>
      </c>
      <c r="T8" s="253">
        <f t="shared" si="16"/>
      </c>
      <c r="U8" s="253">
        <f t="shared" si="1"/>
      </c>
      <c r="V8" s="251">
        <f t="shared" si="70"/>
      </c>
      <c r="W8" s="251">
        <f t="shared" si="21"/>
      </c>
      <c r="X8" s="251">
        <f t="shared" si="23"/>
      </c>
      <c r="Y8" s="251">
        <f t="shared" si="25"/>
      </c>
      <c r="Z8" s="251">
        <f t="shared" si="80"/>
      </c>
      <c r="AA8" s="251">
        <f t="shared" si="75"/>
      </c>
      <c r="AB8" s="252">
        <f t="shared" si="88"/>
      </c>
      <c r="AC8" s="252">
        <f t="shared" si="84"/>
      </c>
      <c r="AD8" s="252">
        <f t="shared" si="3"/>
      </c>
      <c r="AE8" s="251">
        <f t="shared" si="90"/>
      </c>
      <c r="AF8" s="252">
        <f t="shared" si="27"/>
      </c>
      <c r="AG8" s="251">
        <f t="shared" si="18"/>
      </c>
      <c r="AH8" s="251">
        <f t="shared" si="77"/>
      </c>
      <c r="AI8" s="254">
        <v>238</v>
      </c>
      <c r="AJ8" s="254">
        <v>39</v>
      </c>
      <c r="AK8" s="254">
        <v>57</v>
      </c>
      <c r="AL8" s="254">
        <v>2</v>
      </c>
      <c r="AM8" s="254">
        <v>0</v>
      </c>
      <c r="AN8" s="254">
        <v>0</v>
      </c>
      <c r="AO8" s="254">
        <v>4</v>
      </c>
      <c r="AP8" s="254">
        <v>0</v>
      </c>
      <c r="AQ8" s="254">
        <v>0</v>
      </c>
      <c r="AR8" s="254">
        <v>0</v>
      </c>
      <c r="AS8" s="255">
        <f t="shared" si="73"/>
      </c>
    </row>
    <row r="9">
      <c r="A9" s="256"/>
      <c r="B9" s="245" t="s">
        <v>262</v>
      </c>
      <c r="C9" s="245" t="s">
        <v>263</v>
      </c>
      <c r="D9" s="246" t="s">
        <v>269</v>
      </c>
      <c r="E9" s="246" t="s">
        <v>272</v>
      </c>
      <c r="F9" s="247">
        <f t="shared" si="6"/>
      </c>
      <c r="G9" s="248">
        <v>31.15</v>
      </c>
      <c r="H9" s="248"/>
      <c r="I9" s="248">
        <v>44.99</v>
      </c>
      <c r="J9" s="249">
        <v>0</v>
      </c>
      <c r="K9" s="249">
        <v>0</v>
      </c>
      <c r="L9" s="250">
        <v>0</v>
      </c>
      <c r="M9" s="251">
        <f t="shared" si="0"/>
      </c>
      <c r="N9" s="252">
        <f t="shared" si="69"/>
      </c>
      <c r="O9" s="253">
        <f t="shared" si="20"/>
      </c>
      <c r="P9" s="253">
        <f t="shared" si="79"/>
      </c>
      <c r="Q9" s="253">
        <f t="shared" si="74"/>
      </c>
      <c r="R9" s="253">
        <f t="shared" si="86"/>
      </c>
      <c r="S9" s="253">
        <f t="shared" si="82"/>
      </c>
      <c r="T9" s="253">
        <f t="shared" si="16"/>
      </c>
      <c r="U9" s="253">
        <f t="shared" si="1"/>
      </c>
      <c r="V9" s="251">
        <f t="shared" si="70"/>
      </c>
      <c r="W9" s="251">
        <f t="shared" si="21"/>
      </c>
      <c r="X9" s="251">
        <f t="shared" si="23"/>
      </c>
      <c r="Y9" s="251">
        <f t="shared" si="25"/>
      </c>
      <c r="Z9" s="251">
        <f t="shared" si="80"/>
      </c>
      <c r="AA9" s="251">
        <f t="shared" si="75"/>
      </c>
      <c r="AB9" s="252">
        <f t="shared" si="88"/>
      </c>
      <c r="AC9" s="252">
        <f t="shared" si="84"/>
      </c>
      <c r="AD9" s="252">
        <f t="shared" si="3"/>
      </c>
      <c r="AE9" s="251">
        <f t="shared" si="90"/>
      </c>
      <c r="AF9" s="252">
        <f t="shared" si="27"/>
      </c>
      <c r="AG9" s="251">
        <f t="shared" si="18"/>
      </c>
      <c r="AH9" s="251">
        <f t="shared" si="77"/>
      </c>
      <c r="AI9" s="254">
        <v>316</v>
      </c>
      <c r="AJ9" s="254">
        <v>34</v>
      </c>
      <c r="AK9" s="254">
        <v>49</v>
      </c>
      <c r="AL9" s="254">
        <v>3</v>
      </c>
      <c r="AM9" s="254">
        <v>0</v>
      </c>
      <c r="AN9" s="254">
        <v>0</v>
      </c>
      <c r="AO9" s="254">
        <v>6</v>
      </c>
      <c r="AP9" s="254">
        <v>0</v>
      </c>
      <c r="AQ9" s="254">
        <v>0</v>
      </c>
      <c r="AR9" s="254">
        <v>0</v>
      </c>
      <c r="AS9" s="255">
        <f t="shared" si="73"/>
      </c>
    </row>
    <row r="10">
      <c r="A10" s="256"/>
      <c r="B10" s="257" t="s">
        <v>268</v>
      </c>
      <c r="C10" s="257"/>
      <c r="D10" s="257"/>
      <c r="E10" s="257"/>
      <c r="F10" s="258">
        <f>SUM(F7:F9)</f>
      </c>
      <c r="G10" s="258">
        <f>SUM(G7:G9)</f>
      </c>
      <c r="H10" s="258"/>
      <c r="I10" s="258">
        <f>SUM(I7:I9)</f>
      </c>
      <c r="J10" s="259">
        <f>SUM(J7:J9)</f>
      </c>
      <c r="K10" s="259">
        <f>SUM(K7:K9)</f>
      </c>
      <c r="L10" s="258">
        <f>SUM(L7:L9)</f>
      </c>
      <c r="M10" s="260">
        <f t="shared" si="0"/>
      </c>
      <c r="N10" s="261">
        <f t="shared" si="69"/>
      </c>
      <c r="O10" s="262">
        <f t="shared" si="20"/>
      </c>
      <c r="P10" s="262">
        <f t="shared" si="79"/>
      </c>
      <c r="Q10" s="262">
        <f t="shared" si="74"/>
      </c>
      <c r="R10" s="262">
        <f t="shared" si="86"/>
      </c>
      <c r="S10" s="262">
        <f t="shared" si="82"/>
      </c>
      <c r="T10" s="262">
        <f t="shared" si="16"/>
      </c>
      <c r="U10" s="262">
        <f t="shared" si="1"/>
      </c>
      <c r="V10" s="260">
        <f t="shared" si="70"/>
      </c>
      <c r="W10" s="260">
        <f t="shared" si="21"/>
      </c>
      <c r="X10" s="260">
        <f t="shared" si="23"/>
      </c>
      <c r="Y10" s="260">
        <f t="shared" si="25"/>
      </c>
      <c r="Z10" s="260">
        <f t="shared" si="80"/>
      </c>
      <c r="AA10" s="260">
        <f t="shared" si="75"/>
      </c>
      <c r="AB10" s="261">
        <f t="shared" si="88"/>
      </c>
      <c r="AC10" s="261">
        <f t="shared" si="84"/>
      </c>
      <c r="AD10" s="261">
        <f t="shared" si="3"/>
      </c>
      <c r="AE10" s="260">
        <f t="shared" si="90"/>
      </c>
      <c r="AF10" s="261">
        <f t="shared" si="27"/>
      </c>
      <c r="AG10" s="260">
        <f t="shared" si="18"/>
      </c>
      <c r="AH10" s="260">
        <f t="shared" si="77"/>
      </c>
      <c r="AI10" s="259">
        <f>SUM(AI7:AI9)</f>
      </c>
      <c r="AJ10" s="259">
        <f>SUM(AJ7:AJ9)</f>
      </c>
      <c r="AK10" s="259">
        <f>SUM(AK7:AK9)</f>
      </c>
      <c r="AL10" s="259">
        <f>SUM(AL7:AL9)</f>
      </c>
      <c r="AM10" s="259">
        <f>SUM(AM7:AM9)</f>
      </c>
      <c r="AN10" s="259">
        <f>SUM(AN7:AN9)</f>
      </c>
      <c r="AO10" s="259">
        <f>SUM(AO7:AO9)</f>
      </c>
      <c r="AP10" s="259">
        <f>SUM(AP7:AP9)</f>
      </c>
      <c r="AQ10" s="259">
        <f>SUM(AQ7:AQ9)</f>
      </c>
      <c r="AR10" s="259">
        <f>SUM(AR7:AR9)</f>
      </c>
      <c r="AS10" s="263">
        <f>SUM(AS7:AS9)</f>
      </c>
    </row>
    <row r="11">
      <c r="A11" s="256"/>
      <c r="B11" s="264" t="s">
        <v>273</v>
      </c>
      <c r="C11" s="264"/>
      <c r="D11" s="264"/>
      <c r="E11" s="264"/>
      <c r="F11" s="265">
        <f t="shared" ref="F11:F14" si="7">G11+I11</f>
      </c>
      <c r="G11" s="265">
        <f>G6+G10</f>
      </c>
      <c r="H11" s="265"/>
      <c r="I11" s="265">
        <f>I6+I10</f>
      </c>
      <c r="J11" s="266">
        <f>J6+J10</f>
      </c>
      <c r="K11" s="266">
        <f>K6+K10</f>
      </c>
      <c r="L11" s="265">
        <f>L6+L10</f>
      </c>
      <c r="M11" s="267">
        <f t="shared" si="0"/>
      </c>
      <c r="N11" s="268">
        <f t="shared" si="69"/>
      </c>
      <c r="O11" s="269">
        <f t="shared" si="20"/>
      </c>
      <c r="P11" s="269">
        <f t="shared" si="79"/>
      </c>
      <c r="Q11" s="269">
        <f t="shared" si="74"/>
      </c>
      <c r="R11" s="269">
        <f t="shared" si="86"/>
      </c>
      <c r="S11" s="269">
        <f t="shared" si="82"/>
      </c>
      <c r="T11" s="269">
        <f t="shared" si="16"/>
      </c>
      <c r="U11" s="269">
        <f t="shared" si="1"/>
      </c>
      <c r="V11" s="267">
        <f t="shared" si="70"/>
      </c>
      <c r="W11" s="267">
        <f t="shared" si="21"/>
      </c>
      <c r="X11" s="267">
        <f t="shared" si="23"/>
      </c>
      <c r="Y11" s="267">
        <f t="shared" si="25"/>
      </c>
      <c r="Z11" s="267">
        <f t="shared" si="80"/>
      </c>
      <c r="AA11" s="267">
        <f t="shared" si="75"/>
      </c>
      <c r="AB11" s="268">
        <f t="shared" si="88"/>
      </c>
      <c r="AC11" s="268">
        <f t="shared" si="84"/>
      </c>
      <c r="AD11" s="268">
        <f t="shared" si="3"/>
      </c>
      <c r="AE11" s="267">
        <f t="shared" si="90"/>
      </c>
      <c r="AF11" s="268">
        <f t="shared" si="27"/>
      </c>
      <c r="AG11" s="267">
        <f t="shared" si="18"/>
      </c>
      <c r="AH11" s="267">
        <f t="shared" si="77"/>
      </c>
      <c r="AI11" s="270">
        <f>AI6+AI10</f>
      </c>
      <c r="AJ11" s="270">
        <f>AJ6+AJ10</f>
      </c>
      <c r="AK11" s="270">
        <f>AK6+AK10</f>
      </c>
      <c r="AL11" s="270">
        <f>AL6+AL10</f>
      </c>
      <c r="AM11" s="270">
        <f>AM6+AM10</f>
      </c>
      <c r="AN11" s="270">
        <f>AN6+AN10</f>
      </c>
      <c r="AO11" s="270">
        <f>AO6+AO10</f>
      </c>
      <c r="AP11" s="270">
        <f>AP6+AP10</f>
      </c>
      <c r="AQ11" s="270">
        <f>AQ6+AQ10</f>
      </c>
      <c r="AR11" s="270">
        <f>AR6+AR10</f>
      </c>
      <c r="AS11" s="263">
        <f>AS6+AS10</f>
      </c>
    </row>
    <row r="12">
      <c r="A12" s="244">
        <v>46249</v>
      </c>
      <c r="B12" s="245" t="s">
        <v>262</v>
      </c>
      <c r="C12" s="245" t="s">
        <v>263</v>
      </c>
      <c r="D12" s="246" t="s">
        <v>264</v>
      </c>
      <c r="E12" s="246" t="s">
        <v>274</v>
      </c>
      <c r="F12" s="247">
        <f t="shared" si="7"/>
      </c>
      <c r="G12" s="248">
        <v>16.27</v>
      </c>
      <c r="H12" s="248"/>
      <c r="I12" s="248">
        <v>43.03</v>
      </c>
      <c r="J12" s="249">
        <v>0</v>
      </c>
      <c r="K12" s="249">
        <v>0</v>
      </c>
      <c r="L12" s="250">
        <v>0</v>
      </c>
      <c r="M12" s="251">
        <f t="shared" si="0"/>
      </c>
      <c r="N12" s="252">
        <f t="shared" si="69"/>
      </c>
      <c r="O12" s="253">
        <f t="shared" si="20"/>
      </c>
      <c r="P12" s="253">
        <f t="shared" si="79"/>
      </c>
      <c r="Q12" s="253">
        <f t="shared" si="74"/>
      </c>
      <c r="R12" s="253">
        <f t="shared" si="86"/>
      </c>
      <c r="S12" s="253">
        <f t="shared" si="82"/>
      </c>
      <c r="T12" s="253">
        <f t="shared" si="16"/>
      </c>
      <c r="U12" s="253">
        <f t="shared" si="1"/>
      </c>
      <c r="V12" s="251">
        <f t="shared" si="70"/>
      </c>
      <c r="W12" s="251">
        <f t="shared" si="21"/>
      </c>
      <c r="X12" s="251">
        <f t="shared" si="23"/>
      </c>
      <c r="Y12" s="251">
        <f t="shared" si="25"/>
      </c>
      <c r="Z12" s="251">
        <f t="shared" si="80"/>
      </c>
      <c r="AA12" s="251">
        <f t="shared" si="75"/>
      </c>
      <c r="AB12" s="252">
        <f t="shared" si="88"/>
      </c>
      <c r="AC12" s="252">
        <f t="shared" si="84"/>
      </c>
      <c r="AD12" s="252">
        <f t="shared" si="3"/>
      </c>
      <c r="AE12" s="251">
        <f t="shared" si="90"/>
      </c>
      <c r="AF12" s="252">
        <f t="shared" si="27"/>
      </c>
      <c r="AG12" s="251">
        <f t="shared" si="18"/>
      </c>
      <c r="AH12" s="251">
        <f t="shared" si="77"/>
      </c>
      <c r="AI12" s="254">
        <v>372</v>
      </c>
      <c r="AJ12" s="254">
        <v>60</v>
      </c>
      <c r="AK12" s="254">
        <v>93</v>
      </c>
      <c r="AL12" s="254">
        <v>4</v>
      </c>
      <c r="AM12" s="254">
        <v>0</v>
      </c>
      <c r="AN12" s="254">
        <v>0</v>
      </c>
      <c r="AO12" s="254">
        <v>17</v>
      </c>
      <c r="AP12" s="254">
        <v>8</v>
      </c>
      <c r="AQ12" s="254">
        <v>1</v>
      </c>
      <c r="AR12" s="249">
        <v>0</v>
      </c>
      <c r="AS12" s="271">
        <v>1</v>
      </c>
    </row>
    <row r="13">
      <c r="A13" s="244"/>
      <c r="B13" s="245" t="s">
        <v>262</v>
      </c>
      <c r="C13" s="245" t="s">
        <v>263</v>
      </c>
      <c r="D13" s="246" t="s">
        <v>264</v>
      </c>
      <c r="E13" s="246" t="s">
        <v>275</v>
      </c>
      <c r="F13" s="247">
        <f t="shared" si="7"/>
      </c>
      <c r="G13" s="272">
        <v>9.41</v>
      </c>
      <c r="H13" s="272"/>
      <c r="I13" s="248">
        <v>56.37</v>
      </c>
      <c r="J13" s="249">
        <v>0</v>
      </c>
      <c r="K13" s="249">
        <v>0</v>
      </c>
      <c r="L13" s="250">
        <v>0</v>
      </c>
      <c r="M13" s="251">
        <f t="shared" si="0"/>
      </c>
      <c r="N13" s="252">
        <f t="shared" si="69"/>
      </c>
      <c r="O13" s="253">
        <f t="shared" si="20"/>
      </c>
      <c r="P13" s="253">
        <f t="shared" si="79"/>
      </c>
      <c r="Q13" s="253">
        <f t="shared" si="74"/>
      </c>
      <c r="R13" s="253">
        <f t="shared" si="86"/>
      </c>
      <c r="S13" s="253">
        <f t="shared" si="82"/>
      </c>
      <c r="T13" s="253">
        <f t="shared" si="16"/>
      </c>
      <c r="U13" s="253">
        <f t="shared" si="1"/>
      </c>
      <c r="V13" s="251">
        <f t="shared" si="70"/>
      </c>
      <c r="W13" s="251">
        <f t="shared" si="21"/>
      </c>
      <c r="X13" s="251">
        <f t="shared" si="23"/>
      </c>
      <c r="Y13" s="251">
        <f t="shared" si="25"/>
      </c>
      <c r="Z13" s="251">
        <f t="shared" si="80"/>
      </c>
      <c r="AA13" s="251">
        <f t="shared" si="75"/>
      </c>
      <c r="AB13" s="252">
        <f t="shared" si="88"/>
      </c>
      <c r="AC13" s="252">
        <f t="shared" si="84"/>
      </c>
      <c r="AD13" s="252">
        <f t="shared" si="3"/>
      </c>
      <c r="AE13" s="251">
        <f t="shared" si="90"/>
      </c>
      <c r="AF13" s="252">
        <f t="shared" si="27"/>
      </c>
      <c r="AG13" s="251">
        <f t="shared" si="18"/>
      </c>
      <c r="AH13" s="251">
        <f t="shared" si="77"/>
      </c>
      <c r="AI13" s="254">
        <v>423</v>
      </c>
      <c r="AJ13" s="254">
        <v>39</v>
      </c>
      <c r="AK13" s="254">
        <v>64</v>
      </c>
      <c r="AL13" s="254">
        <v>3</v>
      </c>
      <c r="AM13" s="254">
        <v>0</v>
      </c>
      <c r="AN13" s="254">
        <v>0</v>
      </c>
      <c r="AO13" s="254">
        <v>8</v>
      </c>
      <c r="AP13" s="254">
        <v>6</v>
      </c>
      <c r="AQ13" s="254">
        <v>0</v>
      </c>
      <c r="AR13" s="249">
        <v>0</v>
      </c>
      <c r="AS13" s="271">
        <v>1</v>
      </c>
    </row>
    <row r="14">
      <c r="A14" s="244"/>
      <c r="B14" s="245" t="s">
        <v>262</v>
      </c>
      <c r="C14" s="245" t="s">
        <v>263</v>
      </c>
      <c r="D14" s="246" t="s">
        <v>264</v>
      </c>
      <c r="E14" s="246" t="s">
        <v>276</v>
      </c>
      <c r="F14" s="247">
        <f t="shared" si="7"/>
      </c>
      <c r="G14" s="248">
        <v>11.67</v>
      </c>
      <c r="H14" s="248"/>
      <c r="I14" s="248">
        <v>61.43</v>
      </c>
      <c r="J14" s="249">
        <v>0</v>
      </c>
      <c r="K14" s="249">
        <v>0</v>
      </c>
      <c r="L14" s="250">
        <v>0</v>
      </c>
      <c r="M14" s="251">
        <f t="shared" si="0"/>
      </c>
      <c r="N14" s="252">
        <f t="shared" si="69"/>
      </c>
      <c r="O14" s="253">
        <f t="shared" si="20"/>
      </c>
      <c r="P14" s="253">
        <f t="shared" si="79"/>
      </c>
      <c r="Q14" s="253">
        <f t="shared" si="74"/>
      </c>
      <c r="R14" s="253">
        <f t="shared" si="86"/>
      </c>
      <c r="S14" s="253">
        <f t="shared" si="82"/>
      </c>
      <c r="T14" s="253">
        <f t="shared" si="16"/>
      </c>
      <c r="U14" s="253">
        <f t="shared" si="1"/>
      </c>
      <c r="V14" s="251">
        <f t="shared" si="70"/>
      </c>
      <c r="W14" s="251">
        <f t="shared" si="21"/>
      </c>
      <c r="X14" s="251">
        <f t="shared" si="23"/>
      </c>
      <c r="Y14" s="251">
        <f t="shared" si="25"/>
      </c>
      <c r="Z14" s="251">
        <f t="shared" si="80"/>
      </c>
      <c r="AA14" s="251">
        <f t="shared" si="75"/>
      </c>
      <c r="AB14" s="252">
        <f t="shared" si="88"/>
      </c>
      <c r="AC14" s="252">
        <f t="shared" si="84"/>
      </c>
      <c r="AD14" s="252">
        <f t="shared" si="3"/>
      </c>
      <c r="AE14" s="251">
        <f t="shared" si="90"/>
      </c>
      <c r="AF14" s="252">
        <f t="shared" si="27"/>
      </c>
      <c r="AG14" s="251">
        <f t="shared" si="18"/>
      </c>
      <c r="AH14" s="251">
        <f t="shared" si="77"/>
      </c>
      <c r="AI14" s="254">
        <v>306</v>
      </c>
      <c r="AJ14" s="254">
        <v>53</v>
      </c>
      <c r="AK14" s="254">
        <v>77</v>
      </c>
      <c r="AL14" s="254">
        <v>2</v>
      </c>
      <c r="AM14" s="254">
        <v>0</v>
      </c>
      <c r="AN14" s="254">
        <v>0</v>
      </c>
      <c r="AO14" s="254">
        <v>20</v>
      </c>
      <c r="AP14" s="254">
        <v>3</v>
      </c>
      <c r="AQ14" s="254">
        <v>0</v>
      </c>
      <c r="AR14" s="249">
        <v>0</v>
      </c>
      <c r="AS14" s="271">
        <v>1</v>
      </c>
    </row>
    <row r="15">
      <c r="A15" s="244"/>
      <c r="B15" s="257" t="s">
        <v>268</v>
      </c>
      <c r="C15" s="257"/>
      <c r="D15" s="257"/>
      <c r="E15" s="257"/>
      <c r="F15" s="258">
        <f>SUM(F12:F14)</f>
      </c>
      <c r="G15" s="258">
        <f>SUM(G12:G14)</f>
      </c>
      <c r="H15" s="258"/>
      <c r="I15" s="258">
        <f>SUM(I12:I14)</f>
      </c>
      <c r="J15" s="259">
        <f>SUM(J12:J14)</f>
      </c>
      <c r="K15" s="259">
        <f>SUM(K12:K14)</f>
      </c>
      <c r="L15" s="258">
        <f>SUM(L12:L14)</f>
      </c>
      <c r="M15" s="260">
        <f t="shared" si="0"/>
      </c>
      <c r="N15" s="261">
        <f t="shared" si="69"/>
      </c>
      <c r="O15" s="262">
        <f t="shared" si="20"/>
      </c>
      <c r="P15" s="262">
        <f t="shared" si="79"/>
      </c>
      <c r="Q15" s="262">
        <f t="shared" si="74"/>
      </c>
      <c r="R15" s="262">
        <f t="shared" si="86"/>
      </c>
      <c r="S15" s="262">
        <f t="shared" si="82"/>
      </c>
      <c r="T15" s="262">
        <f t="shared" si="16"/>
      </c>
      <c r="U15" s="262">
        <f t="shared" si="1"/>
      </c>
      <c r="V15" s="260">
        <f t="shared" si="70"/>
      </c>
      <c r="W15" s="260">
        <f t="shared" si="21"/>
      </c>
      <c r="X15" s="260">
        <f t="shared" si="23"/>
      </c>
      <c r="Y15" s="260">
        <f t="shared" si="25"/>
      </c>
      <c r="Z15" s="260">
        <f t="shared" si="80"/>
      </c>
      <c r="AA15" s="260">
        <f t="shared" si="75"/>
      </c>
      <c r="AB15" s="261">
        <f t="shared" si="88"/>
      </c>
      <c r="AC15" s="261">
        <f t="shared" si="84"/>
      </c>
      <c r="AD15" s="261">
        <f t="shared" si="3"/>
      </c>
      <c r="AE15" s="260">
        <f t="shared" si="90"/>
      </c>
      <c r="AF15" s="261">
        <f t="shared" si="27"/>
      </c>
      <c r="AG15" s="260">
        <f t="shared" si="18"/>
      </c>
      <c r="AH15" s="260">
        <f t="shared" si="77"/>
      </c>
      <c r="AI15" s="259">
        <f>SUM(AI12:AI14)</f>
      </c>
      <c r="AJ15" s="259">
        <f>SUM(AJ12:AJ14)</f>
      </c>
      <c r="AK15" s="259">
        <f>SUM(AK12:AK14)</f>
      </c>
      <c r="AL15" s="259">
        <f>SUM(AL12:AL14)</f>
      </c>
      <c r="AM15" s="259">
        <f>SUM(AM12:AM14)</f>
      </c>
      <c r="AN15" s="259">
        <f>SUM(AN12:AN14)</f>
      </c>
      <c r="AO15" s="259">
        <f>SUM(AO12:AO14)</f>
      </c>
      <c r="AP15" s="259">
        <f>SUM(AP12:AP14)</f>
      </c>
      <c r="AQ15" s="259">
        <f>SUM(AQ12:AQ14)</f>
      </c>
      <c r="AR15" s="259">
        <f>SUM(AR12:AR14)</f>
      </c>
      <c r="AS15" s="263">
        <f>SUM(AS12:AS14)</f>
      </c>
    </row>
    <row customHeight="true" ht="16.071428571428573" r="16">
      <c r="A16" s="244"/>
      <c r="B16" s="245" t="s">
        <v>262</v>
      </c>
      <c r="C16" s="245" t="s">
        <v>263</v>
      </c>
      <c r="D16" s="246" t="s">
        <v>277</v>
      </c>
      <c r="E16" s="246" t="s">
        <v>278</v>
      </c>
      <c r="F16" s="247">
        <f t="shared" ref="F16:F17" si="8">G16+I16</f>
      </c>
      <c r="G16" s="248">
        <v>95.35</v>
      </c>
      <c r="H16" s="248"/>
      <c r="I16" s="248">
        <v>470.43</v>
      </c>
      <c r="J16" s="249">
        <v>0</v>
      </c>
      <c r="K16" s="249">
        <v>0</v>
      </c>
      <c r="L16" s="250">
        <v>0</v>
      </c>
      <c r="M16" s="251">
        <f t="shared" si="0"/>
      </c>
      <c r="N16" s="252">
        <f t="shared" si="69"/>
      </c>
      <c r="O16" s="253">
        <f t="shared" si="20"/>
      </c>
      <c r="P16" s="253">
        <f t="shared" si="79"/>
      </c>
      <c r="Q16" s="253">
        <f t="shared" si="74"/>
      </c>
      <c r="R16" s="253">
        <f t="shared" si="86"/>
      </c>
      <c r="S16" s="253">
        <f t="shared" si="82"/>
      </c>
      <c r="T16" s="253">
        <f t="shared" si="16"/>
      </c>
      <c r="U16" s="253">
        <f t="shared" si="1"/>
      </c>
      <c r="V16" s="251">
        <f t="shared" si="70"/>
      </c>
      <c r="W16" s="251">
        <f t="shared" si="21"/>
      </c>
      <c r="X16" s="251">
        <f t="shared" si="23"/>
      </c>
      <c r="Y16" s="251">
        <f t="shared" si="25"/>
      </c>
      <c r="Z16" s="251">
        <f t="shared" si="80"/>
      </c>
      <c r="AA16" s="251">
        <f t="shared" si="75"/>
      </c>
      <c r="AB16" s="252">
        <f t="shared" si="88"/>
      </c>
      <c r="AC16" s="252">
        <f t="shared" si="84"/>
      </c>
      <c r="AD16" s="252">
        <f t="shared" si="3"/>
      </c>
      <c r="AE16" s="251">
        <f t="shared" si="90"/>
      </c>
      <c r="AF16" s="252">
        <f t="shared" si="27"/>
      </c>
      <c r="AG16" s="251">
        <f t="shared" si="18"/>
      </c>
      <c r="AH16" s="251">
        <f t="shared" si="77"/>
      </c>
      <c r="AI16" s="254">
        <v>1326</v>
      </c>
      <c r="AJ16" s="254">
        <v>308</v>
      </c>
      <c r="AK16" s="254">
        <v>605</v>
      </c>
      <c r="AL16" s="254">
        <v>7</v>
      </c>
      <c r="AM16" s="254">
        <v>0</v>
      </c>
      <c r="AN16" s="254">
        <v>0</v>
      </c>
      <c r="AO16" s="254">
        <v>148</v>
      </c>
      <c r="AP16" s="254">
        <v>16</v>
      </c>
      <c r="AQ16" s="254">
        <v>11</v>
      </c>
      <c r="AR16" s="249">
        <v>0</v>
      </c>
      <c r="AS16" s="271">
        <v>1</v>
      </c>
    </row>
    <row customHeight="true" ht="16.071428571428573" r="17">
      <c r="A17" s="244"/>
      <c r="B17" s="245" t="s">
        <v>262</v>
      </c>
      <c r="C17" s="245" t="s">
        <v>263</v>
      </c>
      <c r="D17" s="246" t="s">
        <v>277</v>
      </c>
      <c r="E17" s="246" t="s">
        <v>279</v>
      </c>
      <c r="F17" s="247">
        <f t="shared" si="8"/>
      </c>
      <c r="G17" s="248">
        <v>175.84</v>
      </c>
      <c r="H17" s="248"/>
      <c r="I17" s="248">
        <v>459.62</v>
      </c>
      <c r="J17" s="249">
        <v>0</v>
      </c>
      <c r="K17" s="249">
        <v>0</v>
      </c>
      <c r="L17" s="250">
        <v>0</v>
      </c>
      <c r="M17" s="251">
        <f t="shared" si="0"/>
      </c>
      <c r="N17" s="252">
        <f t="shared" si="69"/>
      </c>
      <c r="O17" s="253">
        <f t="shared" si="20"/>
      </c>
      <c r="P17" s="253">
        <f t="shared" si="79"/>
      </c>
      <c r="Q17" s="253">
        <f t="shared" si="74"/>
      </c>
      <c r="R17" s="253">
        <f t="shared" si="86"/>
      </c>
      <c r="S17" s="253">
        <f t="shared" si="82"/>
      </c>
      <c r="T17" s="253">
        <f t="shared" si="16"/>
      </c>
      <c r="U17" s="253">
        <f t="shared" si="1"/>
      </c>
      <c r="V17" s="251">
        <f t="shared" si="70"/>
      </c>
      <c r="W17" s="251">
        <f t="shared" si="21"/>
      </c>
      <c r="X17" s="251">
        <f t="shared" si="23"/>
      </c>
      <c r="Y17" s="251">
        <f t="shared" si="25"/>
      </c>
      <c r="Z17" s="251">
        <f t="shared" si="80"/>
      </c>
      <c r="AA17" s="251">
        <f t="shared" si="75"/>
      </c>
      <c r="AB17" s="252">
        <f t="shared" si="88"/>
      </c>
      <c r="AC17" s="252">
        <f t="shared" si="84"/>
      </c>
      <c r="AD17" s="252">
        <f t="shared" si="3"/>
      </c>
      <c r="AE17" s="251">
        <f t="shared" si="90"/>
      </c>
      <c r="AF17" s="252">
        <f t="shared" si="27"/>
      </c>
      <c r="AG17" s="251">
        <f t="shared" si="18"/>
      </c>
      <c r="AH17" s="251">
        <f t="shared" si="77"/>
      </c>
      <c r="AI17" s="254">
        <v>1594</v>
      </c>
      <c r="AJ17" s="254">
        <v>360</v>
      </c>
      <c r="AK17" s="254">
        <v>666</v>
      </c>
      <c r="AL17" s="254">
        <v>3</v>
      </c>
      <c r="AM17" s="254">
        <v>0</v>
      </c>
      <c r="AN17" s="254">
        <v>0</v>
      </c>
      <c r="AO17" s="254">
        <v>184</v>
      </c>
      <c r="AP17" s="254">
        <v>24</v>
      </c>
      <c r="AQ17" s="254">
        <v>6</v>
      </c>
      <c r="AR17" s="254">
        <v>0</v>
      </c>
      <c r="AS17" s="255">
        <v>1</v>
      </c>
    </row>
    <row customHeight="true" ht="16.071428571428573" r="18">
      <c r="A18" s="244"/>
      <c r="B18" s="257" t="s">
        <v>268</v>
      </c>
      <c r="C18" s="257"/>
      <c r="D18" s="257"/>
      <c r="E18" s="257"/>
      <c r="F18" s="258">
        <f>SUM(F16:F17)</f>
      </c>
      <c r="G18" s="258">
        <f>SUM(G16:G17)</f>
      </c>
      <c r="H18" s="258"/>
      <c r="I18" s="258">
        <f>SUM(I16:I17)</f>
      </c>
      <c r="J18" s="259">
        <f>SUM(J16:J17)</f>
      </c>
      <c r="K18" s="259">
        <f>SUM(K16:K17)</f>
      </c>
      <c r="L18" s="258">
        <f>SUM(L16:L17)</f>
      </c>
      <c r="M18" s="260">
        <f t="shared" si="0"/>
      </c>
      <c r="N18" s="261">
        <f t="shared" si="69"/>
      </c>
      <c r="O18" s="262">
        <f t="shared" si="20"/>
      </c>
      <c r="P18" s="262">
        <f t="shared" si="79"/>
      </c>
      <c r="Q18" s="262">
        <f t="shared" si="74"/>
      </c>
      <c r="R18" s="262">
        <f t="shared" si="86"/>
      </c>
      <c r="S18" s="262">
        <f t="shared" si="82"/>
      </c>
      <c r="T18" s="262">
        <f t="shared" si="16"/>
      </c>
      <c r="U18" s="262">
        <f t="shared" si="1"/>
      </c>
      <c r="V18" s="260">
        <f t="shared" si="70"/>
      </c>
      <c r="W18" s="260">
        <f t="shared" si="21"/>
      </c>
      <c r="X18" s="260">
        <f t="shared" si="23"/>
      </c>
      <c r="Y18" s="260">
        <f t="shared" si="25"/>
      </c>
      <c r="Z18" s="260">
        <f t="shared" si="80"/>
      </c>
      <c r="AA18" s="260">
        <f t="shared" si="75"/>
      </c>
      <c r="AB18" s="261">
        <f t="shared" si="88"/>
      </c>
      <c r="AC18" s="261">
        <f t="shared" si="84"/>
      </c>
      <c r="AD18" s="261">
        <f t="shared" si="3"/>
      </c>
      <c r="AE18" s="260">
        <f t="shared" si="90"/>
      </c>
      <c r="AF18" s="261">
        <f t="shared" si="27"/>
      </c>
      <c r="AG18" s="260">
        <f t="shared" si="18"/>
      </c>
      <c r="AH18" s="260">
        <f t="shared" si="77"/>
      </c>
      <c r="AI18" s="259">
        <f>SUM(AI16:AI17)</f>
      </c>
      <c r="AJ18" s="259">
        <f>SUM(AJ16:AJ17)</f>
      </c>
      <c r="AK18" s="259">
        <f>SUM(AK16:AK17)</f>
      </c>
      <c r="AL18" s="259">
        <f>SUM(AL16:AL17)</f>
      </c>
      <c r="AM18" s="259">
        <f>SUM(AM16:AM17)</f>
      </c>
      <c r="AN18" s="259">
        <f>SUM(AN16:AN17)</f>
      </c>
      <c r="AO18" s="259">
        <f>SUM(AO16:AO17)</f>
      </c>
      <c r="AP18" s="259">
        <f>SUM(AP16:AP17)</f>
      </c>
      <c r="AQ18" s="259">
        <f>SUM(AQ16:AQ17)</f>
      </c>
      <c r="AR18" s="259">
        <f>SUM(AR16:AR17)</f>
      </c>
      <c r="AS18" s="263">
        <f>SUM(AS16:AS17)</f>
      </c>
    </row>
    <row r="19">
      <c r="A19" s="244"/>
      <c r="B19" s="245" t="s">
        <v>262</v>
      </c>
      <c r="C19" s="245" t="s">
        <v>263</v>
      </c>
      <c r="D19" s="246" t="s">
        <v>269</v>
      </c>
      <c r="E19" s="246" t="s">
        <v>280</v>
      </c>
      <c r="F19" s="247">
        <f t="shared" ref="F19:F21" si="9">G19+I19</f>
      </c>
      <c r="G19" s="248">
        <v>195.32</v>
      </c>
      <c r="H19" s="248"/>
      <c r="I19" s="248">
        <v>362.38</v>
      </c>
      <c r="J19" s="249">
        <v>0</v>
      </c>
      <c r="K19" s="249">
        <v>0</v>
      </c>
      <c r="L19" s="250">
        <v>0</v>
      </c>
      <c r="M19" s="251">
        <f t="shared" si="0"/>
      </c>
      <c r="N19" s="252">
        <f t="shared" si="69"/>
      </c>
      <c r="O19" s="253">
        <f t="shared" si="20"/>
      </c>
      <c r="P19" s="253">
        <f t="shared" si="79"/>
      </c>
      <c r="Q19" s="253">
        <f t="shared" si="74"/>
      </c>
      <c r="R19" s="253">
        <f t="shared" si="86"/>
      </c>
      <c r="S19" s="253">
        <f t="shared" si="82"/>
      </c>
      <c r="T19" s="253">
        <f t="shared" si="16"/>
      </c>
      <c r="U19" s="253">
        <f t="shared" si="1"/>
      </c>
      <c r="V19" s="251">
        <f t="shared" si="70"/>
      </c>
      <c r="W19" s="251">
        <f t="shared" si="21"/>
      </c>
      <c r="X19" s="251">
        <f t="shared" si="23"/>
      </c>
      <c r="Y19" s="251">
        <f t="shared" si="25"/>
      </c>
      <c r="Z19" s="251">
        <f t="shared" si="80"/>
      </c>
      <c r="AA19" s="251">
        <f t="shared" si="75"/>
      </c>
      <c r="AB19" s="252">
        <f t="shared" si="88"/>
      </c>
      <c r="AC19" s="252">
        <f t="shared" si="84"/>
      </c>
      <c r="AD19" s="252">
        <f t="shared" si="3"/>
      </c>
      <c r="AE19" s="251">
        <f t="shared" si="90"/>
      </c>
      <c r="AF19" s="252">
        <f t="shared" si="27"/>
      </c>
      <c r="AG19" s="251">
        <f t="shared" si="18"/>
      </c>
      <c r="AH19" s="251">
        <f t="shared" si="77"/>
      </c>
      <c r="AI19" s="254">
        <v>1381</v>
      </c>
      <c r="AJ19" s="249">
        <v>231</v>
      </c>
      <c r="AK19" s="249">
        <v>561</v>
      </c>
      <c r="AL19" s="249">
        <v>7</v>
      </c>
      <c r="AM19" s="249">
        <v>0</v>
      </c>
      <c r="AN19" s="249">
        <v>0</v>
      </c>
      <c r="AO19" s="249">
        <v>122</v>
      </c>
      <c r="AP19" s="249">
        <v>30</v>
      </c>
      <c r="AQ19" s="249">
        <v>8</v>
      </c>
      <c r="AR19" s="249">
        <v>0</v>
      </c>
      <c r="AS19" s="255">
        <v>1</v>
      </c>
    </row>
    <row r="20">
      <c r="A20" s="244"/>
      <c r="B20" s="245" t="s">
        <v>262</v>
      </c>
      <c r="C20" s="245" t="s">
        <v>263</v>
      </c>
      <c r="D20" s="246" t="s">
        <v>269</v>
      </c>
      <c r="E20" s="246" t="s">
        <v>281</v>
      </c>
      <c r="F20" s="247">
        <f t="shared" si="9"/>
      </c>
      <c r="G20" s="248">
        <v>55.4</v>
      </c>
      <c r="H20" s="248"/>
      <c r="I20" s="248">
        <v>340.71</v>
      </c>
      <c r="J20" s="249">
        <v>1</v>
      </c>
      <c r="K20" s="249">
        <v>1</v>
      </c>
      <c r="L20" s="250">
        <v>862.8000000000001</v>
      </c>
      <c r="M20" s="251">
        <f t="shared" si="0"/>
      </c>
      <c r="N20" s="252">
        <f t="shared" si="69"/>
      </c>
      <c r="O20" s="253">
        <f t="shared" si="20"/>
      </c>
      <c r="P20" s="253">
        <f t="shared" si="79"/>
      </c>
      <c r="Q20" s="253">
        <f t="shared" si="74"/>
      </c>
      <c r="R20" s="253">
        <f t="shared" si="86"/>
      </c>
      <c r="S20" s="253">
        <f t="shared" si="82"/>
      </c>
      <c r="T20" s="253">
        <f t="shared" si="16"/>
      </c>
      <c r="U20" s="253">
        <f t="shared" si="1"/>
      </c>
      <c r="V20" s="251">
        <f t="shared" si="70"/>
      </c>
      <c r="W20" s="251">
        <f t="shared" si="21"/>
      </c>
      <c r="X20" s="251">
        <f t="shared" si="23"/>
      </c>
      <c r="Y20" s="251">
        <f t="shared" si="25"/>
      </c>
      <c r="Z20" s="251">
        <f t="shared" si="80"/>
      </c>
      <c r="AA20" s="251">
        <f t="shared" si="75"/>
      </c>
      <c r="AB20" s="252">
        <f t="shared" si="88"/>
      </c>
      <c r="AC20" s="252">
        <f t="shared" si="84"/>
      </c>
      <c r="AD20" s="252">
        <f t="shared" si="3"/>
      </c>
      <c r="AE20" s="251">
        <f t="shared" si="90"/>
      </c>
      <c r="AF20" s="252">
        <f t="shared" si="27"/>
      </c>
      <c r="AG20" s="251">
        <f t="shared" si="18"/>
      </c>
      <c r="AH20" s="251">
        <f t="shared" si="77"/>
      </c>
      <c r="AI20" s="249">
        <v>1243</v>
      </c>
      <c r="AJ20" s="254">
        <v>310</v>
      </c>
      <c r="AK20" s="254">
        <v>370</v>
      </c>
      <c r="AL20" s="254">
        <v>7</v>
      </c>
      <c r="AM20" s="254">
        <v>1</v>
      </c>
      <c r="AN20" s="254">
        <v>1</v>
      </c>
      <c r="AO20" s="254">
        <v>105</v>
      </c>
      <c r="AP20" s="254">
        <v>19</v>
      </c>
      <c r="AQ20" s="254">
        <v>8</v>
      </c>
      <c r="AR20" s="254">
        <v>0</v>
      </c>
      <c r="AS20" s="271">
        <v>1</v>
      </c>
    </row>
    <row r="21">
      <c r="A21" s="244"/>
      <c r="B21" s="245" t="s">
        <v>262</v>
      </c>
      <c r="C21" s="245" t="s">
        <v>263</v>
      </c>
      <c r="D21" s="246" t="s">
        <v>269</v>
      </c>
      <c r="E21" s="246" t="s">
        <v>282</v>
      </c>
      <c r="F21" s="247">
        <f t="shared" si="9"/>
      </c>
      <c r="G21" s="248">
        <v>66.39</v>
      </c>
      <c r="H21" s="248"/>
      <c r="I21" s="248">
        <v>247.33</v>
      </c>
      <c r="J21" s="249">
        <v>0</v>
      </c>
      <c r="K21" s="249">
        <v>0</v>
      </c>
      <c r="L21" s="250">
        <v>0</v>
      </c>
      <c r="M21" s="251">
        <f t="shared" si="0"/>
      </c>
      <c r="N21" s="252">
        <f t="shared" si="69"/>
      </c>
      <c r="O21" s="253">
        <f t="shared" si="20"/>
      </c>
      <c r="P21" s="253">
        <f t="shared" si="79"/>
      </c>
      <c r="Q21" s="253">
        <f t="shared" si="74"/>
      </c>
      <c r="R21" s="253">
        <f t="shared" si="86"/>
      </c>
      <c r="S21" s="253">
        <f t="shared" si="82"/>
      </c>
      <c r="T21" s="253">
        <f t="shared" si="16"/>
      </c>
      <c r="U21" s="253">
        <f t="shared" si="1"/>
      </c>
      <c r="V21" s="251">
        <f t="shared" si="70"/>
      </c>
      <c r="W21" s="251">
        <f t="shared" si="21"/>
      </c>
      <c r="X21" s="251">
        <f t="shared" si="23"/>
      </c>
      <c r="Y21" s="251">
        <f t="shared" si="25"/>
      </c>
      <c r="Z21" s="251">
        <f t="shared" si="80"/>
      </c>
      <c r="AA21" s="251">
        <f t="shared" si="75"/>
      </c>
      <c r="AB21" s="252">
        <f t="shared" si="88"/>
      </c>
      <c r="AC21" s="252">
        <f t="shared" si="84"/>
      </c>
      <c r="AD21" s="252">
        <f t="shared" si="3"/>
      </c>
      <c r="AE21" s="251">
        <f t="shared" si="90"/>
      </c>
      <c r="AF21" s="252">
        <f t="shared" si="27"/>
      </c>
      <c r="AG21" s="251">
        <f t="shared" si="18"/>
      </c>
      <c r="AH21" s="251">
        <f t="shared" si="77"/>
      </c>
      <c r="AI21" s="254">
        <v>855</v>
      </c>
      <c r="AJ21" s="254">
        <v>159</v>
      </c>
      <c r="AK21" s="254">
        <v>307</v>
      </c>
      <c r="AL21" s="254">
        <v>4</v>
      </c>
      <c r="AM21" s="254">
        <v>0</v>
      </c>
      <c r="AN21" s="254">
        <v>0</v>
      </c>
      <c r="AO21" s="254">
        <v>63</v>
      </c>
      <c r="AP21" s="254">
        <v>16</v>
      </c>
      <c r="AQ21" s="254">
        <v>0</v>
      </c>
      <c r="AR21" s="249">
        <v>0</v>
      </c>
      <c r="AS21" s="271">
        <v>1</v>
      </c>
    </row>
    <row r="22">
      <c r="A22" s="244"/>
      <c r="B22" s="257" t="s">
        <v>268</v>
      </c>
      <c r="C22" s="257"/>
      <c r="D22" s="257"/>
      <c r="E22" s="257"/>
      <c r="F22" s="258">
        <f>SUM(F19:F21)</f>
      </c>
      <c r="G22" s="258">
        <f>SUM(G19:G21)</f>
      </c>
      <c r="H22" s="258"/>
      <c r="I22" s="258">
        <f>SUM(I19:I21)</f>
      </c>
      <c r="J22" s="259">
        <f>SUM(J19:J21)</f>
      </c>
      <c r="K22" s="259">
        <f>SUM(K19:K21)</f>
      </c>
      <c r="L22" s="258">
        <f>SUM(L19:L21)</f>
      </c>
      <c r="M22" s="260">
        <f t="shared" si="0"/>
      </c>
      <c r="N22" s="261">
        <f t="shared" si="69"/>
      </c>
      <c r="O22" s="262">
        <f t="shared" si="20"/>
      </c>
      <c r="P22" s="262">
        <f t="shared" si="79"/>
      </c>
      <c r="Q22" s="262">
        <f t="shared" si="74"/>
      </c>
      <c r="R22" s="262">
        <f t="shared" si="86"/>
      </c>
      <c r="S22" s="262">
        <f t="shared" si="82"/>
      </c>
      <c r="T22" s="262">
        <f t="shared" si="16"/>
      </c>
      <c r="U22" s="262">
        <f t="shared" si="1"/>
      </c>
      <c r="V22" s="260">
        <f t="shared" si="70"/>
      </c>
      <c r="W22" s="260">
        <f t="shared" si="21"/>
      </c>
      <c r="X22" s="260">
        <f t="shared" si="23"/>
      </c>
      <c r="Y22" s="260">
        <f t="shared" si="25"/>
      </c>
      <c r="Z22" s="260">
        <f t="shared" si="80"/>
      </c>
      <c r="AA22" s="260">
        <f t="shared" si="75"/>
      </c>
      <c r="AB22" s="261">
        <f t="shared" si="88"/>
      </c>
      <c r="AC22" s="261">
        <f t="shared" si="84"/>
      </c>
      <c r="AD22" s="261">
        <f t="shared" si="3"/>
      </c>
      <c r="AE22" s="260">
        <f t="shared" si="90"/>
      </c>
      <c r="AF22" s="261">
        <f t="shared" si="27"/>
      </c>
      <c r="AG22" s="260">
        <f t="shared" si="18"/>
      </c>
      <c r="AH22" s="260">
        <f t="shared" si="77"/>
      </c>
      <c r="AI22" s="259">
        <f>SUM(AI19:AI21)</f>
      </c>
      <c r="AJ22" s="259">
        <f>SUM(AJ19:AJ21)</f>
      </c>
      <c r="AK22" s="259">
        <f>SUM(AK19:AK21)</f>
      </c>
      <c r="AL22" s="259">
        <f>SUM(AL19:AL21)</f>
      </c>
      <c r="AM22" s="259">
        <f>SUM(AM19:AM21)</f>
      </c>
      <c r="AN22" s="259">
        <f>SUM(AN19:AN21)</f>
      </c>
      <c r="AO22" s="259">
        <f>SUM(AO19:AO21)</f>
      </c>
      <c r="AP22" s="259">
        <f>SUM(AP19:AP21)</f>
      </c>
      <c r="AQ22" s="259">
        <f>SUM(AQ19:AQ21)</f>
      </c>
      <c r="AR22" s="259">
        <f>SUM(AR19:AR21)</f>
      </c>
      <c r="AS22" s="263">
        <f>SUM(AS19:AS21)</f>
      </c>
    </row>
    <row r="23">
      <c r="A23" s="244"/>
      <c r="B23" s="264" t="s">
        <v>273</v>
      </c>
      <c r="C23" s="264"/>
      <c r="D23" s="264"/>
      <c r="E23" s="264"/>
      <c r="F23" s="265">
        <f t="shared" ref="F23:F26" si="10">G23+I23</f>
      </c>
      <c r="G23" s="265">
        <f>G15+G22+G18</f>
      </c>
      <c r="H23" s="265"/>
      <c r="I23" s="265">
        <f>I15+I22+I18</f>
      </c>
      <c r="J23" s="265">
        <f>J15+J22+J18</f>
      </c>
      <c r="K23" s="265">
        <f>K15+K22+K18</f>
      </c>
      <c r="L23" s="265">
        <f>L15+L22+L18</f>
      </c>
      <c r="M23" s="267">
        <f t="shared" si="0"/>
      </c>
      <c r="N23" s="268">
        <f t="shared" si="69"/>
      </c>
      <c r="O23" s="269">
        <f t="shared" si="20"/>
      </c>
      <c r="P23" s="269">
        <f t="shared" si="79"/>
      </c>
      <c r="Q23" s="269">
        <f t="shared" si="74"/>
      </c>
      <c r="R23" s="269">
        <f t="shared" si="86"/>
      </c>
      <c r="S23" s="269">
        <f t="shared" si="82"/>
      </c>
      <c r="T23" s="269">
        <f t="shared" si="16"/>
      </c>
      <c r="U23" s="269">
        <f t="shared" si="1"/>
      </c>
      <c r="V23" s="267">
        <f t="shared" si="70"/>
      </c>
      <c r="W23" s="267">
        <f t="shared" si="21"/>
      </c>
      <c r="X23" s="267">
        <f t="shared" si="23"/>
      </c>
      <c r="Y23" s="267">
        <f t="shared" si="25"/>
      </c>
      <c r="Z23" s="267">
        <f t="shared" si="80"/>
      </c>
      <c r="AA23" s="267">
        <f t="shared" si="75"/>
      </c>
      <c r="AB23" s="268">
        <f t="shared" si="88"/>
      </c>
      <c r="AC23" s="268">
        <f t="shared" si="84"/>
      </c>
      <c r="AD23" s="268">
        <f t="shared" si="3"/>
      </c>
      <c r="AE23" s="267">
        <f t="shared" si="90"/>
      </c>
      <c r="AF23" s="268">
        <f t="shared" si="27"/>
      </c>
      <c r="AG23" s="267">
        <f t="shared" si="18"/>
      </c>
      <c r="AH23" s="267">
        <f t="shared" si="77"/>
      </c>
      <c r="AI23" s="270">
        <f>AI15+AI22+AI18</f>
      </c>
      <c r="AJ23" s="270">
        <f>AJ15+AJ22+AJ18</f>
      </c>
      <c r="AK23" s="270">
        <f>AK15+AK22+AK18</f>
      </c>
      <c r="AL23" s="270">
        <f>AL15+AL22+AL18</f>
      </c>
      <c r="AM23" s="270">
        <f>AM15+AM22+AM18</f>
      </c>
      <c r="AN23" s="270">
        <f>AN15+AN22+AN18</f>
      </c>
      <c r="AO23" s="270">
        <f>AO15+AO22+AO18</f>
      </c>
      <c r="AP23" s="270">
        <f>AP15+AP22+AP18</f>
      </c>
      <c r="AQ23" s="270">
        <f>AQ15+AQ22+AQ18</f>
      </c>
      <c r="AR23" s="270">
        <f>AR15+AR22+AR18</f>
      </c>
      <c r="AS23" s="263">
        <f>AS15+AS22+AS18</f>
      </c>
    </row>
    <row r="24">
      <c r="A24" s="244">
        <v>46250</v>
      </c>
      <c r="B24" s="245" t="s">
        <v>262</v>
      </c>
      <c r="C24" s="245" t="s">
        <v>263</v>
      </c>
      <c r="D24" s="246" t="s">
        <v>269</v>
      </c>
      <c r="E24" s="246" t="s">
        <v>274</v>
      </c>
      <c r="F24" s="247">
        <f t="shared" si="10"/>
      </c>
      <c r="G24" s="248">
        <v>90.56</v>
      </c>
      <c r="H24" s="248"/>
      <c r="I24" s="248">
        <v>552.79</v>
      </c>
      <c r="J24" s="249">
        <v>0</v>
      </c>
      <c r="K24" s="249">
        <v>0</v>
      </c>
      <c r="L24" s="250">
        <v>0</v>
      </c>
      <c r="M24" s="251">
        <f t="shared" si="0"/>
      </c>
      <c r="N24" s="252">
        <f t="shared" si="69"/>
      </c>
      <c r="O24" s="253">
        <f t="shared" si="20"/>
      </c>
      <c r="P24" s="253">
        <f t="shared" si="79"/>
      </c>
      <c r="Q24" s="253">
        <f t="shared" si="74"/>
      </c>
      <c r="R24" s="253">
        <f t="shared" si="86"/>
      </c>
      <c r="S24" s="253">
        <f t="shared" si="82"/>
      </c>
      <c r="T24" s="253">
        <f t="shared" si="16"/>
      </c>
      <c r="U24" s="253">
        <f t="shared" si="1"/>
      </c>
      <c r="V24" s="251">
        <f t="shared" si="70"/>
      </c>
      <c r="W24" s="251">
        <f t="shared" si="21"/>
      </c>
      <c r="X24" s="251">
        <f t="shared" si="23"/>
      </c>
      <c r="Y24" s="251">
        <f t="shared" si="25"/>
      </c>
      <c r="Z24" s="251">
        <f t="shared" si="80"/>
      </c>
      <c r="AA24" s="251">
        <f t="shared" si="75"/>
      </c>
      <c r="AB24" s="252">
        <f t="shared" si="88"/>
      </c>
      <c r="AC24" s="252">
        <f t="shared" si="84"/>
      </c>
      <c r="AD24" s="252">
        <f t="shared" si="3"/>
      </c>
      <c r="AE24" s="251">
        <f t="shared" si="90"/>
      </c>
      <c r="AF24" s="252">
        <f t="shared" si="27"/>
      </c>
      <c r="AG24" s="251">
        <f t="shared" si="18"/>
      </c>
      <c r="AH24" s="251">
        <f t="shared" si="77"/>
      </c>
      <c r="AI24" s="273">
        <v>1841</v>
      </c>
      <c r="AJ24" s="254">
        <v>232</v>
      </c>
      <c r="AK24" s="254">
        <v>319</v>
      </c>
      <c r="AL24" s="254">
        <v>13</v>
      </c>
      <c r="AM24" s="254">
        <v>0</v>
      </c>
      <c r="AN24" s="254">
        <v>0</v>
      </c>
      <c r="AO24" s="254">
        <v>47</v>
      </c>
      <c r="AP24" s="254">
        <v>2</v>
      </c>
      <c r="AQ24" s="254">
        <v>0</v>
      </c>
      <c r="AR24" s="249">
        <v>0</v>
      </c>
      <c r="AS24" s="271">
        <v>1</v>
      </c>
    </row>
    <row r="25">
      <c r="A25" s="244"/>
      <c r="B25" s="245" t="s">
        <v>262</v>
      </c>
      <c r="C25" s="245" t="s">
        <v>263</v>
      </c>
      <c r="D25" s="246" t="s">
        <v>269</v>
      </c>
      <c r="E25" s="246" t="s">
        <v>275</v>
      </c>
      <c r="F25" s="247">
        <f t="shared" si="10"/>
      </c>
      <c r="G25" s="272">
        <v>131.36</v>
      </c>
      <c r="H25" s="272"/>
      <c r="I25" s="248">
        <v>226.6</v>
      </c>
      <c r="J25" s="249">
        <v>1</v>
      </c>
      <c r="K25" s="249">
        <v>2</v>
      </c>
      <c r="L25" s="250">
        <v>759.5999999999999</v>
      </c>
      <c r="M25" s="251">
        <f t="shared" si="0"/>
      </c>
      <c r="N25" s="252">
        <f t="shared" si="69"/>
      </c>
      <c r="O25" s="253">
        <f t="shared" si="20"/>
      </c>
      <c r="P25" s="253">
        <f t="shared" si="79"/>
      </c>
      <c r="Q25" s="253">
        <f t="shared" si="74"/>
      </c>
      <c r="R25" s="253">
        <f t="shared" si="86"/>
      </c>
      <c r="S25" s="253">
        <f t="shared" si="82"/>
      </c>
      <c r="T25" s="253">
        <f t="shared" si="16"/>
      </c>
      <c r="U25" s="253">
        <f t="shared" si="1"/>
      </c>
      <c r="V25" s="251">
        <f t="shared" si="70"/>
      </c>
      <c r="W25" s="251">
        <f t="shared" si="21"/>
      </c>
      <c r="X25" s="251">
        <f t="shared" si="23"/>
      </c>
      <c r="Y25" s="251">
        <f t="shared" si="25"/>
      </c>
      <c r="Z25" s="251">
        <f t="shared" si="80"/>
      </c>
      <c r="AA25" s="251">
        <f t="shared" si="75"/>
      </c>
      <c r="AB25" s="252">
        <f t="shared" si="88"/>
      </c>
      <c r="AC25" s="252">
        <f t="shared" si="84"/>
      </c>
      <c r="AD25" s="252">
        <f t="shared" si="3"/>
      </c>
      <c r="AE25" s="251">
        <f t="shared" si="90"/>
      </c>
      <c r="AF25" s="252">
        <f t="shared" si="27"/>
      </c>
      <c r="AG25" s="251">
        <f t="shared" si="18"/>
      </c>
      <c r="AH25" s="251">
        <f t="shared" si="77"/>
      </c>
      <c r="AI25" s="254">
        <v>1372</v>
      </c>
      <c r="AJ25" s="254">
        <v>163</v>
      </c>
      <c r="AK25" s="254">
        <v>221</v>
      </c>
      <c r="AL25" s="254">
        <v>7</v>
      </c>
      <c r="AM25" s="254">
        <v>0</v>
      </c>
      <c r="AN25" s="254">
        <v>0</v>
      </c>
      <c r="AO25" s="254">
        <v>28</v>
      </c>
      <c r="AP25" s="254">
        <v>9</v>
      </c>
      <c r="AQ25" s="254">
        <v>1</v>
      </c>
      <c r="AR25" s="249">
        <v>1</v>
      </c>
      <c r="AS25" s="271">
        <v>1</v>
      </c>
    </row>
    <row r="26">
      <c r="A26" s="244"/>
      <c r="B26" s="245" t="s">
        <v>262</v>
      </c>
      <c r="C26" s="245" t="s">
        <v>263</v>
      </c>
      <c r="D26" s="246" t="s">
        <v>269</v>
      </c>
      <c r="E26" s="246" t="s">
        <v>276</v>
      </c>
      <c r="F26" s="247">
        <f t="shared" si="10"/>
      </c>
      <c r="G26" s="248">
        <v>211.86</v>
      </c>
      <c r="H26" s="248"/>
      <c r="I26" s="248">
        <v>239.46</v>
      </c>
      <c r="J26" s="249">
        <v>1</v>
      </c>
      <c r="K26" s="249">
        <v>0</v>
      </c>
      <c r="L26" s="250">
        <v>0</v>
      </c>
      <c r="M26" s="251">
        <f t="shared" si="0"/>
      </c>
      <c r="N26" s="252">
        <f t="shared" si="69"/>
      </c>
      <c r="O26" s="253">
        <f t="shared" si="20"/>
      </c>
      <c r="P26" s="253">
        <f t="shared" si="79"/>
      </c>
      <c r="Q26" s="253">
        <f t="shared" si="74"/>
      </c>
      <c r="R26" s="253">
        <f t="shared" si="86"/>
      </c>
      <c r="S26" s="253">
        <f t="shared" si="82"/>
      </c>
      <c r="T26" s="253">
        <f t="shared" si="16"/>
      </c>
      <c r="U26" s="253">
        <f t="shared" si="1"/>
      </c>
      <c r="V26" s="251">
        <f t="shared" si="70"/>
      </c>
      <c r="W26" s="251">
        <f t="shared" si="21"/>
      </c>
      <c r="X26" s="251">
        <f t="shared" si="23"/>
      </c>
      <c r="Y26" s="251">
        <f t="shared" si="25"/>
      </c>
      <c r="Z26" s="251">
        <f t="shared" si="80"/>
      </c>
      <c r="AA26" s="251">
        <f t="shared" si="75"/>
      </c>
      <c r="AB26" s="252">
        <f t="shared" si="88"/>
      </c>
      <c r="AC26" s="252">
        <f t="shared" si="84"/>
      </c>
      <c r="AD26" s="252">
        <f t="shared" si="3"/>
      </c>
      <c r="AE26" s="251">
        <f t="shared" si="90"/>
      </c>
      <c r="AF26" s="252">
        <f t="shared" si="27"/>
      </c>
      <c r="AG26" s="251">
        <f t="shared" si="18"/>
      </c>
      <c r="AH26" s="251">
        <f t="shared" si="77"/>
      </c>
      <c r="AI26" s="254">
        <v>1538</v>
      </c>
      <c r="AJ26" s="254">
        <v>251</v>
      </c>
      <c r="AK26" s="254">
        <v>384</v>
      </c>
      <c r="AL26" s="254">
        <v>9</v>
      </c>
      <c r="AM26" s="254">
        <v>0</v>
      </c>
      <c r="AN26" s="254">
        <v>0</v>
      </c>
      <c r="AO26" s="254">
        <v>73</v>
      </c>
      <c r="AP26" s="254">
        <v>6</v>
      </c>
      <c r="AQ26" s="254">
        <v>1</v>
      </c>
      <c r="AR26" s="249">
        <v>0</v>
      </c>
      <c r="AS26" s="271">
        <v>1</v>
      </c>
    </row>
    <row r="27">
      <c r="A27" s="244"/>
      <c r="B27" s="257" t="s">
        <v>268</v>
      </c>
      <c r="C27" s="257"/>
      <c r="D27" s="257"/>
      <c r="E27" s="257"/>
      <c r="F27" s="258">
        <f>SUM(F24:F26)</f>
      </c>
      <c r="G27" s="258">
        <f>SUM(G24:G26)</f>
      </c>
      <c r="H27" s="258"/>
      <c r="I27" s="258">
        <f>SUM(I24:I26)</f>
      </c>
      <c r="J27" s="259">
        <f>SUM(J24:J26)</f>
      </c>
      <c r="K27" s="259">
        <f>SUM(K24:K26)</f>
      </c>
      <c r="L27" s="258">
        <f>SUM(L24:L26)</f>
      </c>
      <c r="M27" s="260">
        <f t="shared" si="0"/>
      </c>
      <c r="N27" s="261">
        <f t="shared" si="69"/>
      </c>
      <c r="O27" s="262">
        <f t="shared" si="20"/>
      </c>
      <c r="P27" s="262">
        <f t="shared" si="79"/>
      </c>
      <c r="Q27" s="262">
        <f t="shared" si="74"/>
      </c>
      <c r="R27" s="262">
        <f t="shared" si="86"/>
      </c>
      <c r="S27" s="262">
        <f t="shared" si="82"/>
      </c>
      <c r="T27" s="262">
        <f t="shared" si="16"/>
      </c>
      <c r="U27" s="262">
        <f t="shared" si="1"/>
      </c>
      <c r="V27" s="260">
        <f t="shared" si="70"/>
      </c>
      <c r="W27" s="260">
        <f t="shared" si="21"/>
      </c>
      <c r="X27" s="260">
        <f t="shared" si="23"/>
      </c>
      <c r="Y27" s="260">
        <f t="shared" si="25"/>
      </c>
      <c r="Z27" s="260">
        <f t="shared" si="80"/>
      </c>
      <c r="AA27" s="260">
        <f t="shared" si="75"/>
      </c>
      <c r="AB27" s="261">
        <f t="shared" si="88"/>
      </c>
      <c r="AC27" s="261">
        <f t="shared" si="84"/>
      </c>
      <c r="AD27" s="261">
        <f t="shared" si="3"/>
      </c>
      <c r="AE27" s="260">
        <f t="shared" si="90"/>
      </c>
      <c r="AF27" s="261">
        <f t="shared" si="27"/>
      </c>
      <c r="AG27" s="260">
        <f t="shared" si="18"/>
      </c>
      <c r="AH27" s="260">
        <f t="shared" si="77"/>
      </c>
      <c r="AI27" s="259">
        <f>SUM(AI24:AI26)</f>
      </c>
      <c r="AJ27" s="259">
        <f>SUM(AJ24:AJ26)</f>
      </c>
      <c r="AK27" s="259">
        <f>SUM(AK24:AK26)</f>
      </c>
      <c r="AL27" s="259">
        <f>SUM(AL24:AL26)</f>
      </c>
      <c r="AM27" s="259">
        <f>SUM(AM24:AM26)</f>
      </c>
      <c r="AN27" s="259">
        <f>SUM(AN24:AN26)</f>
      </c>
      <c r="AO27" s="259">
        <f>SUM(AO24:AO26)</f>
      </c>
      <c r="AP27" s="259">
        <f>SUM(AP24:AP26)</f>
      </c>
      <c r="AQ27" s="259">
        <f>SUM(AQ24:AQ26)</f>
      </c>
      <c r="AR27" s="259">
        <f>SUM(AR24:AR26)</f>
      </c>
      <c r="AS27" s="263">
        <f>SUM(AS24:AS26)</f>
      </c>
    </row>
    <row r="28">
      <c r="A28" s="244"/>
      <c r="B28" s="245" t="s">
        <v>262</v>
      </c>
      <c r="C28" s="245" t="s">
        <v>263</v>
      </c>
      <c r="D28" s="246" t="s">
        <v>283</v>
      </c>
      <c r="E28" s="246" t="s">
        <v>278</v>
      </c>
      <c r="F28" s="247">
        <f t="shared" ref="F28:F29" si="11">G28+I28</f>
      </c>
      <c r="G28" s="248">
        <v>83.22</v>
      </c>
      <c r="H28" s="248"/>
      <c r="I28" s="248">
        <v>475.95</v>
      </c>
      <c r="J28" s="249">
        <v>0</v>
      </c>
      <c r="K28" s="249">
        <v>0</v>
      </c>
      <c r="L28" s="250">
        <v>0</v>
      </c>
      <c r="M28" s="251">
        <f t="shared" si="0"/>
      </c>
      <c r="N28" s="252">
        <f t="shared" si="69"/>
      </c>
      <c r="O28" s="253">
        <f t="shared" si="20"/>
      </c>
      <c r="P28" s="253">
        <f t="shared" si="79"/>
      </c>
      <c r="Q28" s="253">
        <f t="shared" si="74"/>
      </c>
      <c r="R28" s="253">
        <f t="shared" si="86"/>
      </c>
      <c r="S28" s="253">
        <f t="shared" si="82"/>
      </c>
      <c r="T28" s="253">
        <f t="shared" si="16"/>
      </c>
      <c r="U28" s="253">
        <f t="shared" si="1"/>
      </c>
      <c r="V28" s="251">
        <f t="shared" si="70"/>
      </c>
      <c r="W28" s="251">
        <f t="shared" si="21"/>
      </c>
      <c r="X28" s="251">
        <f t="shared" si="23"/>
      </c>
      <c r="Y28" s="251">
        <f t="shared" si="25"/>
      </c>
      <c r="Z28" s="251">
        <f t="shared" si="80"/>
      </c>
      <c r="AA28" s="251">
        <f t="shared" si="75"/>
      </c>
      <c r="AB28" s="252">
        <f t="shared" si="88"/>
      </c>
      <c r="AC28" s="252">
        <f t="shared" si="84"/>
      </c>
      <c r="AD28" s="252">
        <f t="shared" si="3"/>
      </c>
      <c r="AE28" s="251">
        <f t="shared" si="90"/>
      </c>
      <c r="AF28" s="252">
        <f t="shared" si="27"/>
      </c>
      <c r="AG28" s="251">
        <f t="shared" si="18"/>
      </c>
      <c r="AH28" s="251">
        <f t="shared" si="77"/>
      </c>
      <c r="AI28" s="254">
        <v>1897</v>
      </c>
      <c r="AJ28" s="254">
        <v>286</v>
      </c>
      <c r="AK28" s="254">
        <v>468</v>
      </c>
      <c r="AL28" s="254">
        <v>12</v>
      </c>
      <c r="AM28" s="254">
        <v>0</v>
      </c>
      <c r="AN28" s="254">
        <v>0</v>
      </c>
      <c r="AO28" s="254">
        <v>113</v>
      </c>
      <c r="AP28" s="254">
        <v>17</v>
      </c>
      <c r="AQ28" s="254">
        <v>1</v>
      </c>
      <c r="AR28" s="249">
        <v>0</v>
      </c>
      <c r="AS28" s="271">
        <v>1</v>
      </c>
    </row>
    <row r="29">
      <c r="A29" s="244"/>
      <c r="B29" s="245" t="s">
        <v>262</v>
      </c>
      <c r="C29" s="245" t="s">
        <v>263</v>
      </c>
      <c r="D29" s="246" t="s">
        <v>283</v>
      </c>
      <c r="E29" s="246" t="s">
        <v>279</v>
      </c>
      <c r="F29" s="247">
        <f t="shared" si="11"/>
      </c>
      <c r="G29" s="248">
        <v>70.27</v>
      </c>
      <c r="H29" s="248"/>
      <c r="I29" s="248">
        <v>357.04</v>
      </c>
      <c r="J29" s="249">
        <v>1</v>
      </c>
      <c r="K29" s="249">
        <v>0</v>
      </c>
      <c r="L29" s="250">
        <v>0</v>
      </c>
      <c r="M29" s="251">
        <f t="shared" si="0"/>
      </c>
      <c r="N29" s="252">
        <f t="shared" si="69"/>
      </c>
      <c r="O29" s="253">
        <f t="shared" si="20"/>
      </c>
      <c r="P29" s="253">
        <f t="shared" si="79"/>
      </c>
      <c r="Q29" s="253">
        <f t="shared" si="74"/>
      </c>
      <c r="R29" s="253">
        <f t="shared" si="86"/>
      </c>
      <c r="S29" s="253">
        <f t="shared" si="82"/>
      </c>
      <c r="T29" s="253">
        <f t="shared" si="16"/>
      </c>
      <c r="U29" s="253">
        <f t="shared" si="1"/>
      </c>
      <c r="V29" s="251">
        <f t="shared" si="70"/>
      </c>
      <c r="W29" s="251">
        <f t="shared" si="21"/>
      </c>
      <c r="X29" s="251">
        <f t="shared" si="23"/>
      </c>
      <c r="Y29" s="251">
        <f t="shared" si="25"/>
      </c>
      <c r="Z29" s="251">
        <f t="shared" si="80"/>
      </c>
      <c r="AA29" s="251">
        <f t="shared" si="75"/>
      </c>
      <c r="AB29" s="252">
        <f t="shared" si="88"/>
      </c>
      <c r="AC29" s="252">
        <f t="shared" si="84"/>
      </c>
      <c r="AD29" s="252">
        <f t="shared" si="3"/>
      </c>
      <c r="AE29" s="251">
        <f t="shared" si="90"/>
      </c>
      <c r="AF29" s="252">
        <f t="shared" si="27"/>
      </c>
      <c r="AG29" s="251">
        <f t="shared" si="18"/>
      </c>
      <c r="AH29" s="251">
        <f t="shared" si="77"/>
      </c>
      <c r="AI29" s="254">
        <v>1883</v>
      </c>
      <c r="AJ29" s="254">
        <v>216</v>
      </c>
      <c r="AK29" s="254">
        <v>370</v>
      </c>
      <c r="AL29" s="254">
        <v>10</v>
      </c>
      <c r="AM29" s="254">
        <v>0</v>
      </c>
      <c r="AN29" s="254">
        <v>0</v>
      </c>
      <c r="AO29" s="254">
        <v>64</v>
      </c>
      <c r="AP29" s="254">
        <v>19</v>
      </c>
      <c r="AQ29" s="254">
        <v>3</v>
      </c>
      <c r="AR29" s="249">
        <v>0</v>
      </c>
      <c r="AS29" s="271">
        <v>1</v>
      </c>
    </row>
    <row r="30">
      <c r="A30" s="244"/>
      <c r="B30" s="257" t="s">
        <v>268</v>
      </c>
      <c r="C30" s="257"/>
      <c r="D30" s="257"/>
      <c r="E30" s="257"/>
      <c r="F30" s="258">
        <f>SUM(F28:F29)</f>
      </c>
      <c r="G30" s="258">
        <f>SUM(G28:G29)</f>
      </c>
      <c r="H30" s="258"/>
      <c r="I30" s="258">
        <f>SUM(I28:I29)</f>
      </c>
      <c r="J30" s="259">
        <f>SUM(J28:J29)</f>
      </c>
      <c r="K30" s="259">
        <f>SUM(K28:K29)</f>
      </c>
      <c r="L30" s="258">
        <f>SUM(L28:L29)</f>
      </c>
      <c r="M30" s="260">
        <f t="shared" si="0"/>
      </c>
      <c r="N30" s="261">
        <f t="shared" si="69"/>
      </c>
      <c r="O30" s="262">
        <f t="shared" si="20"/>
      </c>
      <c r="P30" s="262">
        <f t="shared" si="79"/>
      </c>
      <c r="Q30" s="262">
        <f t="shared" si="74"/>
      </c>
      <c r="R30" s="262">
        <f t="shared" si="86"/>
      </c>
      <c r="S30" s="262">
        <f t="shared" si="82"/>
      </c>
      <c r="T30" s="262">
        <f t="shared" si="16"/>
      </c>
      <c r="U30" s="262">
        <f t="shared" si="1"/>
      </c>
      <c r="V30" s="260">
        <f t="shared" si="70"/>
      </c>
      <c r="W30" s="260">
        <f t="shared" si="21"/>
      </c>
      <c r="X30" s="260">
        <f t="shared" si="23"/>
      </c>
      <c r="Y30" s="260">
        <f t="shared" si="25"/>
      </c>
      <c r="Z30" s="260">
        <f t="shared" si="80"/>
      </c>
      <c r="AA30" s="260">
        <f t="shared" si="75"/>
      </c>
      <c r="AB30" s="261">
        <f t="shared" si="88"/>
      </c>
      <c r="AC30" s="261">
        <f t="shared" si="84"/>
      </c>
      <c r="AD30" s="261">
        <f t="shared" si="3"/>
      </c>
      <c r="AE30" s="260">
        <f t="shared" si="90"/>
      </c>
      <c r="AF30" s="261">
        <f t="shared" si="27"/>
      </c>
      <c r="AG30" s="260">
        <f t="shared" si="18"/>
      </c>
      <c r="AH30" s="260">
        <f t="shared" si="77"/>
      </c>
      <c r="AI30" s="259">
        <f>SUM(AI28:AI29)</f>
      </c>
      <c r="AJ30" s="259">
        <f>SUM(AJ28:AJ29)</f>
      </c>
      <c r="AK30" s="259">
        <f>SUM(AK28:AK29)</f>
      </c>
      <c r="AL30" s="259">
        <f>SUM(AL28:AL29)</f>
      </c>
      <c r="AM30" s="259">
        <f>SUM(AM28:AM29)</f>
      </c>
      <c r="AN30" s="259">
        <f>SUM(AN28:AN29)</f>
      </c>
      <c r="AO30" s="259">
        <f>SUM(AO28:AO29)</f>
      </c>
      <c r="AP30" s="259">
        <f>SUM(AP28:AP29)</f>
      </c>
      <c r="AQ30" s="259">
        <f>SUM(AQ28:AQ29)</f>
      </c>
      <c r="AR30" s="259">
        <f>SUM(AR28:AR29)</f>
      </c>
      <c r="AS30" s="263">
        <f>SUM(AS28:AS29)</f>
      </c>
    </row>
    <row r="31">
      <c r="A31" s="244"/>
      <c r="B31" s="245" t="s">
        <v>262</v>
      </c>
      <c r="C31" s="245" t="s">
        <v>263</v>
      </c>
      <c r="D31" s="246" t="s">
        <v>264</v>
      </c>
      <c r="E31" s="246" t="s">
        <v>280</v>
      </c>
      <c r="F31" s="247">
        <f t="shared" ref="F31:F33" si="12">G31+I31</f>
      </c>
      <c r="G31" s="248">
        <v>96.85</v>
      </c>
      <c r="H31" s="248"/>
      <c r="I31" s="248">
        <v>173.01</v>
      </c>
      <c r="J31" s="249">
        <v>0</v>
      </c>
      <c r="K31" s="249">
        <v>0</v>
      </c>
      <c r="L31" s="250">
        <v>0</v>
      </c>
      <c r="M31" s="251">
        <f t="shared" si="0"/>
      </c>
      <c r="N31" s="252">
        <f t="shared" si="69"/>
      </c>
      <c r="O31" s="253">
        <f t="shared" si="20"/>
      </c>
      <c r="P31" s="253">
        <f t="shared" si="79"/>
      </c>
      <c r="Q31" s="253">
        <f t="shared" si="74"/>
      </c>
      <c r="R31" s="253">
        <f t="shared" si="86"/>
      </c>
      <c r="S31" s="253">
        <f t="shared" si="82"/>
      </c>
      <c r="T31" s="253">
        <f t="shared" si="16"/>
      </c>
      <c r="U31" s="253">
        <f t="shared" si="1"/>
      </c>
      <c r="V31" s="251">
        <f t="shared" si="70"/>
      </c>
      <c r="W31" s="251">
        <f t="shared" si="21"/>
      </c>
      <c r="X31" s="251">
        <f t="shared" si="23"/>
      </c>
      <c r="Y31" s="251">
        <f t="shared" si="25"/>
      </c>
      <c r="Z31" s="251">
        <f t="shared" si="80"/>
      </c>
      <c r="AA31" s="251">
        <f t="shared" si="75"/>
      </c>
      <c r="AB31" s="252">
        <f t="shared" si="88"/>
      </c>
      <c r="AC31" s="252">
        <f t="shared" si="84"/>
      </c>
      <c r="AD31" s="252">
        <f t="shared" si="3"/>
      </c>
      <c r="AE31" s="251">
        <f t="shared" si="90"/>
      </c>
      <c r="AF31" s="252">
        <f t="shared" si="27"/>
      </c>
      <c r="AG31" s="251">
        <f t="shared" si="18"/>
      </c>
      <c r="AH31" s="251">
        <f t="shared" si="77"/>
      </c>
      <c r="AI31" s="254">
        <v>1960</v>
      </c>
      <c r="AJ31" s="249">
        <v>331</v>
      </c>
      <c r="AK31" s="249">
        <v>520</v>
      </c>
      <c r="AL31" s="249">
        <v>13</v>
      </c>
      <c r="AM31" s="249">
        <v>0</v>
      </c>
      <c r="AN31" s="249">
        <v>0</v>
      </c>
      <c r="AO31" s="249">
        <v>97</v>
      </c>
      <c r="AP31" s="249">
        <v>19</v>
      </c>
      <c r="AQ31" s="249">
        <v>4</v>
      </c>
      <c r="AR31" s="249">
        <v>0</v>
      </c>
      <c r="AS31" s="271">
        <v>1</v>
      </c>
    </row>
    <row r="32">
      <c r="A32" s="244"/>
      <c r="B32" s="245" t="s">
        <v>262</v>
      </c>
      <c r="C32" s="245" t="s">
        <v>263</v>
      </c>
      <c r="D32" s="246" t="s">
        <v>264</v>
      </c>
      <c r="E32" s="246" t="s">
        <v>281</v>
      </c>
      <c r="F32" s="247">
        <f t="shared" si="12"/>
      </c>
      <c r="G32" s="248">
        <v>121.9</v>
      </c>
      <c r="H32" s="248"/>
      <c r="I32" s="248">
        <v>176.26</v>
      </c>
      <c r="J32" s="249">
        <v>0</v>
      </c>
      <c r="K32" s="249">
        <v>0</v>
      </c>
      <c r="L32" s="250">
        <v>0</v>
      </c>
      <c r="M32" s="251">
        <f t="shared" si="0"/>
      </c>
      <c r="N32" s="252">
        <f t="shared" si="69"/>
      </c>
      <c r="O32" s="253">
        <f t="shared" si="20"/>
      </c>
      <c r="P32" s="253">
        <f t="shared" si="79"/>
      </c>
      <c r="Q32" s="253">
        <f t="shared" si="74"/>
      </c>
      <c r="R32" s="253">
        <f t="shared" si="86"/>
      </c>
      <c r="S32" s="253">
        <f t="shared" si="82"/>
      </c>
      <c r="T32" s="253">
        <f t="shared" si="16"/>
      </c>
      <c r="U32" s="253">
        <f t="shared" si="1"/>
      </c>
      <c r="V32" s="251">
        <f t="shared" si="70"/>
      </c>
      <c r="W32" s="251">
        <f t="shared" si="21"/>
      </c>
      <c r="X32" s="251">
        <f t="shared" si="23"/>
      </c>
      <c r="Y32" s="251">
        <f t="shared" si="25"/>
      </c>
      <c r="Z32" s="251">
        <f t="shared" si="80"/>
      </c>
      <c r="AA32" s="251">
        <f t="shared" si="75"/>
      </c>
      <c r="AB32" s="252">
        <f t="shared" si="88"/>
      </c>
      <c r="AC32" s="252">
        <f t="shared" si="84"/>
      </c>
      <c r="AD32" s="252">
        <f t="shared" si="3"/>
      </c>
      <c r="AE32" s="251">
        <f t="shared" si="90"/>
      </c>
      <c r="AF32" s="252">
        <f t="shared" si="27"/>
      </c>
      <c r="AG32" s="251">
        <f t="shared" si="18"/>
      </c>
      <c r="AH32" s="251">
        <f t="shared" si="77"/>
      </c>
      <c r="AI32" s="249">
        <v>529</v>
      </c>
      <c r="AJ32" s="254">
        <v>85</v>
      </c>
      <c r="AK32" s="254">
        <v>129</v>
      </c>
      <c r="AL32" s="254">
        <v>0</v>
      </c>
      <c r="AM32" s="254">
        <v>0</v>
      </c>
      <c r="AN32" s="254">
        <v>0</v>
      </c>
      <c r="AO32" s="254">
        <v>25</v>
      </c>
      <c r="AP32" s="254">
        <v>3</v>
      </c>
      <c r="AQ32" s="254">
        <v>13</v>
      </c>
      <c r="AR32" s="254">
        <v>0</v>
      </c>
      <c r="AS32" s="271">
        <v>1</v>
      </c>
    </row>
    <row r="33">
      <c r="A33" s="244"/>
      <c r="B33" s="245" t="s">
        <v>262</v>
      </c>
      <c r="C33" s="245" t="s">
        <v>263</v>
      </c>
      <c r="D33" s="246" t="s">
        <v>264</v>
      </c>
      <c r="E33" s="246" t="s">
        <v>282</v>
      </c>
      <c r="F33" s="247">
        <f t="shared" si="12"/>
      </c>
      <c r="G33" s="248">
        <v>90.08</v>
      </c>
      <c r="H33" s="248"/>
      <c r="I33" s="248">
        <v>182.21</v>
      </c>
      <c r="J33" s="249">
        <v>0</v>
      </c>
      <c r="K33" s="249">
        <v>0</v>
      </c>
      <c r="L33" s="250">
        <v>0</v>
      </c>
      <c r="M33" s="251">
        <f t="shared" si="0"/>
      </c>
      <c r="N33" s="252">
        <f t="shared" si="69"/>
      </c>
      <c r="O33" s="253">
        <f t="shared" si="20"/>
      </c>
      <c r="P33" s="253">
        <f t="shared" si="79"/>
      </c>
      <c r="Q33" s="253">
        <f t="shared" si="74"/>
      </c>
      <c r="R33" s="253">
        <f t="shared" si="86"/>
      </c>
      <c r="S33" s="253">
        <f t="shared" si="82"/>
      </c>
      <c r="T33" s="253">
        <f t="shared" si="16"/>
      </c>
      <c r="U33" s="253">
        <f t="shared" si="1"/>
      </c>
      <c r="V33" s="251">
        <f t="shared" si="70"/>
      </c>
      <c r="W33" s="251">
        <f t="shared" si="21"/>
      </c>
      <c r="X33" s="251">
        <f t="shared" si="23"/>
      </c>
      <c r="Y33" s="251">
        <f t="shared" si="25"/>
      </c>
      <c r="Z33" s="251">
        <f t="shared" si="80"/>
      </c>
      <c r="AA33" s="251">
        <f t="shared" si="75"/>
      </c>
      <c r="AB33" s="252">
        <f t="shared" si="88"/>
      </c>
      <c r="AC33" s="252">
        <f t="shared" si="84"/>
      </c>
      <c r="AD33" s="252">
        <f t="shared" si="3"/>
      </c>
      <c r="AE33" s="251">
        <f t="shared" si="90"/>
      </c>
      <c r="AF33" s="252">
        <f t="shared" si="27"/>
      </c>
      <c r="AG33" s="251">
        <f t="shared" si="18"/>
      </c>
      <c r="AH33" s="251">
        <f t="shared" si="77"/>
      </c>
      <c r="AI33" s="254">
        <v>224</v>
      </c>
      <c r="AJ33" s="254">
        <v>35</v>
      </c>
      <c r="AK33" s="254">
        <v>59</v>
      </c>
      <c r="AL33" s="254">
        <v>3</v>
      </c>
      <c r="AM33" s="254">
        <v>0</v>
      </c>
      <c r="AN33" s="254">
        <v>0</v>
      </c>
      <c r="AO33" s="254">
        <v>12</v>
      </c>
      <c r="AP33" s="254">
        <v>4</v>
      </c>
      <c r="AQ33" s="254">
        <v>0</v>
      </c>
      <c r="AR33" s="249">
        <v>0</v>
      </c>
      <c r="AS33" s="271">
        <v>1</v>
      </c>
    </row>
    <row r="34">
      <c r="A34" s="244"/>
      <c r="B34" s="257" t="s">
        <v>268</v>
      </c>
      <c r="C34" s="257"/>
      <c r="D34" s="257"/>
      <c r="E34" s="257"/>
      <c r="F34" s="258">
        <f>SUM(F31:F33)</f>
      </c>
      <c r="G34" s="258">
        <f>SUM(G31:G33)</f>
      </c>
      <c r="H34" s="258"/>
      <c r="I34" s="258">
        <f>SUM(I31:I33)</f>
      </c>
      <c r="J34" s="259">
        <f>SUM(J31:J33)</f>
      </c>
      <c r="K34" s="259">
        <f>SUM(K31:K33)</f>
      </c>
      <c r="L34" s="258">
        <f>SUM(L31:L33)</f>
      </c>
      <c r="M34" s="260">
        <f t="shared" si="0"/>
      </c>
      <c r="N34" s="261">
        <f t="shared" si="69"/>
      </c>
      <c r="O34" s="262">
        <f t="shared" si="20"/>
      </c>
      <c r="P34" s="262">
        <f t="shared" si="79"/>
      </c>
      <c r="Q34" s="262">
        <f t="shared" si="74"/>
      </c>
      <c r="R34" s="262">
        <f t="shared" si="86"/>
      </c>
      <c r="S34" s="262">
        <f t="shared" si="82"/>
      </c>
      <c r="T34" s="262">
        <f t="shared" si="16"/>
      </c>
      <c r="U34" s="262">
        <f t="shared" si="1"/>
      </c>
      <c r="V34" s="260">
        <f t="shared" si="70"/>
      </c>
      <c r="W34" s="260">
        <f t="shared" si="21"/>
      </c>
      <c r="X34" s="260">
        <f t="shared" si="23"/>
      </c>
      <c r="Y34" s="260">
        <f t="shared" si="25"/>
      </c>
      <c r="Z34" s="260">
        <f t="shared" si="80"/>
      </c>
      <c r="AA34" s="260">
        <f t="shared" si="75"/>
      </c>
      <c r="AB34" s="261">
        <f t="shared" si="88"/>
      </c>
      <c r="AC34" s="261">
        <f t="shared" si="84"/>
      </c>
      <c r="AD34" s="261">
        <f t="shared" si="3"/>
      </c>
      <c r="AE34" s="260">
        <f t="shared" si="90"/>
      </c>
      <c r="AF34" s="261">
        <f t="shared" si="27"/>
      </c>
      <c r="AG34" s="260">
        <f t="shared" si="18"/>
      </c>
      <c r="AH34" s="260">
        <f t="shared" si="77"/>
      </c>
      <c r="AI34" s="259">
        <f>SUM(AI31:AI33)</f>
      </c>
      <c r="AJ34" s="259">
        <f>SUM(AJ31:AJ33)</f>
      </c>
      <c r="AK34" s="259">
        <f>SUM(AK31:AK33)</f>
      </c>
      <c r="AL34" s="259">
        <f>SUM(AL31:AL33)</f>
      </c>
      <c r="AM34" s="259">
        <f>SUM(AM31:AM33)</f>
      </c>
      <c r="AN34" s="259">
        <f>SUM(AN31:AN33)</f>
      </c>
      <c r="AO34" s="259">
        <f>SUM(AO31:AO33)</f>
      </c>
      <c r="AP34" s="259">
        <f>SUM(AP31:AP33)</f>
      </c>
      <c r="AQ34" s="259">
        <f>SUM(AQ31:AQ33)</f>
      </c>
      <c r="AR34" s="259">
        <f>SUM(AR31:AR33)</f>
      </c>
      <c r="AS34" s="263">
        <f>SUM(AS31:AS33)</f>
      </c>
    </row>
    <row r="35">
      <c r="A35" s="244"/>
      <c r="B35" s="264" t="s">
        <v>273</v>
      </c>
      <c r="C35" s="264"/>
      <c r="D35" s="264"/>
      <c r="E35" s="264"/>
      <c r="F35" s="265">
        <f t="shared" ref="F35:F38" si="13">G35+I35</f>
      </c>
      <c r="G35" s="265">
        <f>G27+G34+G30</f>
      </c>
      <c r="H35" s="265"/>
      <c r="I35" s="265">
        <f>I27+I34+I30</f>
      </c>
      <c r="J35" s="265">
        <f>J27+J34+J30</f>
      </c>
      <c r="K35" s="265">
        <f>K27+K34+K30</f>
      </c>
      <c r="L35" s="265">
        <f>L27+L34+L30</f>
      </c>
      <c r="M35" s="267">
        <f t="shared" si="0"/>
      </c>
      <c r="N35" s="268">
        <f t="shared" si="69"/>
      </c>
      <c r="O35" s="269">
        <f t="shared" si="20"/>
      </c>
      <c r="P35" s="269">
        <f t="shared" si="79"/>
      </c>
      <c r="Q35" s="269">
        <f t="shared" si="74"/>
      </c>
      <c r="R35" s="269">
        <f t="shared" si="86"/>
      </c>
      <c r="S35" s="269">
        <f t="shared" si="82"/>
      </c>
      <c r="T35" s="269">
        <f t="shared" si="16"/>
      </c>
      <c r="U35" s="269">
        <f t="shared" si="1"/>
      </c>
      <c r="V35" s="267">
        <f t="shared" si="70"/>
      </c>
      <c r="W35" s="267">
        <f t="shared" si="21"/>
      </c>
      <c r="X35" s="267">
        <f t="shared" si="23"/>
      </c>
      <c r="Y35" s="267">
        <f t="shared" si="25"/>
      </c>
      <c r="Z35" s="267">
        <f t="shared" si="80"/>
      </c>
      <c r="AA35" s="267">
        <f t="shared" si="75"/>
      </c>
      <c r="AB35" s="268">
        <f t="shared" si="88"/>
      </c>
      <c r="AC35" s="268">
        <f t="shared" si="84"/>
      </c>
      <c r="AD35" s="268">
        <f t="shared" si="3"/>
      </c>
      <c r="AE35" s="267">
        <f t="shared" si="90"/>
      </c>
      <c r="AF35" s="268">
        <f t="shared" si="27"/>
      </c>
      <c r="AG35" s="267">
        <f t="shared" si="18"/>
      </c>
      <c r="AH35" s="267">
        <f t="shared" si="77"/>
      </c>
      <c r="AI35" s="270">
        <f>AI27+AI34+AI30</f>
      </c>
      <c r="AJ35" s="270">
        <f>AJ27+AJ34+AJ30</f>
      </c>
      <c r="AK35" s="270">
        <f>AK27+AK34+AK30</f>
      </c>
      <c r="AL35" s="270">
        <f>AL27+AL34+AL30</f>
      </c>
      <c r="AM35" s="270">
        <f>AM27+AM34+AM30</f>
      </c>
      <c r="AN35" s="270">
        <f>AN27+AN34+AN30</f>
      </c>
      <c r="AO35" s="270">
        <f>AO27+AO34+AO30</f>
      </c>
      <c r="AP35" s="270">
        <f>AP27+AP34+AP30</f>
      </c>
      <c r="AQ35" s="270">
        <f>AQ27+AQ34+AQ30</f>
      </c>
      <c r="AR35" s="270">
        <f>AR27+AR34+AR30</f>
      </c>
      <c r="AS35" s="263">
        <f>AS27+AS34+AS30</f>
      </c>
    </row>
    <row r="36">
      <c r="A36" s="244">
        <v>46251</v>
      </c>
      <c r="B36" s="245" t="s">
        <v>284</v>
      </c>
      <c r="C36" s="245" t="s">
        <v>263</v>
      </c>
      <c r="D36" s="246" t="s">
        <v>269</v>
      </c>
      <c r="E36" s="246" t="s">
        <v>274</v>
      </c>
      <c r="F36" s="247">
        <f t="shared" si="13"/>
      </c>
      <c r="G36" s="248">
        <v>580.64</v>
      </c>
      <c r="H36" s="248"/>
      <c r="I36" s="248">
        <v>284.05</v>
      </c>
      <c r="J36" s="249">
        <v>0</v>
      </c>
      <c r="K36" s="249">
        <v>0</v>
      </c>
      <c r="L36" s="250">
        <v>0</v>
      </c>
      <c r="M36" s="251">
        <f t="shared" si="0"/>
      </c>
      <c r="N36" s="252">
        <f t="shared" si="69"/>
      </c>
      <c r="O36" s="253">
        <f t="shared" si="20"/>
      </c>
      <c r="P36" s="253">
        <f t="shared" si="79"/>
      </c>
      <c r="Q36" s="253">
        <f t="shared" si="74"/>
      </c>
      <c r="R36" s="253">
        <f t="shared" si="86"/>
      </c>
      <c r="S36" s="253">
        <f t="shared" si="82"/>
      </c>
      <c r="T36" s="253">
        <f t="shared" si="16"/>
      </c>
      <c r="U36" s="253">
        <f t="shared" si="1"/>
      </c>
      <c r="V36" s="251">
        <f t="shared" si="70"/>
      </c>
      <c r="W36" s="251">
        <f t="shared" si="21"/>
      </c>
      <c r="X36" s="251">
        <f t="shared" si="23"/>
      </c>
      <c r="Y36" s="251">
        <f t="shared" si="25"/>
      </c>
      <c r="Z36" s="251">
        <f t="shared" si="80"/>
      </c>
      <c r="AA36" s="251">
        <f t="shared" si="75"/>
      </c>
      <c r="AB36" s="252">
        <f t="shared" si="88"/>
      </c>
      <c r="AC36" s="252">
        <f t="shared" si="84"/>
      </c>
      <c r="AD36" s="252">
        <f t="shared" si="3"/>
      </c>
      <c r="AE36" s="251">
        <f t="shared" si="90"/>
      </c>
      <c r="AF36" s="252">
        <f t="shared" si="27"/>
      </c>
      <c r="AG36" s="251">
        <f t="shared" si="18"/>
      </c>
      <c r="AH36" s="251">
        <f t="shared" si="77"/>
      </c>
      <c r="AI36" s="273">
        <v>2184</v>
      </c>
      <c r="AJ36" s="254">
        <v>270</v>
      </c>
      <c r="AK36" s="254">
        <v>308</v>
      </c>
      <c r="AL36" s="254">
        <v>17</v>
      </c>
      <c r="AM36" s="254">
        <v>0</v>
      </c>
      <c r="AN36" s="254">
        <v>0</v>
      </c>
      <c r="AO36" s="254">
        <v>47</v>
      </c>
      <c r="AP36" s="254">
        <v>29</v>
      </c>
      <c r="AQ36" s="254">
        <v>0</v>
      </c>
      <c r="AR36" s="249">
        <v>0</v>
      </c>
      <c r="AS36" s="271">
        <v>1</v>
      </c>
    </row>
    <row r="37">
      <c r="A37" s="244"/>
      <c r="B37" s="245" t="s">
        <v>284</v>
      </c>
      <c r="C37" s="245" t="s">
        <v>263</v>
      </c>
      <c r="D37" s="246" t="s">
        <v>269</v>
      </c>
      <c r="E37" s="246" t="s">
        <v>275</v>
      </c>
      <c r="F37" s="247">
        <f t="shared" si="13"/>
      </c>
      <c r="G37" s="272">
        <v>997.5</v>
      </c>
      <c r="H37" s="272"/>
      <c r="I37" s="248">
        <v>103.57</v>
      </c>
      <c r="J37" s="249">
        <v>0</v>
      </c>
      <c r="K37" s="249">
        <v>0</v>
      </c>
      <c r="L37" s="250">
        <v>0</v>
      </c>
      <c r="M37" s="251">
        <f t="shared" si="0"/>
      </c>
      <c r="N37" s="252">
        <f t="shared" si="69"/>
      </c>
      <c r="O37" s="253">
        <f t="shared" si="20"/>
      </c>
      <c r="P37" s="253">
        <f t="shared" si="79"/>
      </c>
      <c r="Q37" s="253">
        <f t="shared" si="74"/>
      </c>
      <c r="R37" s="253">
        <f t="shared" si="86"/>
      </c>
      <c r="S37" s="253">
        <f t="shared" si="82"/>
      </c>
      <c r="T37" s="253">
        <f t="shared" si="16"/>
      </c>
      <c r="U37" s="253">
        <f t="shared" si="1"/>
      </c>
      <c r="V37" s="251">
        <f t="shared" si="70"/>
      </c>
      <c r="W37" s="251">
        <f t="shared" si="21"/>
      </c>
      <c r="X37" s="251">
        <f t="shared" si="23"/>
      </c>
      <c r="Y37" s="251">
        <f t="shared" si="25"/>
      </c>
      <c r="Z37" s="251">
        <f t="shared" si="80"/>
      </c>
      <c r="AA37" s="251">
        <f t="shared" si="75"/>
      </c>
      <c r="AB37" s="252">
        <f t="shared" si="88"/>
      </c>
      <c r="AC37" s="252">
        <f t="shared" si="84"/>
      </c>
      <c r="AD37" s="252">
        <f t="shared" si="3"/>
      </c>
      <c r="AE37" s="251">
        <f t="shared" si="90"/>
      </c>
      <c r="AF37" s="252">
        <f t="shared" si="27"/>
      </c>
      <c r="AG37" s="251">
        <f t="shared" si="18"/>
      </c>
      <c r="AH37" s="251">
        <f t="shared" si="77"/>
      </c>
      <c r="AI37" s="254">
        <v>3267</v>
      </c>
      <c r="AJ37" s="254">
        <v>330</v>
      </c>
      <c r="AK37" s="254">
        <v>367</v>
      </c>
      <c r="AL37" s="254">
        <v>10</v>
      </c>
      <c r="AM37" s="254">
        <v>0</v>
      </c>
      <c r="AN37" s="254">
        <v>0</v>
      </c>
      <c r="AO37" s="254">
        <v>31</v>
      </c>
      <c r="AP37" s="254">
        <v>16</v>
      </c>
      <c r="AQ37" s="254">
        <v>0</v>
      </c>
      <c r="AR37" s="249">
        <v>0</v>
      </c>
      <c r="AS37" s="271">
        <v>1</v>
      </c>
    </row>
    <row r="38">
      <c r="A38" s="244"/>
      <c r="B38" s="245" t="s">
        <v>284</v>
      </c>
      <c r="C38" s="245" t="s">
        <v>263</v>
      </c>
      <c r="D38" s="246" t="s">
        <v>269</v>
      </c>
      <c r="E38" s="246" t="s">
        <v>276</v>
      </c>
      <c r="F38" s="247">
        <f t="shared" si="13"/>
      </c>
      <c r="G38" s="248">
        <v>578.61</v>
      </c>
      <c r="H38" s="248"/>
      <c r="I38" s="248">
        <v>71.7</v>
      </c>
      <c r="J38" s="249">
        <v>0</v>
      </c>
      <c r="K38" s="249">
        <v>0</v>
      </c>
      <c r="L38" s="250">
        <v>0</v>
      </c>
      <c r="M38" s="251">
        <f t="shared" si="0"/>
      </c>
      <c r="N38" s="252">
        <f t="shared" si="69"/>
      </c>
      <c r="O38" s="253">
        <f t="shared" si="20"/>
      </c>
      <c r="P38" s="253">
        <f t="shared" si="79"/>
      </c>
      <c r="Q38" s="253">
        <f t="shared" si="74"/>
      </c>
      <c r="R38" s="253">
        <f t="shared" si="86"/>
      </c>
      <c r="S38" s="253">
        <f t="shared" si="82"/>
      </c>
      <c r="T38" s="253">
        <f t="shared" si="16"/>
      </c>
      <c r="U38" s="253">
        <f t="shared" si="1"/>
      </c>
      <c r="V38" s="251">
        <f t="shared" si="70"/>
      </c>
      <c r="W38" s="251">
        <f t="shared" si="21"/>
      </c>
      <c r="X38" s="251">
        <f t="shared" si="23"/>
      </c>
      <c r="Y38" s="251">
        <f t="shared" si="25"/>
      </c>
      <c r="Z38" s="251">
        <f t="shared" si="80"/>
      </c>
      <c r="AA38" s="251">
        <f t="shared" si="75"/>
      </c>
      <c r="AB38" s="252">
        <f t="shared" si="88"/>
      </c>
      <c r="AC38" s="252">
        <f t="shared" si="84"/>
      </c>
      <c r="AD38" s="252">
        <f t="shared" si="3"/>
      </c>
      <c r="AE38" s="251">
        <f t="shared" si="90"/>
      </c>
      <c r="AF38" s="252">
        <f t="shared" si="27"/>
      </c>
      <c r="AG38" s="251">
        <f t="shared" si="18"/>
      </c>
      <c r="AH38" s="251">
        <f t="shared" si="77"/>
      </c>
      <c r="AI38" s="249">
        <v>1516</v>
      </c>
      <c r="AJ38" s="249">
        <v>232</v>
      </c>
      <c r="AK38" s="249">
        <v>260</v>
      </c>
      <c r="AL38" s="249">
        <v>10</v>
      </c>
      <c r="AM38" s="249">
        <v>0</v>
      </c>
      <c r="AN38" s="249">
        <v>0</v>
      </c>
      <c r="AO38" s="249">
        <v>23</v>
      </c>
      <c r="AP38" s="249">
        <v>15</v>
      </c>
      <c r="AQ38" s="249">
        <v>0</v>
      </c>
      <c r="AR38" s="249">
        <v>0</v>
      </c>
      <c r="AS38" s="271">
        <v>1</v>
      </c>
    </row>
    <row r="39">
      <c r="A39" s="244"/>
      <c r="B39" s="257" t="s">
        <v>268</v>
      </c>
      <c r="C39" s="257"/>
      <c r="D39" s="257"/>
      <c r="E39" s="257"/>
      <c r="F39" s="258">
        <f>SUM(F36:F38)</f>
      </c>
      <c r="G39" s="258">
        <f>SUM(G36:G38)</f>
      </c>
      <c r="H39" s="258"/>
      <c r="I39" s="258">
        <f>SUM(I36:I38)</f>
      </c>
      <c r="J39" s="259">
        <f>SUM(J36:J38)</f>
      </c>
      <c r="K39" s="259">
        <f>SUM(K36:K38)</f>
      </c>
      <c r="L39" s="258">
        <f>SUM(L36:L38)</f>
      </c>
      <c r="M39" s="260">
        <f t="shared" si="0"/>
      </c>
      <c r="N39" s="261">
        <f t="shared" si="69"/>
      </c>
      <c r="O39" s="262">
        <f t="shared" si="20"/>
      </c>
      <c r="P39" s="262">
        <f t="shared" si="79"/>
      </c>
      <c r="Q39" s="262">
        <f t="shared" si="74"/>
      </c>
      <c r="R39" s="262">
        <f t="shared" si="86"/>
      </c>
      <c r="S39" s="262">
        <f t="shared" si="82"/>
      </c>
      <c r="T39" s="262">
        <f t="shared" si="16"/>
      </c>
      <c r="U39" s="262">
        <f t="shared" si="1"/>
      </c>
      <c r="V39" s="260">
        <f t="shared" si="70"/>
      </c>
      <c r="W39" s="260">
        <f t="shared" si="21"/>
      </c>
      <c r="X39" s="260">
        <f t="shared" si="23"/>
      </c>
      <c r="Y39" s="260">
        <f t="shared" si="25"/>
      </c>
      <c r="Z39" s="260">
        <f t="shared" si="80"/>
      </c>
      <c r="AA39" s="260">
        <f t="shared" si="75"/>
      </c>
      <c r="AB39" s="261">
        <f t="shared" si="88"/>
      </c>
      <c r="AC39" s="261">
        <f t="shared" si="84"/>
      </c>
      <c r="AD39" s="261">
        <f t="shared" si="3"/>
      </c>
      <c r="AE39" s="260">
        <f t="shared" si="90"/>
      </c>
      <c r="AF39" s="261">
        <f t="shared" si="27"/>
      </c>
      <c r="AG39" s="260">
        <f t="shared" si="18"/>
      </c>
      <c r="AH39" s="260">
        <f t="shared" si="77"/>
      </c>
      <c r="AI39" s="259">
        <f>SUM(AI36:AI38)</f>
      </c>
      <c r="AJ39" s="259">
        <f>SUM(AJ36:AJ38)</f>
      </c>
      <c r="AK39" s="259">
        <f>SUM(AK36:AK38)</f>
      </c>
      <c r="AL39" s="259">
        <f>SUM(AL36:AL38)</f>
      </c>
      <c r="AM39" s="259">
        <f>SUM(AM36:AM38)</f>
      </c>
      <c r="AN39" s="259">
        <f>SUM(AN36:AN38)</f>
      </c>
      <c r="AO39" s="259">
        <f>SUM(AO36:AO38)</f>
      </c>
      <c r="AP39" s="259">
        <f>SUM(AP36:AP38)</f>
      </c>
      <c r="AQ39" s="259">
        <f>SUM(AQ36:AQ38)</f>
      </c>
      <c r="AR39" s="259">
        <f>SUM(AR36:AR38)</f>
      </c>
      <c r="AS39" s="263">
        <f>SUM(AS36:AS38)</f>
      </c>
    </row>
    <row r="40">
      <c r="A40" s="244"/>
      <c r="B40" s="245" t="s">
        <v>284</v>
      </c>
      <c r="C40" s="245" t="s">
        <v>263</v>
      </c>
      <c r="D40" s="246" t="s">
        <v>277</v>
      </c>
      <c r="E40" s="246" t="s">
        <v>278</v>
      </c>
      <c r="F40" s="247">
        <f t="shared" ref="F40:F41" si="14">G40+I40</f>
      </c>
      <c r="G40" s="248">
        <v>507.83</v>
      </c>
      <c r="H40" s="248"/>
      <c r="I40" s="248">
        <v>132.72</v>
      </c>
      <c r="J40" s="249">
        <v>0</v>
      </c>
      <c r="K40" s="249">
        <v>0</v>
      </c>
      <c r="L40" s="250">
        <v>0</v>
      </c>
      <c r="M40" s="251">
        <f t="shared" si="0"/>
      </c>
      <c r="N40" s="252">
        <f t="shared" si="69"/>
      </c>
      <c r="O40" s="253">
        <f t="shared" si="20"/>
      </c>
      <c r="P40" s="253">
        <f t="shared" si="79"/>
      </c>
      <c r="Q40" s="253">
        <f t="shared" si="74"/>
      </c>
      <c r="R40" s="253">
        <f t="shared" si="86"/>
      </c>
      <c r="S40" s="253">
        <f t="shared" si="82"/>
      </c>
      <c r="T40" s="253">
        <f t="shared" si="16"/>
      </c>
      <c r="U40" s="253">
        <f t="shared" si="1"/>
      </c>
      <c r="V40" s="251">
        <f t="shared" si="70"/>
      </c>
      <c r="W40" s="251">
        <f t="shared" si="21"/>
      </c>
      <c r="X40" s="251">
        <f t="shared" si="23"/>
      </c>
      <c r="Y40" s="251">
        <f t="shared" si="25"/>
      </c>
      <c r="Z40" s="251">
        <f t="shared" si="80"/>
      </c>
      <c r="AA40" s="251">
        <f t="shared" si="75"/>
      </c>
      <c r="AB40" s="252">
        <f t="shared" si="88"/>
      </c>
      <c r="AC40" s="252">
        <f t="shared" si="84"/>
      </c>
      <c r="AD40" s="252">
        <f t="shared" si="3"/>
      </c>
      <c r="AE40" s="251">
        <f t="shared" si="90"/>
      </c>
      <c r="AF40" s="252">
        <f t="shared" si="27"/>
      </c>
      <c r="AG40" s="251">
        <f t="shared" si="18"/>
      </c>
      <c r="AH40" s="251">
        <f t="shared" si="77"/>
      </c>
      <c r="AI40" s="254">
        <v>1604</v>
      </c>
      <c r="AJ40" s="254">
        <v>190</v>
      </c>
      <c r="AK40" s="254">
        <v>206</v>
      </c>
      <c r="AL40" s="254">
        <v>12</v>
      </c>
      <c r="AM40" s="254">
        <v>0</v>
      </c>
      <c r="AN40" s="254">
        <v>0</v>
      </c>
      <c r="AO40" s="254">
        <v>17</v>
      </c>
      <c r="AP40" s="254">
        <v>17</v>
      </c>
      <c r="AQ40" s="254">
        <v>0</v>
      </c>
      <c r="AR40" s="249">
        <v>0</v>
      </c>
      <c r="AS40" s="271">
        <v>1</v>
      </c>
    </row>
    <row r="41">
      <c r="A41" s="244"/>
      <c r="B41" s="245" t="s">
        <v>284</v>
      </c>
      <c r="C41" s="245" t="s">
        <v>263</v>
      </c>
      <c r="D41" s="246" t="s">
        <v>277</v>
      </c>
      <c r="E41" s="246" t="s">
        <v>279</v>
      </c>
      <c r="F41" s="247">
        <f t="shared" si="14"/>
      </c>
      <c r="G41" s="248">
        <v>288.87</v>
      </c>
      <c r="H41" s="248"/>
      <c r="I41" s="248">
        <v>156.26</v>
      </c>
      <c r="J41" s="249">
        <v>0</v>
      </c>
      <c r="K41" s="249">
        <v>0</v>
      </c>
      <c r="L41" s="250">
        <v>0</v>
      </c>
      <c r="M41" s="251">
        <f t="shared" si="0"/>
      </c>
      <c r="N41" s="252">
        <f t="shared" si="69"/>
      </c>
      <c r="O41" s="253">
        <f t="shared" si="20"/>
      </c>
      <c r="P41" s="253">
        <f t="shared" si="79"/>
      </c>
      <c r="Q41" s="253">
        <f t="shared" si="74"/>
      </c>
      <c r="R41" s="253">
        <f t="shared" si="86"/>
      </c>
      <c r="S41" s="253">
        <f t="shared" si="82"/>
      </c>
      <c r="T41" s="253">
        <f t="shared" si="16"/>
      </c>
      <c r="U41" s="253">
        <f t="shared" si="1"/>
      </c>
      <c r="V41" s="251">
        <f t="shared" si="70"/>
      </c>
      <c r="W41" s="251">
        <f t="shared" si="21"/>
      </c>
      <c r="X41" s="251">
        <f t="shared" si="23"/>
      </c>
      <c r="Y41" s="251">
        <f t="shared" si="25"/>
      </c>
      <c r="Z41" s="251">
        <f t="shared" si="80"/>
      </c>
      <c r="AA41" s="251">
        <f t="shared" si="75"/>
      </c>
      <c r="AB41" s="252">
        <f t="shared" si="88"/>
      </c>
      <c r="AC41" s="252">
        <f t="shared" si="84"/>
      </c>
      <c r="AD41" s="252">
        <f t="shared" si="3"/>
      </c>
      <c r="AE41" s="251">
        <f t="shared" si="90"/>
      </c>
      <c r="AF41" s="252">
        <f t="shared" si="27"/>
      </c>
      <c r="AG41" s="251">
        <f t="shared" si="18"/>
      </c>
      <c r="AH41" s="251">
        <f t="shared" si="77"/>
      </c>
      <c r="AI41" s="254">
        <v>1554</v>
      </c>
      <c r="AJ41" s="254">
        <v>176</v>
      </c>
      <c r="AK41" s="254">
        <v>210</v>
      </c>
      <c r="AL41" s="254">
        <v>15</v>
      </c>
      <c r="AM41" s="254">
        <v>0</v>
      </c>
      <c r="AN41" s="254">
        <v>0</v>
      </c>
      <c r="AO41" s="254">
        <v>26</v>
      </c>
      <c r="AP41" s="254">
        <v>5</v>
      </c>
      <c r="AQ41" s="254">
        <v>1</v>
      </c>
      <c r="AR41" s="249">
        <v>0</v>
      </c>
      <c r="AS41" s="271">
        <v>1</v>
      </c>
    </row>
    <row r="42">
      <c r="A42" s="244"/>
      <c r="B42" s="257" t="s">
        <v>268</v>
      </c>
      <c r="C42" s="257"/>
      <c r="D42" s="257"/>
      <c r="E42" s="257"/>
      <c r="F42" s="258">
        <f>SUM(F40:F41)</f>
      </c>
      <c r="G42" s="258">
        <f>SUM(G40:G41)</f>
      </c>
      <c r="H42" s="258"/>
      <c r="I42" s="258">
        <f>SUM(I40:I41)</f>
      </c>
      <c r="J42" s="259">
        <f>SUM(J40:J41)</f>
      </c>
      <c r="K42" s="259">
        <f>SUM(K40:K41)</f>
      </c>
      <c r="L42" s="258">
        <f>SUM(L40:L41)</f>
      </c>
      <c r="M42" s="260">
        <f t="shared" si="0"/>
      </c>
      <c r="N42" s="261">
        <f t="shared" si="69"/>
      </c>
      <c r="O42" s="262">
        <f t="shared" si="20"/>
      </c>
      <c r="P42" s="262">
        <f t="shared" si="79"/>
      </c>
      <c r="Q42" s="262">
        <f t="shared" si="74"/>
      </c>
      <c r="R42" s="262">
        <f t="shared" si="86"/>
      </c>
      <c r="S42" s="262">
        <f t="shared" si="82"/>
      </c>
      <c r="T42" s="262">
        <f t="shared" si="16"/>
      </c>
      <c r="U42" s="262">
        <f t="shared" si="1"/>
      </c>
      <c r="V42" s="260">
        <f t="shared" si="70"/>
      </c>
      <c r="W42" s="260">
        <f t="shared" si="21"/>
      </c>
      <c r="X42" s="260">
        <f t="shared" si="23"/>
      </c>
      <c r="Y42" s="260">
        <f t="shared" si="25"/>
      </c>
      <c r="Z42" s="260">
        <f t="shared" si="80"/>
      </c>
      <c r="AA42" s="260">
        <f t="shared" si="75"/>
      </c>
      <c r="AB42" s="261">
        <f t="shared" si="88"/>
      </c>
      <c r="AC42" s="261">
        <f t="shared" si="84"/>
      </c>
      <c r="AD42" s="261">
        <f t="shared" si="3"/>
      </c>
      <c r="AE42" s="260">
        <f t="shared" si="90"/>
      </c>
      <c r="AF42" s="261">
        <f t="shared" si="27"/>
      </c>
      <c r="AG42" s="260">
        <f t="shared" si="18"/>
      </c>
      <c r="AH42" s="260">
        <f t="shared" si="77"/>
      </c>
      <c r="AI42" s="259">
        <f>SUM(AI40:AI41)</f>
      </c>
      <c r="AJ42" s="259">
        <f>SUM(AJ40:AJ41)</f>
      </c>
      <c r="AK42" s="259">
        <f>SUM(AK40:AK41)</f>
      </c>
      <c r="AL42" s="259">
        <f>SUM(AL40:AL41)</f>
      </c>
      <c r="AM42" s="259">
        <f>SUM(AM40:AM41)</f>
      </c>
      <c r="AN42" s="259">
        <f>SUM(AN40:AN41)</f>
      </c>
      <c r="AO42" s="259">
        <f>SUM(AO40:AO41)</f>
      </c>
      <c r="AP42" s="259">
        <f>SUM(AP40:AP41)</f>
      </c>
      <c r="AQ42" s="259">
        <f>SUM(AQ40:AQ41)</f>
      </c>
      <c r="AR42" s="259">
        <f>SUM(AR40:AR41)</f>
      </c>
      <c r="AS42" s="263">
        <f>SUM(AS40:AS41)</f>
      </c>
    </row>
    <row r="43">
      <c r="A43" s="244"/>
      <c r="B43" s="245" t="s">
        <v>284</v>
      </c>
      <c r="C43" s="245" t="s">
        <v>263</v>
      </c>
      <c r="D43" s="246" t="s">
        <v>264</v>
      </c>
      <c r="E43" s="246" t="s">
        <v>280</v>
      </c>
      <c r="F43" s="247">
        <f t="shared" ref="F43:F45" si="15">G43+I43</f>
      </c>
      <c r="G43" s="248">
        <v>229.77</v>
      </c>
      <c r="H43" s="248"/>
      <c r="I43" s="248">
        <v>95.57</v>
      </c>
      <c r="J43" s="249">
        <v>0</v>
      </c>
      <c r="K43" s="249">
        <v>0</v>
      </c>
      <c r="L43" s="250">
        <v>0</v>
      </c>
      <c r="M43" s="251">
        <f t="shared" si="0"/>
      </c>
      <c r="N43" s="252">
        <f t="shared" si="69"/>
      </c>
      <c r="O43" s="253">
        <f t="shared" si="20"/>
      </c>
      <c r="P43" s="253">
        <f t="shared" si="79"/>
      </c>
      <c r="Q43" s="253">
        <f t="shared" si="74"/>
      </c>
      <c r="R43" s="253">
        <f t="shared" si="86"/>
      </c>
      <c r="S43" s="253">
        <f t="shared" si="82"/>
      </c>
      <c r="T43" s="253">
        <f t="shared" si="16"/>
      </c>
      <c r="U43" s="253">
        <f t="shared" si="1"/>
      </c>
      <c r="V43" s="251">
        <f t="shared" si="70"/>
      </c>
      <c r="W43" s="251">
        <f t="shared" si="21"/>
      </c>
      <c r="X43" s="251">
        <f t="shared" si="23"/>
      </c>
      <c r="Y43" s="251">
        <f t="shared" si="25"/>
      </c>
      <c r="Z43" s="251">
        <f t="shared" si="80"/>
      </c>
      <c r="AA43" s="251">
        <f t="shared" si="75"/>
      </c>
      <c r="AB43" s="252">
        <f t="shared" si="88"/>
      </c>
      <c r="AC43" s="252">
        <f t="shared" si="84"/>
      </c>
      <c r="AD43" s="252">
        <f t="shared" si="3"/>
      </c>
      <c r="AE43" s="251">
        <f t="shared" si="90"/>
      </c>
      <c r="AF43" s="252">
        <f t="shared" si="27"/>
      </c>
      <c r="AG43" s="251">
        <f t="shared" si="18"/>
      </c>
      <c r="AH43" s="251">
        <f t="shared" si="77"/>
      </c>
      <c r="AI43" s="254">
        <v>1070</v>
      </c>
      <c r="AJ43" s="249">
        <v>137</v>
      </c>
      <c r="AK43" s="249">
        <v>154</v>
      </c>
      <c r="AL43" s="249">
        <v>5</v>
      </c>
      <c r="AM43" s="249">
        <v>0</v>
      </c>
      <c r="AN43" s="249">
        <v>0</v>
      </c>
      <c r="AO43" s="249">
        <v>14</v>
      </c>
      <c r="AP43" s="249">
        <v>5</v>
      </c>
      <c r="AQ43" s="249">
        <v>1</v>
      </c>
      <c r="AR43" s="249">
        <v>0</v>
      </c>
      <c r="AS43" s="255">
        <v>1</v>
      </c>
    </row>
    <row r="44">
      <c r="A44" s="244"/>
      <c r="B44" s="245" t="s">
        <v>284</v>
      </c>
      <c r="C44" s="245" t="s">
        <v>263</v>
      </c>
      <c r="D44" s="246" t="s">
        <v>264</v>
      </c>
      <c r="E44" s="246" t="s">
        <v>281</v>
      </c>
      <c r="F44" s="247">
        <f t="shared" si="15"/>
      </c>
      <c r="G44" s="248">
        <v>156.05</v>
      </c>
      <c r="H44" s="248"/>
      <c r="I44" s="248">
        <v>118.15</v>
      </c>
      <c r="J44" s="249">
        <v>0</v>
      </c>
      <c r="K44" s="249">
        <v>0</v>
      </c>
      <c r="L44" s="250">
        <v>0</v>
      </c>
      <c r="M44" s="251">
        <f t="shared" si="0"/>
      </c>
      <c r="N44" s="252">
        <f t="shared" si="69"/>
      </c>
      <c r="O44" s="253">
        <f t="shared" si="20"/>
      </c>
      <c r="P44" s="253">
        <f t="shared" si="79"/>
      </c>
      <c r="Q44" s="253">
        <f t="shared" si="74"/>
      </c>
      <c r="R44" s="253">
        <f t="shared" si="86"/>
      </c>
      <c r="S44" s="253">
        <f t="shared" si="82"/>
      </c>
      <c r="T44" s="253">
        <f t="shared" si="16"/>
      </c>
      <c r="U44" s="253">
        <f t="shared" si="1"/>
      </c>
      <c r="V44" s="251">
        <f t="shared" si="70"/>
      </c>
      <c r="W44" s="251">
        <f t="shared" si="21"/>
      </c>
      <c r="X44" s="251">
        <f t="shared" si="23"/>
      </c>
      <c r="Y44" s="251">
        <f t="shared" si="25"/>
      </c>
      <c r="Z44" s="251">
        <f t="shared" si="80"/>
      </c>
      <c r="AA44" s="251">
        <f t="shared" si="75"/>
      </c>
      <c r="AB44" s="252">
        <f t="shared" si="88"/>
      </c>
      <c r="AC44" s="252">
        <f t="shared" si="84"/>
      </c>
      <c r="AD44" s="252">
        <f t="shared" si="3"/>
      </c>
      <c r="AE44" s="251">
        <f t="shared" si="90"/>
      </c>
      <c r="AF44" s="252">
        <f t="shared" si="27"/>
      </c>
      <c r="AG44" s="251">
        <f t="shared" si="18"/>
      </c>
      <c r="AH44" s="251">
        <f t="shared" si="77"/>
      </c>
      <c r="AI44" s="249">
        <v>1026</v>
      </c>
      <c r="AJ44" s="254">
        <v>136</v>
      </c>
      <c r="AK44" s="254">
        <v>155</v>
      </c>
      <c r="AL44" s="254">
        <v>5</v>
      </c>
      <c r="AM44" s="254">
        <v>0</v>
      </c>
      <c r="AN44" s="254">
        <v>0</v>
      </c>
      <c r="AO44" s="254">
        <v>17</v>
      </c>
      <c r="AP44" s="254">
        <v>18</v>
      </c>
      <c r="AQ44" s="254">
        <v>2</v>
      </c>
      <c r="AR44" s="254">
        <v>0</v>
      </c>
      <c r="AS44" s="271">
        <v>1</v>
      </c>
    </row>
    <row r="45">
      <c r="A45" s="244"/>
      <c r="B45" s="245" t="s">
        <v>284</v>
      </c>
      <c r="C45" s="245" t="s">
        <v>263</v>
      </c>
      <c r="D45" s="246" t="s">
        <v>264</v>
      </c>
      <c r="E45" s="246" t="s">
        <v>282</v>
      </c>
      <c r="F45" s="247">
        <f t="shared" si="15"/>
      </c>
      <c r="G45" s="248">
        <v>78.48</v>
      </c>
      <c r="H45" s="248"/>
      <c r="I45" s="248">
        <v>39.32</v>
      </c>
      <c r="J45" s="249">
        <v>0</v>
      </c>
      <c r="K45" s="249">
        <v>0</v>
      </c>
      <c r="L45" s="250">
        <v>0</v>
      </c>
      <c r="M45" s="251">
        <f t="shared" si="0"/>
      </c>
      <c r="N45" s="252">
        <f t="shared" si="69"/>
      </c>
      <c r="O45" s="253">
        <f t="shared" si="20"/>
      </c>
      <c r="P45" s="253">
        <f t="shared" si="79"/>
      </c>
      <c r="Q45" s="253">
        <f t="shared" si="74"/>
      </c>
      <c r="R45" s="253">
        <f t="shared" si="86"/>
      </c>
      <c r="S45" s="253">
        <f t="shared" si="82"/>
      </c>
      <c r="T45" s="253">
        <f t="shared" si="16"/>
      </c>
      <c r="U45" s="253">
        <f t="shared" si="1"/>
      </c>
      <c r="V45" s="251">
        <f t="shared" si="70"/>
      </c>
      <c r="W45" s="251">
        <f t="shared" si="21"/>
      </c>
      <c r="X45" s="251">
        <f t="shared" si="23"/>
      </c>
      <c r="Y45" s="251">
        <f t="shared" si="25"/>
      </c>
      <c r="Z45" s="251">
        <f t="shared" si="80"/>
      </c>
      <c r="AA45" s="251">
        <f t="shared" si="75"/>
      </c>
      <c r="AB45" s="252">
        <f t="shared" si="88"/>
      </c>
      <c r="AC45" s="252">
        <f t="shared" si="84"/>
      </c>
      <c r="AD45" s="252">
        <f t="shared" si="3"/>
      </c>
      <c r="AE45" s="251">
        <f t="shared" si="90"/>
      </c>
      <c r="AF45" s="252">
        <f t="shared" si="27"/>
      </c>
      <c r="AG45" s="251">
        <f t="shared" si="18"/>
      </c>
      <c r="AH45" s="251">
        <f t="shared" si="77"/>
      </c>
      <c r="AI45" s="254">
        <v>310</v>
      </c>
      <c r="AJ45" s="254">
        <v>36</v>
      </c>
      <c r="AK45" s="254">
        <v>45</v>
      </c>
      <c r="AL45" s="254">
        <v>2</v>
      </c>
      <c r="AM45" s="254">
        <v>0</v>
      </c>
      <c r="AN45" s="254">
        <v>0</v>
      </c>
      <c r="AO45" s="254">
        <v>9</v>
      </c>
      <c r="AP45" s="254">
        <v>2</v>
      </c>
      <c r="AQ45" s="254">
        <v>0</v>
      </c>
      <c r="AR45" s="249">
        <v>0</v>
      </c>
      <c r="AS45" s="271">
        <v>1</v>
      </c>
    </row>
    <row r="46">
      <c r="A46" s="244"/>
      <c r="B46" s="257" t="s">
        <v>268</v>
      </c>
      <c r="C46" s="257"/>
      <c r="D46" s="257"/>
      <c r="E46" s="257"/>
      <c r="F46" s="258">
        <f>SUM(F43:F45)</f>
      </c>
      <c r="G46" s="258">
        <f>SUM(G43:G45)</f>
      </c>
      <c r="H46" s="258"/>
      <c r="I46" s="258">
        <f>SUM(I43:I45)</f>
      </c>
      <c r="J46" s="259">
        <f>SUM(J43:J45)</f>
      </c>
      <c r="K46" s="259">
        <f>SUM(K43:K45)</f>
      </c>
      <c r="L46" s="258">
        <f>SUM(L43:L45)</f>
      </c>
      <c r="M46" s="260">
        <f t="shared" si="0"/>
      </c>
      <c r="N46" s="261">
        <f t="shared" si="69"/>
      </c>
      <c r="O46" s="262">
        <f t="shared" si="20"/>
      </c>
      <c r="P46" s="262">
        <f t="shared" si="79"/>
      </c>
      <c r="Q46" s="262">
        <f t="shared" si="74"/>
      </c>
      <c r="R46" s="262">
        <f t="shared" si="86"/>
      </c>
      <c r="S46" s="262">
        <f t="shared" si="82"/>
      </c>
      <c r="T46" s="262">
        <f t="shared" si="16"/>
      </c>
      <c r="U46" s="262">
        <f t="shared" si="1"/>
      </c>
      <c r="V46" s="260">
        <f t="shared" si="70"/>
      </c>
      <c r="W46" s="260">
        <f t="shared" si="21"/>
      </c>
      <c r="X46" s="260">
        <f t="shared" si="23"/>
      </c>
      <c r="Y46" s="260">
        <f t="shared" si="25"/>
      </c>
      <c r="Z46" s="260">
        <f t="shared" si="80"/>
      </c>
      <c r="AA46" s="260">
        <f t="shared" si="75"/>
      </c>
      <c r="AB46" s="261">
        <f t="shared" si="88"/>
      </c>
      <c r="AC46" s="261">
        <f t="shared" si="84"/>
      </c>
      <c r="AD46" s="261">
        <f t="shared" si="3"/>
      </c>
      <c r="AE46" s="260">
        <f t="shared" si="90"/>
      </c>
      <c r="AF46" s="261">
        <f t="shared" si="27"/>
      </c>
      <c r="AG46" s="260">
        <f t="shared" si="18"/>
      </c>
      <c r="AH46" s="260">
        <f t="shared" si="77"/>
      </c>
      <c r="AI46" s="259">
        <f>SUM(AI43:AI45)</f>
      </c>
      <c r="AJ46" s="259">
        <f>SUM(AJ43:AJ45)</f>
      </c>
      <c r="AK46" s="259">
        <f>SUM(AK43:AK45)</f>
      </c>
      <c r="AL46" s="259">
        <f>SUM(AL43:AL45)</f>
      </c>
      <c r="AM46" s="259">
        <f>SUM(AM43:AM45)</f>
      </c>
      <c r="AN46" s="259">
        <f>SUM(AN43:AN45)</f>
      </c>
      <c r="AO46" s="259">
        <f>SUM(AO43:AO45)</f>
      </c>
      <c r="AP46" s="259">
        <f>SUM(AP43:AP45)</f>
      </c>
      <c r="AQ46" s="259">
        <f>SUM(AQ43:AQ45)</f>
      </c>
      <c r="AR46" s="259">
        <f>SUM(AR43:AR45)</f>
      </c>
      <c r="AS46" s="263">
        <f>SUM(AS43:AS45)</f>
      </c>
    </row>
    <row r="47">
      <c r="A47" s="244"/>
      <c r="B47" s="264" t="s">
        <v>273</v>
      </c>
      <c r="C47" s="264"/>
      <c r="D47" s="264"/>
      <c r="E47" s="264"/>
      <c r="F47" s="265">
        <f>G47+I47</f>
      </c>
      <c r="G47" s="265">
        <f>G39+G46+G42</f>
      </c>
      <c r="H47" s="265"/>
      <c r="I47" s="265">
        <f>I39+I46+I42</f>
      </c>
      <c r="J47" s="265">
        <f>J39+J46+J42</f>
      </c>
      <c r="K47" s="265">
        <f>K39+K46+K42</f>
      </c>
      <c r="L47" s="265">
        <f>L39+L46+L42</f>
      </c>
      <c r="M47" s="267">
        <f t="shared" si="0"/>
      </c>
      <c r="N47" s="268">
        <f t="shared" si="69"/>
      </c>
      <c r="O47" s="269">
        <f t="shared" si="20"/>
      </c>
      <c r="P47" s="269">
        <f t="shared" si="79"/>
      </c>
      <c r="Q47" s="269">
        <f t="shared" si="74"/>
      </c>
      <c r="R47" s="269">
        <f t="shared" si="86"/>
      </c>
      <c r="S47" s="269">
        <f t="shared" si="82"/>
      </c>
      <c r="T47" s="269">
        <f t="shared" si="16"/>
      </c>
      <c r="U47" s="269">
        <f t="shared" si="1"/>
      </c>
      <c r="V47" s="267">
        <f t="shared" si="70"/>
      </c>
      <c r="W47" s="267">
        <f t="shared" si="21"/>
      </c>
      <c r="X47" s="267">
        <f t="shared" si="23"/>
      </c>
      <c r="Y47" s="267">
        <f t="shared" si="25"/>
      </c>
      <c r="Z47" s="267">
        <f t="shared" si="80"/>
      </c>
      <c r="AA47" s="267">
        <f t="shared" si="75"/>
      </c>
      <c r="AB47" s="268">
        <f t="shared" si="88"/>
      </c>
      <c r="AC47" s="268">
        <f t="shared" si="84"/>
      </c>
      <c r="AD47" s="268">
        <f t="shared" si="3"/>
      </c>
      <c r="AE47" s="267">
        <f t="shared" si="90"/>
      </c>
      <c r="AF47" s="268">
        <f t="shared" si="27"/>
      </c>
      <c r="AG47" s="267">
        <f t="shared" si="18"/>
      </c>
      <c r="AH47" s="267">
        <f t="shared" si="77"/>
      </c>
      <c r="AI47" s="270">
        <f>AI39+AI46+AI42</f>
      </c>
      <c r="AJ47" s="270">
        <f>AJ39+AJ46+AJ42</f>
      </c>
      <c r="AK47" s="270">
        <f>AK39+AK46+AK42</f>
      </c>
      <c r="AL47" s="270">
        <f>AL39+AL46+AL42</f>
      </c>
      <c r="AM47" s="270">
        <f>AM39+AM46+AM42</f>
      </c>
      <c r="AN47" s="270">
        <f>AN39+AN46+AN42</f>
      </c>
      <c r="AO47" s="270">
        <f>AO39+AO46+AO42</f>
      </c>
      <c r="AP47" s="270">
        <f>AP39+AP46+AP42</f>
      </c>
      <c r="AQ47" s="270">
        <f>AQ39+AQ46+AQ42</f>
      </c>
      <c r="AR47" s="270">
        <f>AR39+AR46+AR42</f>
      </c>
      <c r="AS47" s="263">
        <f>AS39+AS46+AS42</f>
      </c>
    </row>
    <row r="48">
      <c r="A48" s="244">
        <v>46252</v>
      </c>
      <c r="B48" s="246" t="s">
        <v>285</v>
      </c>
      <c r="C48" s="245" t="s">
        <v>263</v>
      </c>
      <c r="D48" s="246" t="s">
        <v>264</v>
      </c>
      <c r="E48" s="246" t="s">
        <v>274</v>
      </c>
      <c r="F48" s="247">
        <f t="shared" ref="F48:F51" si="29">G48+I48+H48</f>
      </c>
      <c r="G48" s="248">
        <v>233.55</v>
      </c>
      <c r="H48" s="248">
        <v>951.99</v>
      </c>
      <c r="I48" s="248">
        <v>278.42</v>
      </c>
      <c r="J48" s="249">
        <v>0</v>
      </c>
      <c r="K48" s="249">
        <v>0</v>
      </c>
      <c r="L48" s="250">
        <v>0</v>
      </c>
      <c r="M48" s="251">
        <f t="shared" si="0"/>
      </c>
      <c r="N48" s="252">
        <f t="shared" si="69"/>
      </c>
      <c r="O48" s="253">
        <f t="shared" si="20"/>
      </c>
      <c r="P48" s="253">
        <f t="shared" si="79"/>
      </c>
      <c r="Q48" s="253">
        <f t="shared" si="74"/>
      </c>
      <c r="R48" s="253">
        <f t="shared" si="86"/>
      </c>
      <c r="S48" s="253">
        <f t="shared" si="82"/>
      </c>
      <c r="T48" s="253">
        <f t="shared" si="16"/>
      </c>
      <c r="U48" s="253">
        <f t="shared" si="1"/>
      </c>
      <c r="V48" s="251">
        <f t="shared" si="70"/>
      </c>
      <c r="W48" s="251">
        <f t="shared" si="21"/>
      </c>
      <c r="X48" s="251">
        <f t="shared" si="23"/>
      </c>
      <c r="Y48" s="251">
        <f t="shared" si="25"/>
      </c>
      <c r="Z48" s="251">
        <f t="shared" si="80"/>
      </c>
      <c r="AA48" s="251">
        <f t="shared" si="75"/>
      </c>
      <c r="AB48" s="252">
        <f t="shared" si="88"/>
      </c>
      <c r="AC48" s="252">
        <f t="shared" si="84"/>
      </c>
      <c r="AD48" s="252">
        <f t="shared" si="3"/>
      </c>
      <c r="AE48" s="251">
        <f t="shared" si="90"/>
      </c>
      <c r="AF48" s="252">
        <f t="shared" si="27"/>
      </c>
      <c r="AG48" s="251">
        <f t="shared" si="18"/>
      </c>
      <c r="AH48" s="251">
        <f t="shared" si="77"/>
      </c>
      <c r="AI48" s="273">
        <v>4525</v>
      </c>
      <c r="AJ48" s="254">
        <v>479</v>
      </c>
      <c r="AK48" s="254">
        <v>538</v>
      </c>
      <c r="AL48" s="254">
        <v>22</v>
      </c>
      <c r="AM48" s="254">
        <v>0</v>
      </c>
      <c r="AN48" s="254">
        <v>0</v>
      </c>
      <c r="AO48" s="254">
        <v>64</v>
      </c>
      <c r="AP48" s="254">
        <v>15</v>
      </c>
      <c r="AQ48" s="254">
        <v>3</v>
      </c>
      <c r="AR48" s="249">
        <v>0</v>
      </c>
      <c r="AS48" s="271">
        <v>1</v>
      </c>
    </row>
    <row r="49">
      <c r="A49" s="244"/>
      <c r="B49" s="246" t="s">
        <v>285</v>
      </c>
      <c r="C49" s="245" t="s">
        <v>263</v>
      </c>
      <c r="D49" s="246" t="s">
        <v>264</v>
      </c>
      <c r="E49" s="246" t="s">
        <v>275</v>
      </c>
      <c r="F49" s="247">
        <f t="shared" si="29"/>
      </c>
      <c r="G49" s="272">
        <v>166.1</v>
      </c>
      <c r="H49" s="272">
        <v>1806.56</v>
      </c>
      <c r="I49" s="248">
        <v>98.58</v>
      </c>
      <c r="J49" s="249">
        <v>3</v>
      </c>
      <c r="K49" s="249">
        <v>2</v>
      </c>
      <c r="L49" s="250">
        <v>1441.1999999999998</v>
      </c>
      <c r="M49" s="251">
        <f t="shared" si="0"/>
      </c>
      <c r="N49" s="252">
        <f t="shared" si="69"/>
      </c>
      <c r="O49" s="253">
        <f t="shared" si="20"/>
      </c>
      <c r="P49" s="253">
        <f t="shared" si="79"/>
      </c>
      <c r="Q49" s="253">
        <f t="shared" si="74"/>
      </c>
      <c r="R49" s="253">
        <f t="shared" si="86"/>
      </c>
      <c r="S49" s="253">
        <f t="shared" si="82"/>
      </c>
      <c r="T49" s="253">
        <f t="shared" si="16"/>
      </c>
      <c r="U49" s="253">
        <f t="shared" si="1"/>
      </c>
      <c r="V49" s="251">
        <f t="shared" si="70"/>
      </c>
      <c r="W49" s="251">
        <f t="shared" si="21"/>
      </c>
      <c r="X49" s="251">
        <f t="shared" si="23"/>
      </c>
      <c r="Y49" s="251">
        <f t="shared" si="25"/>
      </c>
      <c r="Z49" s="251">
        <f t="shared" si="80"/>
      </c>
      <c r="AA49" s="251">
        <f t="shared" si="75"/>
      </c>
      <c r="AB49" s="252">
        <f t="shared" si="88"/>
      </c>
      <c r="AC49" s="252">
        <f t="shared" si="84"/>
      </c>
      <c r="AD49" s="252">
        <f t="shared" si="3"/>
      </c>
      <c r="AE49" s="251">
        <f t="shared" si="90"/>
      </c>
      <c r="AF49" s="252">
        <f t="shared" si="27"/>
      </c>
      <c r="AG49" s="251">
        <f t="shared" si="18"/>
      </c>
      <c r="AH49" s="251">
        <f t="shared" si="77"/>
      </c>
      <c r="AI49" s="254">
        <v>5863</v>
      </c>
      <c r="AJ49" s="254">
        <v>414</v>
      </c>
      <c r="AK49" s="254">
        <v>486</v>
      </c>
      <c r="AL49" s="254">
        <v>25</v>
      </c>
      <c r="AM49" s="254">
        <v>3</v>
      </c>
      <c r="AN49" s="254">
        <v>2</v>
      </c>
      <c r="AO49" s="254">
        <v>88</v>
      </c>
      <c r="AP49" s="254">
        <v>36</v>
      </c>
      <c r="AQ49" s="254">
        <v>5</v>
      </c>
      <c r="AR49" s="249">
        <v>0</v>
      </c>
      <c r="AS49" s="271">
        <v>1</v>
      </c>
    </row>
    <row customHeight="true" ht="16.071428571428573" r="50">
      <c r="A50" s="244"/>
      <c r="B50" s="246" t="s">
        <v>285</v>
      </c>
      <c r="C50" s="245" t="s">
        <v>263</v>
      </c>
      <c r="D50" s="246" t="s">
        <v>264</v>
      </c>
      <c r="E50" s="246" t="s">
        <v>276</v>
      </c>
      <c r="F50" s="247">
        <f t="shared" si="29"/>
      </c>
      <c r="G50" s="272">
        <v>1844.44</v>
      </c>
      <c r="H50" s="272">
        <v>4495.49</v>
      </c>
      <c r="I50" s="248">
        <v>459.9</v>
      </c>
      <c r="J50" s="249">
        <v>10</v>
      </c>
      <c r="K50" s="249">
        <v>8</v>
      </c>
      <c r="L50" s="250">
        <v>5846.200000000001</v>
      </c>
      <c r="M50" s="251">
        <f t="shared" si="0"/>
      </c>
      <c r="N50" s="252">
        <f t="shared" si="69"/>
      </c>
      <c r="O50" s="253">
        <f t="shared" si="20"/>
      </c>
      <c r="P50" s="253">
        <f t="shared" si="79"/>
      </c>
      <c r="Q50" s="253">
        <f t="shared" si="74"/>
      </c>
      <c r="R50" s="253">
        <v>5.36687450670876</v>
      </c>
      <c r="S50" s="253">
        <v>64.1493396226415</v>
      </c>
      <c r="T50" s="253">
        <v>755.5366666666666</v>
      </c>
      <c r="U50" s="253">
        <v>1133.305</v>
      </c>
      <c r="V50" s="251">
        <v>0.925808997632202</v>
      </c>
      <c r="W50" s="251">
        <v>0.08366219415943173</v>
      </c>
      <c r="X50" s="251">
        <v>0.08490566037735849</v>
      </c>
      <c r="Y50" s="251">
        <v>0.6666666666666666</v>
      </c>
      <c r="Z50" s="251">
        <v>0.044928757468975025</v>
      </c>
      <c r="AA50" s="251">
        <v>0.005115089514066497</v>
      </c>
      <c r="AB50" s="252">
        <v>260.45005362341044</v>
      </c>
      <c r="AC50" s="252">
        <v>5.796956521739131</v>
      </c>
      <c r="AD50" s="252">
        <v>40.9628313253012</v>
      </c>
      <c r="AE50" s="251">
        <v>0.13101815311760062</v>
      </c>
      <c r="AF50" s="252">
        <v>71.57715789473684</v>
      </c>
      <c r="AG50" s="251">
        <v>0.0749802683504341</v>
      </c>
      <c r="AH50" s="251">
        <v>0.008681925808997633</v>
      </c>
      <c r="AI50" s="254">
        <v>26108</v>
      </c>
      <c r="AJ50" s="254">
        <v>1173</v>
      </c>
      <c r="AK50" s="254">
        <v>1267</v>
      </c>
      <c r="AL50" s="254">
        <v>106</v>
      </c>
      <c r="AM50" s="254">
        <v>9</v>
      </c>
      <c r="AN50" s="254">
        <v>6</v>
      </c>
      <c r="AO50" s="254">
        <v>166</v>
      </c>
      <c r="AP50" s="254">
        <v>95</v>
      </c>
      <c r="AQ50" s="254">
        <v>11</v>
      </c>
      <c r="AR50" s="249">
        <v>1</v>
      </c>
      <c r="AS50" s="271">
        <v>1</v>
      </c>
    </row>
    <row r="51">
      <c r="A51" s="244"/>
      <c r="B51" s="246" t="s">
        <v>285</v>
      </c>
      <c r="C51" s="245" t="s">
        <v>263</v>
      </c>
      <c r="D51" s="246" t="s">
        <v>264</v>
      </c>
      <c r="E51" s="246" t="s">
        <v>278</v>
      </c>
      <c r="F51" s="247">
        <f t="shared" si="29"/>
      </c>
      <c r="G51" s="248">
        <v>1188.86</v>
      </c>
      <c r="H51" s="248">
        <v>912.99</v>
      </c>
      <c r="I51" s="248">
        <v>1031.38</v>
      </c>
      <c r="J51" s="249">
        <v>2</v>
      </c>
      <c r="K51" s="249">
        <v>3</v>
      </c>
      <c r="L51" s="250">
        <v>2692.8</v>
      </c>
      <c r="M51" s="251">
        <f t="shared" si="0"/>
      </c>
      <c r="N51" s="252">
        <f t="shared" si="69"/>
      </c>
      <c r="O51" s="253">
        <f t="shared" si="20"/>
      </c>
      <c r="P51" s="253">
        <f t="shared" si="79"/>
      </c>
      <c r="Q51" s="253">
        <f t="shared" si="74"/>
      </c>
      <c r="R51" s="253">
        <f t="shared" ref="R51:R214" si="87">F51/AK51</f>
      </c>
      <c r="S51" s="253">
        <f t="shared" ref="S51:S214" si="83">F51/AL51</f>
      </c>
      <c r="T51" s="253">
        <f t="shared" ref="T51:T214" si="17">F51/AM51</f>
      </c>
      <c r="U51" s="253">
        <f t="shared" ref="U51:U214" si="2">F51/AN51</f>
      </c>
      <c r="V51" s="251">
        <f t="shared" ref="V51:V214" si="71">AJ51/AK51</f>
      </c>
      <c r="W51" s="251">
        <f t="shared" ref="W51:W214" si="22">AL51/AK51</f>
      </c>
      <c r="X51" s="251">
        <f t="shared" ref="X51:X214" si="24">AM51/AL51</f>
      </c>
      <c r="Y51" s="251">
        <f t="shared" ref="Y51:Y214" si="26">AN51/AM51</f>
      </c>
      <c r="Z51" s="251">
        <f t="shared" ref="Z51:Z214" si="81">AJ51/AI51</f>
      </c>
      <c r="AA51" s="251">
        <f t="shared" ref="AA51:AA214" si="76">AN51/AJ51</f>
      </c>
      <c r="AB51" s="252">
        <f t="shared" ref="AB51:AB214" si="89">F51/AI51*1000</f>
      </c>
      <c r="AC51" s="252">
        <f t="shared" ref="AC51:AC214" si="85">F51/AJ51</f>
      </c>
      <c r="AD51" s="252">
        <f t="shared" ref="AD51:AD214" si="4">F51/AO51</f>
      </c>
      <c r="AE51" s="251">
        <f t="shared" ref="AE51:AE214" si="91">AO51/AK51</f>
      </c>
      <c r="AF51" s="252">
        <f t="shared" ref="AF51:AF214" si="28">F51/AP51</f>
      </c>
      <c r="AG51" s="251">
        <f t="shared" ref="AG51:AG214" si="19">AP51/AK51</f>
      </c>
      <c r="AH51" s="251">
        <f t="shared" ref="AH51:AH214" si="78">AQ51/AK51</f>
      </c>
      <c r="AI51" s="249">
        <v>13506</v>
      </c>
      <c r="AJ51" s="249">
        <v>701</v>
      </c>
      <c r="AK51" s="249">
        <v>753</v>
      </c>
      <c r="AL51" s="249">
        <v>54</v>
      </c>
      <c r="AM51" s="249">
        <v>2</v>
      </c>
      <c r="AN51" s="249">
        <v>3</v>
      </c>
      <c r="AO51" s="249">
        <v>57</v>
      </c>
      <c r="AP51" s="249">
        <v>60</v>
      </c>
      <c r="AQ51" s="249">
        <v>4</v>
      </c>
      <c r="AR51" s="249">
        <v>0</v>
      </c>
      <c r="AS51" s="271">
        <v>1</v>
      </c>
    </row>
    <row r="52">
      <c r="A52" s="244"/>
      <c r="B52" s="257" t="s">
        <v>268</v>
      </c>
      <c r="C52" s="257"/>
      <c r="D52" s="257"/>
      <c r="E52" s="257"/>
      <c r="F52" s="258">
        <f>SUM(F48:F51)</f>
      </c>
      <c r="G52" s="258">
        <f>SUM(G48:G51)</f>
      </c>
      <c r="H52" s="258">
        <f>SUM(H48:H51)</f>
      </c>
      <c r="I52" s="258">
        <f>SUM(I48:I51)</f>
      </c>
      <c r="J52" s="259">
        <f>SUM(J48:J51)</f>
      </c>
      <c r="K52" s="259">
        <f>SUM(K48:K51)</f>
      </c>
      <c r="L52" s="258">
        <f>SUM(L48:L51)</f>
      </c>
      <c r="M52" s="260">
        <f t="shared" si="0"/>
      </c>
      <c r="N52" s="261">
        <f t="shared" si="69"/>
      </c>
      <c r="O52" s="262">
        <f t="shared" si="20"/>
      </c>
      <c r="P52" s="262">
        <f t="shared" si="79"/>
      </c>
      <c r="Q52" s="262">
        <f t="shared" si="74"/>
      </c>
      <c r="R52" s="262">
        <f t="shared" si="87"/>
      </c>
      <c r="S52" s="262">
        <f t="shared" si="83"/>
      </c>
      <c r="T52" s="262">
        <f t="shared" si="17"/>
      </c>
      <c r="U52" s="262">
        <f t="shared" si="2"/>
      </c>
      <c r="V52" s="260">
        <f t="shared" si="71"/>
      </c>
      <c r="W52" s="260">
        <f t="shared" si="22"/>
      </c>
      <c r="X52" s="260">
        <f t="shared" si="24"/>
      </c>
      <c r="Y52" s="260">
        <f t="shared" si="26"/>
      </c>
      <c r="Z52" s="260">
        <f t="shared" si="81"/>
      </c>
      <c r="AA52" s="260">
        <f t="shared" si="76"/>
      </c>
      <c r="AB52" s="261">
        <f t="shared" si="89"/>
      </c>
      <c r="AC52" s="261">
        <f t="shared" si="85"/>
      </c>
      <c r="AD52" s="261">
        <f t="shared" si="4"/>
      </c>
      <c r="AE52" s="260">
        <f t="shared" si="91"/>
      </c>
      <c r="AF52" s="261">
        <f t="shared" si="28"/>
      </c>
      <c r="AG52" s="260">
        <f t="shared" si="19"/>
      </c>
      <c r="AH52" s="260">
        <f t="shared" si="78"/>
      </c>
      <c r="AI52" s="259">
        <f>SUM(AI48:AI51)</f>
      </c>
      <c r="AJ52" s="259">
        <f>SUM(AJ48:AJ51)</f>
      </c>
      <c r="AK52" s="259">
        <f>SUM(AK48:AK51)</f>
      </c>
      <c r="AL52" s="259">
        <f>SUM(AL48:AL51)</f>
      </c>
      <c r="AM52" s="259">
        <f>SUM(AM48:AM51)</f>
      </c>
      <c r="AN52" s="259">
        <f>SUM(AN48:AN51)</f>
      </c>
      <c r="AO52" s="259">
        <f>SUM(AO48:AO51)</f>
      </c>
      <c r="AP52" s="259">
        <f>SUM(AP48:AP51)</f>
      </c>
      <c r="AQ52" s="259">
        <f>SUM(AQ48:AQ51)</f>
      </c>
      <c r="AR52" s="259">
        <f>SUM(AR48:AR51)</f>
      </c>
      <c r="AS52" s="263">
        <f>SUM(AS48:AS51)</f>
      </c>
    </row>
    <row r="53">
      <c r="A53" s="244"/>
      <c r="B53" s="246" t="s">
        <v>285</v>
      </c>
      <c r="C53" s="245" t="s">
        <v>263</v>
      </c>
      <c r="D53" s="246" t="s">
        <v>277</v>
      </c>
      <c r="E53" s="246" t="s">
        <v>279</v>
      </c>
      <c r="F53" s="247">
        <f t="shared" ref="F53:F54" si="30">G53+I53+H53</f>
      </c>
      <c r="G53" s="248">
        <v>1125.27</v>
      </c>
      <c r="H53" s="248">
        <v>1735.9</v>
      </c>
      <c r="I53" s="248">
        <v>786.53</v>
      </c>
      <c r="J53" s="249">
        <v>5</v>
      </c>
      <c r="K53" s="249">
        <v>2</v>
      </c>
      <c r="L53" s="250">
        <v>1336.7999999999993</v>
      </c>
      <c r="M53" s="251">
        <f t="shared" si="0"/>
      </c>
      <c r="N53" s="252">
        <f t="shared" si="69"/>
      </c>
      <c r="O53" s="253">
        <f t="shared" si="20"/>
      </c>
      <c r="P53" s="253">
        <f t="shared" si="79"/>
      </c>
      <c r="Q53" s="253">
        <f t="shared" si="74"/>
      </c>
      <c r="R53" s="253">
        <f t="shared" si="87"/>
      </c>
      <c r="S53" s="253">
        <f t="shared" si="83"/>
      </c>
      <c r="T53" s="253">
        <f t="shared" si="17"/>
      </c>
      <c r="U53" s="253">
        <f t="shared" si="2"/>
      </c>
      <c r="V53" s="251">
        <f t="shared" si="71"/>
      </c>
      <c r="W53" s="251">
        <f t="shared" si="22"/>
      </c>
      <c r="X53" s="251">
        <f t="shared" si="24"/>
      </c>
      <c r="Y53" s="251">
        <f t="shared" si="26"/>
      </c>
      <c r="Z53" s="251">
        <f t="shared" si="81"/>
      </c>
      <c r="AA53" s="251">
        <f t="shared" si="76"/>
      </c>
      <c r="AB53" s="252">
        <f t="shared" si="89"/>
      </c>
      <c r="AC53" s="252">
        <f t="shared" si="85"/>
      </c>
      <c r="AD53" s="252">
        <f t="shared" si="4"/>
      </c>
      <c r="AE53" s="251">
        <f t="shared" si="91"/>
      </c>
      <c r="AF53" s="252">
        <f t="shared" si="28"/>
      </c>
      <c r="AG53" s="251">
        <f t="shared" si="19"/>
      </c>
      <c r="AH53" s="251">
        <f t="shared" si="78"/>
      </c>
      <c r="AI53" s="254">
        <v>20708</v>
      </c>
      <c r="AJ53" s="254">
        <v>772</v>
      </c>
      <c r="AK53" s="254">
        <v>828</v>
      </c>
      <c r="AL53" s="254">
        <v>54</v>
      </c>
      <c r="AM53" s="254">
        <v>5</v>
      </c>
      <c r="AN53" s="254">
        <v>2</v>
      </c>
      <c r="AO53" s="254">
        <v>60</v>
      </c>
      <c r="AP53" s="254">
        <v>36</v>
      </c>
      <c r="AQ53" s="254">
        <v>7</v>
      </c>
      <c r="AR53" s="249">
        <v>0</v>
      </c>
      <c r="AS53" s="271">
        <v>1</v>
      </c>
    </row>
    <row r="54">
      <c r="A54" s="244"/>
      <c r="B54" s="246" t="s">
        <v>285</v>
      </c>
      <c r="C54" s="245" t="s">
        <v>263</v>
      </c>
      <c r="D54" s="246" t="s">
        <v>277</v>
      </c>
      <c r="E54" s="246" t="s">
        <v>280</v>
      </c>
      <c r="F54" s="247">
        <f t="shared" si="30"/>
      </c>
      <c r="G54" s="248">
        <v>1068.73</v>
      </c>
      <c r="H54" s="248">
        <v>2368.62</v>
      </c>
      <c r="I54" s="248">
        <v>518.82</v>
      </c>
      <c r="J54" s="249">
        <v>6</v>
      </c>
      <c r="K54" s="249">
        <v>6</v>
      </c>
      <c r="L54" s="250">
        <v>4996.600000000002</v>
      </c>
      <c r="M54" s="251">
        <f t="shared" si="0"/>
      </c>
      <c r="N54" s="252">
        <f t="shared" si="69"/>
      </c>
      <c r="O54" s="253">
        <f t="shared" si="20"/>
      </c>
      <c r="P54" s="253">
        <f t="shared" si="79"/>
      </c>
      <c r="Q54" s="253">
        <f t="shared" si="74"/>
      </c>
      <c r="R54" s="253">
        <f t="shared" si="87"/>
      </c>
      <c r="S54" s="253">
        <f t="shared" si="83"/>
      </c>
      <c r="T54" s="253">
        <f t="shared" si="17"/>
      </c>
      <c r="U54" s="253">
        <f t="shared" si="2"/>
      </c>
      <c r="V54" s="251">
        <f t="shared" si="71"/>
      </c>
      <c r="W54" s="251">
        <f t="shared" si="22"/>
      </c>
      <c r="X54" s="251">
        <f t="shared" si="24"/>
      </c>
      <c r="Y54" s="251">
        <f t="shared" si="26"/>
      </c>
      <c r="Z54" s="251">
        <f t="shared" si="81"/>
      </c>
      <c r="AA54" s="251">
        <f t="shared" si="76"/>
      </c>
      <c r="AB54" s="252">
        <f t="shared" si="89"/>
      </c>
      <c r="AC54" s="252">
        <f t="shared" si="85"/>
      </c>
      <c r="AD54" s="252">
        <f t="shared" si="4"/>
      </c>
      <c r="AE54" s="251">
        <f t="shared" si="91"/>
      </c>
      <c r="AF54" s="252">
        <f t="shared" si="28"/>
      </c>
      <c r="AG54" s="251">
        <f t="shared" si="19"/>
      </c>
      <c r="AH54" s="251">
        <f t="shared" si="78"/>
      </c>
      <c r="AI54" s="254">
        <v>21965</v>
      </c>
      <c r="AJ54" s="254">
        <v>890</v>
      </c>
      <c r="AK54" s="254">
        <v>940</v>
      </c>
      <c r="AL54" s="254">
        <v>70</v>
      </c>
      <c r="AM54" s="254">
        <v>6</v>
      </c>
      <c r="AN54" s="254">
        <v>5</v>
      </c>
      <c r="AO54" s="254">
        <v>79</v>
      </c>
      <c r="AP54" s="254">
        <v>92</v>
      </c>
      <c r="AQ54" s="254">
        <v>8</v>
      </c>
      <c r="AR54" s="249">
        <v>1</v>
      </c>
      <c r="AS54" s="271">
        <v>1</v>
      </c>
    </row>
    <row r="55">
      <c r="A55" s="244"/>
      <c r="B55" s="257" t="s">
        <v>268</v>
      </c>
      <c r="C55" s="257"/>
      <c r="D55" s="257"/>
      <c r="E55" s="257"/>
      <c r="F55" s="258">
        <f>SUM(F53:F54)</f>
      </c>
      <c r="G55" s="258">
        <f>SUM(G53:G54)</f>
      </c>
      <c r="H55" s="258">
        <f>SUM(H53:H54)</f>
      </c>
      <c r="I55" s="258">
        <f>SUM(I53:I54)</f>
      </c>
      <c r="J55" s="259">
        <f>SUM(J53:J54)</f>
      </c>
      <c r="K55" s="259">
        <f>SUM(K53:K54)</f>
      </c>
      <c r="L55" s="258">
        <f>SUM(L53:L54)</f>
      </c>
      <c r="M55" s="260">
        <f t="shared" si="0"/>
      </c>
      <c r="N55" s="261">
        <f t="shared" si="69"/>
      </c>
      <c r="O55" s="262">
        <f t="shared" si="20"/>
      </c>
      <c r="P55" s="262">
        <f t="shared" si="79"/>
      </c>
      <c r="Q55" s="262">
        <f t="shared" si="74"/>
      </c>
      <c r="R55" s="262">
        <f t="shared" si="87"/>
      </c>
      <c r="S55" s="262">
        <f t="shared" si="83"/>
      </c>
      <c r="T55" s="262">
        <f t="shared" si="17"/>
      </c>
      <c r="U55" s="262">
        <f t="shared" si="2"/>
      </c>
      <c r="V55" s="260">
        <f t="shared" si="71"/>
      </c>
      <c r="W55" s="260">
        <f t="shared" si="22"/>
      </c>
      <c r="X55" s="260">
        <f t="shared" si="24"/>
      </c>
      <c r="Y55" s="260">
        <f t="shared" si="26"/>
      </c>
      <c r="Z55" s="260">
        <f t="shared" si="81"/>
      </c>
      <c r="AA55" s="260">
        <f t="shared" si="76"/>
      </c>
      <c r="AB55" s="261">
        <f t="shared" si="89"/>
      </c>
      <c r="AC55" s="261">
        <f t="shared" si="85"/>
      </c>
      <c r="AD55" s="261">
        <f t="shared" si="4"/>
      </c>
      <c r="AE55" s="260">
        <f t="shared" si="91"/>
      </c>
      <c r="AF55" s="261">
        <f t="shared" si="28"/>
      </c>
      <c r="AG55" s="260">
        <f t="shared" si="19"/>
      </c>
      <c r="AH55" s="260">
        <f t="shared" si="78"/>
      </c>
      <c r="AI55" s="259">
        <f>SUM(AI53:AI54)</f>
      </c>
      <c r="AJ55" s="259">
        <f>SUM(AJ53:AJ54)</f>
      </c>
      <c r="AK55" s="259">
        <f>SUM(AK53:AK54)</f>
      </c>
      <c r="AL55" s="259">
        <f>SUM(AL53:AL54)</f>
      </c>
      <c r="AM55" s="259">
        <f>SUM(AM53:AM54)</f>
      </c>
      <c r="AN55" s="259">
        <f>SUM(AN53:AN54)</f>
      </c>
      <c r="AO55" s="259">
        <f>SUM(AO53:AO54)</f>
      </c>
      <c r="AP55" s="259">
        <f>SUM(AP53:AP54)</f>
      </c>
      <c r="AQ55" s="259">
        <f>SUM(AQ53:AQ54)</f>
      </c>
      <c r="AR55" s="259">
        <f>SUM(AR53:AR54)</f>
      </c>
      <c r="AS55" s="263">
        <f>SUM(AS53:AS54)</f>
      </c>
    </row>
    <row r="56">
      <c r="A56" s="244"/>
      <c r="B56" s="246" t="s">
        <v>285</v>
      </c>
      <c r="C56" s="245" t="s">
        <v>263</v>
      </c>
      <c r="D56" s="246" t="s">
        <v>283</v>
      </c>
      <c r="E56" s="246" t="s">
        <v>281</v>
      </c>
      <c r="F56" s="247">
        <f t="shared" ref="F56:F57" si="31">G56+I56+H56</f>
      </c>
      <c r="G56" s="248">
        <v>1485.39</v>
      </c>
      <c r="H56" s="248">
        <v>1015.78</v>
      </c>
      <c r="I56" s="248">
        <v>579.83</v>
      </c>
      <c r="J56" s="249">
        <v>3</v>
      </c>
      <c r="K56" s="249">
        <v>2</v>
      </c>
      <c r="L56" s="250">
        <v>2211.5999999999985</v>
      </c>
      <c r="M56" s="251">
        <f t="shared" si="0"/>
      </c>
      <c r="N56" s="252">
        <f t="shared" si="69"/>
      </c>
      <c r="O56" s="253">
        <f t="shared" si="20"/>
      </c>
      <c r="P56" s="253">
        <f t="shared" si="79"/>
      </c>
      <c r="Q56" s="253">
        <f t="shared" si="74"/>
      </c>
      <c r="R56" s="253">
        <f t="shared" si="87"/>
      </c>
      <c r="S56" s="253">
        <f t="shared" si="83"/>
      </c>
      <c r="T56" s="253">
        <f t="shared" si="17"/>
      </c>
      <c r="U56" s="253">
        <f t="shared" si="2"/>
      </c>
      <c r="V56" s="251">
        <f t="shared" si="71"/>
      </c>
      <c r="W56" s="251">
        <f t="shared" si="22"/>
      </c>
      <c r="X56" s="251">
        <f t="shared" si="24"/>
      </c>
      <c r="Y56" s="251">
        <f t="shared" si="26"/>
      </c>
      <c r="Z56" s="251">
        <f t="shared" si="81"/>
      </c>
      <c r="AA56" s="251">
        <f t="shared" si="76"/>
      </c>
      <c r="AB56" s="252">
        <f t="shared" si="89"/>
      </c>
      <c r="AC56" s="252">
        <f t="shared" si="85"/>
      </c>
      <c r="AD56" s="252">
        <f t="shared" si="4"/>
      </c>
      <c r="AE56" s="251">
        <f t="shared" si="91"/>
      </c>
      <c r="AF56" s="252">
        <f t="shared" si="28"/>
      </c>
      <c r="AG56" s="251">
        <f t="shared" si="19"/>
      </c>
      <c r="AH56" s="251">
        <f t="shared" si="78"/>
      </c>
      <c r="AI56" s="254">
        <v>21262</v>
      </c>
      <c r="AJ56" s="249">
        <v>812</v>
      </c>
      <c r="AK56" s="249">
        <v>851</v>
      </c>
      <c r="AL56" s="249">
        <v>53</v>
      </c>
      <c r="AM56" s="249">
        <v>3</v>
      </c>
      <c r="AN56" s="249">
        <v>2</v>
      </c>
      <c r="AO56" s="249">
        <v>51</v>
      </c>
      <c r="AP56" s="249">
        <v>40</v>
      </c>
      <c r="AQ56" s="249">
        <v>4</v>
      </c>
      <c r="AR56" s="249">
        <v>0</v>
      </c>
      <c r="AS56" s="271">
        <v>1</v>
      </c>
    </row>
    <row r="57">
      <c r="A57" s="244"/>
      <c r="B57" s="246" t="s">
        <v>285</v>
      </c>
      <c r="C57" s="245" t="s">
        <v>263</v>
      </c>
      <c r="D57" s="246" t="s">
        <v>283</v>
      </c>
      <c r="E57" s="246" t="s">
        <v>282</v>
      </c>
      <c r="F57" s="247">
        <f t="shared" si="31"/>
      </c>
      <c r="G57" s="248">
        <v>2304.05</v>
      </c>
      <c r="H57" s="248">
        <v>1212.67</v>
      </c>
      <c r="I57" s="248">
        <v>375.06</v>
      </c>
      <c r="J57" s="249">
        <v>4</v>
      </c>
      <c r="K57" s="249">
        <v>4</v>
      </c>
      <c r="L57" s="250">
        <v>2797.2000000000007</v>
      </c>
      <c r="M57" s="251">
        <f t="shared" si="0"/>
      </c>
      <c r="N57" s="252">
        <f t="shared" si="69"/>
      </c>
      <c r="O57" s="253">
        <f t="shared" si="20"/>
      </c>
      <c r="P57" s="253">
        <f t="shared" si="79"/>
      </c>
      <c r="Q57" s="253">
        <f t="shared" si="74"/>
      </c>
      <c r="R57" s="253">
        <f t="shared" si="87"/>
      </c>
      <c r="S57" s="253">
        <f t="shared" si="83"/>
      </c>
      <c r="T57" s="253">
        <f t="shared" si="17"/>
      </c>
      <c r="U57" s="253">
        <f t="shared" si="2"/>
      </c>
      <c r="V57" s="251">
        <f t="shared" si="71"/>
      </c>
      <c r="W57" s="251">
        <f t="shared" si="22"/>
      </c>
      <c r="X57" s="251">
        <f t="shared" si="24"/>
      </c>
      <c r="Y57" s="251">
        <f t="shared" si="26"/>
      </c>
      <c r="Z57" s="251">
        <f t="shared" si="81"/>
      </c>
      <c r="AA57" s="251">
        <f t="shared" si="76"/>
      </c>
      <c r="AB57" s="252">
        <f t="shared" si="89"/>
      </c>
      <c r="AC57" s="252">
        <f t="shared" si="85"/>
      </c>
      <c r="AD57" s="252">
        <f t="shared" si="4"/>
      </c>
      <c r="AE57" s="251">
        <f t="shared" si="91"/>
      </c>
      <c r="AF57" s="252">
        <f t="shared" si="28"/>
      </c>
      <c r="AG57" s="251">
        <f t="shared" si="19"/>
      </c>
      <c r="AH57" s="251">
        <f t="shared" si="78"/>
      </c>
      <c r="AI57" s="254">
        <v>31891</v>
      </c>
      <c r="AJ57" s="254">
        <v>951</v>
      </c>
      <c r="AK57" s="254">
        <v>972</v>
      </c>
      <c r="AL57" s="254">
        <v>71</v>
      </c>
      <c r="AM57" s="254">
        <v>4</v>
      </c>
      <c r="AN57" s="254">
        <v>3</v>
      </c>
      <c r="AO57" s="254">
        <v>56</v>
      </c>
      <c r="AP57" s="254">
        <v>35</v>
      </c>
      <c r="AQ57" s="254">
        <v>4</v>
      </c>
      <c r="AR57" s="249">
        <v>1</v>
      </c>
      <c r="AS57" s="271">
        <v>1</v>
      </c>
    </row>
    <row r="58">
      <c r="A58" s="244"/>
      <c r="B58" s="257" t="s">
        <v>268</v>
      </c>
      <c r="C58" s="257"/>
      <c r="D58" s="257"/>
      <c r="E58" s="257"/>
      <c r="F58" s="258">
        <f>SUM(F56:F57)</f>
      </c>
      <c r="G58" s="258">
        <f>SUM(G56:G57)</f>
      </c>
      <c r="H58" s="258">
        <f>SUM(H56:H57)</f>
      </c>
      <c r="I58" s="258">
        <f>SUM(I56:I57)</f>
      </c>
      <c r="J58" s="259">
        <f>SUM(J56:J57)</f>
      </c>
      <c r="K58" s="259">
        <f>SUM(K56:K57)</f>
      </c>
      <c r="L58" s="258">
        <f>SUM(L56:L57)</f>
      </c>
      <c r="M58" s="260">
        <f t="shared" si="0"/>
      </c>
      <c r="N58" s="261">
        <f t="shared" si="69"/>
      </c>
      <c r="O58" s="262">
        <f t="shared" si="20"/>
      </c>
      <c r="P58" s="262">
        <f t="shared" si="79"/>
      </c>
      <c r="Q58" s="262">
        <f t="shared" si="74"/>
      </c>
      <c r="R58" s="262">
        <f t="shared" si="87"/>
      </c>
      <c r="S58" s="262">
        <f t="shared" si="83"/>
      </c>
      <c r="T58" s="262">
        <f t="shared" si="17"/>
      </c>
      <c r="U58" s="262">
        <f t="shared" si="2"/>
      </c>
      <c r="V58" s="260">
        <f t="shared" si="71"/>
      </c>
      <c r="W58" s="260">
        <f t="shared" si="22"/>
      </c>
      <c r="X58" s="260">
        <f t="shared" si="24"/>
      </c>
      <c r="Y58" s="260">
        <f t="shared" si="26"/>
      </c>
      <c r="Z58" s="260">
        <f t="shared" si="81"/>
      </c>
      <c r="AA58" s="260">
        <f t="shared" si="76"/>
      </c>
      <c r="AB58" s="261">
        <f t="shared" si="89"/>
      </c>
      <c r="AC58" s="261">
        <f t="shared" si="85"/>
      </c>
      <c r="AD58" s="261">
        <f t="shared" si="4"/>
      </c>
      <c r="AE58" s="260">
        <f t="shared" si="91"/>
      </c>
      <c r="AF58" s="261">
        <f t="shared" si="28"/>
      </c>
      <c r="AG58" s="260">
        <f t="shared" si="19"/>
      </c>
      <c r="AH58" s="260">
        <f t="shared" si="78"/>
      </c>
      <c r="AI58" s="259">
        <f>SUM(AI56:AI57)</f>
      </c>
      <c r="AJ58" s="259">
        <f>SUM(AJ56:AJ57)</f>
      </c>
      <c r="AK58" s="259">
        <f>SUM(AK56:AK57)</f>
      </c>
      <c r="AL58" s="259">
        <f>SUM(AL56:AL57)</f>
      </c>
      <c r="AM58" s="259">
        <f>SUM(AM56:AM57)</f>
      </c>
      <c r="AN58" s="259">
        <f>SUM(AN56:AN57)</f>
      </c>
      <c r="AO58" s="259">
        <f>SUM(AO56:AO57)</f>
      </c>
      <c r="AP58" s="259">
        <f>SUM(AP56:AP57)</f>
      </c>
      <c r="AQ58" s="259">
        <f>SUM(AQ56:AQ57)</f>
      </c>
      <c r="AR58" s="259">
        <f>SUM(AR56:AR57)</f>
      </c>
      <c r="AS58" s="263">
        <f>SUM(AS56:AS57)</f>
      </c>
    </row>
    <row r="59">
      <c r="A59" s="244"/>
      <c r="B59" s="264" t="s">
        <v>273</v>
      </c>
      <c r="C59" s="264"/>
      <c r="D59" s="264"/>
      <c r="E59" s="264"/>
      <c r="F59" s="265">
        <f t="shared" ref="F59:F62" si="32">G59+I59+H59</f>
      </c>
      <c r="G59" s="265">
        <f>G52+G58+G55</f>
      </c>
      <c r="H59" s="265">
        <f>H52+H58+H55</f>
      </c>
      <c r="I59" s="265">
        <f>I52+I58+I55</f>
      </c>
      <c r="J59" s="265">
        <f>J52+J58+J55</f>
      </c>
      <c r="K59" s="265">
        <f>K52+K58+K55</f>
      </c>
      <c r="L59" s="265">
        <f>L52+L58+L55</f>
      </c>
      <c r="M59" s="267">
        <f t="shared" si="0"/>
      </c>
      <c r="N59" s="268">
        <f t="shared" si="69"/>
      </c>
      <c r="O59" s="269">
        <f t="shared" si="20"/>
      </c>
      <c r="P59" s="269">
        <f t="shared" si="79"/>
      </c>
      <c r="Q59" s="269">
        <f t="shared" si="74"/>
      </c>
      <c r="R59" s="269">
        <f t="shared" si="87"/>
      </c>
      <c r="S59" s="269">
        <f t="shared" si="83"/>
      </c>
      <c r="T59" s="269">
        <f t="shared" si="17"/>
      </c>
      <c r="U59" s="269">
        <f t="shared" si="2"/>
      </c>
      <c r="V59" s="267">
        <f t="shared" si="71"/>
      </c>
      <c r="W59" s="267">
        <f t="shared" si="22"/>
      </c>
      <c r="X59" s="267">
        <f t="shared" si="24"/>
      </c>
      <c r="Y59" s="267">
        <f t="shared" si="26"/>
      </c>
      <c r="Z59" s="267">
        <f t="shared" si="81"/>
      </c>
      <c r="AA59" s="267">
        <f t="shared" si="76"/>
      </c>
      <c r="AB59" s="268">
        <f t="shared" si="89"/>
      </c>
      <c r="AC59" s="268">
        <f t="shared" si="85"/>
      </c>
      <c r="AD59" s="268">
        <f t="shared" si="4"/>
      </c>
      <c r="AE59" s="267">
        <f t="shared" si="91"/>
      </c>
      <c r="AF59" s="268">
        <f t="shared" si="28"/>
      </c>
      <c r="AG59" s="267">
        <f t="shared" si="19"/>
      </c>
      <c r="AH59" s="267">
        <f t="shared" si="78"/>
      </c>
      <c r="AI59" s="270">
        <f>AI52+AI58+AI55</f>
      </c>
      <c r="AJ59" s="270">
        <f>AJ52+AJ58+AJ55</f>
      </c>
      <c r="AK59" s="270">
        <f>AK52+AK58+AK55</f>
      </c>
      <c r="AL59" s="270">
        <f>AL52+AL58+AL55</f>
      </c>
      <c r="AM59" s="270">
        <f>AM52+AM58+AM55</f>
      </c>
      <c r="AN59" s="270">
        <f>AN52+AN58+AN55</f>
      </c>
      <c r="AO59" s="270">
        <f>AO52+AO58+AO55</f>
      </c>
      <c r="AP59" s="270">
        <f>AP52+AP58+AP55</f>
      </c>
      <c r="AQ59" s="270">
        <f>AQ52+AQ58+AQ55</f>
      </c>
      <c r="AR59" s="270">
        <f>AR52+AR58+AR55</f>
      </c>
      <c r="AS59" s="263">
        <f>AS52+AS58+AS55</f>
      </c>
    </row>
    <row r="60">
      <c r="A60" s="244">
        <v>46253</v>
      </c>
      <c r="B60" s="246" t="s">
        <v>285</v>
      </c>
      <c r="C60" s="245" t="s">
        <v>263</v>
      </c>
      <c r="D60" s="246" t="s">
        <v>264</v>
      </c>
      <c r="E60" s="246" t="s">
        <v>274</v>
      </c>
      <c r="F60" s="247">
        <f t="shared" si="32"/>
      </c>
      <c r="G60" s="248">
        <v>308.49</v>
      </c>
      <c r="H60" s="248">
        <v>1745.34</v>
      </c>
      <c r="I60" s="248">
        <v>287.83</v>
      </c>
      <c r="J60" s="249">
        <v>0</v>
      </c>
      <c r="K60" s="249">
        <v>0</v>
      </c>
      <c r="L60" s="250">
        <v>0</v>
      </c>
      <c r="M60" s="251">
        <f t="shared" si="0"/>
      </c>
      <c r="N60" s="252">
        <f t="shared" si="69"/>
      </c>
      <c r="O60" s="253">
        <f t="shared" si="20"/>
      </c>
      <c r="P60" s="253">
        <f t="shared" si="79"/>
      </c>
      <c r="Q60" s="253">
        <f t="shared" si="74"/>
      </c>
      <c r="R60" s="253">
        <f t="shared" si="87"/>
      </c>
      <c r="S60" s="253">
        <f t="shared" si="83"/>
      </c>
      <c r="T60" s="253">
        <f t="shared" si="17"/>
      </c>
      <c r="U60" s="253">
        <f t="shared" si="2"/>
      </c>
      <c r="V60" s="251">
        <f t="shared" si="71"/>
      </c>
      <c r="W60" s="251">
        <f t="shared" si="22"/>
      </c>
      <c r="X60" s="251">
        <f t="shared" si="24"/>
      </c>
      <c r="Y60" s="251">
        <f t="shared" si="26"/>
      </c>
      <c r="Z60" s="251">
        <f t="shared" si="81"/>
      </c>
      <c r="AA60" s="251">
        <f t="shared" si="76"/>
      </c>
      <c r="AB60" s="252">
        <f t="shared" si="89"/>
      </c>
      <c r="AC60" s="252">
        <f t="shared" si="85"/>
      </c>
      <c r="AD60" s="252">
        <f t="shared" si="4"/>
      </c>
      <c r="AE60" s="251">
        <f t="shared" si="91"/>
      </c>
      <c r="AF60" s="252">
        <f t="shared" si="28"/>
      </c>
      <c r="AG60" s="251">
        <f t="shared" si="19"/>
      </c>
      <c r="AH60" s="251">
        <f t="shared" si="78"/>
      </c>
      <c r="AI60" s="273">
        <v>17150</v>
      </c>
      <c r="AJ60" s="273">
        <v>1044</v>
      </c>
      <c r="AK60" s="273">
        <v>1109</v>
      </c>
      <c r="AL60" s="254">
        <v>93</v>
      </c>
      <c r="AM60" s="254">
        <v>0</v>
      </c>
      <c r="AN60" s="254">
        <v>0</v>
      </c>
      <c r="AO60" s="254">
        <v>74</v>
      </c>
      <c r="AP60" s="254">
        <v>44</v>
      </c>
      <c r="AQ60" s="254">
        <v>6</v>
      </c>
      <c r="AR60" s="249">
        <v>0</v>
      </c>
      <c r="AS60" s="271">
        <v>1</v>
      </c>
    </row>
    <row r="61">
      <c r="A61" s="244"/>
      <c r="B61" s="246" t="s">
        <v>285</v>
      </c>
      <c r="C61" s="245" t="s">
        <v>263</v>
      </c>
      <c r="D61" s="246" t="s">
        <v>264</v>
      </c>
      <c r="E61" s="246" t="s">
        <v>275</v>
      </c>
      <c r="F61" s="247">
        <f t="shared" si="32"/>
      </c>
      <c r="G61" s="272">
        <v>346.21</v>
      </c>
      <c r="H61" s="272">
        <v>1736.51</v>
      </c>
      <c r="I61" s="248">
        <v>293.23</v>
      </c>
      <c r="J61" s="249">
        <v>4</v>
      </c>
      <c r="K61" s="249">
        <v>4</v>
      </c>
      <c r="L61" s="250">
        <v>3001.6000000000004</v>
      </c>
      <c r="M61" s="251">
        <f t="shared" si="0"/>
      </c>
      <c r="N61" s="252">
        <f t="shared" si="69"/>
      </c>
      <c r="O61" s="253">
        <f t="shared" si="20"/>
      </c>
      <c r="P61" s="253">
        <f t="shared" si="79"/>
      </c>
      <c r="Q61" s="253">
        <f t="shared" si="74"/>
      </c>
      <c r="R61" s="253">
        <f t="shared" si="87"/>
      </c>
      <c r="S61" s="253">
        <f t="shared" si="83"/>
      </c>
      <c r="T61" s="253">
        <f t="shared" si="17"/>
      </c>
      <c r="U61" s="253">
        <f t="shared" si="2"/>
      </c>
      <c r="V61" s="251">
        <f t="shared" si="71"/>
      </c>
      <c r="W61" s="251">
        <f t="shared" si="22"/>
      </c>
      <c r="X61" s="251">
        <f t="shared" si="24"/>
      </c>
      <c r="Y61" s="251">
        <f t="shared" si="26"/>
      </c>
      <c r="Z61" s="251">
        <f t="shared" si="81"/>
      </c>
      <c r="AA61" s="251">
        <f t="shared" si="76"/>
      </c>
      <c r="AB61" s="252">
        <f t="shared" si="89"/>
      </c>
      <c r="AC61" s="252">
        <f t="shared" si="85"/>
      </c>
      <c r="AD61" s="252">
        <f t="shared" si="4"/>
      </c>
      <c r="AE61" s="251">
        <f t="shared" si="91"/>
      </c>
      <c r="AF61" s="252">
        <f t="shared" si="28"/>
      </c>
      <c r="AG61" s="251">
        <f t="shared" si="19"/>
      </c>
      <c r="AH61" s="251">
        <f t="shared" si="78"/>
      </c>
      <c r="AI61" s="254">
        <v>16079</v>
      </c>
      <c r="AJ61" s="254">
        <v>805</v>
      </c>
      <c r="AK61" s="254">
        <v>846</v>
      </c>
      <c r="AL61" s="254">
        <v>91</v>
      </c>
      <c r="AM61" s="254">
        <v>5</v>
      </c>
      <c r="AN61" s="254">
        <v>4</v>
      </c>
      <c r="AO61" s="254">
        <v>80</v>
      </c>
      <c r="AP61" s="254">
        <v>67</v>
      </c>
      <c r="AQ61" s="249">
        <v>11</v>
      </c>
      <c r="AR61" s="249">
        <v>1</v>
      </c>
      <c r="AS61" s="271">
        <v>1</v>
      </c>
    </row>
    <row r="62">
      <c r="A62" s="244"/>
      <c r="B62" s="246" t="s">
        <v>285</v>
      </c>
      <c r="C62" s="245" t="s">
        <v>263</v>
      </c>
      <c r="D62" s="246" t="s">
        <v>264</v>
      </c>
      <c r="E62" s="246" t="s">
        <v>276</v>
      </c>
      <c r="F62" s="247">
        <f t="shared" si="32"/>
      </c>
      <c r="G62" s="248">
        <v>703.42</v>
      </c>
      <c r="H62" s="248">
        <v>1644.95</v>
      </c>
      <c r="I62" s="248">
        <v>430.65</v>
      </c>
      <c r="J62" s="249">
        <v>5</v>
      </c>
      <c r="K62" s="249">
        <v>4</v>
      </c>
      <c r="L62" s="250">
        <v>2705.8</v>
      </c>
      <c r="M62" s="251">
        <f t="shared" si="0"/>
      </c>
      <c r="N62" s="252">
        <f t="shared" si="69"/>
      </c>
      <c r="O62" s="253">
        <f t="shared" si="20"/>
      </c>
      <c r="P62" s="253">
        <f t="shared" si="79"/>
      </c>
      <c r="Q62" s="253">
        <f t="shared" si="74"/>
      </c>
      <c r="R62" s="253">
        <f t="shared" si="87"/>
      </c>
      <c r="S62" s="253">
        <f t="shared" si="83"/>
      </c>
      <c r="T62" s="253">
        <f t="shared" si="17"/>
      </c>
      <c r="U62" s="253">
        <f t="shared" si="2"/>
      </c>
      <c r="V62" s="251">
        <f t="shared" si="71"/>
      </c>
      <c r="W62" s="251">
        <f t="shared" si="22"/>
      </c>
      <c r="X62" s="251">
        <f t="shared" si="24"/>
      </c>
      <c r="Y62" s="251">
        <f t="shared" si="26"/>
      </c>
      <c r="Z62" s="251">
        <f t="shared" si="81"/>
      </c>
      <c r="AA62" s="251">
        <f t="shared" si="76"/>
      </c>
      <c r="AB62" s="252">
        <f t="shared" si="89"/>
      </c>
      <c r="AC62" s="252">
        <f t="shared" si="85"/>
      </c>
      <c r="AD62" s="252">
        <f t="shared" si="4"/>
      </c>
      <c r="AE62" s="251">
        <f t="shared" si="91"/>
      </c>
      <c r="AF62" s="252">
        <f t="shared" si="28"/>
      </c>
      <c r="AG62" s="251">
        <f t="shared" si="19"/>
      </c>
      <c r="AH62" s="251">
        <f t="shared" si="78"/>
      </c>
      <c r="AI62" s="249">
        <v>18634</v>
      </c>
      <c r="AJ62" s="249">
        <v>833</v>
      </c>
      <c r="AK62" s="249">
        <v>859</v>
      </c>
      <c r="AL62" s="249">
        <v>66</v>
      </c>
      <c r="AM62" s="249">
        <v>4</v>
      </c>
      <c r="AN62" s="249">
        <v>3</v>
      </c>
      <c r="AO62" s="249">
        <v>61</v>
      </c>
      <c r="AP62" s="249">
        <v>43</v>
      </c>
      <c r="AQ62" s="249">
        <v>3</v>
      </c>
      <c r="AR62" s="249">
        <v>0</v>
      </c>
      <c r="AS62" s="271">
        <v>1</v>
      </c>
    </row>
    <row r="63">
      <c r="A63" s="244"/>
      <c r="B63" s="257" t="s">
        <v>268</v>
      </c>
      <c r="C63" s="257"/>
      <c r="D63" s="257"/>
      <c r="E63" s="257"/>
      <c r="F63" s="258">
        <f>SUM(F60:F62)</f>
      </c>
      <c r="G63" s="258">
        <f>SUM(G60:G62)</f>
      </c>
      <c r="H63" s="258">
        <f>SUM(H60:H62)</f>
      </c>
      <c r="I63" s="258">
        <f>SUM(I60:I62)</f>
      </c>
      <c r="J63" s="259">
        <f>SUM(J60:J62)</f>
      </c>
      <c r="K63" s="259">
        <f>SUM(K60:K62)</f>
      </c>
      <c r="L63" s="258">
        <f>SUM(L60:L62)</f>
      </c>
      <c r="M63" s="260">
        <f t="shared" si="0"/>
      </c>
      <c r="N63" s="261">
        <f t="shared" si="69"/>
      </c>
      <c r="O63" s="262">
        <f t="shared" si="20"/>
      </c>
      <c r="P63" s="262">
        <f t="shared" si="79"/>
      </c>
      <c r="Q63" s="262">
        <f t="shared" si="74"/>
      </c>
      <c r="R63" s="262">
        <f t="shared" si="87"/>
      </c>
      <c r="S63" s="262">
        <f t="shared" si="83"/>
      </c>
      <c r="T63" s="262">
        <f t="shared" si="17"/>
      </c>
      <c r="U63" s="262">
        <f t="shared" si="2"/>
      </c>
      <c r="V63" s="260">
        <f t="shared" si="71"/>
      </c>
      <c r="W63" s="260">
        <f t="shared" si="22"/>
      </c>
      <c r="X63" s="260">
        <f t="shared" si="24"/>
      </c>
      <c r="Y63" s="260">
        <f t="shared" si="26"/>
      </c>
      <c r="Z63" s="260">
        <f t="shared" si="81"/>
      </c>
      <c r="AA63" s="260">
        <f t="shared" si="76"/>
      </c>
      <c r="AB63" s="261">
        <f t="shared" si="89"/>
      </c>
      <c r="AC63" s="261">
        <f t="shared" si="85"/>
      </c>
      <c r="AD63" s="261">
        <f t="shared" si="4"/>
      </c>
      <c r="AE63" s="260">
        <f t="shared" si="91"/>
      </c>
      <c r="AF63" s="261">
        <f t="shared" si="28"/>
      </c>
      <c r="AG63" s="260">
        <f t="shared" si="19"/>
      </c>
      <c r="AH63" s="260">
        <f t="shared" si="78"/>
      </c>
      <c r="AI63" s="259">
        <f>SUM(AI60:AI62)</f>
      </c>
      <c r="AJ63" s="259">
        <f>SUM(AJ60:AJ62)</f>
      </c>
      <c r="AK63" s="259">
        <f>SUM(AK60:AK62)</f>
      </c>
      <c r="AL63" s="259">
        <f>SUM(AL60:AL62)</f>
      </c>
      <c r="AM63" s="259">
        <f>SUM(AM60:AM62)</f>
      </c>
      <c r="AN63" s="259">
        <f>SUM(AN60:AN62)</f>
      </c>
      <c r="AO63" s="259">
        <f>SUM(AO60:AO62)</f>
      </c>
      <c r="AP63" s="259">
        <f>SUM(AP60:AP62)</f>
      </c>
      <c r="AQ63" s="259">
        <f>SUM(AQ60:AQ62)</f>
      </c>
      <c r="AR63" s="259">
        <f>SUM(AR60:AR62)</f>
      </c>
      <c r="AS63" s="263">
        <f>SUM(AS60:AS62)</f>
      </c>
    </row>
    <row r="64">
      <c r="A64" s="244"/>
      <c r="B64" s="246" t="s">
        <v>285</v>
      </c>
      <c r="C64" s="245" t="s">
        <v>263</v>
      </c>
      <c r="D64" s="246" t="s">
        <v>277</v>
      </c>
      <c r="E64" s="246" t="s">
        <v>278</v>
      </c>
      <c r="F64" s="247">
        <f t="shared" ref="F64:F66" si="33">G64+I64+H64</f>
      </c>
      <c r="G64" s="248">
        <v>863.76</v>
      </c>
      <c r="H64" s="248">
        <v>1371.91</v>
      </c>
      <c r="I64" s="248">
        <v>733.93</v>
      </c>
      <c r="J64" s="249">
        <v>4</v>
      </c>
      <c r="K64" s="249">
        <v>3</v>
      </c>
      <c r="L64" s="250">
        <v>1915.1999999999998</v>
      </c>
      <c r="M64" s="251">
        <f t="shared" si="0"/>
      </c>
      <c r="N64" s="252">
        <f t="shared" si="69"/>
      </c>
      <c r="O64" s="253">
        <f t="shared" si="20"/>
      </c>
      <c r="P64" s="253">
        <f t="shared" si="79"/>
      </c>
      <c r="Q64" s="253">
        <f t="shared" si="74"/>
      </c>
      <c r="R64" s="253">
        <f t="shared" si="87"/>
      </c>
      <c r="S64" s="253">
        <f t="shared" si="83"/>
      </c>
      <c r="T64" s="253">
        <f t="shared" si="17"/>
      </c>
      <c r="U64" s="253">
        <f t="shared" si="2"/>
      </c>
      <c r="V64" s="251">
        <f t="shared" si="71"/>
      </c>
      <c r="W64" s="251">
        <f t="shared" si="22"/>
      </c>
      <c r="X64" s="251">
        <f t="shared" si="24"/>
      </c>
      <c r="Y64" s="251">
        <f t="shared" si="26"/>
      </c>
      <c r="Z64" s="251">
        <f t="shared" si="81"/>
      </c>
      <c r="AA64" s="251">
        <f t="shared" si="76"/>
      </c>
      <c r="AB64" s="252">
        <f t="shared" si="89"/>
      </c>
      <c r="AC64" s="252">
        <f t="shared" si="85"/>
      </c>
      <c r="AD64" s="252">
        <f t="shared" si="4"/>
      </c>
      <c r="AE64" s="251">
        <f t="shared" si="91"/>
      </c>
      <c r="AF64" s="252">
        <f t="shared" si="28"/>
      </c>
      <c r="AG64" s="251">
        <f t="shared" si="19"/>
      </c>
      <c r="AH64" s="251">
        <f t="shared" si="78"/>
      </c>
      <c r="AI64" s="254">
        <v>19977</v>
      </c>
      <c r="AJ64" s="254">
        <v>1433</v>
      </c>
      <c r="AK64" s="254">
        <v>1488</v>
      </c>
      <c r="AL64" s="254">
        <v>73</v>
      </c>
      <c r="AM64" s="254">
        <v>4</v>
      </c>
      <c r="AN64" s="254">
        <v>3</v>
      </c>
      <c r="AO64" s="254">
        <v>86</v>
      </c>
      <c r="AP64" s="254">
        <v>63</v>
      </c>
      <c r="AQ64" s="254">
        <v>5</v>
      </c>
      <c r="AR64" s="249">
        <v>0</v>
      </c>
      <c r="AS64" s="271">
        <v>1</v>
      </c>
    </row>
    <row customHeight="true" ht="16.071428571428573" r="65">
      <c r="A65" s="244"/>
      <c r="B65" s="246" t="s">
        <v>285</v>
      </c>
      <c r="C65" s="245" t="s">
        <v>263</v>
      </c>
      <c r="D65" s="246" t="s">
        <v>277</v>
      </c>
      <c r="E65" s="246" t="s">
        <v>279</v>
      </c>
      <c r="F65" s="247">
        <f t="shared" si="33"/>
      </c>
      <c r="G65" s="248">
        <v>709.23</v>
      </c>
      <c r="H65" s="248">
        <v>1807.62</v>
      </c>
      <c r="I65" s="248">
        <v>443.07</v>
      </c>
      <c r="J65" s="249">
        <v>6</v>
      </c>
      <c r="K65" s="249">
        <v>6</v>
      </c>
      <c r="L65" s="250">
        <v>5502.000000000002</v>
      </c>
      <c r="M65" s="251">
        <f t="shared" si="0"/>
      </c>
      <c r="N65" s="252">
        <f t="shared" si="69"/>
      </c>
      <c r="O65" s="253">
        <f t="shared" si="20"/>
      </c>
      <c r="P65" s="253">
        <f t="shared" si="79"/>
      </c>
      <c r="Q65" s="253">
        <f t="shared" si="74"/>
      </c>
      <c r="R65" s="253">
        <f t="shared" si="87"/>
      </c>
      <c r="S65" s="253">
        <f t="shared" si="83"/>
      </c>
      <c r="T65" s="253">
        <f t="shared" si="17"/>
      </c>
      <c r="U65" s="253">
        <f t="shared" si="2"/>
      </c>
      <c r="V65" s="251">
        <f t="shared" si="71"/>
      </c>
      <c r="W65" s="251">
        <f t="shared" si="22"/>
      </c>
      <c r="X65" s="251">
        <f t="shared" si="24"/>
      </c>
      <c r="Y65" s="251">
        <f t="shared" si="26"/>
      </c>
      <c r="Z65" s="251">
        <f t="shared" si="81"/>
      </c>
      <c r="AA65" s="251">
        <f t="shared" si="76"/>
      </c>
      <c r="AB65" s="252">
        <f t="shared" si="89"/>
      </c>
      <c r="AC65" s="252">
        <f t="shared" si="85"/>
      </c>
      <c r="AD65" s="252">
        <f t="shared" si="4"/>
      </c>
      <c r="AE65" s="251">
        <f t="shared" si="91"/>
      </c>
      <c r="AF65" s="252">
        <f t="shared" si="28"/>
      </c>
      <c r="AG65" s="251">
        <f t="shared" si="19"/>
      </c>
      <c r="AH65" s="251">
        <f t="shared" si="78"/>
      </c>
      <c r="AI65" s="254">
        <v>16149</v>
      </c>
      <c r="AJ65" s="254">
        <v>1004</v>
      </c>
      <c r="AK65" s="254">
        <v>1087</v>
      </c>
      <c r="AL65" s="254">
        <v>80</v>
      </c>
      <c r="AM65" s="254">
        <v>6</v>
      </c>
      <c r="AN65" s="254">
        <v>5</v>
      </c>
      <c r="AO65" s="254">
        <v>75</v>
      </c>
      <c r="AP65" s="254">
        <v>90</v>
      </c>
      <c r="AQ65" s="249">
        <v>5</v>
      </c>
      <c r="AR65" s="249">
        <v>1</v>
      </c>
      <c r="AS65" s="271">
        <v>1</v>
      </c>
    </row>
    <row r="66">
      <c r="A66" s="244"/>
      <c r="B66" s="246" t="s">
        <v>285</v>
      </c>
      <c r="C66" s="245" t="s">
        <v>263</v>
      </c>
      <c r="D66" s="246" t="s">
        <v>277</v>
      </c>
      <c r="E66" s="246" t="s">
        <v>280</v>
      </c>
      <c r="F66" s="247">
        <f t="shared" si="33"/>
      </c>
      <c r="G66" s="248">
        <v>791.52</v>
      </c>
      <c r="H66" s="248">
        <v>2545.85</v>
      </c>
      <c r="I66" s="248">
        <v>258.62</v>
      </c>
      <c r="J66" s="249">
        <v>2</v>
      </c>
      <c r="K66" s="249">
        <v>2</v>
      </c>
      <c r="L66" s="250">
        <v>967.2000000000007</v>
      </c>
      <c r="M66" s="251">
        <f t="shared" si="0"/>
      </c>
      <c r="N66" s="252">
        <f t="shared" si="69"/>
      </c>
      <c r="O66" s="253">
        <f t="shared" si="20"/>
      </c>
      <c r="P66" s="253">
        <f t="shared" si="79"/>
      </c>
      <c r="Q66" s="253">
        <f t="shared" si="74"/>
      </c>
      <c r="R66" s="253">
        <f t="shared" si="87"/>
      </c>
      <c r="S66" s="253">
        <f t="shared" si="83"/>
      </c>
      <c r="T66" s="253">
        <f t="shared" si="17"/>
      </c>
      <c r="U66" s="253">
        <f t="shared" si="2"/>
      </c>
      <c r="V66" s="251">
        <f t="shared" si="71"/>
      </c>
      <c r="W66" s="251">
        <f t="shared" si="22"/>
      </c>
      <c r="X66" s="251">
        <f t="shared" si="24"/>
      </c>
      <c r="Y66" s="251">
        <f t="shared" si="26"/>
      </c>
      <c r="Z66" s="251">
        <f t="shared" si="81"/>
      </c>
      <c r="AA66" s="251">
        <f t="shared" si="76"/>
      </c>
      <c r="AB66" s="252">
        <f t="shared" si="89"/>
      </c>
      <c r="AC66" s="252">
        <f t="shared" si="85"/>
      </c>
      <c r="AD66" s="252">
        <f t="shared" si="4"/>
      </c>
      <c r="AE66" s="251">
        <f t="shared" si="91"/>
      </c>
      <c r="AF66" s="252">
        <f t="shared" si="28"/>
      </c>
      <c r="AG66" s="251">
        <f t="shared" si="19"/>
      </c>
      <c r="AH66" s="251">
        <f t="shared" si="78"/>
      </c>
      <c r="AI66" s="254">
        <v>21822</v>
      </c>
      <c r="AJ66" s="254">
        <v>628</v>
      </c>
      <c r="AK66" s="254">
        <v>641</v>
      </c>
      <c r="AL66" s="254">
        <v>107</v>
      </c>
      <c r="AM66" s="254">
        <v>2</v>
      </c>
      <c r="AN66" s="254">
        <v>1</v>
      </c>
      <c r="AO66" s="254">
        <v>72</v>
      </c>
      <c r="AP66" s="254">
        <v>59</v>
      </c>
      <c r="AQ66" s="254">
        <v>3</v>
      </c>
      <c r="AR66" s="249">
        <v>0</v>
      </c>
      <c r="AS66" s="271">
        <v>1</v>
      </c>
    </row>
    <row r="67">
      <c r="A67" s="244"/>
      <c r="B67" s="257" t="s">
        <v>268</v>
      </c>
      <c r="C67" s="257"/>
      <c r="D67" s="257"/>
      <c r="E67" s="257"/>
      <c r="F67" s="258">
        <f>SUM(F64:F66)</f>
      </c>
      <c r="G67" s="258">
        <f>SUM(G64:G66)</f>
      </c>
      <c r="H67" s="258">
        <f>SUM(H64:H66)</f>
      </c>
      <c r="I67" s="258">
        <f>SUM(I64:I66)</f>
      </c>
      <c r="J67" s="259">
        <f>SUM(J64:J66)</f>
      </c>
      <c r="K67" s="259">
        <f>SUM(K64:K66)</f>
      </c>
      <c r="L67" s="258">
        <f>SUM(L64:L66)</f>
      </c>
      <c r="M67" s="260">
        <f t="shared" si="0"/>
      </c>
      <c r="N67" s="261">
        <f t="shared" si="69"/>
      </c>
      <c r="O67" s="262">
        <f t="shared" si="20"/>
      </c>
      <c r="P67" s="262">
        <f t="shared" si="79"/>
      </c>
      <c r="Q67" s="262">
        <f t="shared" si="74"/>
      </c>
      <c r="R67" s="262">
        <f t="shared" si="87"/>
      </c>
      <c r="S67" s="262">
        <f t="shared" si="83"/>
      </c>
      <c r="T67" s="262">
        <f t="shared" si="17"/>
      </c>
      <c r="U67" s="262">
        <f t="shared" si="2"/>
      </c>
      <c r="V67" s="260">
        <f t="shared" si="71"/>
      </c>
      <c r="W67" s="260">
        <f t="shared" si="22"/>
      </c>
      <c r="X67" s="260">
        <f t="shared" si="24"/>
      </c>
      <c r="Y67" s="260">
        <f t="shared" si="26"/>
      </c>
      <c r="Z67" s="260">
        <f t="shared" si="81"/>
      </c>
      <c r="AA67" s="260">
        <f t="shared" si="76"/>
      </c>
      <c r="AB67" s="261">
        <f t="shared" si="89"/>
      </c>
      <c r="AC67" s="261">
        <f t="shared" si="85"/>
      </c>
      <c r="AD67" s="261">
        <f t="shared" si="4"/>
      </c>
      <c r="AE67" s="260">
        <f t="shared" si="91"/>
      </c>
      <c r="AF67" s="261">
        <f t="shared" si="28"/>
      </c>
      <c r="AG67" s="260">
        <f t="shared" si="19"/>
      </c>
      <c r="AH67" s="260">
        <f t="shared" si="78"/>
      </c>
      <c r="AI67" s="259">
        <f>SUM(AI64:AI66)</f>
      </c>
      <c r="AJ67" s="259">
        <f>SUM(AJ64:AJ66)</f>
      </c>
      <c r="AK67" s="259">
        <f>SUM(AK64:AK66)</f>
      </c>
      <c r="AL67" s="259">
        <f>SUM(AL64:AL66)</f>
      </c>
      <c r="AM67" s="259">
        <f>SUM(AM64:AM66)</f>
      </c>
      <c r="AN67" s="259">
        <f>SUM(AN64:AN66)</f>
      </c>
      <c r="AO67" s="259">
        <f>SUM(AO64:AO66)</f>
      </c>
      <c r="AP67" s="259">
        <f>SUM(AP64:AP66)</f>
      </c>
      <c r="AQ67" s="259">
        <f>SUM(AQ64:AQ66)</f>
      </c>
      <c r="AR67" s="259">
        <f>SUM(AR64:AR66)</f>
      </c>
      <c r="AS67" s="263">
        <f>SUM(AS64:AS66)</f>
      </c>
    </row>
    <row r="68">
      <c r="A68" s="244"/>
      <c r="B68" s="246" t="s">
        <v>285</v>
      </c>
      <c r="C68" s="245" t="s">
        <v>263</v>
      </c>
      <c r="D68" s="246" t="s">
        <v>283</v>
      </c>
      <c r="E68" s="246" t="s">
        <v>281</v>
      </c>
      <c r="F68" s="247">
        <f t="shared" ref="F68:F69" si="34">G68+I68+H68</f>
      </c>
      <c r="G68" s="248">
        <v>1760.58</v>
      </c>
      <c r="H68" s="248">
        <v>2559.21</v>
      </c>
      <c r="I68" s="248">
        <v>349.16</v>
      </c>
      <c r="J68" s="249">
        <v>5</v>
      </c>
      <c r="K68" s="249">
        <v>3</v>
      </c>
      <c r="L68" s="250">
        <v>1810.7999999999993</v>
      </c>
      <c r="M68" s="251">
        <f t="shared" si="0"/>
      </c>
      <c r="N68" s="252">
        <f t="shared" si="69"/>
      </c>
      <c r="O68" s="253">
        <f t="shared" si="20"/>
      </c>
      <c r="P68" s="253">
        <f t="shared" si="79"/>
      </c>
      <c r="Q68" s="253">
        <f t="shared" si="74"/>
      </c>
      <c r="R68" s="253">
        <f t="shared" si="87"/>
      </c>
      <c r="S68" s="253">
        <f t="shared" si="83"/>
      </c>
      <c r="T68" s="253">
        <f t="shared" si="17"/>
      </c>
      <c r="U68" s="253">
        <f t="shared" si="2"/>
      </c>
      <c r="V68" s="251">
        <f t="shared" si="71"/>
      </c>
      <c r="W68" s="251">
        <f t="shared" si="22"/>
      </c>
      <c r="X68" s="251">
        <f t="shared" si="24"/>
      </c>
      <c r="Y68" s="251">
        <f t="shared" si="26"/>
      </c>
      <c r="Z68" s="251">
        <f t="shared" si="81"/>
      </c>
      <c r="AA68" s="251">
        <f t="shared" si="76"/>
      </c>
      <c r="AB68" s="252">
        <f t="shared" si="89"/>
      </c>
      <c r="AC68" s="252">
        <f t="shared" si="85"/>
      </c>
      <c r="AD68" s="252">
        <f t="shared" si="4"/>
      </c>
      <c r="AE68" s="251">
        <f t="shared" si="91"/>
      </c>
      <c r="AF68" s="252">
        <f t="shared" si="28"/>
      </c>
      <c r="AG68" s="251">
        <f t="shared" si="19"/>
      </c>
      <c r="AH68" s="251">
        <f t="shared" si="78"/>
      </c>
      <c r="AI68" s="254">
        <v>36834</v>
      </c>
      <c r="AJ68" s="249">
        <v>1237</v>
      </c>
      <c r="AK68" s="249">
        <v>1302</v>
      </c>
      <c r="AL68" s="249">
        <v>115</v>
      </c>
      <c r="AM68" s="249">
        <v>5</v>
      </c>
      <c r="AN68" s="249">
        <v>3</v>
      </c>
      <c r="AO68" s="249">
        <v>96</v>
      </c>
      <c r="AP68" s="249">
        <v>114</v>
      </c>
      <c r="AQ68" s="249">
        <v>10</v>
      </c>
      <c r="AR68" s="249">
        <v>0</v>
      </c>
      <c r="AS68" s="271">
        <v>1</v>
      </c>
    </row>
    <row r="69">
      <c r="A69" s="244"/>
      <c r="B69" s="246" t="s">
        <v>285</v>
      </c>
      <c r="C69" s="245" t="s">
        <v>263</v>
      </c>
      <c r="D69" s="246" t="s">
        <v>283</v>
      </c>
      <c r="E69" s="246" t="s">
        <v>282</v>
      </c>
      <c r="F69" s="247">
        <f t="shared" si="34"/>
      </c>
      <c r="G69" s="248">
        <v>471.39</v>
      </c>
      <c r="H69" s="248">
        <v>1904.11</v>
      </c>
      <c r="I69" s="248">
        <v>175.44</v>
      </c>
      <c r="J69" s="249">
        <v>7</v>
      </c>
      <c r="K69" s="249">
        <v>5</v>
      </c>
      <c r="L69" s="250">
        <v>4396.4</v>
      </c>
      <c r="M69" s="251">
        <f t="shared" si="0"/>
      </c>
      <c r="N69" s="252">
        <f t="shared" si="69"/>
      </c>
      <c r="O69" s="253">
        <f t="shared" si="20"/>
      </c>
      <c r="P69" s="253">
        <f t="shared" si="79"/>
      </c>
      <c r="Q69" s="253">
        <f t="shared" si="74"/>
      </c>
      <c r="R69" s="253">
        <f t="shared" si="87"/>
      </c>
      <c r="S69" s="253">
        <f t="shared" si="83"/>
      </c>
      <c r="T69" s="253">
        <f t="shared" si="17"/>
      </c>
      <c r="U69" s="253">
        <f t="shared" si="2"/>
      </c>
      <c r="V69" s="251">
        <f t="shared" si="71"/>
      </c>
      <c r="W69" s="251">
        <f t="shared" si="22"/>
      </c>
      <c r="X69" s="251">
        <f t="shared" si="24"/>
      </c>
      <c r="Y69" s="251">
        <f t="shared" si="26"/>
      </c>
      <c r="Z69" s="251">
        <f t="shared" si="81"/>
      </c>
      <c r="AA69" s="251">
        <f t="shared" si="76"/>
      </c>
      <c r="AB69" s="252">
        <f t="shared" si="89"/>
      </c>
      <c r="AC69" s="252">
        <f t="shared" si="85"/>
      </c>
      <c r="AD69" s="252">
        <f t="shared" si="4"/>
      </c>
      <c r="AE69" s="251">
        <f t="shared" si="91"/>
      </c>
      <c r="AF69" s="252">
        <f t="shared" si="28"/>
      </c>
      <c r="AG69" s="251">
        <f t="shared" si="19"/>
      </c>
      <c r="AH69" s="251">
        <f t="shared" si="78"/>
      </c>
      <c r="AI69" s="254">
        <v>17167</v>
      </c>
      <c r="AJ69" s="254">
        <v>565</v>
      </c>
      <c r="AK69" s="254">
        <v>578</v>
      </c>
      <c r="AL69" s="254">
        <v>68</v>
      </c>
      <c r="AM69" s="254">
        <v>7</v>
      </c>
      <c r="AN69" s="254">
        <v>5</v>
      </c>
      <c r="AO69" s="254">
        <v>54</v>
      </c>
      <c r="AP69" s="254">
        <v>67</v>
      </c>
      <c r="AQ69" s="254">
        <v>4</v>
      </c>
      <c r="AR69" s="249">
        <v>0</v>
      </c>
      <c r="AS69" s="271">
        <v>1</v>
      </c>
    </row>
    <row r="70">
      <c r="A70" s="244"/>
      <c r="B70" s="257" t="s">
        <v>268</v>
      </c>
      <c r="C70" s="257"/>
      <c r="D70" s="257"/>
      <c r="E70" s="257"/>
      <c r="F70" s="258">
        <f>SUM(F68:F69)</f>
      </c>
      <c r="G70" s="258">
        <f>SUM(G68:G69)</f>
      </c>
      <c r="H70" s="258">
        <f>SUM(H68:H69)</f>
      </c>
      <c r="I70" s="258">
        <f>SUM(I68:I69)</f>
      </c>
      <c r="J70" s="259">
        <f>SUM(J68:J69)</f>
      </c>
      <c r="K70" s="259">
        <f>SUM(K68:K69)</f>
      </c>
      <c r="L70" s="258">
        <f>SUM(L68:L69)</f>
      </c>
      <c r="M70" s="260">
        <f t="shared" si="0"/>
      </c>
      <c r="N70" s="261">
        <f t="shared" si="69"/>
      </c>
      <c r="O70" s="262">
        <f t="shared" si="20"/>
      </c>
      <c r="P70" s="262">
        <f t="shared" si="79"/>
      </c>
      <c r="Q70" s="262">
        <f t="shared" si="74"/>
      </c>
      <c r="R70" s="262">
        <f t="shared" si="87"/>
      </c>
      <c r="S70" s="262">
        <f t="shared" si="83"/>
      </c>
      <c r="T70" s="262">
        <f t="shared" si="17"/>
      </c>
      <c r="U70" s="262">
        <f t="shared" si="2"/>
      </c>
      <c r="V70" s="260">
        <f t="shared" si="71"/>
      </c>
      <c r="W70" s="260">
        <f t="shared" si="22"/>
      </c>
      <c r="X70" s="260">
        <f t="shared" si="24"/>
      </c>
      <c r="Y70" s="260">
        <f t="shared" si="26"/>
      </c>
      <c r="Z70" s="260">
        <f t="shared" si="81"/>
      </c>
      <c r="AA70" s="260">
        <f t="shared" si="76"/>
      </c>
      <c r="AB70" s="261">
        <f t="shared" si="89"/>
      </c>
      <c r="AC70" s="261">
        <f t="shared" si="85"/>
      </c>
      <c r="AD70" s="261">
        <f t="shared" si="4"/>
      </c>
      <c r="AE70" s="260">
        <f t="shared" si="91"/>
      </c>
      <c r="AF70" s="261">
        <f t="shared" si="28"/>
      </c>
      <c r="AG70" s="260">
        <f t="shared" si="19"/>
      </c>
      <c r="AH70" s="260">
        <f t="shared" si="78"/>
      </c>
      <c r="AI70" s="259">
        <f>SUM(AI68:AI69)</f>
      </c>
      <c r="AJ70" s="259">
        <f>SUM(AJ68:AJ69)</f>
      </c>
      <c r="AK70" s="259">
        <f>SUM(AK68:AK69)</f>
      </c>
      <c r="AL70" s="259">
        <f>SUM(AL68:AL69)</f>
      </c>
      <c r="AM70" s="259">
        <f>SUM(AM68:AM69)</f>
      </c>
      <c r="AN70" s="259">
        <f>SUM(AN68:AN69)</f>
      </c>
      <c r="AO70" s="259">
        <f>SUM(AO68:AO69)</f>
      </c>
      <c r="AP70" s="259">
        <f>SUM(AP68:AP69)</f>
      </c>
      <c r="AQ70" s="259">
        <f>SUM(AQ68:AQ69)</f>
      </c>
      <c r="AR70" s="259">
        <f>SUM(AR68:AR69)</f>
      </c>
      <c r="AS70" s="263">
        <f>SUM(AS68:AS69)</f>
      </c>
    </row>
    <row r="71">
      <c r="A71" s="244"/>
      <c r="B71" s="264" t="s">
        <v>273</v>
      </c>
      <c r="C71" s="264"/>
      <c r="D71" s="264"/>
      <c r="E71" s="264"/>
      <c r="F71" s="265">
        <f t="shared" ref="F71:F75" si="35">G71+I71+H71</f>
      </c>
      <c r="G71" s="265">
        <f>G63+G70+G67</f>
      </c>
      <c r="H71" s="265">
        <f>H63+H70+H67</f>
      </c>
      <c r="I71" s="265">
        <f>I63+I70+I67</f>
      </c>
      <c r="J71" s="265">
        <f>J63+J70+J67</f>
      </c>
      <c r="K71" s="265">
        <f>K63+K70+K67</f>
      </c>
      <c r="L71" s="265">
        <f>L63+L70+L67</f>
      </c>
      <c r="M71" s="267">
        <f t="shared" si="0"/>
      </c>
      <c r="N71" s="268">
        <f t="shared" si="69"/>
      </c>
      <c r="O71" s="269">
        <f t="shared" si="20"/>
      </c>
      <c r="P71" s="269">
        <f t="shared" si="79"/>
      </c>
      <c r="Q71" s="269">
        <f t="shared" si="74"/>
      </c>
      <c r="R71" s="269">
        <f t="shared" si="87"/>
      </c>
      <c r="S71" s="269">
        <f t="shared" si="83"/>
      </c>
      <c r="T71" s="269">
        <f t="shared" si="17"/>
      </c>
      <c r="U71" s="269">
        <f t="shared" si="2"/>
      </c>
      <c r="V71" s="267">
        <f t="shared" si="71"/>
      </c>
      <c r="W71" s="267">
        <f t="shared" si="22"/>
      </c>
      <c r="X71" s="267">
        <f t="shared" si="24"/>
      </c>
      <c r="Y71" s="267">
        <f t="shared" si="26"/>
      </c>
      <c r="Z71" s="267">
        <f t="shared" si="81"/>
      </c>
      <c r="AA71" s="267">
        <f t="shared" si="76"/>
      </c>
      <c r="AB71" s="268">
        <f t="shared" si="89"/>
      </c>
      <c r="AC71" s="268">
        <f t="shared" si="85"/>
      </c>
      <c r="AD71" s="268">
        <f t="shared" si="4"/>
      </c>
      <c r="AE71" s="267">
        <f t="shared" si="91"/>
      </c>
      <c r="AF71" s="268">
        <f t="shared" si="28"/>
      </c>
      <c r="AG71" s="267">
        <f t="shared" si="19"/>
      </c>
      <c r="AH71" s="267">
        <f t="shared" si="78"/>
      </c>
      <c r="AI71" s="270">
        <f>AI63+AI70+AI67</f>
      </c>
      <c r="AJ71" s="270">
        <f>AJ63+AJ70+AJ67</f>
      </c>
      <c r="AK71" s="270">
        <f>AK63+AK70+AK67</f>
      </c>
      <c r="AL71" s="270">
        <f>AL63+AL70+AL67</f>
      </c>
      <c r="AM71" s="270">
        <f>AM63+AM70+AM67</f>
      </c>
      <c r="AN71" s="270">
        <f>AN63+AN70+AN67</f>
      </c>
      <c r="AO71" s="270">
        <f>AO63+AO70+AO67</f>
      </c>
      <c r="AP71" s="270">
        <f>AP63+AP70+AP67</f>
      </c>
      <c r="AQ71" s="270">
        <f>AQ63+AQ70+AQ67</f>
      </c>
      <c r="AR71" s="270">
        <f>AR63+AR70+AR67</f>
      </c>
      <c r="AS71" s="263">
        <f>AS63+AS70+AS67</f>
      </c>
    </row>
    <row r="72">
      <c r="A72" s="244">
        <v>46254</v>
      </c>
      <c r="B72" s="246" t="s">
        <v>285</v>
      </c>
      <c r="C72" s="245" t="s">
        <v>263</v>
      </c>
      <c r="D72" s="246" t="s">
        <v>264</v>
      </c>
      <c r="E72" s="246" t="s">
        <v>274</v>
      </c>
      <c r="F72" s="247">
        <f t="shared" si="35"/>
      </c>
      <c r="G72" s="248">
        <v>119.84</v>
      </c>
      <c r="H72" s="248">
        <v>1190</v>
      </c>
      <c r="I72" s="248">
        <v>145.25</v>
      </c>
      <c r="J72" s="249">
        <v>2</v>
      </c>
      <c r="K72" s="249">
        <v>1</v>
      </c>
      <c r="L72" s="250">
        <v>967.1999999999999</v>
      </c>
      <c r="M72" s="251">
        <f t="shared" si="0"/>
      </c>
      <c r="N72" s="252">
        <f t="shared" si="69"/>
      </c>
      <c r="O72" s="253">
        <f t="shared" si="20"/>
      </c>
      <c r="P72" s="253">
        <f t="shared" si="79"/>
      </c>
      <c r="Q72" s="253">
        <f t="shared" si="74"/>
      </c>
      <c r="R72" s="253">
        <f t="shared" si="87"/>
      </c>
      <c r="S72" s="253">
        <f t="shared" si="83"/>
      </c>
      <c r="T72" s="253">
        <f t="shared" si="17"/>
      </c>
      <c r="U72" s="253">
        <f t="shared" si="2"/>
      </c>
      <c r="V72" s="251">
        <f t="shared" si="71"/>
      </c>
      <c r="W72" s="251">
        <f t="shared" si="22"/>
      </c>
      <c r="X72" s="251">
        <f t="shared" si="24"/>
      </c>
      <c r="Y72" s="251">
        <f t="shared" si="26"/>
      </c>
      <c r="Z72" s="251">
        <f t="shared" si="81"/>
      </c>
      <c r="AA72" s="251">
        <f t="shared" si="76"/>
      </c>
      <c r="AB72" s="252">
        <f t="shared" si="89"/>
      </c>
      <c r="AC72" s="252">
        <f t="shared" si="85"/>
      </c>
      <c r="AD72" s="252">
        <f t="shared" si="4"/>
      </c>
      <c r="AE72" s="251">
        <f t="shared" si="91"/>
      </c>
      <c r="AF72" s="252">
        <f t="shared" si="28"/>
      </c>
      <c r="AG72" s="251">
        <f t="shared" si="19"/>
      </c>
      <c r="AH72" s="251">
        <f t="shared" si="78"/>
      </c>
      <c r="AI72" s="273">
        <v>8502</v>
      </c>
      <c r="AJ72" s="254">
        <v>257</v>
      </c>
      <c r="AK72" s="254">
        <v>271</v>
      </c>
      <c r="AL72" s="254">
        <v>57</v>
      </c>
      <c r="AM72" s="254">
        <v>3</v>
      </c>
      <c r="AN72" s="254">
        <v>1</v>
      </c>
      <c r="AO72" s="254">
        <v>42</v>
      </c>
      <c r="AP72" s="254">
        <v>19</v>
      </c>
      <c r="AQ72" s="254">
        <v>3</v>
      </c>
      <c r="AR72" s="249">
        <v>0</v>
      </c>
      <c r="AS72" s="271">
        <v>1</v>
      </c>
    </row>
    <row r="73">
      <c r="A73" s="244"/>
      <c r="B73" s="246" t="s">
        <v>285</v>
      </c>
      <c r="C73" s="245" t="s">
        <v>263</v>
      </c>
      <c r="D73" s="246" t="s">
        <v>264</v>
      </c>
      <c r="E73" s="246" t="s">
        <v>275</v>
      </c>
      <c r="F73" s="247">
        <f t="shared" si="35"/>
      </c>
      <c r="G73" s="248">
        <v>219.27</v>
      </c>
      <c r="H73" s="248">
        <v>1466.71</v>
      </c>
      <c r="I73" s="248">
        <v>307.97</v>
      </c>
      <c r="J73" s="249">
        <v>6</v>
      </c>
      <c r="K73" s="249">
        <v>4</v>
      </c>
      <c r="L73" s="250">
        <v>2743.0000000000005</v>
      </c>
      <c r="M73" s="251">
        <f t="shared" si="0"/>
      </c>
      <c r="N73" s="252">
        <f t="shared" si="69"/>
      </c>
      <c r="O73" s="253">
        <f t="shared" si="20"/>
      </c>
      <c r="P73" s="253">
        <f t="shared" si="79"/>
      </c>
      <c r="Q73" s="253">
        <f t="shared" si="74"/>
      </c>
      <c r="R73" s="253">
        <f t="shared" si="87"/>
      </c>
      <c r="S73" s="253">
        <f t="shared" si="83"/>
      </c>
      <c r="T73" s="253">
        <f t="shared" si="17"/>
      </c>
      <c r="U73" s="253">
        <f t="shared" si="2"/>
      </c>
      <c r="V73" s="251">
        <f t="shared" si="71"/>
      </c>
      <c r="W73" s="251">
        <f t="shared" si="22"/>
      </c>
      <c r="X73" s="251">
        <f t="shared" si="24"/>
      </c>
      <c r="Y73" s="251">
        <f t="shared" si="26"/>
      </c>
      <c r="Z73" s="251">
        <f t="shared" si="81"/>
      </c>
      <c r="AA73" s="251">
        <f t="shared" si="76"/>
      </c>
      <c r="AB73" s="252">
        <f t="shared" si="89"/>
      </c>
      <c r="AC73" s="252">
        <f t="shared" si="85"/>
      </c>
      <c r="AD73" s="252">
        <f t="shared" si="4"/>
      </c>
      <c r="AE73" s="251">
        <f t="shared" si="91"/>
      </c>
      <c r="AF73" s="252">
        <f t="shared" si="28"/>
      </c>
      <c r="AG73" s="251">
        <f t="shared" si="19"/>
      </c>
      <c r="AH73" s="251">
        <f t="shared" si="78"/>
      </c>
      <c r="AI73" s="254">
        <v>11492</v>
      </c>
      <c r="AJ73" s="254">
        <v>278</v>
      </c>
      <c r="AK73" s="254">
        <v>278</v>
      </c>
      <c r="AL73" s="254">
        <v>69</v>
      </c>
      <c r="AM73" s="254">
        <v>5</v>
      </c>
      <c r="AN73" s="254">
        <v>4</v>
      </c>
      <c r="AO73" s="254">
        <v>50</v>
      </c>
      <c r="AP73" s="254">
        <v>56</v>
      </c>
      <c r="AQ73" s="254">
        <v>9</v>
      </c>
      <c r="AR73" s="249">
        <v>0</v>
      </c>
      <c r="AS73" s="271">
        <v>1</v>
      </c>
    </row>
    <row customHeight="true" ht="16.071428571428573" r="74">
      <c r="A74" s="244"/>
      <c r="B74" s="246" t="s">
        <v>285</v>
      </c>
      <c r="C74" s="245" t="s">
        <v>263</v>
      </c>
      <c r="D74" s="246" t="s">
        <v>264</v>
      </c>
      <c r="E74" s="246" t="s">
        <v>276</v>
      </c>
      <c r="F74" s="247">
        <f t="shared" si="35"/>
      </c>
      <c r="G74" s="248">
        <v>132.28</v>
      </c>
      <c r="H74" s="248">
        <v>2734.42</v>
      </c>
      <c r="I74" s="248">
        <v>324.51</v>
      </c>
      <c r="J74" s="249">
        <v>5</v>
      </c>
      <c r="K74" s="249">
        <v>4</v>
      </c>
      <c r="L74" s="250">
        <v>2249.7999999999997</v>
      </c>
      <c r="M74" s="251">
        <f t="shared" si="0"/>
      </c>
      <c r="N74" s="252">
        <f t="shared" si="69"/>
      </c>
      <c r="O74" s="253">
        <f t="shared" si="20"/>
      </c>
      <c r="P74" s="253">
        <f t="shared" si="79"/>
      </c>
      <c r="Q74" s="253">
        <f t="shared" si="74"/>
      </c>
      <c r="R74" s="253">
        <f t="shared" si="87"/>
      </c>
      <c r="S74" s="253">
        <f t="shared" si="83"/>
      </c>
      <c r="T74" s="253">
        <f t="shared" si="17"/>
      </c>
      <c r="U74" s="253">
        <f t="shared" si="2"/>
      </c>
      <c r="V74" s="251">
        <f t="shared" si="71"/>
      </c>
      <c r="W74" s="251">
        <f t="shared" si="22"/>
      </c>
      <c r="X74" s="251">
        <f t="shared" si="24"/>
      </c>
      <c r="Y74" s="251">
        <f t="shared" si="26"/>
      </c>
      <c r="Z74" s="251">
        <f t="shared" si="81"/>
      </c>
      <c r="AA74" s="251">
        <f t="shared" si="76"/>
      </c>
      <c r="AB74" s="252">
        <f t="shared" si="89"/>
      </c>
      <c r="AC74" s="252">
        <f t="shared" si="85"/>
      </c>
      <c r="AD74" s="252">
        <f t="shared" si="4"/>
      </c>
      <c r="AE74" s="251">
        <f t="shared" si="91"/>
      </c>
      <c r="AF74" s="252">
        <f t="shared" si="28"/>
      </c>
      <c r="AG74" s="251">
        <f t="shared" si="19"/>
      </c>
      <c r="AH74" s="251">
        <f t="shared" si="78"/>
      </c>
      <c r="AI74" s="254">
        <v>17450</v>
      </c>
      <c r="AJ74" s="254">
        <v>321</v>
      </c>
      <c r="AK74" s="254">
        <v>333</v>
      </c>
      <c r="AL74" s="254">
        <v>98</v>
      </c>
      <c r="AM74" s="254">
        <v>3</v>
      </c>
      <c r="AN74" s="254">
        <v>2</v>
      </c>
      <c r="AO74" s="254">
        <v>64</v>
      </c>
      <c r="AP74" s="254">
        <v>61</v>
      </c>
      <c r="AQ74" s="254">
        <v>8</v>
      </c>
      <c r="AR74" s="249">
        <v>0</v>
      </c>
      <c r="AS74" s="271">
        <v>1</v>
      </c>
    </row>
    <row r="75">
      <c r="A75" s="244"/>
      <c r="B75" s="246" t="s">
        <v>285</v>
      </c>
      <c r="C75" s="245" t="s">
        <v>263</v>
      </c>
      <c r="D75" s="246" t="s">
        <v>264</v>
      </c>
      <c r="E75" s="246" t="s">
        <v>278</v>
      </c>
      <c r="F75" s="247">
        <f t="shared" si="35"/>
      </c>
      <c r="G75" s="248">
        <v>138.82</v>
      </c>
      <c r="H75" s="248">
        <v>1739.28</v>
      </c>
      <c r="I75" s="248">
        <v>158.93</v>
      </c>
      <c r="J75" s="249">
        <v>2</v>
      </c>
      <c r="K75" s="249">
        <v>2</v>
      </c>
      <c r="L75" s="250">
        <v>1441.2000000000007</v>
      </c>
      <c r="M75" s="251">
        <f t="shared" si="0"/>
      </c>
      <c r="N75" s="252">
        <f t="shared" si="69"/>
      </c>
      <c r="O75" s="253">
        <f t="shared" si="20"/>
      </c>
      <c r="P75" s="253">
        <f t="shared" si="79"/>
      </c>
      <c r="Q75" s="253">
        <f t="shared" si="74"/>
      </c>
      <c r="R75" s="253">
        <f t="shared" si="87"/>
      </c>
      <c r="S75" s="253">
        <f t="shared" si="83"/>
      </c>
      <c r="T75" s="253">
        <f t="shared" si="17"/>
      </c>
      <c r="U75" s="253">
        <f t="shared" si="2"/>
      </c>
      <c r="V75" s="251">
        <f t="shared" si="71"/>
      </c>
      <c r="W75" s="251">
        <f t="shared" si="22"/>
      </c>
      <c r="X75" s="251">
        <f t="shared" si="24"/>
      </c>
      <c r="Y75" s="251">
        <f t="shared" si="26"/>
      </c>
      <c r="Z75" s="251">
        <f t="shared" si="81"/>
      </c>
      <c r="AA75" s="251">
        <f t="shared" si="76"/>
      </c>
      <c r="AB75" s="252">
        <f t="shared" si="89"/>
      </c>
      <c r="AC75" s="252">
        <f t="shared" si="85"/>
      </c>
      <c r="AD75" s="252">
        <f t="shared" si="4"/>
      </c>
      <c r="AE75" s="251">
        <f t="shared" si="91"/>
      </c>
      <c r="AF75" s="252">
        <f t="shared" si="28"/>
      </c>
      <c r="AG75" s="251">
        <f t="shared" si="19"/>
      </c>
      <c r="AH75" s="251">
        <f t="shared" si="78"/>
      </c>
      <c r="AI75" s="254">
        <v>10862</v>
      </c>
      <c r="AJ75" s="254">
        <v>228</v>
      </c>
      <c r="AK75" s="254">
        <v>253</v>
      </c>
      <c r="AL75" s="254">
        <v>81</v>
      </c>
      <c r="AM75" s="254">
        <v>2</v>
      </c>
      <c r="AN75" s="254">
        <v>2</v>
      </c>
      <c r="AO75" s="254">
        <v>56</v>
      </c>
      <c r="AP75" s="254">
        <v>75</v>
      </c>
      <c r="AQ75" s="254">
        <v>2</v>
      </c>
      <c r="AR75" s="249">
        <v>0</v>
      </c>
      <c r="AS75" s="271">
        <v>1</v>
      </c>
    </row>
    <row r="76">
      <c r="A76" s="244"/>
      <c r="B76" s="257" t="s">
        <v>268</v>
      </c>
      <c r="C76" s="257"/>
      <c r="D76" s="257"/>
      <c r="E76" s="257"/>
      <c r="F76" s="258">
        <f>SUM(F72:F75)</f>
      </c>
      <c r="G76" s="258">
        <f>SUM(G72:G75)</f>
      </c>
      <c r="H76" s="258">
        <f>SUM(H72:H75)</f>
      </c>
      <c r="I76" s="258">
        <f>SUM(I72:I75)</f>
      </c>
      <c r="J76" s="259">
        <f>SUM(J72:J75)</f>
      </c>
      <c r="K76" s="259">
        <f>SUM(K72:K75)</f>
      </c>
      <c r="L76" s="258">
        <f>SUM(L72:L75)</f>
      </c>
      <c r="M76" s="260">
        <f t="shared" si="0"/>
      </c>
      <c r="N76" s="261">
        <f t="shared" si="69"/>
      </c>
      <c r="O76" s="262">
        <f t="shared" si="20"/>
      </c>
      <c r="P76" s="262">
        <f t="shared" si="79"/>
      </c>
      <c r="Q76" s="262">
        <f t="shared" si="74"/>
      </c>
      <c r="R76" s="262">
        <f t="shared" si="87"/>
      </c>
      <c r="S76" s="262">
        <f t="shared" si="83"/>
      </c>
      <c r="T76" s="262">
        <f t="shared" si="17"/>
      </c>
      <c r="U76" s="262">
        <f t="shared" si="2"/>
      </c>
      <c r="V76" s="260">
        <f t="shared" si="71"/>
      </c>
      <c r="W76" s="260">
        <f t="shared" si="22"/>
      </c>
      <c r="X76" s="260">
        <f t="shared" si="24"/>
      </c>
      <c r="Y76" s="260">
        <f t="shared" si="26"/>
      </c>
      <c r="Z76" s="260">
        <f t="shared" si="81"/>
      </c>
      <c r="AA76" s="260">
        <f t="shared" si="76"/>
      </c>
      <c r="AB76" s="261">
        <f t="shared" si="89"/>
      </c>
      <c r="AC76" s="261">
        <f t="shared" si="85"/>
      </c>
      <c r="AD76" s="261">
        <f t="shared" si="4"/>
      </c>
      <c r="AE76" s="260">
        <f t="shared" si="91"/>
      </c>
      <c r="AF76" s="261">
        <f t="shared" si="28"/>
      </c>
      <c r="AG76" s="260">
        <f t="shared" si="19"/>
      </c>
      <c r="AH76" s="260">
        <f t="shared" si="78"/>
      </c>
      <c r="AI76" s="259">
        <f>SUM(AI72:AI75)</f>
      </c>
      <c r="AJ76" s="259">
        <f>SUM(AJ72:AJ75)</f>
      </c>
      <c r="AK76" s="259">
        <f>SUM(AK72:AK75)</f>
      </c>
      <c r="AL76" s="259">
        <f>SUM(AL72:AL75)</f>
      </c>
      <c r="AM76" s="259">
        <f>SUM(AM72:AM75)</f>
      </c>
      <c r="AN76" s="259">
        <f>SUM(AN72:AN75)</f>
      </c>
      <c r="AO76" s="259">
        <f>SUM(AO72:AO75)</f>
      </c>
      <c r="AP76" s="259">
        <f>SUM(AP72:AP75)</f>
      </c>
      <c r="AQ76" s="259">
        <f>SUM(AQ72:AQ75)</f>
      </c>
      <c r="AR76" s="259">
        <f>SUM(AR72:AR75)</f>
      </c>
      <c r="AS76" s="263">
        <f>SUM(AS72:AS75)</f>
      </c>
    </row>
    <row r="77">
      <c r="A77" s="244"/>
      <c r="B77" s="246" t="s">
        <v>285</v>
      </c>
      <c r="C77" s="245" t="s">
        <v>263</v>
      </c>
      <c r="D77" s="246" t="s">
        <v>277</v>
      </c>
      <c r="E77" s="246" t="s">
        <v>279</v>
      </c>
      <c r="F77" s="247">
        <f t="shared" ref="F77:F80" si="36">G77+I77+H77</f>
      </c>
      <c r="G77" s="248">
        <v>74.81</v>
      </c>
      <c r="H77" s="248">
        <v>1231.59</v>
      </c>
      <c r="I77" s="248">
        <v>97.53</v>
      </c>
      <c r="J77" s="249">
        <v>1</v>
      </c>
      <c r="K77" s="249">
        <v>0</v>
      </c>
      <c r="L77" s="250">
        <v>0</v>
      </c>
      <c r="M77" s="251">
        <f t="shared" si="0"/>
      </c>
      <c r="N77" s="252">
        <f t="shared" si="69"/>
      </c>
      <c r="O77" s="253">
        <f t="shared" si="20"/>
      </c>
      <c r="P77" s="253">
        <f t="shared" si="79"/>
      </c>
      <c r="Q77" s="253">
        <f t="shared" si="74"/>
      </c>
      <c r="R77" s="253">
        <f t="shared" si="87"/>
      </c>
      <c r="S77" s="253">
        <f t="shared" si="83"/>
      </c>
      <c r="T77" s="253">
        <f t="shared" si="17"/>
      </c>
      <c r="U77" s="253">
        <f t="shared" si="2"/>
      </c>
      <c r="V77" s="251">
        <f t="shared" si="71"/>
      </c>
      <c r="W77" s="251">
        <f t="shared" si="22"/>
      </c>
      <c r="X77" s="251">
        <f t="shared" si="24"/>
      </c>
      <c r="Y77" s="251">
        <f t="shared" si="26"/>
      </c>
      <c r="Z77" s="251">
        <f t="shared" si="81"/>
      </c>
      <c r="AA77" s="251">
        <f t="shared" si="76"/>
      </c>
      <c r="AB77" s="252">
        <f t="shared" si="89"/>
      </c>
      <c r="AC77" s="252">
        <f t="shared" si="85"/>
      </c>
      <c r="AD77" s="252">
        <f t="shared" si="4"/>
      </c>
      <c r="AE77" s="251">
        <f t="shared" si="91"/>
      </c>
      <c r="AF77" s="252">
        <f t="shared" si="28"/>
      </c>
      <c r="AG77" s="251">
        <f t="shared" si="19"/>
      </c>
      <c r="AH77" s="251">
        <f t="shared" si="78"/>
      </c>
      <c r="AI77" s="254">
        <v>6287</v>
      </c>
      <c r="AJ77" s="254">
        <v>142</v>
      </c>
      <c r="AK77" s="254">
        <v>151</v>
      </c>
      <c r="AL77" s="254">
        <v>50</v>
      </c>
      <c r="AM77" s="254">
        <v>1</v>
      </c>
      <c r="AN77" s="254">
        <v>0</v>
      </c>
      <c r="AO77" s="254">
        <v>36</v>
      </c>
      <c r="AP77" s="254">
        <v>45</v>
      </c>
      <c r="AQ77" s="254">
        <v>5</v>
      </c>
      <c r="AR77" s="249">
        <v>0</v>
      </c>
      <c r="AS77" s="271">
        <v>1</v>
      </c>
    </row>
    <row r="78">
      <c r="A78" s="244"/>
      <c r="B78" s="246" t="s">
        <v>285</v>
      </c>
      <c r="C78" s="245" t="s">
        <v>263</v>
      </c>
      <c r="D78" s="246" t="s">
        <v>277</v>
      </c>
      <c r="E78" s="246" t="s">
        <v>280</v>
      </c>
      <c r="F78" s="247">
        <f t="shared" si="36"/>
      </c>
      <c r="G78" s="248">
        <v>55.15</v>
      </c>
      <c r="H78" s="248">
        <v>1304.88</v>
      </c>
      <c r="I78" s="248">
        <v>23.19</v>
      </c>
      <c r="J78" s="249">
        <v>1</v>
      </c>
      <c r="K78" s="249">
        <v>0</v>
      </c>
      <c r="L78" s="250">
        <v>0</v>
      </c>
      <c r="M78" s="251">
        <f t="shared" si="0"/>
      </c>
      <c r="N78" s="252">
        <f t="shared" si="69"/>
      </c>
      <c r="O78" s="253">
        <f t="shared" si="20"/>
      </c>
      <c r="P78" s="253">
        <f t="shared" si="79"/>
      </c>
      <c r="Q78" s="253">
        <f t="shared" si="74"/>
      </c>
      <c r="R78" s="253">
        <f t="shared" si="87"/>
      </c>
      <c r="S78" s="253">
        <f t="shared" si="83"/>
      </c>
      <c r="T78" s="253">
        <f t="shared" si="17"/>
      </c>
      <c r="U78" s="253">
        <f t="shared" si="2"/>
      </c>
      <c r="V78" s="251">
        <f t="shared" si="71"/>
      </c>
      <c r="W78" s="251">
        <f t="shared" si="22"/>
      </c>
      <c r="X78" s="251">
        <f t="shared" si="24"/>
      </c>
      <c r="Y78" s="251">
        <f t="shared" si="26"/>
      </c>
      <c r="Z78" s="251">
        <f t="shared" si="81"/>
      </c>
      <c r="AA78" s="251">
        <f t="shared" si="76"/>
      </c>
      <c r="AB78" s="252">
        <f t="shared" si="89"/>
      </c>
      <c r="AC78" s="252">
        <f t="shared" si="85"/>
      </c>
      <c r="AD78" s="252">
        <f t="shared" si="4"/>
      </c>
      <c r="AE78" s="251">
        <f t="shared" si="91"/>
      </c>
      <c r="AF78" s="252">
        <f t="shared" si="28"/>
      </c>
      <c r="AG78" s="251">
        <f t="shared" si="19"/>
      </c>
      <c r="AH78" s="251">
        <f t="shared" si="78"/>
      </c>
      <c r="AI78" s="254">
        <v>7642</v>
      </c>
      <c r="AJ78" s="254">
        <v>148</v>
      </c>
      <c r="AK78" s="254">
        <v>144</v>
      </c>
      <c r="AL78" s="254">
        <v>44</v>
      </c>
      <c r="AM78" s="254">
        <v>1</v>
      </c>
      <c r="AN78" s="254">
        <v>0</v>
      </c>
      <c r="AO78" s="254">
        <v>34</v>
      </c>
      <c r="AP78" s="254">
        <v>25</v>
      </c>
      <c r="AQ78" s="254">
        <v>3</v>
      </c>
      <c r="AR78" s="249">
        <v>0</v>
      </c>
      <c r="AS78" s="271">
        <v>1</v>
      </c>
    </row>
    <row customHeight="true" ht="16.071428571428573" r="79">
      <c r="A79" s="244"/>
      <c r="B79" s="246" t="s">
        <v>285</v>
      </c>
      <c r="C79" s="245" t="s">
        <v>263</v>
      </c>
      <c r="D79" s="246" t="s">
        <v>277</v>
      </c>
      <c r="E79" s="246" t="s">
        <v>281</v>
      </c>
      <c r="F79" s="247">
        <f t="shared" si="36"/>
      </c>
      <c r="G79" s="248">
        <v>116.3</v>
      </c>
      <c r="H79" s="248">
        <v>480.76</v>
      </c>
      <c r="I79" s="248">
        <v>26.09</v>
      </c>
      <c r="J79" s="249">
        <v>0</v>
      </c>
      <c r="K79" s="249">
        <v>0</v>
      </c>
      <c r="L79" s="250">
        <v>0</v>
      </c>
      <c r="M79" s="251">
        <f t="shared" si="0"/>
      </c>
      <c r="N79" s="252">
        <f t="shared" si="69"/>
      </c>
      <c r="O79" s="253">
        <f t="shared" si="20"/>
      </c>
      <c r="P79" s="253">
        <f t="shared" si="79"/>
      </c>
      <c r="Q79" s="253">
        <f t="shared" si="74"/>
      </c>
      <c r="R79" s="253">
        <f t="shared" si="87"/>
      </c>
      <c r="S79" s="253">
        <f t="shared" si="83"/>
      </c>
      <c r="T79" s="253">
        <f t="shared" si="17"/>
      </c>
      <c r="U79" s="253">
        <f t="shared" si="2"/>
      </c>
      <c r="V79" s="251">
        <f t="shared" si="71"/>
      </c>
      <c r="W79" s="251">
        <f t="shared" si="22"/>
      </c>
      <c r="X79" s="251">
        <f t="shared" si="24"/>
      </c>
      <c r="Y79" s="251">
        <f t="shared" si="26"/>
      </c>
      <c r="Z79" s="251">
        <f t="shared" si="81"/>
      </c>
      <c r="AA79" s="251">
        <f t="shared" si="76"/>
      </c>
      <c r="AB79" s="252">
        <f t="shared" si="89"/>
      </c>
      <c r="AC79" s="252">
        <f t="shared" si="85"/>
      </c>
      <c r="AD79" s="252">
        <f t="shared" si="4"/>
      </c>
      <c r="AE79" s="251">
        <f t="shared" si="91"/>
      </c>
      <c r="AF79" s="252">
        <f t="shared" si="28"/>
      </c>
      <c r="AG79" s="251">
        <f t="shared" si="19"/>
      </c>
      <c r="AH79" s="251">
        <f t="shared" si="78"/>
      </c>
      <c r="AI79" s="254">
        <v>2520</v>
      </c>
      <c r="AJ79" s="254">
        <v>88</v>
      </c>
      <c r="AK79" s="254">
        <v>85</v>
      </c>
      <c r="AL79" s="254">
        <v>25</v>
      </c>
      <c r="AM79" s="254">
        <v>0</v>
      </c>
      <c r="AN79" s="254">
        <v>0</v>
      </c>
      <c r="AO79" s="254">
        <v>18</v>
      </c>
      <c r="AP79" s="254">
        <v>18</v>
      </c>
      <c r="AQ79" s="254">
        <v>1</v>
      </c>
      <c r="AR79" s="249">
        <v>0</v>
      </c>
      <c r="AS79" s="271">
        <v>1</v>
      </c>
    </row>
    <row r="80">
      <c r="A80" s="244"/>
      <c r="B80" s="246" t="s">
        <v>285</v>
      </c>
      <c r="C80" s="245" t="s">
        <v>263</v>
      </c>
      <c r="D80" s="246" t="s">
        <v>277</v>
      </c>
      <c r="E80" s="246" t="s">
        <v>286</v>
      </c>
      <c r="F80" s="247">
        <f t="shared" si="36"/>
      </c>
      <c r="G80" s="248">
        <v>27.66</v>
      </c>
      <c r="H80" s="248">
        <v>146.77</v>
      </c>
      <c r="I80" s="248">
        <v>8.49</v>
      </c>
      <c r="J80" s="249">
        <v>0</v>
      </c>
      <c r="K80" s="249">
        <v>0</v>
      </c>
      <c r="L80" s="250">
        <v>0</v>
      </c>
      <c r="M80" s="251">
        <f t="shared" si="0"/>
      </c>
      <c r="N80" s="252">
        <f t="shared" si="69"/>
      </c>
      <c r="O80" s="253">
        <f t="shared" si="20"/>
      </c>
      <c r="P80" s="253">
        <f t="shared" si="79"/>
      </c>
      <c r="Q80" s="253">
        <f t="shared" si="74"/>
      </c>
      <c r="R80" s="253">
        <f t="shared" si="87"/>
      </c>
      <c r="S80" s="253">
        <f t="shared" si="83"/>
      </c>
      <c r="T80" s="253">
        <f t="shared" si="17"/>
      </c>
      <c r="U80" s="253">
        <f t="shared" si="2"/>
      </c>
      <c r="V80" s="251">
        <f t="shared" si="71"/>
      </c>
      <c r="W80" s="251">
        <f t="shared" si="22"/>
      </c>
      <c r="X80" s="251">
        <f t="shared" si="24"/>
      </c>
      <c r="Y80" s="251">
        <f t="shared" si="26"/>
      </c>
      <c r="Z80" s="251">
        <f t="shared" si="81"/>
      </c>
      <c r="AA80" s="251">
        <f t="shared" si="76"/>
      </c>
      <c r="AB80" s="252">
        <f t="shared" si="89"/>
      </c>
      <c r="AC80" s="252">
        <f t="shared" si="85"/>
      </c>
      <c r="AD80" s="252">
        <f t="shared" si="4"/>
      </c>
      <c r="AE80" s="251">
        <f t="shared" si="91"/>
      </c>
      <c r="AF80" s="252">
        <f t="shared" si="28"/>
      </c>
      <c r="AG80" s="251">
        <f t="shared" si="19"/>
      </c>
      <c r="AH80" s="251">
        <f t="shared" si="78"/>
      </c>
      <c r="AI80" s="254">
        <v>777</v>
      </c>
      <c r="AJ80" s="254">
        <v>28</v>
      </c>
      <c r="AK80" s="254">
        <v>27</v>
      </c>
      <c r="AL80" s="254">
        <v>9</v>
      </c>
      <c r="AM80" s="254">
        <v>0</v>
      </c>
      <c r="AN80" s="254">
        <v>0</v>
      </c>
      <c r="AO80" s="254">
        <v>5</v>
      </c>
      <c r="AP80" s="254">
        <v>4</v>
      </c>
      <c r="AQ80" s="254">
        <v>2</v>
      </c>
      <c r="AR80" s="249">
        <v>0</v>
      </c>
      <c r="AS80" s="271">
        <v>1</v>
      </c>
    </row>
    <row r="81">
      <c r="A81" s="244"/>
      <c r="B81" s="257" t="s">
        <v>268</v>
      </c>
      <c r="C81" s="257"/>
      <c r="D81" s="257"/>
      <c r="E81" s="257"/>
      <c r="F81" s="258">
        <f>SUM(F77:F80)</f>
      </c>
      <c r="G81" s="258">
        <f>SUM(G77:G80)</f>
      </c>
      <c r="H81" s="258">
        <f>SUM(H77:H80)</f>
      </c>
      <c r="I81" s="258">
        <f>SUM(I77:I80)</f>
      </c>
      <c r="J81" s="259">
        <f>SUM(J77:J80)</f>
      </c>
      <c r="K81" s="259">
        <f>SUM(K77:K80)</f>
      </c>
      <c r="L81" s="258">
        <f>SUM(L77:L80)</f>
      </c>
      <c r="M81" s="260">
        <f t="shared" si="0"/>
      </c>
      <c r="N81" s="261">
        <f t="shared" si="69"/>
      </c>
      <c r="O81" s="262">
        <f t="shared" si="20"/>
      </c>
      <c r="P81" s="262">
        <f t="shared" si="79"/>
      </c>
      <c r="Q81" s="262">
        <f t="shared" si="74"/>
      </c>
      <c r="R81" s="262">
        <f t="shared" si="87"/>
      </c>
      <c r="S81" s="262">
        <f t="shared" si="83"/>
      </c>
      <c r="T81" s="262">
        <f t="shared" si="17"/>
      </c>
      <c r="U81" s="262">
        <f t="shared" si="2"/>
      </c>
      <c r="V81" s="260">
        <f t="shared" si="71"/>
      </c>
      <c r="W81" s="260">
        <f t="shared" si="22"/>
      </c>
      <c r="X81" s="260">
        <f t="shared" si="24"/>
      </c>
      <c r="Y81" s="260">
        <f t="shared" si="26"/>
      </c>
      <c r="Z81" s="260">
        <f t="shared" si="81"/>
      </c>
      <c r="AA81" s="260">
        <f t="shared" si="76"/>
      </c>
      <c r="AB81" s="261">
        <f t="shared" si="89"/>
      </c>
      <c r="AC81" s="261">
        <f t="shared" si="85"/>
      </c>
      <c r="AD81" s="261">
        <f t="shared" si="4"/>
      </c>
      <c r="AE81" s="260">
        <f t="shared" si="91"/>
      </c>
      <c r="AF81" s="261">
        <f t="shared" si="28"/>
      </c>
      <c r="AG81" s="260">
        <f t="shared" si="19"/>
      </c>
      <c r="AH81" s="260">
        <f t="shared" si="78"/>
      </c>
      <c r="AI81" s="259">
        <f>SUM(AI77:AI80)</f>
      </c>
      <c r="AJ81" s="259">
        <f>SUM(AJ77:AJ80)</f>
      </c>
      <c r="AK81" s="259">
        <f>SUM(AK77:AK80)</f>
      </c>
      <c r="AL81" s="259">
        <f>SUM(AL77:AL80)</f>
      </c>
      <c r="AM81" s="259">
        <f>SUM(AM77:AM80)</f>
      </c>
      <c r="AN81" s="259">
        <f>SUM(AN77:AN80)</f>
      </c>
      <c r="AO81" s="259">
        <f>SUM(AO77:AO80)</f>
      </c>
      <c r="AP81" s="259">
        <f>SUM(AP77:AP80)</f>
      </c>
      <c r="AQ81" s="259">
        <f>SUM(AQ77:AQ80)</f>
      </c>
      <c r="AR81" s="259">
        <f>SUM(AR77:AR80)</f>
      </c>
      <c r="AS81" s="263">
        <f>SUM(AS77:AS80)</f>
      </c>
    </row>
    <row r="82">
      <c r="A82" s="244"/>
      <c r="B82" s="264" t="s">
        <v>273</v>
      </c>
      <c r="C82" s="264"/>
      <c r="D82" s="264"/>
      <c r="E82" s="264"/>
      <c r="F82" s="265">
        <f t="shared" ref="F82:F85" si="37">G82+I82+H82</f>
      </c>
      <c r="G82" s="265">
        <f>G76+G81</f>
      </c>
      <c r="H82" s="265">
        <f>H76+H81</f>
      </c>
      <c r="I82" s="265">
        <f>I76+I81</f>
      </c>
      <c r="J82" s="266">
        <f>J76+J81</f>
      </c>
      <c r="K82" s="266">
        <f>K76+K81</f>
      </c>
      <c r="L82" s="265">
        <f>L76+L81</f>
      </c>
      <c r="M82" s="267">
        <f t="shared" si="0"/>
      </c>
      <c r="N82" s="268">
        <f t="shared" si="69"/>
      </c>
      <c r="O82" s="269">
        <f t="shared" si="20"/>
      </c>
      <c r="P82" s="269">
        <f t="shared" si="79"/>
      </c>
      <c r="Q82" s="269">
        <f t="shared" si="74"/>
      </c>
      <c r="R82" s="269">
        <f t="shared" si="87"/>
      </c>
      <c r="S82" s="269">
        <f t="shared" si="83"/>
      </c>
      <c r="T82" s="269">
        <f t="shared" si="17"/>
      </c>
      <c r="U82" s="269">
        <f t="shared" si="2"/>
      </c>
      <c r="V82" s="267">
        <f t="shared" si="71"/>
      </c>
      <c r="W82" s="267">
        <f t="shared" si="22"/>
      </c>
      <c r="X82" s="267">
        <f t="shared" si="24"/>
      </c>
      <c r="Y82" s="267">
        <f t="shared" si="26"/>
      </c>
      <c r="Z82" s="267">
        <f t="shared" si="81"/>
      </c>
      <c r="AA82" s="267">
        <f t="shared" si="76"/>
      </c>
      <c r="AB82" s="268">
        <f t="shared" si="89"/>
      </c>
      <c r="AC82" s="268">
        <f t="shared" si="85"/>
      </c>
      <c r="AD82" s="268">
        <f t="shared" si="4"/>
      </c>
      <c r="AE82" s="267">
        <f t="shared" si="91"/>
      </c>
      <c r="AF82" s="268">
        <f t="shared" si="28"/>
      </c>
      <c r="AG82" s="267">
        <f t="shared" si="19"/>
      </c>
      <c r="AH82" s="267">
        <f t="shared" si="78"/>
      </c>
      <c r="AI82" s="270">
        <f>AI76+AI81</f>
      </c>
      <c r="AJ82" s="270">
        <f>AJ76+AJ81</f>
      </c>
      <c r="AK82" s="270">
        <f>AK76+AK81</f>
      </c>
      <c r="AL82" s="270">
        <f>AL76+AL81</f>
      </c>
      <c r="AM82" s="270">
        <f>AM76+AM81</f>
      </c>
      <c r="AN82" s="270">
        <f>AN76+AN81</f>
      </c>
      <c r="AO82" s="270">
        <f>AO76+AO81</f>
      </c>
      <c r="AP82" s="270">
        <f>AP76+AP81</f>
      </c>
      <c r="AQ82" s="270">
        <f>AQ76+AQ81</f>
      </c>
      <c r="AR82" s="270">
        <f>AR76+AR81</f>
      </c>
      <c r="AS82" s="263">
        <f>AS76+AS81</f>
      </c>
    </row>
    <row r="83">
      <c r="A83" s="244">
        <v>46255</v>
      </c>
      <c r="B83" s="246" t="s">
        <v>285</v>
      </c>
      <c r="C83" s="245" t="s">
        <v>263</v>
      </c>
      <c r="D83" s="246" t="s">
        <v>264</v>
      </c>
      <c r="E83" s="246" t="s">
        <v>274</v>
      </c>
      <c r="F83" s="247">
        <f t="shared" si="37"/>
      </c>
      <c r="G83" s="248">
        <v>28.64</v>
      </c>
      <c r="H83" s="248">
        <v>742.58</v>
      </c>
      <c r="I83" s="248">
        <v>103.3</v>
      </c>
      <c r="J83" s="249">
        <v>1</v>
      </c>
      <c r="K83" s="249">
        <v>1</v>
      </c>
      <c r="L83" s="250">
        <v>967.1999999999999</v>
      </c>
      <c r="M83" s="251">
        <f t="shared" si="0"/>
      </c>
      <c r="N83" s="252">
        <f t="shared" si="69"/>
      </c>
      <c r="O83" s="253">
        <f t="shared" si="20"/>
      </c>
      <c r="P83" s="253">
        <f t="shared" si="79"/>
      </c>
      <c r="Q83" s="253">
        <f t="shared" si="74"/>
      </c>
      <c r="R83" s="253">
        <f t="shared" si="87"/>
      </c>
      <c r="S83" s="253">
        <f t="shared" si="83"/>
      </c>
      <c r="T83" s="253">
        <f t="shared" si="17"/>
      </c>
      <c r="U83" s="253">
        <f t="shared" si="2"/>
      </c>
      <c r="V83" s="251">
        <f t="shared" si="71"/>
      </c>
      <c r="W83" s="251">
        <f t="shared" si="22"/>
      </c>
      <c r="X83" s="251">
        <f t="shared" si="24"/>
      </c>
      <c r="Y83" s="251">
        <f t="shared" si="26"/>
      </c>
      <c r="Z83" s="251">
        <f t="shared" si="81"/>
      </c>
      <c r="AA83" s="251">
        <f t="shared" si="76"/>
      </c>
      <c r="AB83" s="252">
        <f t="shared" si="89"/>
      </c>
      <c r="AC83" s="252">
        <f t="shared" si="85"/>
      </c>
      <c r="AD83" s="252">
        <f t="shared" si="4"/>
      </c>
      <c r="AE83" s="251">
        <f t="shared" si="91"/>
      </c>
      <c r="AF83" s="252">
        <f t="shared" si="28"/>
      </c>
      <c r="AG83" s="251">
        <f t="shared" si="19"/>
      </c>
      <c r="AH83" s="251">
        <f t="shared" si="78"/>
      </c>
      <c r="AI83" s="273">
        <v>4464</v>
      </c>
      <c r="AJ83" s="273">
        <v>165</v>
      </c>
      <c r="AK83" s="273">
        <v>171</v>
      </c>
      <c r="AL83" s="254">
        <v>33</v>
      </c>
      <c r="AM83" s="254">
        <v>1</v>
      </c>
      <c r="AN83" s="254">
        <v>1</v>
      </c>
      <c r="AO83" s="254">
        <v>23</v>
      </c>
      <c r="AP83" s="254">
        <v>22</v>
      </c>
      <c r="AQ83" s="254">
        <v>1</v>
      </c>
      <c r="AR83" s="249">
        <v>0</v>
      </c>
      <c r="AS83" s="271">
        <v>1</v>
      </c>
    </row>
    <row r="84">
      <c r="A84" s="244"/>
      <c r="B84" s="246" t="s">
        <v>285</v>
      </c>
      <c r="C84" s="245" t="s">
        <v>263</v>
      </c>
      <c r="D84" s="246" t="s">
        <v>264</v>
      </c>
      <c r="E84" s="246" t="s">
        <v>275</v>
      </c>
      <c r="F84" s="247">
        <f t="shared" si="37"/>
      </c>
      <c r="G84" s="272">
        <v>22.77</v>
      </c>
      <c r="H84" s="272">
        <v>593.65</v>
      </c>
      <c r="I84" s="248">
        <v>22.54</v>
      </c>
      <c r="J84" s="249">
        <v>3</v>
      </c>
      <c r="K84" s="249">
        <v>2</v>
      </c>
      <c r="L84" s="250">
        <v>1441.1999999999998</v>
      </c>
      <c r="M84" s="251">
        <f t="shared" si="0"/>
      </c>
      <c r="N84" s="252">
        <f t="shared" si="69"/>
      </c>
      <c r="O84" s="253">
        <f t="shared" si="20"/>
      </c>
      <c r="P84" s="253">
        <f t="shared" si="79"/>
      </c>
      <c r="Q84" s="253">
        <f t="shared" si="74"/>
      </c>
      <c r="R84" s="253">
        <f t="shared" si="87"/>
      </c>
      <c r="S84" s="253">
        <f t="shared" si="83"/>
      </c>
      <c r="T84" s="253">
        <f t="shared" si="17"/>
      </c>
      <c r="U84" s="253">
        <f t="shared" si="2"/>
      </c>
      <c r="V84" s="251">
        <f t="shared" si="71"/>
      </c>
      <c r="W84" s="251">
        <f t="shared" si="22"/>
      </c>
      <c r="X84" s="251">
        <f t="shared" si="24"/>
      </c>
      <c r="Y84" s="251">
        <f t="shared" si="26"/>
      </c>
      <c r="Z84" s="251">
        <f t="shared" si="81"/>
      </c>
      <c r="AA84" s="251">
        <f t="shared" si="76"/>
      </c>
      <c r="AB84" s="252">
        <f t="shared" si="89"/>
      </c>
      <c r="AC84" s="252">
        <f t="shared" si="85"/>
      </c>
      <c r="AD84" s="252">
        <f t="shared" si="4"/>
      </c>
      <c r="AE84" s="251">
        <f t="shared" si="91"/>
      </c>
      <c r="AF84" s="252">
        <f t="shared" si="28"/>
      </c>
      <c r="AG84" s="251">
        <f t="shared" si="19"/>
      </c>
      <c r="AH84" s="251">
        <f t="shared" si="78"/>
      </c>
      <c r="AI84" s="254">
        <v>3206</v>
      </c>
      <c r="AJ84" s="254">
        <v>100</v>
      </c>
      <c r="AK84" s="254">
        <v>91</v>
      </c>
      <c r="AL84" s="254">
        <v>33</v>
      </c>
      <c r="AM84" s="254">
        <v>3</v>
      </c>
      <c r="AN84" s="254">
        <v>2</v>
      </c>
      <c r="AO84" s="254">
        <v>27</v>
      </c>
      <c r="AP84" s="254">
        <v>57</v>
      </c>
      <c r="AQ84" s="249">
        <v>3</v>
      </c>
      <c r="AR84" s="249">
        <v>0</v>
      </c>
      <c r="AS84" s="271">
        <v>1</v>
      </c>
    </row>
    <row r="85">
      <c r="A85" s="244"/>
      <c r="B85" s="246" t="s">
        <v>285</v>
      </c>
      <c r="C85" s="245" t="s">
        <v>263</v>
      </c>
      <c r="D85" s="246" t="s">
        <v>264</v>
      </c>
      <c r="E85" s="246" t="s">
        <v>276</v>
      </c>
      <c r="F85" s="247">
        <f t="shared" si="37"/>
      </c>
      <c r="G85" s="248">
        <v>9.53</v>
      </c>
      <c r="H85" s="248">
        <v>1184.76</v>
      </c>
      <c r="I85" s="248">
        <v>25.19</v>
      </c>
      <c r="J85" s="249">
        <v>3</v>
      </c>
      <c r="K85" s="249">
        <v>3</v>
      </c>
      <c r="L85" s="250">
        <v>1915.1999999999998</v>
      </c>
      <c r="M85" s="251">
        <f t="shared" si="0"/>
      </c>
      <c r="N85" s="252">
        <f t="shared" si="69"/>
      </c>
      <c r="O85" s="253">
        <f t="shared" si="20"/>
      </c>
      <c r="P85" s="253">
        <f t="shared" si="79"/>
      </c>
      <c r="Q85" s="253">
        <f t="shared" si="74"/>
      </c>
      <c r="R85" s="253">
        <f t="shared" si="87"/>
      </c>
      <c r="S85" s="253">
        <f t="shared" si="83"/>
      </c>
      <c r="T85" s="253">
        <f t="shared" si="17"/>
      </c>
      <c r="U85" s="253">
        <f t="shared" si="2"/>
      </c>
      <c r="V85" s="251">
        <f t="shared" si="71"/>
      </c>
      <c r="W85" s="251">
        <f t="shared" si="22"/>
      </c>
      <c r="X85" s="251">
        <f t="shared" si="24"/>
      </c>
      <c r="Y85" s="251">
        <f t="shared" si="26"/>
      </c>
      <c r="Z85" s="251">
        <f t="shared" si="81"/>
      </c>
      <c r="AA85" s="251">
        <f t="shared" si="76"/>
      </c>
      <c r="AB85" s="252">
        <f t="shared" si="89"/>
      </c>
      <c r="AC85" s="252">
        <f t="shared" si="85"/>
      </c>
      <c r="AD85" s="252">
        <f t="shared" si="4"/>
      </c>
      <c r="AE85" s="251">
        <f t="shared" si="91"/>
      </c>
      <c r="AF85" s="252">
        <f t="shared" si="28"/>
      </c>
      <c r="AG85" s="251">
        <f t="shared" si="19"/>
      </c>
      <c r="AH85" s="251">
        <f t="shared" si="78"/>
      </c>
      <c r="AI85" s="249">
        <v>7935</v>
      </c>
      <c r="AJ85" s="249">
        <v>121</v>
      </c>
      <c r="AK85" s="249">
        <v>118</v>
      </c>
      <c r="AL85" s="249">
        <v>53</v>
      </c>
      <c r="AM85" s="249">
        <v>2</v>
      </c>
      <c r="AN85" s="249">
        <v>2</v>
      </c>
      <c r="AO85" s="249">
        <v>36</v>
      </c>
      <c r="AP85" s="249">
        <v>45</v>
      </c>
      <c r="AQ85" s="249">
        <v>5</v>
      </c>
      <c r="AR85" s="249">
        <v>0</v>
      </c>
      <c r="AS85" s="271">
        <v>1</v>
      </c>
    </row>
    <row r="86">
      <c r="A86" s="244"/>
      <c r="B86" s="257" t="s">
        <v>268</v>
      </c>
      <c r="C86" s="257"/>
      <c r="D86" s="257"/>
      <c r="E86" s="257"/>
      <c r="F86" s="258">
        <f>SUM(F83:F85)</f>
      </c>
      <c r="G86" s="258">
        <f>SUM(G83:G85)</f>
      </c>
      <c r="H86" s="258">
        <f>SUM(H83:H85)</f>
      </c>
      <c r="I86" s="258">
        <f>SUM(I83:I85)</f>
      </c>
      <c r="J86" s="259">
        <f>SUM(J83:J85)</f>
      </c>
      <c r="K86" s="259">
        <f>SUM(K83:K85)</f>
      </c>
      <c r="L86" s="258">
        <f>SUM(L83:L85)</f>
      </c>
      <c r="M86" s="260">
        <f t="shared" si="0"/>
      </c>
      <c r="N86" s="261">
        <f t="shared" si="69"/>
      </c>
      <c r="O86" s="262">
        <f t="shared" si="20"/>
      </c>
      <c r="P86" s="262">
        <f t="shared" si="79"/>
      </c>
      <c r="Q86" s="262">
        <f t="shared" si="74"/>
      </c>
      <c r="R86" s="262">
        <f t="shared" si="87"/>
      </c>
      <c r="S86" s="262">
        <f t="shared" si="83"/>
      </c>
      <c r="T86" s="262">
        <f t="shared" si="17"/>
      </c>
      <c r="U86" s="262">
        <f t="shared" si="2"/>
      </c>
      <c r="V86" s="260">
        <f t="shared" si="71"/>
      </c>
      <c r="W86" s="260">
        <f t="shared" si="22"/>
      </c>
      <c r="X86" s="260">
        <f t="shared" si="24"/>
      </c>
      <c r="Y86" s="260">
        <f t="shared" si="26"/>
      </c>
      <c r="Z86" s="260">
        <f t="shared" si="81"/>
      </c>
      <c r="AA86" s="260">
        <f t="shared" si="76"/>
      </c>
      <c r="AB86" s="261">
        <f t="shared" si="89"/>
      </c>
      <c r="AC86" s="261">
        <f t="shared" si="85"/>
      </c>
      <c r="AD86" s="261">
        <f t="shared" si="4"/>
      </c>
      <c r="AE86" s="260">
        <f t="shared" si="91"/>
      </c>
      <c r="AF86" s="261">
        <f t="shared" si="28"/>
      </c>
      <c r="AG86" s="260">
        <f t="shared" si="19"/>
      </c>
      <c r="AH86" s="260">
        <f t="shared" si="78"/>
      </c>
      <c r="AI86" s="259">
        <f>SUM(AI83:AI85)</f>
      </c>
      <c r="AJ86" s="259">
        <f>SUM(AJ83:AJ85)</f>
      </c>
      <c r="AK86" s="259">
        <f>SUM(AK83:AK85)</f>
      </c>
      <c r="AL86" s="259">
        <f>SUM(AL83:AL85)</f>
      </c>
      <c r="AM86" s="259">
        <f>SUM(AM83:AM85)</f>
      </c>
      <c r="AN86" s="259">
        <f>SUM(AN83:AN85)</f>
      </c>
      <c r="AO86" s="259">
        <f>SUM(AO83:AO85)</f>
      </c>
      <c r="AP86" s="259">
        <f>SUM(AP83:AP85)</f>
      </c>
      <c r="AQ86" s="259">
        <f>SUM(AQ83:AQ85)</f>
      </c>
      <c r="AR86" s="259">
        <f>SUM(AR83:AR85)</f>
      </c>
      <c r="AS86" s="263">
        <f>SUM(AS83:AS85)</f>
      </c>
    </row>
    <row r="87">
      <c r="A87" s="244"/>
      <c r="B87" s="246" t="s">
        <v>285</v>
      </c>
      <c r="C87" s="245" t="s">
        <v>263</v>
      </c>
      <c r="D87" s="246" t="s">
        <v>277</v>
      </c>
      <c r="E87" s="246" t="s">
        <v>278</v>
      </c>
      <c r="F87" s="247">
        <f t="shared" ref="F87:F89" si="38">G87+I87+H87</f>
      </c>
      <c r="G87" s="248">
        <v>10.95</v>
      </c>
      <c r="H87" s="248">
        <v>3507.17</v>
      </c>
      <c r="I87" s="248">
        <v>18.16</v>
      </c>
      <c r="J87" s="249">
        <v>5</v>
      </c>
      <c r="K87" s="249">
        <v>7</v>
      </c>
      <c r="L87" s="250">
        <v>4464.999999999999</v>
      </c>
      <c r="M87" s="251">
        <f t="shared" si="0"/>
      </c>
      <c r="N87" s="252">
        <f t="shared" si="69"/>
      </c>
      <c r="O87" s="253">
        <f t="shared" si="20"/>
      </c>
      <c r="P87" s="253">
        <f t="shared" si="79"/>
      </c>
      <c r="Q87" s="253">
        <f t="shared" si="74"/>
      </c>
      <c r="R87" s="253">
        <f t="shared" si="87"/>
      </c>
      <c r="S87" s="253">
        <f t="shared" si="83"/>
      </c>
      <c r="T87" s="253">
        <f t="shared" si="17"/>
      </c>
      <c r="U87" s="253">
        <f t="shared" si="2"/>
      </c>
      <c r="V87" s="251">
        <f t="shared" si="71"/>
      </c>
      <c r="W87" s="251">
        <f t="shared" si="22"/>
      </c>
      <c r="X87" s="251">
        <f t="shared" si="24"/>
      </c>
      <c r="Y87" s="251">
        <f t="shared" si="26"/>
      </c>
      <c r="Z87" s="251">
        <f t="shared" si="81"/>
      </c>
      <c r="AA87" s="251">
        <f t="shared" si="76"/>
      </c>
      <c r="AB87" s="252">
        <f t="shared" si="89"/>
      </c>
      <c r="AC87" s="252">
        <f t="shared" si="85"/>
      </c>
      <c r="AD87" s="252">
        <f t="shared" si="4"/>
      </c>
      <c r="AE87" s="251">
        <f t="shared" si="91"/>
      </c>
      <c r="AF87" s="252">
        <f t="shared" si="28"/>
      </c>
      <c r="AG87" s="251">
        <f t="shared" si="19"/>
      </c>
      <c r="AH87" s="251">
        <f t="shared" si="78"/>
      </c>
      <c r="AI87" s="254">
        <v>20233</v>
      </c>
      <c r="AJ87" s="254">
        <v>228</v>
      </c>
      <c r="AK87" s="254">
        <v>215</v>
      </c>
      <c r="AL87" s="254">
        <v>90</v>
      </c>
      <c r="AM87" s="254">
        <v>6</v>
      </c>
      <c r="AN87" s="254">
        <v>5</v>
      </c>
      <c r="AO87" s="254">
        <v>64</v>
      </c>
      <c r="AP87" s="254">
        <v>88</v>
      </c>
      <c r="AQ87" s="254">
        <v>7</v>
      </c>
      <c r="AR87" s="249">
        <v>2</v>
      </c>
      <c r="AS87" s="271">
        <v>1</v>
      </c>
    </row>
    <row r="88">
      <c r="A88" s="244"/>
      <c r="B88" s="246" t="s">
        <v>285</v>
      </c>
      <c r="C88" s="245" t="s">
        <v>263</v>
      </c>
      <c r="D88" s="246" t="s">
        <v>277</v>
      </c>
      <c r="E88" s="246" t="s">
        <v>279</v>
      </c>
      <c r="F88" s="247">
        <f t="shared" si="38"/>
      </c>
      <c r="G88" s="248">
        <v>47.69</v>
      </c>
      <c r="H88" s="248">
        <v>1776.9</v>
      </c>
      <c r="I88" s="248">
        <v>46.78</v>
      </c>
      <c r="J88" s="249">
        <v>3</v>
      </c>
      <c r="K88" s="249">
        <v>0</v>
      </c>
      <c r="L88" s="250">
        <v>0</v>
      </c>
      <c r="M88" s="251">
        <f t="shared" si="0"/>
      </c>
      <c r="N88" s="252">
        <f t="shared" si="69"/>
      </c>
      <c r="O88" s="253">
        <f t="shared" si="20"/>
      </c>
      <c r="P88" s="253">
        <f t="shared" si="79"/>
      </c>
      <c r="Q88" s="253">
        <f t="shared" si="74"/>
      </c>
      <c r="R88" s="253">
        <f t="shared" si="87"/>
      </c>
      <c r="S88" s="253">
        <f t="shared" si="83"/>
      </c>
      <c r="T88" s="253">
        <f t="shared" si="17"/>
      </c>
      <c r="U88" s="253">
        <f t="shared" si="2"/>
      </c>
      <c r="V88" s="251">
        <f t="shared" si="71"/>
      </c>
      <c r="W88" s="251">
        <f t="shared" si="22"/>
      </c>
      <c r="X88" s="251">
        <f t="shared" si="24"/>
      </c>
      <c r="Y88" s="251">
        <f t="shared" si="26"/>
      </c>
      <c r="Z88" s="251">
        <f t="shared" si="81"/>
      </c>
      <c r="AA88" s="251">
        <f t="shared" si="76"/>
      </c>
      <c r="AB88" s="252">
        <f t="shared" si="89"/>
      </c>
      <c r="AC88" s="252">
        <f t="shared" si="85"/>
      </c>
      <c r="AD88" s="252">
        <f t="shared" si="4"/>
      </c>
      <c r="AE88" s="251">
        <f t="shared" si="91"/>
      </c>
      <c r="AF88" s="252">
        <f t="shared" si="28"/>
      </c>
      <c r="AG88" s="251">
        <f t="shared" si="19"/>
      </c>
      <c r="AH88" s="251">
        <f t="shared" si="78"/>
      </c>
      <c r="AI88" s="254">
        <v>9083</v>
      </c>
      <c r="AJ88" s="254">
        <v>135</v>
      </c>
      <c r="AK88" s="254">
        <v>138</v>
      </c>
      <c r="AL88" s="254">
        <v>57</v>
      </c>
      <c r="AM88" s="254">
        <v>2</v>
      </c>
      <c r="AN88" s="254">
        <v>0</v>
      </c>
      <c r="AO88" s="254">
        <v>42</v>
      </c>
      <c r="AP88" s="254">
        <v>41</v>
      </c>
      <c r="AQ88" s="249">
        <v>10</v>
      </c>
      <c r="AR88" s="249">
        <v>0</v>
      </c>
      <c r="AS88" s="271">
        <v>1</v>
      </c>
    </row>
    <row r="89">
      <c r="A89" s="244"/>
      <c r="B89" s="246" t="s">
        <v>285</v>
      </c>
      <c r="C89" s="245" t="s">
        <v>263</v>
      </c>
      <c r="D89" s="246" t="s">
        <v>277</v>
      </c>
      <c r="E89" s="246" t="s">
        <v>280</v>
      </c>
      <c r="F89" s="247">
        <f t="shared" si="38"/>
      </c>
      <c r="G89" s="248">
        <v>13.86</v>
      </c>
      <c r="H89" s="248">
        <v>2406.56</v>
      </c>
      <c r="I89" s="248">
        <v>35.16</v>
      </c>
      <c r="J89" s="249">
        <v>8</v>
      </c>
      <c r="K89" s="249">
        <v>8</v>
      </c>
      <c r="L89" s="250">
        <v>5167.200000000001</v>
      </c>
      <c r="M89" s="251">
        <f t="shared" si="0"/>
      </c>
      <c r="N89" s="252">
        <f t="shared" si="69"/>
      </c>
      <c r="O89" s="253">
        <f t="shared" si="20"/>
      </c>
      <c r="P89" s="253">
        <f t="shared" si="79"/>
      </c>
      <c r="Q89" s="253">
        <f t="shared" si="74"/>
      </c>
      <c r="R89" s="253">
        <f t="shared" si="87"/>
      </c>
      <c r="S89" s="253">
        <f t="shared" si="83"/>
      </c>
      <c r="T89" s="253">
        <f t="shared" si="17"/>
      </c>
      <c r="U89" s="253">
        <f t="shared" si="2"/>
      </c>
      <c r="V89" s="251">
        <f t="shared" si="71"/>
      </c>
      <c r="W89" s="251">
        <f t="shared" si="22"/>
      </c>
      <c r="X89" s="251">
        <f t="shared" si="24"/>
      </c>
      <c r="Y89" s="251">
        <f t="shared" si="26"/>
      </c>
      <c r="Z89" s="251">
        <f t="shared" si="81"/>
      </c>
      <c r="AA89" s="251">
        <f t="shared" si="76"/>
      </c>
      <c r="AB89" s="252">
        <f t="shared" si="89"/>
      </c>
      <c r="AC89" s="252">
        <f t="shared" si="85"/>
      </c>
      <c r="AD89" s="252">
        <f t="shared" si="4"/>
      </c>
      <c r="AE89" s="251">
        <f t="shared" si="91"/>
      </c>
      <c r="AF89" s="252">
        <f t="shared" si="28"/>
      </c>
      <c r="AG89" s="251">
        <f t="shared" si="19"/>
      </c>
      <c r="AH89" s="251">
        <f t="shared" si="78"/>
      </c>
      <c r="AI89" s="254">
        <v>12388</v>
      </c>
      <c r="AJ89" s="254">
        <v>200</v>
      </c>
      <c r="AK89" s="254">
        <v>184</v>
      </c>
      <c r="AL89" s="254">
        <v>78</v>
      </c>
      <c r="AM89" s="254">
        <v>6</v>
      </c>
      <c r="AN89" s="254">
        <v>6</v>
      </c>
      <c r="AO89" s="254">
        <v>52</v>
      </c>
      <c r="AP89" s="254">
        <v>72</v>
      </c>
      <c r="AQ89" s="254">
        <v>4</v>
      </c>
      <c r="AR89" s="249">
        <v>0</v>
      </c>
      <c r="AS89" s="271">
        <v>1</v>
      </c>
    </row>
    <row r="90">
      <c r="A90" s="244"/>
      <c r="B90" s="257" t="s">
        <v>268</v>
      </c>
      <c r="C90" s="257"/>
      <c r="D90" s="257"/>
      <c r="E90" s="257"/>
      <c r="F90" s="258">
        <f>SUM(F87:F89)</f>
      </c>
      <c r="G90" s="258">
        <f>SUM(G87:G89)</f>
      </c>
      <c r="H90" s="258">
        <f>SUM(H87:H89)</f>
      </c>
      <c r="I90" s="258">
        <f>SUM(I87:I89)</f>
      </c>
      <c r="J90" s="259">
        <f>SUM(J87:J89)</f>
      </c>
      <c r="K90" s="259">
        <f>SUM(K87:K89)</f>
      </c>
      <c r="L90" s="258">
        <f>SUM(L87:L89)</f>
      </c>
      <c r="M90" s="260">
        <f t="shared" si="0"/>
      </c>
      <c r="N90" s="261">
        <f t="shared" si="69"/>
      </c>
      <c r="O90" s="262">
        <f t="shared" si="20"/>
      </c>
      <c r="P90" s="262">
        <f t="shared" si="79"/>
      </c>
      <c r="Q90" s="262">
        <f t="shared" si="74"/>
      </c>
      <c r="R90" s="262">
        <f t="shared" si="87"/>
      </c>
      <c r="S90" s="262">
        <f t="shared" si="83"/>
      </c>
      <c r="T90" s="262">
        <f t="shared" si="17"/>
      </c>
      <c r="U90" s="262">
        <f t="shared" si="2"/>
      </c>
      <c r="V90" s="260">
        <f t="shared" si="71"/>
      </c>
      <c r="W90" s="260">
        <f t="shared" si="22"/>
      </c>
      <c r="X90" s="260">
        <f t="shared" si="24"/>
      </c>
      <c r="Y90" s="260">
        <f t="shared" si="26"/>
      </c>
      <c r="Z90" s="260">
        <f t="shared" si="81"/>
      </c>
      <c r="AA90" s="260">
        <f t="shared" si="76"/>
      </c>
      <c r="AB90" s="261">
        <f t="shared" si="89"/>
      </c>
      <c r="AC90" s="261">
        <f t="shared" si="85"/>
      </c>
      <c r="AD90" s="261">
        <f t="shared" si="4"/>
      </c>
      <c r="AE90" s="260">
        <f t="shared" si="91"/>
      </c>
      <c r="AF90" s="261">
        <f t="shared" si="28"/>
      </c>
      <c r="AG90" s="260">
        <f t="shared" si="19"/>
      </c>
      <c r="AH90" s="260">
        <f t="shared" si="78"/>
      </c>
      <c r="AI90" s="259">
        <f>SUM(AI87:AI89)</f>
      </c>
      <c r="AJ90" s="259">
        <f>SUM(AJ87:AJ89)</f>
      </c>
      <c r="AK90" s="259">
        <f>SUM(AK87:AK89)</f>
      </c>
      <c r="AL90" s="259">
        <f>SUM(AL87:AL89)</f>
      </c>
      <c r="AM90" s="259">
        <f>SUM(AM87:AM89)</f>
      </c>
      <c r="AN90" s="259">
        <f>SUM(AN87:AN89)</f>
      </c>
      <c r="AO90" s="259">
        <f>SUM(AO87:AO89)</f>
      </c>
      <c r="AP90" s="259">
        <f>SUM(AP87:AP89)</f>
      </c>
      <c r="AQ90" s="259">
        <f>SUM(AQ87:AQ89)</f>
      </c>
      <c r="AR90" s="259">
        <f>SUM(AR87:AR89)</f>
      </c>
      <c r="AS90" s="263">
        <f>SUM(AS87:AS89)</f>
      </c>
    </row>
    <row r="91">
      <c r="A91" s="244"/>
      <c r="B91" s="246" t="s">
        <v>285</v>
      </c>
      <c r="C91" s="245" t="s">
        <v>263</v>
      </c>
      <c r="D91" s="246" t="s">
        <v>283</v>
      </c>
      <c r="E91" s="246" t="s">
        <v>281</v>
      </c>
      <c r="F91" s="247">
        <f t="shared" ref="F91:F92" si="39">G91+I91+H91</f>
      </c>
      <c r="G91" s="248">
        <v>42.33</v>
      </c>
      <c r="H91" s="248">
        <v>2424.08</v>
      </c>
      <c r="I91" s="248">
        <v>41.59</v>
      </c>
      <c r="J91" s="249">
        <v>1</v>
      </c>
      <c r="K91" s="249">
        <v>1</v>
      </c>
      <c r="L91" s="250">
        <v>895</v>
      </c>
      <c r="M91" s="251">
        <f t="shared" si="0"/>
      </c>
      <c r="N91" s="252">
        <f t="shared" si="69"/>
      </c>
      <c r="O91" s="253">
        <f t="shared" si="20"/>
      </c>
      <c r="P91" s="253">
        <f t="shared" si="79"/>
      </c>
      <c r="Q91" s="253">
        <f t="shared" si="74"/>
      </c>
      <c r="R91" s="253">
        <f t="shared" si="87"/>
      </c>
      <c r="S91" s="253">
        <f t="shared" si="83"/>
      </c>
      <c r="T91" s="253">
        <f t="shared" si="17"/>
      </c>
      <c r="U91" s="253">
        <f t="shared" si="2"/>
      </c>
      <c r="V91" s="251">
        <f t="shared" si="71"/>
      </c>
      <c r="W91" s="251">
        <f t="shared" si="22"/>
      </c>
      <c r="X91" s="251">
        <f t="shared" si="24"/>
      </c>
      <c r="Y91" s="251">
        <f t="shared" si="26"/>
      </c>
      <c r="Z91" s="251">
        <f t="shared" si="81"/>
      </c>
      <c r="AA91" s="251">
        <f t="shared" si="76"/>
      </c>
      <c r="AB91" s="252">
        <f t="shared" si="89"/>
      </c>
      <c r="AC91" s="252">
        <f t="shared" si="85"/>
      </c>
      <c r="AD91" s="252">
        <f t="shared" si="4"/>
      </c>
      <c r="AE91" s="251">
        <f t="shared" si="91"/>
      </c>
      <c r="AF91" s="252">
        <f t="shared" si="28"/>
      </c>
      <c r="AG91" s="251">
        <f t="shared" si="19"/>
      </c>
      <c r="AH91" s="251">
        <f t="shared" si="78"/>
      </c>
      <c r="AI91" s="254">
        <v>14303</v>
      </c>
      <c r="AJ91" s="249">
        <v>187</v>
      </c>
      <c r="AK91" s="249">
        <v>196</v>
      </c>
      <c r="AL91" s="249">
        <v>77</v>
      </c>
      <c r="AM91" s="249">
        <v>3</v>
      </c>
      <c r="AN91" s="249">
        <v>3</v>
      </c>
      <c r="AO91" s="249">
        <v>52</v>
      </c>
      <c r="AP91" s="249">
        <v>39</v>
      </c>
      <c r="AQ91" s="249">
        <v>4</v>
      </c>
      <c r="AR91" s="249">
        <v>0</v>
      </c>
      <c r="AS91" s="271">
        <v>1</v>
      </c>
    </row>
    <row r="92">
      <c r="A92" s="244"/>
      <c r="B92" s="246" t="s">
        <v>285</v>
      </c>
      <c r="C92" s="245" t="s">
        <v>263</v>
      </c>
      <c r="D92" s="246" t="s">
        <v>283</v>
      </c>
      <c r="E92" s="246" t="s">
        <v>282</v>
      </c>
      <c r="F92" s="247">
        <f t="shared" si="39"/>
      </c>
      <c r="G92" s="248">
        <v>39.37</v>
      </c>
      <c r="H92" s="248">
        <v>865.46</v>
      </c>
      <c r="I92" s="248">
        <v>16.21</v>
      </c>
      <c r="J92" s="249">
        <v>0</v>
      </c>
      <c r="K92" s="249">
        <v>0</v>
      </c>
      <c r="L92" s="250">
        <v>0</v>
      </c>
      <c r="M92" s="251">
        <f t="shared" si="0"/>
      </c>
      <c r="N92" s="252">
        <f t="shared" si="69"/>
      </c>
      <c r="O92" s="253">
        <f t="shared" si="20"/>
      </c>
      <c r="P92" s="253">
        <f t="shared" si="79"/>
      </c>
      <c r="Q92" s="253">
        <f t="shared" si="74"/>
      </c>
      <c r="R92" s="253">
        <f t="shared" si="87"/>
      </c>
      <c r="S92" s="253">
        <f t="shared" si="83"/>
      </c>
      <c r="T92" s="253">
        <f t="shared" si="17"/>
      </c>
      <c r="U92" s="253">
        <f t="shared" si="2"/>
      </c>
      <c r="V92" s="251">
        <f t="shared" si="71"/>
      </c>
      <c r="W92" s="251">
        <f t="shared" si="22"/>
      </c>
      <c r="X92" s="251">
        <f t="shared" si="24"/>
      </c>
      <c r="Y92" s="251">
        <f t="shared" si="26"/>
      </c>
      <c r="Z92" s="251">
        <f t="shared" si="81"/>
      </c>
      <c r="AA92" s="251">
        <f t="shared" si="76"/>
      </c>
      <c r="AB92" s="252">
        <f t="shared" si="89"/>
      </c>
      <c r="AC92" s="252">
        <f t="shared" si="85"/>
      </c>
      <c r="AD92" s="252">
        <f t="shared" si="4"/>
      </c>
      <c r="AE92" s="251">
        <f t="shared" si="91"/>
      </c>
      <c r="AF92" s="252">
        <f t="shared" si="28"/>
      </c>
      <c r="AG92" s="251">
        <f t="shared" si="19"/>
      </c>
      <c r="AH92" s="251">
        <f t="shared" si="78"/>
      </c>
      <c r="AI92" s="254">
        <v>3964</v>
      </c>
      <c r="AJ92" s="254">
        <v>76</v>
      </c>
      <c r="AK92" s="254">
        <v>71</v>
      </c>
      <c r="AL92" s="254">
        <v>34</v>
      </c>
      <c r="AM92" s="254">
        <v>0</v>
      </c>
      <c r="AN92" s="254">
        <v>0</v>
      </c>
      <c r="AO92" s="254">
        <v>17</v>
      </c>
      <c r="AP92" s="254">
        <v>14</v>
      </c>
      <c r="AQ92" s="254">
        <v>0</v>
      </c>
      <c r="AR92" s="249">
        <v>0</v>
      </c>
      <c r="AS92" s="271">
        <v>1</v>
      </c>
    </row>
    <row r="93">
      <c r="A93" s="244"/>
      <c r="B93" s="257" t="s">
        <v>268</v>
      </c>
      <c r="C93" s="257"/>
      <c r="D93" s="257"/>
      <c r="E93" s="257"/>
      <c r="F93" s="258">
        <f>SUM(F91:F92)</f>
      </c>
      <c r="G93" s="258">
        <f>SUM(G91:G92)</f>
      </c>
      <c r="H93" s="258">
        <f>SUM(H91:H92)</f>
      </c>
      <c r="I93" s="258">
        <f>SUM(I91:I92)</f>
      </c>
      <c r="J93" s="259">
        <f>SUM(J91:J92)</f>
      </c>
      <c r="K93" s="259">
        <f>SUM(K91:K92)</f>
      </c>
      <c r="L93" s="258">
        <f>SUM(L91:L92)</f>
      </c>
      <c r="M93" s="260">
        <f t="shared" si="0"/>
      </c>
      <c r="N93" s="261">
        <f t="shared" si="69"/>
      </c>
      <c r="O93" s="262">
        <f t="shared" si="20"/>
      </c>
      <c r="P93" s="262">
        <f t="shared" si="79"/>
      </c>
      <c r="Q93" s="262">
        <f t="shared" si="74"/>
      </c>
      <c r="R93" s="262">
        <f t="shared" si="87"/>
      </c>
      <c r="S93" s="262">
        <f t="shared" si="83"/>
      </c>
      <c r="T93" s="262">
        <f t="shared" si="17"/>
      </c>
      <c r="U93" s="262">
        <f t="shared" si="2"/>
      </c>
      <c r="V93" s="260">
        <f t="shared" si="71"/>
      </c>
      <c r="W93" s="260">
        <f t="shared" si="22"/>
      </c>
      <c r="X93" s="260">
        <f t="shared" si="24"/>
      </c>
      <c r="Y93" s="260">
        <f t="shared" si="26"/>
      </c>
      <c r="Z93" s="260">
        <f t="shared" si="81"/>
      </c>
      <c r="AA93" s="260">
        <f t="shared" si="76"/>
      </c>
      <c r="AB93" s="261">
        <f t="shared" si="89"/>
      </c>
      <c r="AC93" s="261">
        <f t="shared" si="85"/>
      </c>
      <c r="AD93" s="261">
        <f t="shared" si="4"/>
      </c>
      <c r="AE93" s="260">
        <f t="shared" si="91"/>
      </c>
      <c r="AF93" s="261">
        <f t="shared" si="28"/>
      </c>
      <c r="AG93" s="260">
        <f t="shared" si="19"/>
      </c>
      <c r="AH93" s="260">
        <f t="shared" si="78"/>
      </c>
      <c r="AI93" s="259">
        <f>SUM(AI91:AI92)</f>
      </c>
      <c r="AJ93" s="259">
        <f>SUM(AJ91:AJ92)</f>
      </c>
      <c r="AK93" s="259">
        <f>SUM(AK91:AK92)</f>
      </c>
      <c r="AL93" s="259">
        <f>SUM(AL91:AL92)</f>
      </c>
      <c r="AM93" s="259">
        <f>SUM(AM91:AM92)</f>
      </c>
      <c r="AN93" s="259">
        <f>SUM(AN91:AN92)</f>
      </c>
      <c r="AO93" s="259">
        <f>SUM(AO91:AO92)</f>
      </c>
      <c r="AP93" s="259">
        <f>SUM(AP91:AP92)</f>
      </c>
      <c r="AQ93" s="259">
        <f>SUM(AQ91:AQ92)</f>
      </c>
      <c r="AR93" s="259">
        <f>SUM(AR91:AR92)</f>
      </c>
      <c r="AS93" s="263">
        <f>SUM(AS91:AS92)</f>
      </c>
    </row>
    <row r="94">
      <c r="A94" s="244"/>
      <c r="B94" s="264" t="s">
        <v>273</v>
      </c>
      <c r="C94" s="264"/>
      <c r="D94" s="264"/>
      <c r="E94" s="264"/>
      <c r="F94" s="265">
        <f t="shared" ref="F94:F97" si="40">G94+I94+H94</f>
      </c>
      <c r="G94" s="265">
        <f>G86+G93+G90</f>
      </c>
      <c r="H94" s="265">
        <f>H86+H93+H90</f>
      </c>
      <c r="I94" s="265">
        <f>I86+I93+I90</f>
      </c>
      <c r="J94" s="265">
        <f>J86+J93+J90</f>
      </c>
      <c r="K94" s="265">
        <f>K86+K93+K90</f>
      </c>
      <c r="L94" s="265">
        <f>L86+L93+L90</f>
      </c>
      <c r="M94" s="267">
        <f t="shared" si="0"/>
      </c>
      <c r="N94" s="268">
        <f t="shared" si="69"/>
      </c>
      <c r="O94" s="269">
        <f t="shared" si="20"/>
      </c>
      <c r="P94" s="269">
        <f t="shared" si="79"/>
      </c>
      <c r="Q94" s="269">
        <f t="shared" si="74"/>
      </c>
      <c r="R94" s="269">
        <f t="shared" si="87"/>
      </c>
      <c r="S94" s="269">
        <f t="shared" si="83"/>
      </c>
      <c r="T94" s="269">
        <f t="shared" si="17"/>
      </c>
      <c r="U94" s="269">
        <f t="shared" si="2"/>
      </c>
      <c r="V94" s="267">
        <f t="shared" si="71"/>
      </c>
      <c r="W94" s="267">
        <f t="shared" si="22"/>
      </c>
      <c r="X94" s="267">
        <f t="shared" si="24"/>
      </c>
      <c r="Y94" s="267">
        <f t="shared" si="26"/>
      </c>
      <c r="Z94" s="267">
        <f t="shared" si="81"/>
      </c>
      <c r="AA94" s="267">
        <f t="shared" si="76"/>
      </c>
      <c r="AB94" s="268">
        <f t="shared" si="89"/>
      </c>
      <c r="AC94" s="268">
        <f t="shared" si="85"/>
      </c>
      <c r="AD94" s="268">
        <f t="shared" si="4"/>
      </c>
      <c r="AE94" s="267">
        <f t="shared" si="91"/>
      </c>
      <c r="AF94" s="268">
        <f t="shared" si="28"/>
      </c>
      <c r="AG94" s="267">
        <f t="shared" si="19"/>
      </c>
      <c r="AH94" s="267">
        <f t="shared" si="78"/>
      </c>
      <c r="AI94" s="270">
        <f>AI86+AI93+AI90</f>
      </c>
      <c r="AJ94" s="270">
        <f>AJ86+AJ93+AJ90</f>
      </c>
      <c r="AK94" s="270">
        <f>AK86+AK93+AK90</f>
      </c>
      <c r="AL94" s="270">
        <f>AL86+AL93+AL90</f>
      </c>
      <c r="AM94" s="270">
        <f>AM86+AM93+AM90</f>
      </c>
      <c r="AN94" s="270">
        <f>AN86+AN93+AN90</f>
      </c>
      <c r="AO94" s="270">
        <f>AO86+AO93+AO90</f>
      </c>
      <c r="AP94" s="270">
        <f>AP86+AP93+AP90</f>
      </c>
      <c r="AQ94" s="270">
        <f>AQ86+AQ93+AQ90</f>
      </c>
      <c r="AR94" s="270">
        <f>AR86+AR93+AR90</f>
      </c>
      <c r="AS94" s="263">
        <f>AS86+AS93+AS90</f>
      </c>
    </row>
    <row r="95">
      <c r="A95" s="244">
        <v>46256</v>
      </c>
      <c r="B95" s="246" t="s">
        <v>285</v>
      </c>
      <c r="C95" s="245" t="s">
        <v>263</v>
      </c>
      <c r="D95" s="246" t="s">
        <v>264</v>
      </c>
      <c r="E95" s="246" t="s">
        <v>274</v>
      </c>
      <c r="F95" s="247">
        <f t="shared" si="40"/>
      </c>
      <c r="G95" s="248">
        <v>98.08</v>
      </c>
      <c r="H95" s="248">
        <v>1373.9</v>
      </c>
      <c r="I95" s="248">
        <v>172.19</v>
      </c>
      <c r="J95" s="249">
        <v>0</v>
      </c>
      <c r="K95" s="249">
        <v>0</v>
      </c>
      <c r="L95" s="250">
        <v>0</v>
      </c>
      <c r="M95" s="251">
        <f t="shared" si="0"/>
      </c>
      <c r="N95" s="252">
        <f t="shared" si="69"/>
      </c>
      <c r="O95" s="253">
        <f t="shared" si="20"/>
      </c>
      <c r="P95" s="253">
        <f t="shared" si="79"/>
      </c>
      <c r="Q95" s="253">
        <f t="shared" si="74"/>
      </c>
      <c r="R95" s="253">
        <f t="shared" si="87"/>
      </c>
      <c r="S95" s="253">
        <f t="shared" si="83"/>
      </c>
      <c r="T95" s="253">
        <f t="shared" si="17"/>
      </c>
      <c r="U95" s="253">
        <f t="shared" si="2"/>
      </c>
      <c r="V95" s="251">
        <f t="shared" si="71"/>
      </c>
      <c r="W95" s="251">
        <f t="shared" si="22"/>
      </c>
      <c r="X95" s="251">
        <f t="shared" si="24"/>
      </c>
      <c r="Y95" s="251">
        <f t="shared" si="26"/>
      </c>
      <c r="Z95" s="251">
        <f t="shared" si="81"/>
      </c>
      <c r="AA95" s="251">
        <f t="shared" si="76"/>
      </c>
      <c r="AB95" s="252">
        <f t="shared" si="89"/>
      </c>
      <c r="AC95" s="252">
        <f t="shared" si="85"/>
      </c>
      <c r="AD95" s="252">
        <f t="shared" si="4"/>
      </c>
      <c r="AE95" s="251">
        <f t="shared" si="91"/>
      </c>
      <c r="AF95" s="252">
        <f t="shared" si="28"/>
      </c>
      <c r="AG95" s="251">
        <f t="shared" si="19"/>
      </c>
      <c r="AH95" s="251">
        <f t="shared" si="78"/>
      </c>
      <c r="AI95" s="273">
        <v>7455</v>
      </c>
      <c r="AJ95" s="273">
        <v>286</v>
      </c>
      <c r="AK95" s="273">
        <v>302</v>
      </c>
      <c r="AL95" s="254">
        <v>71</v>
      </c>
      <c r="AM95" s="254">
        <v>0</v>
      </c>
      <c r="AN95" s="254">
        <v>0</v>
      </c>
      <c r="AO95" s="254">
        <v>52</v>
      </c>
      <c r="AP95" s="254">
        <v>41</v>
      </c>
      <c r="AQ95" s="254">
        <v>3</v>
      </c>
      <c r="AR95" s="249">
        <v>0</v>
      </c>
      <c r="AS95" s="271">
        <v>1</v>
      </c>
    </row>
    <row r="96">
      <c r="A96" s="244"/>
      <c r="B96" s="246" t="s">
        <v>285</v>
      </c>
      <c r="C96" s="245" t="s">
        <v>263</v>
      </c>
      <c r="D96" s="246" t="s">
        <v>264</v>
      </c>
      <c r="E96" s="246" t="s">
        <v>275</v>
      </c>
      <c r="F96" s="247">
        <f t="shared" si="40"/>
      </c>
      <c r="G96" s="272">
        <v>27.58</v>
      </c>
      <c r="H96" s="272">
        <v>1197.47</v>
      </c>
      <c r="I96" s="248">
        <v>64.19</v>
      </c>
      <c r="J96" s="249">
        <v>2</v>
      </c>
      <c r="K96" s="249">
        <v>2</v>
      </c>
      <c r="L96" s="250">
        <v>1441.1999999999998</v>
      </c>
      <c r="M96" s="251">
        <f t="shared" si="0"/>
      </c>
      <c r="N96" s="252">
        <f t="shared" si="69"/>
      </c>
      <c r="O96" s="253">
        <f t="shared" si="20"/>
      </c>
      <c r="P96" s="253">
        <f t="shared" si="79"/>
      </c>
      <c r="Q96" s="253">
        <f t="shared" si="74"/>
      </c>
      <c r="R96" s="253">
        <f t="shared" si="87"/>
      </c>
      <c r="S96" s="253">
        <f t="shared" si="83"/>
      </c>
      <c r="T96" s="253">
        <f t="shared" si="17"/>
      </c>
      <c r="U96" s="253">
        <f t="shared" si="2"/>
      </c>
      <c r="V96" s="251">
        <f t="shared" si="71"/>
      </c>
      <c r="W96" s="251">
        <f t="shared" si="22"/>
      </c>
      <c r="X96" s="251">
        <f t="shared" si="24"/>
      </c>
      <c r="Y96" s="251">
        <f t="shared" si="26"/>
      </c>
      <c r="Z96" s="251">
        <f t="shared" si="81"/>
      </c>
      <c r="AA96" s="251">
        <f t="shared" si="76"/>
      </c>
      <c r="AB96" s="252">
        <f t="shared" si="89"/>
      </c>
      <c r="AC96" s="252">
        <f t="shared" si="85"/>
      </c>
      <c r="AD96" s="252">
        <f t="shared" si="4"/>
      </c>
      <c r="AE96" s="251">
        <f t="shared" si="91"/>
      </c>
      <c r="AF96" s="252">
        <f t="shared" si="28"/>
      </c>
      <c r="AG96" s="251">
        <f t="shared" si="19"/>
      </c>
      <c r="AH96" s="251">
        <f t="shared" si="78"/>
      </c>
      <c r="AI96" s="254">
        <v>6119</v>
      </c>
      <c r="AJ96" s="254">
        <v>195</v>
      </c>
      <c r="AK96" s="254">
        <v>211</v>
      </c>
      <c r="AL96" s="254">
        <v>57</v>
      </c>
      <c r="AM96" s="254">
        <v>2</v>
      </c>
      <c r="AN96" s="254">
        <v>2</v>
      </c>
      <c r="AO96" s="254">
        <v>44</v>
      </c>
      <c r="AP96" s="254">
        <v>57</v>
      </c>
      <c r="AQ96" s="249">
        <v>4</v>
      </c>
      <c r="AR96" s="249">
        <v>0</v>
      </c>
      <c r="AS96" s="271">
        <v>1</v>
      </c>
    </row>
    <row r="97">
      <c r="A97" s="244"/>
      <c r="B97" s="246" t="s">
        <v>285</v>
      </c>
      <c r="C97" s="245" t="s">
        <v>263</v>
      </c>
      <c r="D97" s="246" t="s">
        <v>264</v>
      </c>
      <c r="E97" s="246" t="s">
        <v>276</v>
      </c>
      <c r="F97" s="247">
        <f t="shared" si="40"/>
      </c>
      <c r="G97" s="248">
        <v>37.65</v>
      </c>
      <c r="H97" s="248">
        <v>514.38</v>
      </c>
      <c r="I97" s="248">
        <v>18.72</v>
      </c>
      <c r="J97" s="249">
        <v>2</v>
      </c>
      <c r="K97" s="249">
        <v>2</v>
      </c>
      <c r="L97" s="250">
        <v>1934.3999999999996</v>
      </c>
      <c r="M97" s="251">
        <f t="shared" si="0"/>
      </c>
      <c r="N97" s="252">
        <f t="shared" si="69"/>
      </c>
      <c r="O97" s="253">
        <f t="shared" si="20"/>
      </c>
      <c r="P97" s="253">
        <f t="shared" si="79"/>
      </c>
      <c r="Q97" s="253">
        <f t="shared" si="74"/>
      </c>
      <c r="R97" s="253">
        <f t="shared" si="87"/>
      </c>
      <c r="S97" s="253">
        <f t="shared" si="83"/>
      </c>
      <c r="T97" s="253">
        <f t="shared" si="17"/>
      </c>
      <c r="U97" s="253">
        <f t="shared" si="2"/>
      </c>
      <c r="V97" s="251">
        <f t="shared" si="71"/>
      </c>
      <c r="W97" s="251">
        <f t="shared" si="22"/>
      </c>
      <c r="X97" s="251">
        <f t="shared" si="24"/>
      </c>
      <c r="Y97" s="251">
        <f t="shared" si="26"/>
      </c>
      <c r="Z97" s="251">
        <f t="shared" si="81"/>
      </c>
      <c r="AA97" s="251">
        <f t="shared" si="76"/>
      </c>
      <c r="AB97" s="252">
        <f t="shared" si="89"/>
      </c>
      <c r="AC97" s="252">
        <f t="shared" si="85"/>
      </c>
      <c r="AD97" s="252">
        <f t="shared" si="4"/>
      </c>
      <c r="AE97" s="251">
        <f t="shared" si="91"/>
      </c>
      <c r="AF97" s="252">
        <f t="shared" si="28"/>
      </c>
      <c r="AG97" s="251">
        <f t="shared" si="19"/>
      </c>
      <c r="AH97" s="251">
        <f t="shared" si="78"/>
      </c>
      <c r="AI97" s="249">
        <v>2720</v>
      </c>
      <c r="AJ97" s="249">
        <v>88</v>
      </c>
      <c r="AK97" s="249">
        <v>83</v>
      </c>
      <c r="AL97" s="249">
        <v>20</v>
      </c>
      <c r="AM97" s="249">
        <v>2</v>
      </c>
      <c r="AN97" s="249">
        <v>2</v>
      </c>
      <c r="AO97" s="249">
        <v>10</v>
      </c>
      <c r="AP97" s="249">
        <v>10</v>
      </c>
      <c r="AQ97" s="249">
        <v>5</v>
      </c>
      <c r="AR97" s="249">
        <v>0</v>
      </c>
      <c r="AS97" s="271">
        <v>1</v>
      </c>
    </row>
    <row r="98">
      <c r="A98" s="244"/>
      <c r="B98" s="257" t="s">
        <v>268</v>
      </c>
      <c r="C98" s="257"/>
      <c r="D98" s="257"/>
      <c r="E98" s="257"/>
      <c r="F98" s="258">
        <f>SUM(F95:F97)</f>
      </c>
      <c r="G98" s="258">
        <f>SUM(G95:G97)</f>
      </c>
      <c r="H98" s="258">
        <f>SUM(H95:H97)</f>
      </c>
      <c r="I98" s="258">
        <f>SUM(I95:I97)</f>
      </c>
      <c r="J98" s="259">
        <f>SUM(J95:J97)</f>
      </c>
      <c r="K98" s="259">
        <f>SUM(K95:K97)</f>
      </c>
      <c r="L98" s="258">
        <f>SUM(L95:L97)</f>
      </c>
      <c r="M98" s="260">
        <f t="shared" si="0"/>
      </c>
      <c r="N98" s="261">
        <f t="shared" si="69"/>
      </c>
      <c r="O98" s="262">
        <f t="shared" si="20"/>
      </c>
      <c r="P98" s="262">
        <f t="shared" si="79"/>
      </c>
      <c r="Q98" s="262">
        <f t="shared" si="74"/>
      </c>
      <c r="R98" s="262">
        <f t="shared" si="87"/>
      </c>
      <c r="S98" s="262">
        <f t="shared" si="83"/>
      </c>
      <c r="T98" s="262">
        <f t="shared" si="17"/>
      </c>
      <c r="U98" s="262">
        <f t="shared" si="2"/>
      </c>
      <c r="V98" s="260">
        <f t="shared" si="71"/>
      </c>
      <c r="W98" s="260">
        <f t="shared" si="22"/>
      </c>
      <c r="X98" s="260">
        <f t="shared" si="24"/>
      </c>
      <c r="Y98" s="260">
        <f t="shared" si="26"/>
      </c>
      <c r="Z98" s="260">
        <f t="shared" si="81"/>
      </c>
      <c r="AA98" s="260">
        <f t="shared" si="76"/>
      </c>
      <c r="AB98" s="261">
        <f t="shared" si="89"/>
      </c>
      <c r="AC98" s="261">
        <f t="shared" si="85"/>
      </c>
      <c r="AD98" s="261">
        <f t="shared" si="4"/>
      </c>
      <c r="AE98" s="260">
        <f t="shared" si="91"/>
      </c>
      <c r="AF98" s="261">
        <f t="shared" si="28"/>
      </c>
      <c r="AG98" s="260">
        <f t="shared" si="19"/>
      </c>
      <c r="AH98" s="260">
        <f t="shared" si="78"/>
      </c>
      <c r="AI98" s="259">
        <f>SUM(AI95:AI97)</f>
      </c>
      <c r="AJ98" s="259">
        <f>SUM(AJ95:AJ97)</f>
      </c>
      <c r="AK98" s="259">
        <f>SUM(AK95:AK97)</f>
      </c>
      <c r="AL98" s="259">
        <f>SUM(AL95:AL97)</f>
      </c>
      <c r="AM98" s="259">
        <f>SUM(AM95:AM97)</f>
      </c>
      <c r="AN98" s="259">
        <f>SUM(AN95:AN97)</f>
      </c>
      <c r="AO98" s="259">
        <f>SUM(AO95:AO97)</f>
      </c>
      <c r="AP98" s="259">
        <f>SUM(AP95:AP97)</f>
      </c>
      <c r="AQ98" s="259">
        <f>SUM(AQ95:AQ97)</f>
      </c>
      <c r="AR98" s="259">
        <f>SUM(AR95:AR97)</f>
      </c>
      <c r="AS98" s="263">
        <f>SUM(AS95:AS97)</f>
      </c>
    </row>
    <row r="99">
      <c r="A99" s="244"/>
      <c r="B99" s="246" t="s">
        <v>285</v>
      </c>
      <c r="C99" s="245" t="s">
        <v>263</v>
      </c>
      <c r="D99" s="246" t="s">
        <v>277</v>
      </c>
      <c r="E99" s="246" t="s">
        <v>278</v>
      </c>
      <c r="F99" s="247">
        <f t="shared" ref="F99:F101" si="41">G99+I99+H99</f>
      </c>
      <c r="G99" s="248">
        <v>10.8</v>
      </c>
      <c r="H99" s="248">
        <v>768.27</v>
      </c>
      <c r="I99" s="248">
        <v>29.32</v>
      </c>
      <c r="J99" s="249">
        <v>5</v>
      </c>
      <c r="K99" s="249">
        <v>6</v>
      </c>
      <c r="L99" s="250">
        <v>4515.599999999999</v>
      </c>
      <c r="M99" s="251">
        <f t="shared" si="0"/>
      </c>
      <c r="N99" s="252">
        <f t="shared" si="69"/>
      </c>
      <c r="O99" s="253">
        <f t="shared" si="20"/>
      </c>
      <c r="P99" s="253">
        <f t="shared" si="79"/>
      </c>
      <c r="Q99" s="253">
        <f t="shared" si="74"/>
      </c>
      <c r="R99" s="253">
        <f t="shared" si="87"/>
      </c>
      <c r="S99" s="253">
        <f t="shared" si="83"/>
      </c>
      <c r="T99" s="253">
        <f t="shared" si="17"/>
      </c>
      <c r="U99" s="253">
        <f t="shared" si="2"/>
      </c>
      <c r="V99" s="251">
        <f t="shared" si="71"/>
      </c>
      <c r="W99" s="251">
        <f t="shared" si="22"/>
      </c>
      <c r="X99" s="251">
        <f t="shared" si="24"/>
      </c>
      <c r="Y99" s="251">
        <f t="shared" si="26"/>
      </c>
      <c r="Z99" s="251">
        <f t="shared" si="81"/>
      </c>
      <c r="AA99" s="251">
        <f t="shared" si="76"/>
      </c>
      <c r="AB99" s="252">
        <f t="shared" si="89"/>
      </c>
      <c r="AC99" s="252">
        <f t="shared" si="85"/>
      </c>
      <c r="AD99" s="252">
        <f t="shared" si="4"/>
      </c>
      <c r="AE99" s="251">
        <f t="shared" si="91"/>
      </c>
      <c r="AF99" s="252">
        <f t="shared" si="28"/>
      </c>
      <c r="AG99" s="251">
        <f t="shared" si="19"/>
      </c>
      <c r="AH99" s="251">
        <f t="shared" si="78"/>
      </c>
      <c r="AI99" s="254">
        <v>3520</v>
      </c>
      <c r="AJ99" s="254">
        <v>119</v>
      </c>
      <c r="AK99" s="254">
        <v>115</v>
      </c>
      <c r="AL99" s="254">
        <v>35</v>
      </c>
      <c r="AM99" s="254">
        <v>5</v>
      </c>
      <c r="AN99" s="254">
        <v>5</v>
      </c>
      <c r="AO99" s="254">
        <v>26</v>
      </c>
      <c r="AP99" s="254">
        <v>63</v>
      </c>
      <c r="AQ99" s="254">
        <v>3</v>
      </c>
      <c r="AR99" s="249">
        <v>1</v>
      </c>
      <c r="AS99" s="271">
        <v>1</v>
      </c>
    </row>
    <row r="100">
      <c r="A100" s="244"/>
      <c r="B100" s="246" t="s">
        <v>285</v>
      </c>
      <c r="C100" s="245" t="s">
        <v>263</v>
      </c>
      <c r="D100" s="246" t="s">
        <v>277</v>
      </c>
      <c r="E100" s="246" t="s">
        <v>279</v>
      </c>
      <c r="F100" s="247">
        <f t="shared" si="41"/>
      </c>
      <c r="G100" s="248">
        <v>10.57</v>
      </c>
      <c r="H100" s="248">
        <v>1880.53</v>
      </c>
      <c r="I100" s="248">
        <v>80.23</v>
      </c>
      <c r="J100" s="249">
        <v>5</v>
      </c>
      <c r="K100" s="249">
        <v>5</v>
      </c>
      <c r="L100" s="250">
        <v>3109.199999999999</v>
      </c>
      <c r="M100" s="251">
        <f t="shared" si="0"/>
      </c>
      <c r="N100" s="252">
        <f t="shared" si="69"/>
      </c>
      <c r="O100" s="253">
        <f t="shared" si="20"/>
      </c>
      <c r="P100" s="253">
        <f t="shared" si="79"/>
      </c>
      <c r="Q100" s="253">
        <f t="shared" si="74"/>
      </c>
      <c r="R100" s="253">
        <f t="shared" si="87"/>
      </c>
      <c r="S100" s="253">
        <f t="shared" si="83"/>
      </c>
      <c r="T100" s="253">
        <f t="shared" si="17"/>
      </c>
      <c r="U100" s="253">
        <f t="shared" si="2"/>
      </c>
      <c r="V100" s="251">
        <f t="shared" si="71"/>
      </c>
      <c r="W100" s="251">
        <f t="shared" si="22"/>
      </c>
      <c r="X100" s="251">
        <f t="shared" si="24"/>
      </c>
      <c r="Y100" s="251">
        <f t="shared" si="26"/>
      </c>
      <c r="Z100" s="251">
        <f t="shared" si="81"/>
      </c>
      <c r="AA100" s="251">
        <f t="shared" si="76"/>
      </c>
      <c r="AB100" s="252">
        <f t="shared" si="89"/>
      </c>
      <c r="AC100" s="252">
        <f t="shared" si="85"/>
      </c>
      <c r="AD100" s="252">
        <f t="shared" si="4"/>
      </c>
      <c r="AE100" s="251">
        <f t="shared" si="91"/>
      </c>
      <c r="AF100" s="252">
        <f t="shared" si="28"/>
      </c>
      <c r="AG100" s="251">
        <f t="shared" si="19"/>
      </c>
      <c r="AH100" s="251">
        <f t="shared" si="78"/>
      </c>
      <c r="AI100" s="254">
        <v>8696</v>
      </c>
      <c r="AJ100" s="254">
        <v>208</v>
      </c>
      <c r="AK100" s="254">
        <v>206</v>
      </c>
      <c r="AL100" s="254">
        <v>66</v>
      </c>
      <c r="AM100" s="254">
        <v>6</v>
      </c>
      <c r="AN100" s="254">
        <v>5</v>
      </c>
      <c r="AO100" s="254">
        <v>49</v>
      </c>
      <c r="AP100" s="254">
        <v>101</v>
      </c>
      <c r="AQ100" s="249">
        <v>8</v>
      </c>
      <c r="AR100" s="249">
        <v>0</v>
      </c>
      <c r="AS100" s="271">
        <v>1</v>
      </c>
    </row>
    <row r="101">
      <c r="A101" s="244"/>
      <c r="B101" s="246" t="s">
        <v>285</v>
      </c>
      <c r="C101" s="245" t="s">
        <v>263</v>
      </c>
      <c r="D101" s="246" t="s">
        <v>277</v>
      </c>
      <c r="E101" s="246" t="s">
        <v>280</v>
      </c>
      <c r="F101" s="247">
        <f t="shared" si="41"/>
      </c>
      <c r="G101" s="248">
        <v>97.26</v>
      </c>
      <c r="H101" s="248">
        <v>3002.73</v>
      </c>
      <c r="I101" s="248">
        <v>84.65</v>
      </c>
      <c r="J101" s="249">
        <v>5</v>
      </c>
      <c r="K101" s="249">
        <v>3</v>
      </c>
      <c r="L101" s="250">
        <v>1839.6000000000022</v>
      </c>
      <c r="M101" s="251">
        <f t="shared" si="0"/>
      </c>
      <c r="N101" s="252">
        <f t="shared" si="69"/>
      </c>
      <c r="O101" s="253">
        <f t="shared" si="20"/>
      </c>
      <c r="P101" s="253">
        <f t="shared" si="79"/>
      </c>
      <c r="Q101" s="253">
        <f t="shared" si="74"/>
      </c>
      <c r="R101" s="253">
        <f t="shared" si="87"/>
      </c>
      <c r="S101" s="253">
        <f t="shared" si="83"/>
      </c>
      <c r="T101" s="253">
        <f t="shared" si="17"/>
      </c>
      <c r="U101" s="253">
        <f t="shared" si="2"/>
      </c>
      <c r="V101" s="251">
        <f t="shared" si="71"/>
      </c>
      <c r="W101" s="251">
        <f t="shared" si="22"/>
      </c>
      <c r="X101" s="251">
        <f t="shared" si="24"/>
      </c>
      <c r="Y101" s="251">
        <f t="shared" si="26"/>
      </c>
      <c r="Z101" s="251">
        <f t="shared" si="81"/>
      </c>
      <c r="AA101" s="251">
        <f t="shared" si="76"/>
      </c>
      <c r="AB101" s="252">
        <f t="shared" si="89"/>
      </c>
      <c r="AC101" s="252">
        <f t="shared" si="85"/>
      </c>
      <c r="AD101" s="252">
        <f t="shared" si="4"/>
      </c>
      <c r="AE101" s="251">
        <f t="shared" si="91"/>
      </c>
      <c r="AF101" s="252">
        <f t="shared" si="28"/>
      </c>
      <c r="AG101" s="251">
        <f t="shared" si="19"/>
      </c>
      <c r="AH101" s="251">
        <f t="shared" si="78"/>
      </c>
      <c r="AI101" s="254">
        <v>14665</v>
      </c>
      <c r="AJ101" s="254">
        <v>273</v>
      </c>
      <c r="AK101" s="254">
        <v>266</v>
      </c>
      <c r="AL101" s="254">
        <v>82</v>
      </c>
      <c r="AM101" s="254">
        <v>4</v>
      </c>
      <c r="AN101" s="254">
        <v>3</v>
      </c>
      <c r="AO101" s="254">
        <v>68</v>
      </c>
      <c r="AP101" s="254">
        <v>107</v>
      </c>
      <c r="AQ101" s="254">
        <v>9</v>
      </c>
      <c r="AR101" s="249">
        <v>0</v>
      </c>
      <c r="AS101" s="271">
        <v>1</v>
      </c>
    </row>
    <row r="102">
      <c r="A102" s="244"/>
      <c r="B102" s="257" t="s">
        <v>268</v>
      </c>
      <c r="C102" s="257"/>
      <c r="D102" s="257"/>
      <c r="E102" s="257"/>
      <c r="F102" s="258">
        <f>SUM(F99:F101)</f>
      </c>
      <c r="G102" s="258">
        <f>SUM(G99:G101)</f>
      </c>
      <c r="H102" s="258">
        <f>SUM(H99:H101)</f>
      </c>
      <c r="I102" s="258">
        <f>SUM(I99:I101)</f>
      </c>
      <c r="J102" s="259">
        <f>SUM(J99:J101)</f>
      </c>
      <c r="K102" s="259">
        <f>SUM(K99:K101)</f>
      </c>
      <c r="L102" s="258">
        <f>SUM(L99:L101)</f>
      </c>
      <c r="M102" s="260">
        <f t="shared" si="0"/>
      </c>
      <c r="N102" s="261">
        <f t="shared" si="69"/>
      </c>
      <c r="O102" s="262">
        <f t="shared" si="20"/>
      </c>
      <c r="P102" s="262">
        <f t="shared" si="79"/>
      </c>
      <c r="Q102" s="262">
        <f t="shared" si="74"/>
      </c>
      <c r="R102" s="262">
        <f t="shared" si="87"/>
      </c>
      <c r="S102" s="262">
        <f t="shared" si="83"/>
      </c>
      <c r="T102" s="262">
        <f t="shared" si="17"/>
      </c>
      <c r="U102" s="262">
        <f t="shared" si="2"/>
      </c>
      <c r="V102" s="260">
        <f t="shared" si="71"/>
      </c>
      <c r="W102" s="260">
        <f t="shared" si="22"/>
      </c>
      <c r="X102" s="260">
        <f t="shared" si="24"/>
      </c>
      <c r="Y102" s="260">
        <f t="shared" si="26"/>
      </c>
      <c r="Z102" s="260">
        <f t="shared" si="81"/>
      </c>
      <c r="AA102" s="260">
        <f t="shared" si="76"/>
      </c>
      <c r="AB102" s="261">
        <f t="shared" si="89"/>
      </c>
      <c r="AC102" s="261">
        <f t="shared" si="85"/>
      </c>
      <c r="AD102" s="261">
        <f t="shared" si="4"/>
      </c>
      <c r="AE102" s="260">
        <f t="shared" si="91"/>
      </c>
      <c r="AF102" s="261">
        <f t="shared" si="28"/>
      </c>
      <c r="AG102" s="260">
        <f t="shared" si="19"/>
      </c>
      <c r="AH102" s="260">
        <f t="shared" si="78"/>
      </c>
      <c r="AI102" s="259">
        <f>SUM(AI99:AI101)</f>
      </c>
      <c r="AJ102" s="259">
        <f>SUM(AJ99:AJ101)</f>
      </c>
      <c r="AK102" s="259">
        <f>SUM(AK99:AK101)</f>
      </c>
      <c r="AL102" s="259">
        <f>SUM(AL99:AL101)</f>
      </c>
      <c r="AM102" s="259">
        <f>SUM(AM99:AM101)</f>
      </c>
      <c r="AN102" s="259">
        <f>SUM(AN99:AN101)</f>
      </c>
      <c r="AO102" s="259">
        <f>SUM(AO99:AO101)</f>
      </c>
      <c r="AP102" s="259">
        <f>SUM(AP99:AP101)</f>
      </c>
      <c r="AQ102" s="259">
        <f>SUM(AQ99:AQ101)</f>
      </c>
      <c r="AR102" s="259">
        <f>SUM(AR99:AR101)</f>
      </c>
      <c r="AS102" s="263">
        <f>SUM(AS99:AS101)</f>
      </c>
    </row>
    <row r="103">
      <c r="A103" s="244"/>
      <c r="B103" s="246" t="s">
        <v>285</v>
      </c>
      <c r="C103" s="245" t="s">
        <v>263</v>
      </c>
      <c r="D103" s="246" t="s">
        <v>283</v>
      </c>
      <c r="E103" s="246" t="s">
        <v>281</v>
      </c>
      <c r="F103" s="247">
        <f t="shared" ref="F103:F104" si="42">G103+I103+H103</f>
      </c>
      <c r="G103" s="248">
        <v>147.51</v>
      </c>
      <c r="H103" s="248">
        <v>1780.24</v>
      </c>
      <c r="I103" s="248">
        <v>97.57</v>
      </c>
      <c r="J103" s="249">
        <v>1</v>
      </c>
      <c r="K103" s="249">
        <v>1</v>
      </c>
      <c r="L103" s="250">
        <v>398.39999999999964</v>
      </c>
      <c r="M103" s="251">
        <f t="shared" si="0"/>
      </c>
      <c r="N103" s="252">
        <f t="shared" si="69"/>
      </c>
      <c r="O103" s="253">
        <f t="shared" si="20"/>
      </c>
      <c r="P103" s="253">
        <f t="shared" si="79"/>
      </c>
      <c r="Q103" s="253">
        <f t="shared" si="74"/>
      </c>
      <c r="R103" s="253">
        <f t="shared" si="87"/>
      </c>
      <c r="S103" s="253">
        <f t="shared" si="83"/>
      </c>
      <c r="T103" s="253">
        <f t="shared" si="17"/>
      </c>
      <c r="U103" s="253">
        <f t="shared" si="2"/>
      </c>
      <c r="V103" s="251">
        <f t="shared" si="71"/>
      </c>
      <c r="W103" s="251">
        <f t="shared" si="22"/>
      </c>
      <c r="X103" s="251">
        <f t="shared" si="24"/>
      </c>
      <c r="Y103" s="251">
        <f t="shared" si="26"/>
      </c>
      <c r="Z103" s="251">
        <f t="shared" si="81"/>
      </c>
      <c r="AA103" s="251">
        <f t="shared" si="76"/>
      </c>
      <c r="AB103" s="252">
        <f t="shared" si="89"/>
      </c>
      <c r="AC103" s="252">
        <f t="shared" si="85"/>
      </c>
      <c r="AD103" s="252">
        <f t="shared" si="4"/>
      </c>
      <c r="AE103" s="251">
        <f t="shared" si="91"/>
      </c>
      <c r="AF103" s="252">
        <f t="shared" si="28"/>
      </c>
      <c r="AG103" s="251">
        <f t="shared" si="19"/>
      </c>
      <c r="AH103" s="251">
        <f t="shared" si="78"/>
      </c>
      <c r="AI103" s="254">
        <v>9293</v>
      </c>
      <c r="AJ103" s="249">
        <v>214</v>
      </c>
      <c r="AK103" s="249">
        <v>208</v>
      </c>
      <c r="AL103" s="249">
        <v>66</v>
      </c>
      <c r="AM103" s="249">
        <v>1</v>
      </c>
      <c r="AN103" s="249">
        <v>1</v>
      </c>
      <c r="AO103" s="249">
        <v>53</v>
      </c>
      <c r="AP103" s="249">
        <v>49</v>
      </c>
      <c r="AQ103" s="249">
        <v>2</v>
      </c>
      <c r="AR103" s="249">
        <v>0</v>
      </c>
      <c r="AS103" s="271">
        <v>1</v>
      </c>
    </row>
    <row r="104">
      <c r="A104" s="244"/>
      <c r="B104" s="246" t="s">
        <v>285</v>
      </c>
      <c r="C104" s="245" t="s">
        <v>263</v>
      </c>
      <c r="D104" s="246" t="s">
        <v>283</v>
      </c>
      <c r="E104" s="246" t="s">
        <v>282</v>
      </c>
      <c r="F104" s="247">
        <f t="shared" si="42"/>
      </c>
      <c r="G104" s="248">
        <v>398.98</v>
      </c>
      <c r="H104" s="248">
        <v>328.99</v>
      </c>
      <c r="I104" s="248">
        <v>70.66</v>
      </c>
      <c r="J104" s="249">
        <v>2</v>
      </c>
      <c r="K104" s="249">
        <v>2</v>
      </c>
      <c r="L104" s="250">
        <v>1261.199999999999</v>
      </c>
      <c r="M104" s="251">
        <f t="shared" si="0"/>
      </c>
      <c r="N104" s="252">
        <f t="shared" si="69"/>
      </c>
      <c r="O104" s="253">
        <f t="shared" si="20"/>
      </c>
      <c r="P104" s="253">
        <f t="shared" si="79"/>
      </c>
      <c r="Q104" s="253">
        <f t="shared" si="74"/>
      </c>
      <c r="R104" s="253">
        <f t="shared" si="87"/>
      </c>
      <c r="S104" s="253">
        <f t="shared" si="83"/>
      </c>
      <c r="T104" s="253">
        <f t="shared" si="17"/>
      </c>
      <c r="U104" s="253">
        <f t="shared" si="2"/>
      </c>
      <c r="V104" s="251">
        <f t="shared" si="71"/>
      </c>
      <c r="W104" s="251">
        <f t="shared" si="22"/>
      </c>
      <c r="X104" s="251">
        <f t="shared" si="24"/>
      </c>
      <c r="Y104" s="251">
        <f t="shared" si="26"/>
      </c>
      <c r="Z104" s="251">
        <f t="shared" si="81"/>
      </c>
      <c r="AA104" s="251">
        <f t="shared" si="76"/>
      </c>
      <c r="AB104" s="252">
        <f t="shared" si="89"/>
      </c>
      <c r="AC104" s="252">
        <f t="shared" si="85"/>
      </c>
      <c r="AD104" s="252">
        <f t="shared" si="4"/>
      </c>
      <c r="AE104" s="251">
        <f t="shared" si="91"/>
      </c>
      <c r="AF104" s="252">
        <f t="shared" si="28"/>
      </c>
      <c r="AG104" s="251">
        <f t="shared" si="19"/>
      </c>
      <c r="AH104" s="251">
        <f t="shared" si="78"/>
      </c>
      <c r="AI104" s="254">
        <v>3083</v>
      </c>
      <c r="AJ104" s="254">
        <v>95</v>
      </c>
      <c r="AK104" s="254">
        <v>99</v>
      </c>
      <c r="AL104" s="254">
        <v>30</v>
      </c>
      <c r="AM104" s="254">
        <v>2</v>
      </c>
      <c r="AN104" s="254">
        <v>2</v>
      </c>
      <c r="AO104" s="254">
        <v>20</v>
      </c>
      <c r="AP104" s="254">
        <v>22</v>
      </c>
      <c r="AQ104" s="254">
        <v>2</v>
      </c>
      <c r="AR104" s="249">
        <v>0</v>
      </c>
      <c r="AS104" s="271">
        <v>1</v>
      </c>
    </row>
    <row r="105">
      <c r="A105" s="244"/>
      <c r="B105" s="257" t="s">
        <v>268</v>
      </c>
      <c r="C105" s="257"/>
      <c r="D105" s="257"/>
      <c r="E105" s="257"/>
      <c r="F105" s="258">
        <f>SUM(F103:F104)</f>
      </c>
      <c r="G105" s="258">
        <f>SUM(G103:G104)</f>
      </c>
      <c r="H105" s="258">
        <f>SUM(H103:H104)</f>
      </c>
      <c r="I105" s="258">
        <f>SUM(I103:I104)</f>
      </c>
      <c r="J105" s="259">
        <f>SUM(J103:J104)</f>
      </c>
      <c r="K105" s="259">
        <f>SUM(K103:K104)</f>
      </c>
      <c r="L105" s="258">
        <f>SUM(L103:L104)</f>
      </c>
      <c r="M105" s="260">
        <f t="shared" si="0"/>
      </c>
      <c r="N105" s="261">
        <f t="shared" si="69"/>
      </c>
      <c r="O105" s="262">
        <f t="shared" si="20"/>
      </c>
      <c r="P105" s="262">
        <f t="shared" si="79"/>
      </c>
      <c r="Q105" s="262">
        <f t="shared" si="74"/>
      </c>
      <c r="R105" s="262">
        <f t="shared" si="87"/>
      </c>
      <c r="S105" s="262">
        <f t="shared" si="83"/>
      </c>
      <c r="T105" s="262">
        <f t="shared" si="17"/>
      </c>
      <c r="U105" s="262">
        <f t="shared" si="2"/>
      </c>
      <c r="V105" s="260">
        <f t="shared" si="71"/>
      </c>
      <c r="W105" s="260">
        <f t="shared" si="22"/>
      </c>
      <c r="X105" s="260">
        <f t="shared" si="24"/>
      </c>
      <c r="Y105" s="260">
        <f t="shared" si="26"/>
      </c>
      <c r="Z105" s="260">
        <f t="shared" si="81"/>
      </c>
      <c r="AA105" s="260">
        <f t="shared" si="76"/>
      </c>
      <c r="AB105" s="261">
        <f t="shared" si="89"/>
      </c>
      <c r="AC105" s="261">
        <f t="shared" si="85"/>
      </c>
      <c r="AD105" s="261">
        <f t="shared" si="4"/>
      </c>
      <c r="AE105" s="260">
        <f t="shared" si="91"/>
      </c>
      <c r="AF105" s="261">
        <f t="shared" si="28"/>
      </c>
      <c r="AG105" s="260">
        <f t="shared" si="19"/>
      </c>
      <c r="AH105" s="260">
        <f t="shared" si="78"/>
      </c>
      <c r="AI105" s="259">
        <f>SUM(AI103:AI104)</f>
      </c>
      <c r="AJ105" s="259">
        <f>SUM(AJ103:AJ104)</f>
      </c>
      <c r="AK105" s="259">
        <f>SUM(AK103:AK104)</f>
      </c>
      <c r="AL105" s="259">
        <f>SUM(AL103:AL104)</f>
      </c>
      <c r="AM105" s="259">
        <f>SUM(AM103:AM104)</f>
      </c>
      <c r="AN105" s="259">
        <f>SUM(AN103:AN104)</f>
      </c>
      <c r="AO105" s="259">
        <f>SUM(AO103:AO104)</f>
      </c>
      <c r="AP105" s="259">
        <f>SUM(AP103:AP104)</f>
      </c>
      <c r="AQ105" s="259">
        <f>SUM(AQ103:AQ104)</f>
      </c>
      <c r="AR105" s="259">
        <f>SUM(AR103:AR104)</f>
      </c>
      <c r="AS105" s="263">
        <f>SUM(AS103:AS104)</f>
      </c>
    </row>
    <row r="106">
      <c r="A106" s="244"/>
      <c r="B106" s="264" t="s">
        <v>273</v>
      </c>
      <c r="C106" s="264"/>
      <c r="D106" s="264"/>
      <c r="E106" s="264"/>
      <c r="F106" s="265">
        <f t="shared" ref="F106:F109" si="43">G106+I106+H106</f>
      </c>
      <c r="G106" s="265">
        <f>G98+G105+G102</f>
      </c>
      <c r="H106" s="265">
        <f>H98+H105+H102</f>
      </c>
      <c r="I106" s="265">
        <f>I98+I105+I102</f>
      </c>
      <c r="J106" s="265">
        <f>J98+J105+J102</f>
      </c>
      <c r="K106" s="265">
        <f>K98+K105+K102</f>
      </c>
      <c r="L106" s="265">
        <f>L98+L105+L102</f>
      </c>
      <c r="M106" s="267">
        <f t="shared" si="0"/>
      </c>
      <c r="N106" s="268">
        <f t="shared" si="69"/>
      </c>
      <c r="O106" s="269">
        <f t="shared" si="20"/>
      </c>
      <c r="P106" s="269">
        <f t="shared" si="79"/>
      </c>
      <c r="Q106" s="269">
        <f t="shared" si="74"/>
      </c>
      <c r="R106" s="269">
        <f t="shared" si="87"/>
      </c>
      <c r="S106" s="269">
        <f t="shared" si="83"/>
      </c>
      <c r="T106" s="269">
        <f t="shared" si="17"/>
      </c>
      <c r="U106" s="269">
        <f t="shared" si="2"/>
      </c>
      <c r="V106" s="267">
        <f t="shared" si="71"/>
      </c>
      <c r="W106" s="267">
        <f t="shared" si="22"/>
      </c>
      <c r="X106" s="267">
        <f t="shared" si="24"/>
      </c>
      <c r="Y106" s="267">
        <f t="shared" si="26"/>
      </c>
      <c r="Z106" s="267">
        <f t="shared" si="81"/>
      </c>
      <c r="AA106" s="267">
        <f t="shared" si="76"/>
      </c>
      <c r="AB106" s="268">
        <f t="shared" si="89"/>
      </c>
      <c r="AC106" s="268">
        <f t="shared" si="85"/>
      </c>
      <c r="AD106" s="268">
        <f t="shared" si="4"/>
      </c>
      <c r="AE106" s="267">
        <f t="shared" si="91"/>
      </c>
      <c r="AF106" s="268">
        <f t="shared" si="28"/>
      </c>
      <c r="AG106" s="267">
        <f t="shared" si="19"/>
      </c>
      <c r="AH106" s="267">
        <f t="shared" si="78"/>
      </c>
      <c r="AI106" s="270">
        <f>AI98+AI105+AI102</f>
      </c>
      <c r="AJ106" s="270">
        <f>AJ98+AJ105+AJ102</f>
      </c>
      <c r="AK106" s="270">
        <f>AK98+AK105+AK102</f>
      </c>
      <c r="AL106" s="270">
        <f>AL98+AL105+AL102</f>
      </c>
      <c r="AM106" s="270">
        <f>AM98+AM105+AM102</f>
      </c>
      <c r="AN106" s="270">
        <f>AN98+AN105+AN102</f>
      </c>
      <c r="AO106" s="270">
        <f>AO98+AO105+AO102</f>
      </c>
      <c r="AP106" s="270">
        <f>AP98+AP105+AP102</f>
      </c>
      <c r="AQ106" s="270">
        <f>AQ98+AQ105+AQ102</f>
      </c>
      <c r="AR106" s="270">
        <f>AR98+AR105+AR102</f>
      </c>
      <c r="AS106" s="263">
        <f>AS98+AS105+AS102</f>
      </c>
    </row>
    <row r="107">
      <c r="A107" s="244">
        <v>46257</v>
      </c>
      <c r="B107" s="246" t="s">
        <v>285</v>
      </c>
      <c r="C107" s="245" t="s">
        <v>263</v>
      </c>
      <c r="D107" s="246" t="s">
        <v>277</v>
      </c>
      <c r="E107" s="246" t="s">
        <v>274</v>
      </c>
      <c r="F107" s="247">
        <f t="shared" si="43"/>
      </c>
      <c r="G107" s="248">
        <v>499.31</v>
      </c>
      <c r="H107" s="248">
        <v>1300</v>
      </c>
      <c r="I107" s="248">
        <v>156.59</v>
      </c>
      <c r="J107" s="249">
        <v>2</v>
      </c>
      <c r="K107" s="249">
        <v>2</v>
      </c>
      <c r="L107" s="250">
        <v>872.4000000000001</v>
      </c>
      <c r="M107" s="251">
        <f t="shared" si="0"/>
      </c>
      <c r="N107" s="252">
        <f t="shared" si="69"/>
      </c>
      <c r="O107" s="253">
        <f t="shared" si="20"/>
      </c>
      <c r="P107" s="253">
        <f t="shared" si="79"/>
      </c>
      <c r="Q107" s="253">
        <f t="shared" si="74"/>
      </c>
      <c r="R107" s="253">
        <f t="shared" si="87"/>
      </c>
      <c r="S107" s="253">
        <f t="shared" si="83"/>
      </c>
      <c r="T107" s="253">
        <f t="shared" si="17"/>
      </c>
      <c r="U107" s="253">
        <f t="shared" si="2"/>
      </c>
      <c r="V107" s="251">
        <f t="shared" si="71"/>
      </c>
      <c r="W107" s="251">
        <f t="shared" si="22"/>
      </c>
      <c r="X107" s="251">
        <f t="shared" si="24"/>
      </c>
      <c r="Y107" s="251">
        <f t="shared" si="26"/>
      </c>
      <c r="Z107" s="251">
        <f t="shared" si="81"/>
      </c>
      <c r="AA107" s="251">
        <f t="shared" si="76"/>
      </c>
      <c r="AB107" s="252">
        <f t="shared" si="89"/>
      </c>
      <c r="AC107" s="252">
        <f t="shared" si="85"/>
      </c>
      <c r="AD107" s="252">
        <f t="shared" si="4"/>
      </c>
      <c r="AE107" s="251">
        <f t="shared" si="91"/>
      </c>
      <c r="AF107" s="252">
        <f t="shared" si="28"/>
      </c>
      <c r="AG107" s="251">
        <f t="shared" si="19"/>
      </c>
      <c r="AH107" s="251">
        <f t="shared" si="78"/>
      </c>
      <c r="AI107" s="273">
        <v>8660</v>
      </c>
      <c r="AJ107" s="273">
        <v>333</v>
      </c>
      <c r="AK107" s="273">
        <v>345</v>
      </c>
      <c r="AL107" s="254">
        <v>72</v>
      </c>
      <c r="AM107" s="254">
        <v>3</v>
      </c>
      <c r="AN107" s="254">
        <v>2</v>
      </c>
      <c r="AO107" s="254">
        <v>49</v>
      </c>
      <c r="AP107" s="254">
        <v>67</v>
      </c>
      <c r="AQ107" s="254">
        <v>5</v>
      </c>
      <c r="AR107" s="249">
        <v>0</v>
      </c>
      <c r="AS107" s="271">
        <v>1</v>
      </c>
    </row>
    <row r="108">
      <c r="A108" s="244"/>
      <c r="B108" s="246" t="s">
        <v>285</v>
      </c>
      <c r="C108" s="245" t="s">
        <v>263</v>
      </c>
      <c r="D108" s="246" t="s">
        <v>277</v>
      </c>
      <c r="E108" s="246" t="s">
        <v>275</v>
      </c>
      <c r="F108" s="247">
        <f t="shared" si="43"/>
      </c>
      <c r="G108" s="272">
        <v>1038.85</v>
      </c>
      <c r="H108" s="272">
        <v>685.2</v>
      </c>
      <c r="I108" s="248">
        <v>100.5</v>
      </c>
      <c r="J108" s="249">
        <v>1</v>
      </c>
      <c r="K108" s="249">
        <v>1</v>
      </c>
      <c r="L108" s="250">
        <v>862.8000000000002</v>
      </c>
      <c r="M108" s="251">
        <f t="shared" si="0"/>
      </c>
      <c r="N108" s="252">
        <f t="shared" si="69"/>
      </c>
      <c r="O108" s="253">
        <f t="shared" si="20"/>
      </c>
      <c r="P108" s="253">
        <f t="shared" si="79"/>
      </c>
      <c r="Q108" s="253">
        <f t="shared" si="74"/>
      </c>
      <c r="R108" s="253">
        <f t="shared" si="87"/>
      </c>
      <c r="S108" s="253">
        <f t="shared" si="83"/>
      </c>
      <c r="T108" s="253">
        <f t="shared" si="17"/>
      </c>
      <c r="U108" s="253">
        <f t="shared" si="2"/>
      </c>
      <c r="V108" s="251">
        <f t="shared" si="71"/>
      </c>
      <c r="W108" s="251">
        <f t="shared" si="22"/>
      </c>
      <c r="X108" s="251">
        <f t="shared" si="24"/>
      </c>
      <c r="Y108" s="251">
        <f t="shared" si="26"/>
      </c>
      <c r="Z108" s="251">
        <f t="shared" si="81"/>
      </c>
      <c r="AA108" s="251">
        <f t="shared" si="76"/>
      </c>
      <c r="AB108" s="252">
        <f t="shared" si="89"/>
      </c>
      <c r="AC108" s="252">
        <f t="shared" si="85"/>
      </c>
      <c r="AD108" s="252">
        <f t="shared" si="4"/>
      </c>
      <c r="AE108" s="251">
        <f t="shared" si="91"/>
      </c>
      <c r="AF108" s="252">
        <f t="shared" si="28"/>
      </c>
      <c r="AG108" s="251">
        <f t="shared" si="19"/>
      </c>
      <c r="AH108" s="251">
        <f t="shared" si="78"/>
      </c>
      <c r="AI108" s="254">
        <v>9002</v>
      </c>
      <c r="AJ108" s="254">
        <v>231</v>
      </c>
      <c r="AK108" s="254">
        <v>225</v>
      </c>
      <c r="AL108" s="254">
        <v>51</v>
      </c>
      <c r="AM108" s="254">
        <v>0</v>
      </c>
      <c r="AN108" s="254">
        <v>1</v>
      </c>
      <c r="AO108" s="254">
        <v>47</v>
      </c>
      <c r="AP108" s="254">
        <v>50</v>
      </c>
      <c r="AQ108" s="249">
        <v>7</v>
      </c>
      <c r="AR108" s="249">
        <v>0</v>
      </c>
      <c r="AS108" s="271">
        <v>1</v>
      </c>
    </row>
    <row r="109">
      <c r="A109" s="244"/>
      <c r="B109" s="246" t="s">
        <v>285</v>
      </c>
      <c r="C109" s="245" t="s">
        <v>263</v>
      </c>
      <c r="D109" s="246" t="s">
        <v>277</v>
      </c>
      <c r="E109" s="246" t="s">
        <v>276</v>
      </c>
      <c r="F109" s="247">
        <f t="shared" si="43"/>
      </c>
      <c r="G109" s="248">
        <v>824.12</v>
      </c>
      <c r="H109" s="248">
        <v>928.86</v>
      </c>
      <c r="I109" s="248">
        <v>95.59</v>
      </c>
      <c r="J109" s="249">
        <v>5</v>
      </c>
      <c r="K109" s="249">
        <v>5</v>
      </c>
      <c r="L109" s="250">
        <v>3397.0000000000005</v>
      </c>
      <c r="M109" s="251">
        <f t="shared" si="0"/>
      </c>
      <c r="N109" s="252">
        <f t="shared" si="69"/>
      </c>
      <c r="O109" s="253">
        <f t="shared" si="20"/>
      </c>
      <c r="P109" s="253">
        <f t="shared" si="79"/>
      </c>
      <c r="Q109" s="253">
        <f t="shared" si="74"/>
      </c>
      <c r="R109" s="253">
        <f t="shared" si="87"/>
      </c>
      <c r="S109" s="253">
        <f t="shared" si="83"/>
      </c>
      <c r="T109" s="253">
        <f t="shared" si="17"/>
      </c>
      <c r="U109" s="253">
        <f t="shared" si="2"/>
      </c>
      <c r="V109" s="251">
        <f t="shared" si="71"/>
      </c>
      <c r="W109" s="251">
        <f t="shared" si="22"/>
      </c>
      <c r="X109" s="251">
        <f t="shared" si="24"/>
      </c>
      <c r="Y109" s="251">
        <f t="shared" si="26"/>
      </c>
      <c r="Z109" s="251">
        <f t="shared" si="81"/>
      </c>
      <c r="AA109" s="251">
        <f t="shared" si="76"/>
      </c>
      <c r="AB109" s="252">
        <f t="shared" si="89"/>
      </c>
      <c r="AC109" s="252">
        <f t="shared" si="85"/>
      </c>
      <c r="AD109" s="252">
        <f t="shared" si="4"/>
      </c>
      <c r="AE109" s="251">
        <f t="shared" si="91"/>
      </c>
      <c r="AF109" s="252">
        <f t="shared" si="28"/>
      </c>
      <c r="AG109" s="251">
        <f t="shared" si="19"/>
      </c>
      <c r="AH109" s="251">
        <f t="shared" si="78"/>
      </c>
      <c r="AI109" s="249">
        <v>12120</v>
      </c>
      <c r="AJ109" s="249">
        <v>209</v>
      </c>
      <c r="AK109" s="249">
        <v>208</v>
      </c>
      <c r="AL109" s="249">
        <v>66</v>
      </c>
      <c r="AM109" s="249">
        <v>5</v>
      </c>
      <c r="AN109" s="249">
        <v>5</v>
      </c>
      <c r="AO109" s="249">
        <v>53</v>
      </c>
      <c r="AP109" s="249">
        <v>72</v>
      </c>
      <c r="AQ109" s="249">
        <v>5</v>
      </c>
      <c r="AR109" s="249">
        <v>0</v>
      </c>
      <c r="AS109" s="271">
        <v>1</v>
      </c>
    </row>
    <row r="110">
      <c r="A110" s="244"/>
      <c r="B110" s="257" t="s">
        <v>268</v>
      </c>
      <c r="C110" s="257"/>
      <c r="D110" s="257"/>
      <c r="E110" s="257"/>
      <c r="F110" s="258">
        <f>SUM(F107:F109)</f>
      </c>
      <c r="G110" s="258">
        <f>SUM(G107:G109)</f>
      </c>
      <c r="H110" s="258">
        <f>SUM(H107:H109)</f>
      </c>
      <c r="I110" s="258">
        <f>SUM(I107:I109)</f>
      </c>
      <c r="J110" s="259">
        <f>SUM(J107:J109)</f>
      </c>
      <c r="K110" s="259">
        <f>SUM(K107:K109)</f>
      </c>
      <c r="L110" s="258">
        <f>SUM(L107:L109)</f>
      </c>
      <c r="M110" s="260">
        <f t="shared" si="0"/>
      </c>
      <c r="N110" s="261">
        <f t="shared" si="69"/>
      </c>
      <c r="O110" s="262">
        <f t="shared" si="20"/>
      </c>
      <c r="P110" s="262">
        <f t="shared" si="79"/>
      </c>
      <c r="Q110" s="262">
        <f t="shared" si="74"/>
      </c>
      <c r="R110" s="262">
        <f t="shared" si="87"/>
      </c>
      <c r="S110" s="262">
        <f t="shared" si="83"/>
      </c>
      <c r="T110" s="262">
        <f t="shared" si="17"/>
      </c>
      <c r="U110" s="262">
        <f t="shared" si="2"/>
      </c>
      <c r="V110" s="260">
        <f t="shared" si="71"/>
      </c>
      <c r="W110" s="260">
        <f t="shared" si="22"/>
      </c>
      <c r="X110" s="260">
        <f t="shared" si="24"/>
      </c>
      <c r="Y110" s="260">
        <f t="shared" si="26"/>
      </c>
      <c r="Z110" s="260">
        <f t="shared" si="81"/>
      </c>
      <c r="AA110" s="260">
        <f t="shared" si="76"/>
      </c>
      <c r="AB110" s="261">
        <f t="shared" si="89"/>
      </c>
      <c r="AC110" s="261">
        <f t="shared" si="85"/>
      </c>
      <c r="AD110" s="261">
        <f t="shared" si="4"/>
      </c>
      <c r="AE110" s="260">
        <f t="shared" si="91"/>
      </c>
      <c r="AF110" s="261">
        <f t="shared" si="28"/>
      </c>
      <c r="AG110" s="260">
        <f t="shared" si="19"/>
      </c>
      <c r="AH110" s="260">
        <f t="shared" si="78"/>
      </c>
      <c r="AI110" s="259">
        <f>SUM(AI107:AI109)</f>
      </c>
      <c r="AJ110" s="259">
        <f>SUM(AJ107:AJ109)</f>
      </c>
      <c r="AK110" s="259">
        <f>SUM(AK107:AK109)</f>
      </c>
      <c r="AL110" s="259">
        <f>SUM(AL107:AL109)</f>
      </c>
      <c r="AM110" s="259">
        <f>SUM(AM107:AM109)</f>
      </c>
      <c r="AN110" s="259">
        <f>SUM(AN107:AN109)</f>
      </c>
      <c r="AO110" s="259">
        <f>SUM(AO107:AO109)</f>
      </c>
      <c r="AP110" s="259">
        <f>SUM(AP107:AP109)</f>
      </c>
      <c r="AQ110" s="259">
        <f>SUM(AQ107:AQ109)</f>
      </c>
      <c r="AR110" s="259">
        <f>SUM(AR107:AR109)</f>
      </c>
      <c r="AS110" s="263">
        <f>SUM(AS107:AS109)</f>
      </c>
    </row>
    <row r="111">
      <c r="A111" s="244"/>
      <c r="B111" s="246" t="s">
        <v>285</v>
      </c>
      <c r="C111" s="245" t="s">
        <v>263</v>
      </c>
      <c r="D111" s="246" t="s">
        <v>264</v>
      </c>
      <c r="E111" s="246" t="s">
        <v>278</v>
      </c>
      <c r="F111" s="247">
        <f t="shared" ref="F111:F113" si="44">G111+I111+H111</f>
      </c>
      <c r="G111" s="248">
        <v>949.85</v>
      </c>
      <c r="H111" s="248">
        <v>1685.94</v>
      </c>
      <c r="I111" s="248">
        <v>123.05</v>
      </c>
      <c r="J111" s="249">
        <v>5</v>
      </c>
      <c r="K111" s="249">
        <v>4</v>
      </c>
      <c r="L111" s="250">
        <v>2702.2</v>
      </c>
      <c r="M111" s="251">
        <f t="shared" si="0"/>
      </c>
      <c r="N111" s="252">
        <f t="shared" si="69"/>
      </c>
      <c r="O111" s="253">
        <f t="shared" si="20"/>
      </c>
      <c r="P111" s="253">
        <f t="shared" si="79"/>
      </c>
      <c r="Q111" s="253">
        <f t="shared" si="74"/>
      </c>
      <c r="R111" s="253">
        <f t="shared" si="87"/>
      </c>
      <c r="S111" s="253">
        <f t="shared" si="83"/>
      </c>
      <c r="T111" s="253">
        <f t="shared" si="17"/>
      </c>
      <c r="U111" s="253">
        <f t="shared" si="2"/>
      </c>
      <c r="V111" s="251">
        <f t="shared" si="71"/>
      </c>
      <c r="W111" s="251">
        <f t="shared" si="22"/>
      </c>
      <c r="X111" s="251">
        <f t="shared" si="24"/>
      </c>
      <c r="Y111" s="251">
        <f t="shared" si="26"/>
      </c>
      <c r="Z111" s="251">
        <f t="shared" si="81"/>
      </c>
      <c r="AA111" s="251">
        <f t="shared" si="76"/>
      </c>
      <c r="AB111" s="252">
        <f t="shared" si="89"/>
      </c>
      <c r="AC111" s="252">
        <f t="shared" si="85"/>
      </c>
      <c r="AD111" s="252">
        <f t="shared" si="4"/>
      </c>
      <c r="AE111" s="251">
        <f t="shared" si="91"/>
      </c>
      <c r="AF111" s="252">
        <f t="shared" si="28"/>
      </c>
      <c r="AG111" s="251">
        <f t="shared" si="19"/>
      </c>
      <c r="AH111" s="251">
        <f t="shared" si="78"/>
      </c>
      <c r="AI111" s="254">
        <v>16080</v>
      </c>
      <c r="AJ111" s="254">
        <v>298</v>
      </c>
      <c r="AK111" s="254">
        <v>277</v>
      </c>
      <c r="AL111" s="254">
        <v>91</v>
      </c>
      <c r="AM111" s="254">
        <v>5</v>
      </c>
      <c r="AN111" s="254">
        <v>4</v>
      </c>
      <c r="AO111" s="254">
        <v>57</v>
      </c>
      <c r="AP111" s="254">
        <v>32</v>
      </c>
      <c r="AQ111" s="254">
        <v>5</v>
      </c>
      <c r="AR111" s="249">
        <v>0</v>
      </c>
      <c r="AS111" s="271">
        <v>1</v>
      </c>
    </row>
    <row r="112">
      <c r="A112" s="244"/>
      <c r="B112" s="246" t="s">
        <v>285</v>
      </c>
      <c r="C112" s="245" t="s">
        <v>263</v>
      </c>
      <c r="D112" s="246" t="s">
        <v>264</v>
      </c>
      <c r="E112" s="246" t="s">
        <v>279</v>
      </c>
      <c r="F112" s="247">
        <f t="shared" si="44"/>
      </c>
      <c r="G112" s="248">
        <v>1063.75</v>
      </c>
      <c r="H112" s="248">
        <v>1000</v>
      </c>
      <c r="I112" s="248">
        <v>134.88</v>
      </c>
      <c r="J112" s="249">
        <v>1</v>
      </c>
      <c r="K112" s="249">
        <v>1</v>
      </c>
      <c r="L112" s="250">
        <v>862.8000000000002</v>
      </c>
      <c r="M112" s="251">
        <f t="shared" si="0"/>
      </c>
      <c r="N112" s="252">
        <f t="shared" si="69"/>
      </c>
      <c r="O112" s="253">
        <f t="shared" si="20"/>
      </c>
      <c r="P112" s="253">
        <f t="shared" si="79"/>
      </c>
      <c r="Q112" s="253">
        <f t="shared" si="74"/>
      </c>
      <c r="R112" s="253">
        <f t="shared" si="87"/>
      </c>
      <c r="S112" s="253">
        <f t="shared" si="83"/>
      </c>
      <c r="T112" s="253">
        <f t="shared" si="17"/>
      </c>
      <c r="U112" s="253">
        <f t="shared" si="2"/>
      </c>
      <c r="V112" s="251">
        <f t="shared" si="71"/>
      </c>
      <c r="W112" s="251">
        <f t="shared" si="22"/>
      </c>
      <c r="X112" s="251">
        <f t="shared" si="24"/>
      </c>
      <c r="Y112" s="251">
        <f t="shared" si="26"/>
      </c>
      <c r="Z112" s="251">
        <f t="shared" si="81"/>
      </c>
      <c r="AA112" s="251">
        <f t="shared" si="76"/>
      </c>
      <c r="AB112" s="252">
        <f t="shared" si="89"/>
      </c>
      <c r="AC112" s="252">
        <f t="shared" si="85"/>
      </c>
      <c r="AD112" s="252">
        <f t="shared" si="4"/>
      </c>
      <c r="AE112" s="251">
        <f t="shared" si="91"/>
      </c>
      <c r="AF112" s="252">
        <f t="shared" si="28"/>
      </c>
      <c r="AG112" s="251">
        <f t="shared" si="19"/>
      </c>
      <c r="AH112" s="251">
        <f t="shared" si="78"/>
      </c>
      <c r="AI112" s="254">
        <v>13045</v>
      </c>
      <c r="AJ112" s="254">
        <v>223</v>
      </c>
      <c r="AK112" s="254">
        <v>222</v>
      </c>
      <c r="AL112" s="254">
        <v>63</v>
      </c>
      <c r="AM112" s="254">
        <v>1</v>
      </c>
      <c r="AN112" s="254">
        <v>1</v>
      </c>
      <c r="AO112" s="254">
        <v>46</v>
      </c>
      <c r="AP112" s="254">
        <v>23</v>
      </c>
      <c r="AQ112" s="249">
        <v>2</v>
      </c>
      <c r="AR112" s="249">
        <v>0</v>
      </c>
      <c r="AS112" s="271">
        <v>1</v>
      </c>
    </row>
    <row r="113">
      <c r="A113" s="244"/>
      <c r="B113" s="246" t="s">
        <v>285</v>
      </c>
      <c r="C113" s="245" t="s">
        <v>263</v>
      </c>
      <c r="D113" s="246" t="s">
        <v>264</v>
      </c>
      <c r="E113" s="246" t="s">
        <v>280</v>
      </c>
      <c r="F113" s="247">
        <f t="shared" si="44"/>
      </c>
      <c r="G113" s="248">
        <v>665.03</v>
      </c>
      <c r="H113" s="248">
        <v>1050.07</v>
      </c>
      <c r="I113" s="248">
        <v>122.2</v>
      </c>
      <c r="J113" s="249">
        <v>1</v>
      </c>
      <c r="K113" s="249">
        <v>1</v>
      </c>
      <c r="L113" s="250">
        <v>967.2000000000007</v>
      </c>
      <c r="M113" s="251">
        <f t="shared" si="0"/>
      </c>
      <c r="N113" s="252">
        <f t="shared" si="69"/>
      </c>
      <c r="O113" s="253">
        <f t="shared" si="20"/>
      </c>
      <c r="P113" s="253">
        <f t="shared" si="79"/>
      </c>
      <c r="Q113" s="253">
        <f t="shared" si="74"/>
      </c>
      <c r="R113" s="253">
        <f t="shared" si="87"/>
      </c>
      <c r="S113" s="253">
        <f t="shared" si="83"/>
      </c>
      <c r="T113" s="253">
        <f t="shared" si="17"/>
      </c>
      <c r="U113" s="253">
        <f t="shared" si="2"/>
      </c>
      <c r="V113" s="251">
        <f t="shared" si="71"/>
      </c>
      <c r="W113" s="251">
        <f t="shared" si="22"/>
      </c>
      <c r="X113" s="251">
        <f t="shared" si="24"/>
      </c>
      <c r="Y113" s="251">
        <f t="shared" si="26"/>
      </c>
      <c r="Z113" s="251">
        <f t="shared" si="81"/>
      </c>
      <c r="AA113" s="251">
        <f t="shared" si="76"/>
      </c>
      <c r="AB113" s="252">
        <f t="shared" si="89"/>
      </c>
      <c r="AC113" s="252">
        <f t="shared" si="85"/>
      </c>
      <c r="AD113" s="252">
        <f t="shared" si="4"/>
      </c>
      <c r="AE113" s="251">
        <f t="shared" si="91"/>
      </c>
      <c r="AF113" s="252">
        <f t="shared" si="28"/>
      </c>
      <c r="AG113" s="251">
        <f t="shared" si="19"/>
      </c>
      <c r="AH113" s="251">
        <f t="shared" si="78"/>
      </c>
      <c r="AI113" s="254">
        <v>11226</v>
      </c>
      <c r="AJ113" s="254">
        <v>197</v>
      </c>
      <c r="AK113" s="254">
        <v>190</v>
      </c>
      <c r="AL113" s="254">
        <v>51</v>
      </c>
      <c r="AM113" s="254">
        <v>1</v>
      </c>
      <c r="AN113" s="254">
        <v>1</v>
      </c>
      <c r="AO113" s="254">
        <v>46</v>
      </c>
      <c r="AP113" s="254">
        <v>40</v>
      </c>
      <c r="AQ113" s="254">
        <v>1</v>
      </c>
      <c r="AR113" s="249">
        <v>0</v>
      </c>
      <c r="AS113" s="271">
        <v>1</v>
      </c>
    </row>
    <row r="114">
      <c r="A114" s="244"/>
      <c r="B114" s="257" t="s">
        <v>268</v>
      </c>
      <c r="C114" s="257"/>
      <c r="D114" s="257"/>
      <c r="E114" s="257"/>
      <c r="F114" s="258">
        <f>SUM(F111:F113)</f>
      </c>
      <c r="G114" s="258">
        <f>SUM(G111:G113)</f>
      </c>
      <c r="H114" s="258">
        <f>SUM(H111:H113)</f>
      </c>
      <c r="I114" s="258">
        <f>SUM(I111:I113)</f>
      </c>
      <c r="J114" s="259">
        <f>SUM(J111:J113)</f>
      </c>
      <c r="K114" s="259">
        <f>SUM(K111:K113)</f>
      </c>
      <c r="L114" s="258">
        <f>SUM(L111:L113)</f>
      </c>
      <c r="M114" s="260">
        <f t="shared" si="0"/>
      </c>
      <c r="N114" s="261">
        <f t="shared" si="69"/>
      </c>
      <c r="O114" s="262">
        <f t="shared" si="20"/>
      </c>
      <c r="P114" s="262">
        <f t="shared" si="79"/>
      </c>
      <c r="Q114" s="262">
        <f t="shared" si="74"/>
      </c>
      <c r="R114" s="262">
        <f t="shared" si="87"/>
      </c>
      <c r="S114" s="262">
        <f t="shared" si="83"/>
      </c>
      <c r="T114" s="262">
        <f t="shared" si="17"/>
      </c>
      <c r="U114" s="262">
        <f t="shared" si="2"/>
      </c>
      <c r="V114" s="260">
        <f t="shared" si="71"/>
      </c>
      <c r="W114" s="260">
        <f t="shared" si="22"/>
      </c>
      <c r="X114" s="260">
        <f t="shared" si="24"/>
      </c>
      <c r="Y114" s="260">
        <f t="shared" si="26"/>
      </c>
      <c r="Z114" s="260">
        <f t="shared" si="81"/>
      </c>
      <c r="AA114" s="260">
        <f t="shared" si="76"/>
      </c>
      <c r="AB114" s="261">
        <f t="shared" si="89"/>
      </c>
      <c r="AC114" s="261">
        <f t="shared" si="85"/>
      </c>
      <c r="AD114" s="261">
        <f t="shared" si="4"/>
      </c>
      <c r="AE114" s="260">
        <f t="shared" si="91"/>
      </c>
      <c r="AF114" s="261">
        <f t="shared" si="28"/>
      </c>
      <c r="AG114" s="260">
        <f t="shared" si="19"/>
      </c>
      <c r="AH114" s="260">
        <f t="shared" si="78"/>
      </c>
      <c r="AI114" s="259">
        <f>SUM(AI111:AI113)</f>
      </c>
      <c r="AJ114" s="259">
        <f>SUM(AJ111:AJ113)</f>
      </c>
      <c r="AK114" s="259">
        <f>SUM(AK111:AK113)</f>
      </c>
      <c r="AL114" s="259">
        <f>SUM(AL111:AL113)</f>
      </c>
      <c r="AM114" s="259">
        <f>SUM(AM111:AM113)</f>
      </c>
      <c r="AN114" s="259">
        <f>SUM(AN111:AN113)</f>
      </c>
      <c r="AO114" s="259">
        <f>SUM(AO111:AO113)</f>
      </c>
      <c r="AP114" s="259">
        <f>SUM(AP111:AP113)</f>
      </c>
      <c r="AQ114" s="259">
        <f>SUM(AQ111:AQ113)</f>
      </c>
      <c r="AR114" s="259">
        <f>SUM(AR111:AR113)</f>
      </c>
      <c r="AS114" s="263">
        <f>SUM(AS111:AS113)</f>
      </c>
    </row>
    <row r="115">
      <c r="A115" s="244"/>
      <c r="B115" s="246" t="s">
        <v>285</v>
      </c>
      <c r="C115" s="245" t="s">
        <v>263</v>
      </c>
      <c r="D115" s="246" t="s">
        <v>269</v>
      </c>
      <c r="E115" s="246" t="s">
        <v>281</v>
      </c>
      <c r="F115" s="247">
        <f t="shared" ref="F115:F116" si="45">G115+I115+H115</f>
      </c>
      <c r="G115" s="248">
        <v>231.98</v>
      </c>
      <c r="H115" s="248">
        <v>1264.42</v>
      </c>
      <c r="I115" s="248">
        <v>111.05</v>
      </c>
      <c r="J115" s="249">
        <v>1</v>
      </c>
      <c r="K115" s="249">
        <v>1</v>
      </c>
      <c r="L115" s="250">
        <v>862.7999999999993</v>
      </c>
      <c r="M115" s="251">
        <f t="shared" si="0"/>
      </c>
      <c r="N115" s="252">
        <f t="shared" si="69"/>
      </c>
      <c r="O115" s="253">
        <f t="shared" si="20"/>
      </c>
      <c r="P115" s="253">
        <f t="shared" si="79"/>
      </c>
      <c r="Q115" s="253">
        <f t="shared" si="74"/>
      </c>
      <c r="R115" s="253">
        <f t="shared" si="87"/>
      </c>
      <c r="S115" s="253">
        <f t="shared" si="83"/>
      </c>
      <c r="T115" s="253">
        <f t="shared" si="17"/>
      </c>
      <c r="U115" s="253">
        <f t="shared" si="2"/>
      </c>
      <c r="V115" s="251">
        <f t="shared" si="71"/>
      </c>
      <c r="W115" s="251">
        <f t="shared" si="22"/>
      </c>
      <c r="X115" s="251">
        <f t="shared" si="24"/>
      </c>
      <c r="Y115" s="251">
        <f t="shared" si="26"/>
      </c>
      <c r="Z115" s="251">
        <f t="shared" si="81"/>
      </c>
      <c r="AA115" s="251">
        <f t="shared" si="76"/>
      </c>
      <c r="AB115" s="252">
        <f t="shared" si="89"/>
      </c>
      <c r="AC115" s="252">
        <f t="shared" si="85"/>
      </c>
      <c r="AD115" s="252">
        <f t="shared" si="4"/>
      </c>
      <c r="AE115" s="251">
        <f t="shared" si="91"/>
      </c>
      <c r="AF115" s="252">
        <f t="shared" si="28"/>
      </c>
      <c r="AG115" s="251">
        <f t="shared" si="19"/>
      </c>
      <c r="AH115" s="251">
        <f t="shared" si="78"/>
      </c>
      <c r="AI115" s="254">
        <v>8082</v>
      </c>
      <c r="AJ115" s="249">
        <v>197</v>
      </c>
      <c r="AK115" s="249">
        <v>202</v>
      </c>
      <c r="AL115" s="249">
        <v>76</v>
      </c>
      <c r="AM115" s="249">
        <v>1</v>
      </c>
      <c r="AN115" s="249">
        <v>1</v>
      </c>
      <c r="AO115" s="249">
        <v>44</v>
      </c>
      <c r="AP115" s="249">
        <v>62</v>
      </c>
      <c r="AQ115" s="249">
        <v>6</v>
      </c>
      <c r="AR115" s="249">
        <v>0</v>
      </c>
      <c r="AS115" s="271">
        <v>1</v>
      </c>
    </row>
    <row r="116">
      <c r="A116" s="244"/>
      <c r="B116" s="246" t="s">
        <v>285</v>
      </c>
      <c r="C116" s="245" t="s">
        <v>263</v>
      </c>
      <c r="D116" s="246" t="s">
        <v>269</v>
      </c>
      <c r="E116" s="246" t="s">
        <v>282</v>
      </c>
      <c r="F116" s="247">
        <f t="shared" si="45"/>
      </c>
      <c r="G116" s="248">
        <v>248.86</v>
      </c>
      <c r="H116" s="248">
        <v>795.52</v>
      </c>
      <c r="I116" s="248">
        <v>41.18</v>
      </c>
      <c r="J116" s="249">
        <v>6</v>
      </c>
      <c r="K116" s="249">
        <v>7</v>
      </c>
      <c r="L116" s="250">
        <v>4776</v>
      </c>
      <c r="M116" s="251">
        <f t="shared" si="0"/>
      </c>
      <c r="N116" s="252">
        <f t="shared" si="69"/>
      </c>
      <c r="O116" s="253">
        <f t="shared" si="20"/>
      </c>
      <c r="P116" s="253">
        <f t="shared" si="79"/>
      </c>
      <c r="Q116" s="253">
        <f t="shared" si="74"/>
      </c>
      <c r="R116" s="253">
        <f t="shared" si="87"/>
      </c>
      <c r="S116" s="253">
        <f t="shared" si="83"/>
      </c>
      <c r="T116" s="253">
        <f t="shared" si="17"/>
      </c>
      <c r="U116" s="253">
        <f t="shared" si="2"/>
      </c>
      <c r="V116" s="251">
        <f t="shared" si="71"/>
      </c>
      <c r="W116" s="251">
        <f t="shared" si="22"/>
      </c>
      <c r="X116" s="251">
        <f t="shared" si="24"/>
      </c>
      <c r="Y116" s="251">
        <f t="shared" si="26"/>
      </c>
      <c r="Z116" s="251">
        <f t="shared" si="81"/>
      </c>
      <c r="AA116" s="251">
        <f t="shared" si="76"/>
      </c>
      <c r="AB116" s="252">
        <f t="shared" si="89"/>
      </c>
      <c r="AC116" s="252">
        <f t="shared" si="85"/>
      </c>
      <c r="AD116" s="252">
        <f t="shared" si="4"/>
      </c>
      <c r="AE116" s="251">
        <f t="shared" si="91"/>
      </c>
      <c r="AF116" s="252">
        <f t="shared" si="28"/>
      </c>
      <c r="AG116" s="251">
        <f t="shared" si="19"/>
      </c>
      <c r="AH116" s="251">
        <f t="shared" si="78"/>
      </c>
      <c r="AI116" s="254">
        <v>4954</v>
      </c>
      <c r="AJ116" s="254">
        <v>99</v>
      </c>
      <c r="AK116" s="254">
        <v>102</v>
      </c>
      <c r="AL116" s="254">
        <v>40</v>
      </c>
      <c r="AM116" s="254">
        <v>4</v>
      </c>
      <c r="AN116" s="254">
        <v>4</v>
      </c>
      <c r="AO116" s="254">
        <v>38</v>
      </c>
      <c r="AP116" s="254">
        <v>106</v>
      </c>
      <c r="AQ116" s="254">
        <v>6</v>
      </c>
      <c r="AR116" s="249">
        <v>1</v>
      </c>
      <c r="AS116" s="271">
        <v>1</v>
      </c>
    </row>
    <row r="117">
      <c r="A117" s="244"/>
      <c r="B117" s="257" t="s">
        <v>268</v>
      </c>
      <c r="C117" s="257"/>
      <c r="D117" s="257"/>
      <c r="E117" s="257"/>
      <c r="F117" s="258">
        <f>SUM(F115:F116)</f>
      </c>
      <c r="G117" s="258">
        <f>SUM(G115:G116)</f>
      </c>
      <c r="H117" s="258">
        <f>SUM(H115:H116)</f>
      </c>
      <c r="I117" s="258">
        <f>SUM(I115:I116)</f>
      </c>
      <c r="J117" s="259">
        <f>SUM(J115:J116)</f>
      </c>
      <c r="K117" s="259">
        <f>SUM(K115:K116)</f>
      </c>
      <c r="L117" s="258">
        <f>SUM(L115:L116)</f>
      </c>
      <c r="M117" s="260">
        <f t="shared" si="0"/>
      </c>
      <c r="N117" s="261">
        <f t="shared" si="69"/>
      </c>
      <c r="O117" s="262">
        <f t="shared" si="20"/>
      </c>
      <c r="P117" s="262">
        <f t="shared" si="79"/>
      </c>
      <c r="Q117" s="262">
        <f t="shared" si="74"/>
      </c>
      <c r="R117" s="262">
        <f t="shared" si="87"/>
      </c>
      <c r="S117" s="262">
        <f t="shared" si="83"/>
      </c>
      <c r="T117" s="262">
        <f t="shared" si="17"/>
      </c>
      <c r="U117" s="262">
        <f t="shared" si="2"/>
      </c>
      <c r="V117" s="260">
        <f t="shared" si="71"/>
      </c>
      <c r="W117" s="260">
        <f t="shared" si="22"/>
      </c>
      <c r="X117" s="260">
        <f t="shared" si="24"/>
      </c>
      <c r="Y117" s="260">
        <f t="shared" si="26"/>
      </c>
      <c r="Z117" s="260">
        <f t="shared" si="81"/>
      </c>
      <c r="AA117" s="260">
        <f t="shared" si="76"/>
      </c>
      <c r="AB117" s="261">
        <f t="shared" si="89"/>
      </c>
      <c r="AC117" s="261">
        <f t="shared" si="85"/>
      </c>
      <c r="AD117" s="261">
        <f t="shared" si="4"/>
      </c>
      <c r="AE117" s="260">
        <f t="shared" si="91"/>
      </c>
      <c r="AF117" s="261">
        <f t="shared" si="28"/>
      </c>
      <c r="AG117" s="260">
        <f t="shared" si="19"/>
      </c>
      <c r="AH117" s="260">
        <f t="shared" si="78"/>
      </c>
      <c r="AI117" s="259">
        <f>SUM(AI115:AI116)</f>
      </c>
      <c r="AJ117" s="259">
        <f>SUM(AJ115:AJ116)</f>
      </c>
      <c r="AK117" s="259">
        <f>SUM(AK115:AK116)</f>
      </c>
      <c r="AL117" s="259">
        <f>SUM(AL115:AL116)</f>
      </c>
      <c r="AM117" s="259">
        <f>SUM(AM115:AM116)</f>
      </c>
      <c r="AN117" s="259">
        <f>SUM(AN115:AN116)</f>
      </c>
      <c r="AO117" s="259">
        <f>SUM(AO115:AO116)</f>
      </c>
      <c r="AP117" s="259">
        <f>SUM(AP115:AP116)</f>
      </c>
      <c r="AQ117" s="259">
        <f>SUM(AQ115:AQ116)</f>
      </c>
      <c r="AR117" s="259">
        <f>SUM(AR115:AR116)</f>
      </c>
      <c r="AS117" s="263">
        <f>SUM(AS115:AS116)</f>
      </c>
    </row>
    <row r="118">
      <c r="A118" s="244"/>
      <c r="B118" s="264" t="s">
        <v>273</v>
      </c>
      <c r="C118" s="264"/>
      <c r="D118" s="264"/>
      <c r="E118" s="264"/>
      <c r="F118" s="265">
        <f t="shared" ref="F118:F121" si="46">G118+I118+H118</f>
      </c>
      <c r="G118" s="265">
        <f>G110+G117+G114</f>
      </c>
      <c r="H118" s="265">
        <f>H110+H117+H114</f>
      </c>
      <c r="I118" s="265">
        <f>I110+I117+I114</f>
      </c>
      <c r="J118" s="265">
        <f>J110+J117+J114</f>
      </c>
      <c r="K118" s="265">
        <f>K110+K117+K114</f>
      </c>
      <c r="L118" s="265">
        <f>L110+L117+L114</f>
      </c>
      <c r="M118" s="267">
        <f t="shared" si="0"/>
      </c>
      <c r="N118" s="268">
        <f t="shared" si="69"/>
      </c>
      <c r="O118" s="269">
        <f t="shared" si="20"/>
      </c>
      <c r="P118" s="269">
        <f t="shared" si="79"/>
      </c>
      <c r="Q118" s="269">
        <f t="shared" si="74"/>
      </c>
      <c r="R118" s="269">
        <f t="shared" si="87"/>
      </c>
      <c r="S118" s="269">
        <f t="shared" si="83"/>
      </c>
      <c r="T118" s="269">
        <f t="shared" si="17"/>
      </c>
      <c r="U118" s="269">
        <f t="shared" si="2"/>
      </c>
      <c r="V118" s="267">
        <f t="shared" si="71"/>
      </c>
      <c r="W118" s="267">
        <f t="shared" si="22"/>
      </c>
      <c r="X118" s="267">
        <f t="shared" si="24"/>
      </c>
      <c r="Y118" s="267">
        <f t="shared" si="26"/>
      </c>
      <c r="Z118" s="267">
        <f t="shared" si="81"/>
      </c>
      <c r="AA118" s="267">
        <f t="shared" si="76"/>
      </c>
      <c r="AB118" s="268">
        <f t="shared" si="89"/>
      </c>
      <c r="AC118" s="268">
        <f t="shared" si="85"/>
      </c>
      <c r="AD118" s="268">
        <f t="shared" si="4"/>
      </c>
      <c r="AE118" s="267">
        <f t="shared" si="91"/>
      </c>
      <c r="AF118" s="268">
        <f t="shared" si="28"/>
      </c>
      <c r="AG118" s="267">
        <f t="shared" si="19"/>
      </c>
      <c r="AH118" s="267">
        <f t="shared" si="78"/>
      </c>
      <c r="AI118" s="270">
        <f>AI110+AI117+AI114</f>
      </c>
      <c r="AJ118" s="270">
        <f>AJ110+AJ117+AJ114</f>
      </c>
      <c r="AK118" s="270">
        <f>AK110+AK117+AK114</f>
      </c>
      <c r="AL118" s="270">
        <f>AL110+AL117+AL114</f>
      </c>
      <c r="AM118" s="270">
        <f>AM110+AM117+AM114</f>
      </c>
      <c r="AN118" s="270">
        <f>AN110+AN117+AN114</f>
      </c>
      <c r="AO118" s="270">
        <f>AO110+AO117+AO114</f>
      </c>
      <c r="AP118" s="270">
        <f>AP110+AP117+AP114</f>
      </c>
      <c r="AQ118" s="270">
        <f>AQ110+AQ117+AQ114</f>
      </c>
      <c r="AR118" s="270">
        <f>AR110+AR117+AR114</f>
      </c>
      <c r="AS118" s="263">
        <f>AS110+AS117+AS114</f>
      </c>
    </row>
    <row r="119">
      <c r="A119" s="244">
        <v>46258</v>
      </c>
      <c r="B119" s="246" t="s">
        <v>285</v>
      </c>
      <c r="C119" s="245" t="s">
        <v>263</v>
      </c>
      <c r="D119" s="246" t="s">
        <v>269</v>
      </c>
      <c r="E119" s="246" t="s">
        <v>274</v>
      </c>
      <c r="F119" s="247">
        <f t="shared" si="46"/>
      </c>
      <c r="G119" s="248">
        <v>423.56</v>
      </c>
      <c r="H119" s="248">
        <v>1055.32</v>
      </c>
      <c r="I119" s="248">
        <v>124.12</v>
      </c>
      <c r="J119" s="249">
        <v>1</v>
      </c>
      <c r="K119" s="249">
        <v>0</v>
      </c>
      <c r="L119" s="250">
        <v>0</v>
      </c>
      <c r="M119" s="251">
        <f t="shared" si="0"/>
      </c>
      <c r="N119" s="252">
        <f t="shared" si="69"/>
      </c>
      <c r="O119" s="253">
        <f t="shared" si="20"/>
      </c>
      <c r="P119" s="253">
        <f t="shared" si="79"/>
      </c>
      <c r="Q119" s="253">
        <f t="shared" si="74"/>
      </c>
      <c r="R119" s="253">
        <f t="shared" si="87"/>
      </c>
      <c r="S119" s="253">
        <f t="shared" si="83"/>
      </c>
      <c r="T119" s="253">
        <f t="shared" si="17"/>
      </c>
      <c r="U119" s="253">
        <f t="shared" si="2"/>
      </c>
      <c r="V119" s="251">
        <f t="shared" si="71"/>
      </c>
      <c r="W119" s="251">
        <f t="shared" si="22"/>
      </c>
      <c r="X119" s="251">
        <f t="shared" si="24"/>
      </c>
      <c r="Y119" s="251">
        <f t="shared" si="26"/>
      </c>
      <c r="Z119" s="251">
        <f t="shared" si="81"/>
      </c>
      <c r="AA119" s="251">
        <f t="shared" si="76"/>
      </c>
      <c r="AB119" s="252">
        <f t="shared" si="89"/>
      </c>
      <c r="AC119" s="252">
        <f t="shared" si="85"/>
      </c>
      <c r="AD119" s="252">
        <f t="shared" si="4"/>
      </c>
      <c r="AE119" s="251">
        <f t="shared" si="91"/>
      </c>
      <c r="AF119" s="252">
        <f t="shared" si="28"/>
      </c>
      <c r="AG119" s="251">
        <f t="shared" si="19"/>
      </c>
      <c r="AH119" s="251">
        <f t="shared" si="78"/>
      </c>
      <c r="AI119" s="273">
        <v>6862</v>
      </c>
      <c r="AJ119" s="273">
        <v>262</v>
      </c>
      <c r="AK119" s="273">
        <v>270</v>
      </c>
      <c r="AL119" s="254">
        <v>64</v>
      </c>
      <c r="AM119" s="254">
        <v>1</v>
      </c>
      <c r="AN119" s="254">
        <v>0</v>
      </c>
      <c r="AO119" s="254">
        <v>62</v>
      </c>
      <c r="AP119" s="254">
        <v>53</v>
      </c>
      <c r="AQ119" s="254">
        <v>8</v>
      </c>
      <c r="AR119" s="249">
        <v>0</v>
      </c>
      <c r="AS119" s="271">
        <v>1</v>
      </c>
    </row>
    <row r="120">
      <c r="A120" s="244"/>
      <c r="B120" s="246" t="s">
        <v>285</v>
      </c>
      <c r="C120" s="245" t="s">
        <v>263</v>
      </c>
      <c r="D120" s="246" t="s">
        <v>269</v>
      </c>
      <c r="E120" s="246" t="s">
        <v>275</v>
      </c>
      <c r="F120" s="247">
        <f t="shared" si="46"/>
      </c>
      <c r="G120" s="272">
        <v>283.22</v>
      </c>
      <c r="H120" s="272">
        <v>2419.48</v>
      </c>
      <c r="I120" s="248">
        <v>47.15</v>
      </c>
      <c r="J120" s="249">
        <v>7</v>
      </c>
      <c r="K120" s="249">
        <v>6</v>
      </c>
      <c r="L120" s="250">
        <v>3223.2</v>
      </c>
      <c r="M120" s="251">
        <f t="shared" si="0"/>
      </c>
      <c r="N120" s="252">
        <f t="shared" si="69"/>
      </c>
      <c r="O120" s="253">
        <f t="shared" si="20"/>
      </c>
      <c r="P120" s="253">
        <f t="shared" si="79"/>
      </c>
      <c r="Q120" s="253">
        <f t="shared" si="74"/>
      </c>
      <c r="R120" s="253">
        <f t="shared" si="87"/>
      </c>
      <c r="S120" s="253">
        <f t="shared" si="83"/>
      </c>
      <c r="T120" s="253">
        <f t="shared" si="17"/>
      </c>
      <c r="U120" s="253">
        <f t="shared" si="2"/>
      </c>
      <c r="V120" s="251">
        <f t="shared" si="71"/>
      </c>
      <c r="W120" s="251">
        <f t="shared" si="22"/>
      </c>
      <c r="X120" s="251">
        <f t="shared" si="24"/>
      </c>
      <c r="Y120" s="251">
        <f t="shared" si="26"/>
      </c>
      <c r="Z120" s="251">
        <f t="shared" si="81"/>
      </c>
      <c r="AA120" s="251">
        <f t="shared" si="76"/>
      </c>
      <c r="AB120" s="252">
        <f t="shared" si="89"/>
      </c>
      <c r="AC120" s="252">
        <f t="shared" si="85"/>
      </c>
      <c r="AD120" s="252">
        <f t="shared" si="4"/>
      </c>
      <c r="AE120" s="251">
        <f t="shared" si="91"/>
      </c>
      <c r="AF120" s="252">
        <f t="shared" si="28"/>
      </c>
      <c r="AG120" s="251">
        <f t="shared" si="19"/>
      </c>
      <c r="AH120" s="251">
        <f t="shared" si="78"/>
      </c>
      <c r="AI120" s="254">
        <v>12685</v>
      </c>
      <c r="AJ120" s="254">
        <v>249</v>
      </c>
      <c r="AK120" s="254">
        <v>229</v>
      </c>
      <c r="AL120" s="254">
        <v>89</v>
      </c>
      <c r="AM120" s="254">
        <v>7</v>
      </c>
      <c r="AN120" s="254">
        <v>5</v>
      </c>
      <c r="AO120" s="254">
        <v>57</v>
      </c>
      <c r="AP120" s="254">
        <v>74</v>
      </c>
      <c r="AQ120" s="249">
        <v>7</v>
      </c>
      <c r="AR120" s="249">
        <v>1</v>
      </c>
      <c r="AS120" s="271">
        <v>1</v>
      </c>
    </row>
    <row r="121">
      <c r="A121" s="244"/>
      <c r="B121" s="246" t="s">
        <v>285</v>
      </c>
      <c r="C121" s="245" t="s">
        <v>263</v>
      </c>
      <c r="D121" s="246" t="s">
        <v>269</v>
      </c>
      <c r="E121" s="246" t="s">
        <v>276</v>
      </c>
      <c r="F121" s="247">
        <f t="shared" si="46"/>
      </c>
      <c r="G121" s="248">
        <v>513.28</v>
      </c>
      <c r="H121" s="248">
        <v>1287.2</v>
      </c>
      <c r="I121" s="248">
        <v>98.82</v>
      </c>
      <c r="J121" s="249">
        <v>4</v>
      </c>
      <c r="K121" s="249">
        <v>3</v>
      </c>
      <c r="L121" s="250">
        <v>1352</v>
      </c>
      <c r="M121" s="251">
        <f t="shared" si="0"/>
      </c>
      <c r="N121" s="252">
        <f t="shared" si="69"/>
      </c>
      <c r="O121" s="253">
        <f t="shared" si="20"/>
      </c>
      <c r="P121" s="253">
        <f t="shared" si="79"/>
      </c>
      <c r="Q121" s="253">
        <f t="shared" si="74"/>
      </c>
      <c r="R121" s="253">
        <f t="shared" si="87"/>
      </c>
      <c r="S121" s="253">
        <f t="shared" si="83"/>
      </c>
      <c r="T121" s="253">
        <f t="shared" si="17"/>
      </c>
      <c r="U121" s="253">
        <f t="shared" si="2"/>
      </c>
      <c r="V121" s="251">
        <f t="shared" si="71"/>
      </c>
      <c r="W121" s="251">
        <f t="shared" si="22"/>
      </c>
      <c r="X121" s="251">
        <f t="shared" si="24"/>
      </c>
      <c r="Y121" s="251">
        <f t="shared" si="26"/>
      </c>
      <c r="Z121" s="251">
        <f t="shared" si="81"/>
      </c>
      <c r="AA121" s="251">
        <f t="shared" si="76"/>
      </c>
      <c r="AB121" s="252">
        <f t="shared" si="89"/>
      </c>
      <c r="AC121" s="252">
        <f t="shared" si="85"/>
      </c>
      <c r="AD121" s="252">
        <f t="shared" si="4"/>
      </c>
      <c r="AE121" s="251">
        <f t="shared" si="91"/>
      </c>
      <c r="AF121" s="252">
        <f t="shared" si="28"/>
      </c>
      <c r="AG121" s="251">
        <f t="shared" si="19"/>
      </c>
      <c r="AH121" s="251">
        <f t="shared" si="78"/>
      </c>
      <c r="AI121" s="249">
        <v>10459</v>
      </c>
      <c r="AJ121" s="249">
        <v>223</v>
      </c>
      <c r="AK121" s="249">
        <v>210</v>
      </c>
      <c r="AL121" s="249">
        <v>74</v>
      </c>
      <c r="AM121" s="249">
        <v>3</v>
      </c>
      <c r="AN121" s="249">
        <v>3</v>
      </c>
      <c r="AO121" s="249">
        <v>56</v>
      </c>
      <c r="AP121" s="249">
        <v>98</v>
      </c>
      <c r="AQ121" s="249">
        <v>8</v>
      </c>
      <c r="AR121" s="249">
        <v>0</v>
      </c>
      <c r="AS121" s="271">
        <v>1</v>
      </c>
    </row>
    <row r="122">
      <c r="A122" s="244"/>
      <c r="B122" s="257" t="s">
        <v>268</v>
      </c>
      <c r="C122" s="257"/>
      <c r="D122" s="257"/>
      <c r="E122" s="257"/>
      <c r="F122" s="258">
        <f>SUM(F119:F121)</f>
      </c>
      <c r="G122" s="258">
        <f>SUM(G119:G121)</f>
      </c>
      <c r="H122" s="258">
        <f>SUM(H119:H121)</f>
      </c>
      <c r="I122" s="258">
        <f>SUM(I119:I121)</f>
      </c>
      <c r="J122" s="259">
        <f>SUM(J119:J121)</f>
      </c>
      <c r="K122" s="259">
        <f>SUM(K119:K121)</f>
      </c>
      <c r="L122" s="258">
        <f>SUM(L119:L121)</f>
      </c>
      <c r="M122" s="260">
        <f t="shared" si="0"/>
      </c>
      <c r="N122" s="261">
        <f t="shared" si="69"/>
      </c>
      <c r="O122" s="262">
        <f t="shared" si="20"/>
      </c>
      <c r="P122" s="262">
        <f t="shared" si="79"/>
      </c>
      <c r="Q122" s="262">
        <f t="shared" si="74"/>
      </c>
      <c r="R122" s="262">
        <f t="shared" si="87"/>
      </c>
      <c r="S122" s="262">
        <f t="shared" si="83"/>
      </c>
      <c r="T122" s="262">
        <f t="shared" si="17"/>
      </c>
      <c r="U122" s="262">
        <f t="shared" si="2"/>
      </c>
      <c r="V122" s="260">
        <f t="shared" si="71"/>
      </c>
      <c r="W122" s="260">
        <f t="shared" si="22"/>
      </c>
      <c r="X122" s="260">
        <f t="shared" si="24"/>
      </c>
      <c r="Y122" s="260">
        <f t="shared" si="26"/>
      </c>
      <c r="Z122" s="260">
        <f t="shared" si="81"/>
      </c>
      <c r="AA122" s="260">
        <f t="shared" si="76"/>
      </c>
      <c r="AB122" s="261">
        <f t="shared" si="89"/>
      </c>
      <c r="AC122" s="261">
        <f t="shared" si="85"/>
      </c>
      <c r="AD122" s="261">
        <f t="shared" si="4"/>
      </c>
      <c r="AE122" s="260">
        <f t="shared" si="91"/>
      </c>
      <c r="AF122" s="261">
        <f t="shared" si="28"/>
      </c>
      <c r="AG122" s="260">
        <f t="shared" si="19"/>
      </c>
      <c r="AH122" s="260">
        <f t="shared" si="78"/>
      </c>
      <c r="AI122" s="259">
        <f>SUM(AI119:AI121)</f>
      </c>
      <c r="AJ122" s="259">
        <f>SUM(AJ119:AJ121)</f>
      </c>
      <c r="AK122" s="259">
        <f>SUM(AK119:AK121)</f>
      </c>
      <c r="AL122" s="259">
        <f>SUM(AL119:AL121)</f>
      </c>
      <c r="AM122" s="259">
        <f>SUM(AM119:AM121)</f>
      </c>
      <c r="AN122" s="259">
        <f>SUM(AN119:AN121)</f>
      </c>
      <c r="AO122" s="259">
        <f>SUM(AO119:AO121)</f>
      </c>
      <c r="AP122" s="259">
        <f>SUM(AP119:AP121)</f>
      </c>
      <c r="AQ122" s="259">
        <f>SUM(AQ119:AQ121)</f>
      </c>
      <c r="AR122" s="259">
        <f>SUM(AR119:AR121)</f>
      </c>
      <c r="AS122" s="263">
        <f>SUM(AS119:AS121)</f>
      </c>
    </row>
    <row r="123">
      <c r="A123" s="244"/>
      <c r="B123" s="246" t="s">
        <v>285</v>
      </c>
      <c r="C123" s="245" t="s">
        <v>263</v>
      </c>
      <c r="D123" s="246" t="s">
        <v>264</v>
      </c>
      <c r="E123" s="246" t="s">
        <v>278</v>
      </c>
      <c r="F123" s="247">
        <f t="shared" ref="F123:F125" si="47">G123+I123+H123</f>
      </c>
      <c r="G123" s="248">
        <v>151.69</v>
      </c>
      <c r="H123" s="248">
        <v>1678.93</v>
      </c>
      <c r="I123" s="248">
        <v>187.08</v>
      </c>
      <c r="J123" s="249">
        <v>1</v>
      </c>
      <c r="K123" s="249">
        <v>1</v>
      </c>
      <c r="L123" s="250">
        <v>799</v>
      </c>
      <c r="M123" s="251">
        <f t="shared" si="0"/>
      </c>
      <c r="N123" s="252">
        <f t="shared" si="69"/>
      </c>
      <c r="O123" s="253">
        <f t="shared" si="20"/>
      </c>
      <c r="P123" s="253">
        <f t="shared" si="79"/>
      </c>
      <c r="Q123" s="253">
        <f t="shared" si="74"/>
      </c>
      <c r="R123" s="253">
        <f t="shared" si="87"/>
      </c>
      <c r="S123" s="253">
        <f t="shared" si="83"/>
      </c>
      <c r="T123" s="253">
        <f t="shared" si="17"/>
      </c>
      <c r="U123" s="253">
        <f t="shared" si="2"/>
      </c>
      <c r="V123" s="251">
        <f t="shared" si="71"/>
      </c>
      <c r="W123" s="251">
        <f t="shared" si="22"/>
      </c>
      <c r="X123" s="251">
        <f t="shared" si="24"/>
      </c>
      <c r="Y123" s="251">
        <f t="shared" si="26"/>
      </c>
      <c r="Z123" s="251">
        <f t="shared" si="81"/>
      </c>
      <c r="AA123" s="251">
        <f t="shared" si="76"/>
      </c>
      <c r="AB123" s="252">
        <f t="shared" si="89"/>
      </c>
      <c r="AC123" s="252">
        <f t="shared" si="85"/>
      </c>
      <c r="AD123" s="252">
        <f t="shared" si="4"/>
      </c>
      <c r="AE123" s="251">
        <f t="shared" si="91"/>
      </c>
      <c r="AF123" s="252">
        <f t="shared" si="28"/>
      </c>
      <c r="AG123" s="251">
        <f t="shared" si="19"/>
      </c>
      <c r="AH123" s="251">
        <f t="shared" si="78"/>
      </c>
      <c r="AI123" s="254">
        <v>10972</v>
      </c>
      <c r="AJ123" s="254">
        <v>183</v>
      </c>
      <c r="AK123" s="254">
        <v>175</v>
      </c>
      <c r="AL123" s="254">
        <v>68</v>
      </c>
      <c r="AM123" s="254">
        <v>2</v>
      </c>
      <c r="AN123" s="249">
        <v>1</v>
      </c>
      <c r="AO123" s="254">
        <v>42</v>
      </c>
      <c r="AP123" s="254">
        <v>80</v>
      </c>
      <c r="AQ123" s="254">
        <v>1</v>
      </c>
      <c r="AR123" s="249">
        <v>0</v>
      </c>
      <c r="AS123" s="271">
        <v>1</v>
      </c>
    </row>
    <row r="124">
      <c r="A124" s="244"/>
      <c r="B124" s="246" t="s">
        <v>285</v>
      </c>
      <c r="C124" s="245" t="s">
        <v>263</v>
      </c>
      <c r="D124" s="246" t="s">
        <v>264</v>
      </c>
      <c r="E124" s="246" t="s">
        <v>279</v>
      </c>
      <c r="F124" s="247">
        <f t="shared" si="47"/>
      </c>
      <c r="G124" s="248">
        <v>146.29</v>
      </c>
      <c r="H124" s="248">
        <v>1056.66</v>
      </c>
      <c r="I124" s="248">
        <v>248.26</v>
      </c>
      <c r="J124" s="249">
        <v>2</v>
      </c>
      <c r="K124" s="249">
        <v>2</v>
      </c>
      <c r="L124" s="250">
        <v>948</v>
      </c>
      <c r="M124" s="251">
        <f t="shared" si="0"/>
      </c>
      <c r="N124" s="252">
        <f t="shared" si="69"/>
      </c>
      <c r="O124" s="253">
        <f t="shared" si="20"/>
      </c>
      <c r="P124" s="253">
        <f t="shared" si="79"/>
      </c>
      <c r="Q124" s="253">
        <f t="shared" si="74"/>
      </c>
      <c r="R124" s="253">
        <f t="shared" si="87"/>
      </c>
      <c r="S124" s="253">
        <f t="shared" si="83"/>
      </c>
      <c r="T124" s="253">
        <f t="shared" si="17"/>
      </c>
      <c r="U124" s="253">
        <f t="shared" si="2"/>
      </c>
      <c r="V124" s="251">
        <f t="shared" si="71"/>
      </c>
      <c r="W124" s="251">
        <f t="shared" si="22"/>
      </c>
      <c r="X124" s="251">
        <f t="shared" si="24"/>
      </c>
      <c r="Y124" s="251">
        <f t="shared" si="26"/>
      </c>
      <c r="Z124" s="251">
        <f t="shared" si="81"/>
      </c>
      <c r="AA124" s="251">
        <f t="shared" si="76"/>
      </c>
      <c r="AB124" s="252">
        <f t="shared" si="89"/>
      </c>
      <c r="AC124" s="252">
        <f t="shared" si="85"/>
      </c>
      <c r="AD124" s="252">
        <f t="shared" si="4"/>
      </c>
      <c r="AE124" s="251">
        <f t="shared" si="91"/>
      </c>
      <c r="AF124" s="252">
        <f t="shared" si="28"/>
      </c>
      <c r="AG124" s="251">
        <f t="shared" si="19"/>
      </c>
      <c r="AH124" s="251">
        <f t="shared" si="78"/>
      </c>
      <c r="AI124" s="254">
        <v>6087</v>
      </c>
      <c r="AJ124" s="254">
        <v>165</v>
      </c>
      <c r="AK124" s="254">
        <v>175</v>
      </c>
      <c r="AL124" s="254">
        <v>42</v>
      </c>
      <c r="AM124" s="254">
        <v>2</v>
      </c>
      <c r="AN124" s="254">
        <v>2</v>
      </c>
      <c r="AO124" s="254">
        <v>36</v>
      </c>
      <c r="AP124" s="254">
        <v>47</v>
      </c>
      <c r="AQ124" s="249">
        <v>7</v>
      </c>
      <c r="AR124" s="249">
        <v>0</v>
      </c>
      <c r="AS124" s="271">
        <v>1</v>
      </c>
    </row>
    <row r="125">
      <c r="A125" s="244"/>
      <c r="B125" s="246" t="s">
        <v>285</v>
      </c>
      <c r="C125" s="245" t="s">
        <v>263</v>
      </c>
      <c r="D125" s="246" t="s">
        <v>264</v>
      </c>
      <c r="E125" s="246" t="s">
        <v>280</v>
      </c>
      <c r="F125" s="247">
        <f t="shared" si="47"/>
      </c>
      <c r="G125" s="248">
        <v>96.57</v>
      </c>
      <c r="H125" s="248">
        <v>1020.26</v>
      </c>
      <c r="I125" s="248">
        <v>228.46</v>
      </c>
      <c r="J125" s="249">
        <v>4</v>
      </c>
      <c r="K125" s="249">
        <v>1</v>
      </c>
      <c r="L125" s="250">
        <v>967.1999999999998</v>
      </c>
      <c r="M125" s="251">
        <f t="shared" si="0"/>
      </c>
      <c r="N125" s="252">
        <f t="shared" si="69"/>
      </c>
      <c r="O125" s="253">
        <f t="shared" si="20"/>
      </c>
      <c r="P125" s="253">
        <f t="shared" si="79"/>
      </c>
      <c r="Q125" s="253">
        <f t="shared" si="74"/>
      </c>
      <c r="R125" s="253">
        <f t="shared" si="87"/>
      </c>
      <c r="S125" s="253">
        <f t="shared" si="83"/>
      </c>
      <c r="T125" s="253">
        <f t="shared" si="17"/>
      </c>
      <c r="U125" s="253">
        <f t="shared" si="2"/>
      </c>
      <c r="V125" s="251">
        <f t="shared" si="71"/>
      </c>
      <c r="W125" s="251">
        <f t="shared" si="22"/>
      </c>
      <c r="X125" s="251">
        <f t="shared" si="24"/>
      </c>
      <c r="Y125" s="251">
        <f t="shared" si="26"/>
      </c>
      <c r="Z125" s="251">
        <f t="shared" si="81"/>
      </c>
      <c r="AA125" s="251">
        <f t="shared" si="76"/>
      </c>
      <c r="AB125" s="252">
        <f t="shared" si="89"/>
      </c>
      <c r="AC125" s="252">
        <f t="shared" si="85"/>
      </c>
      <c r="AD125" s="252">
        <f t="shared" si="4"/>
      </c>
      <c r="AE125" s="251">
        <f t="shared" si="91"/>
      </c>
      <c r="AF125" s="252">
        <f t="shared" si="28"/>
      </c>
      <c r="AG125" s="251">
        <f t="shared" si="19"/>
      </c>
      <c r="AH125" s="251">
        <f t="shared" si="78"/>
      </c>
      <c r="AI125" s="254">
        <v>6257</v>
      </c>
      <c r="AJ125" s="254">
        <v>183</v>
      </c>
      <c r="AK125" s="254">
        <v>181</v>
      </c>
      <c r="AL125" s="254">
        <v>54</v>
      </c>
      <c r="AM125" s="254">
        <v>4</v>
      </c>
      <c r="AN125" s="254">
        <v>1</v>
      </c>
      <c r="AO125" s="254">
        <v>27</v>
      </c>
      <c r="AP125" s="254">
        <v>24</v>
      </c>
      <c r="AQ125" s="254">
        <v>2</v>
      </c>
      <c r="AR125" s="249">
        <v>0</v>
      </c>
      <c r="AS125" s="271">
        <v>1</v>
      </c>
    </row>
    <row r="126">
      <c r="A126" s="244"/>
      <c r="B126" s="257" t="s">
        <v>268</v>
      </c>
      <c r="C126" s="257"/>
      <c r="D126" s="257"/>
      <c r="E126" s="257"/>
      <c r="F126" s="258">
        <f>SUM(F123:F125)</f>
      </c>
      <c r="G126" s="258">
        <f>SUM(G123:G125)</f>
      </c>
      <c r="H126" s="258">
        <f>SUM(H123:H125)</f>
      </c>
      <c r="I126" s="258">
        <f>SUM(I123:I125)</f>
      </c>
      <c r="J126" s="259">
        <f>SUM(J123:J125)</f>
      </c>
      <c r="K126" s="259">
        <f>SUM(K123:K125)</f>
      </c>
      <c r="L126" s="258">
        <f>SUM(L123:L125)</f>
      </c>
      <c r="M126" s="260">
        <f t="shared" si="0"/>
      </c>
      <c r="N126" s="261">
        <f t="shared" si="69"/>
      </c>
      <c r="O126" s="262">
        <f t="shared" si="20"/>
      </c>
      <c r="P126" s="262">
        <f t="shared" si="79"/>
      </c>
      <c r="Q126" s="262">
        <f t="shared" si="74"/>
      </c>
      <c r="R126" s="262">
        <f t="shared" si="87"/>
      </c>
      <c r="S126" s="262">
        <f t="shared" si="83"/>
      </c>
      <c r="T126" s="262">
        <f t="shared" si="17"/>
      </c>
      <c r="U126" s="262">
        <f t="shared" si="2"/>
      </c>
      <c r="V126" s="260">
        <f t="shared" si="71"/>
      </c>
      <c r="W126" s="260">
        <f t="shared" si="22"/>
      </c>
      <c r="X126" s="260">
        <f t="shared" si="24"/>
      </c>
      <c r="Y126" s="260">
        <f t="shared" si="26"/>
      </c>
      <c r="Z126" s="260">
        <f t="shared" si="81"/>
      </c>
      <c r="AA126" s="260">
        <f t="shared" si="76"/>
      </c>
      <c r="AB126" s="261">
        <f t="shared" si="89"/>
      </c>
      <c r="AC126" s="261">
        <f t="shared" si="85"/>
      </c>
      <c r="AD126" s="261">
        <f t="shared" si="4"/>
      </c>
      <c r="AE126" s="260">
        <f t="shared" si="91"/>
      </c>
      <c r="AF126" s="261">
        <f t="shared" si="28"/>
      </c>
      <c r="AG126" s="260">
        <f t="shared" si="19"/>
      </c>
      <c r="AH126" s="260">
        <f t="shared" si="78"/>
      </c>
      <c r="AI126" s="259">
        <f>SUM(AI123:AI125)</f>
      </c>
      <c r="AJ126" s="259">
        <f>SUM(AJ123:AJ125)</f>
      </c>
      <c r="AK126" s="259">
        <f>SUM(AK123:AK125)</f>
      </c>
      <c r="AL126" s="259">
        <f>SUM(AL123:AL125)</f>
      </c>
      <c r="AM126" s="259">
        <f>SUM(AM123:AM125)</f>
      </c>
      <c r="AN126" s="259">
        <f>SUM(AN123:AN125)</f>
      </c>
      <c r="AO126" s="259">
        <f>SUM(AO123:AO125)</f>
      </c>
      <c r="AP126" s="259">
        <f>SUM(AP123:AP125)</f>
      </c>
      <c r="AQ126" s="259">
        <f>SUM(AQ123:AQ125)</f>
      </c>
      <c r="AR126" s="259">
        <f>SUM(AR123:AR125)</f>
      </c>
      <c r="AS126" s="263">
        <f>SUM(AS123:AS125)</f>
      </c>
    </row>
    <row r="127">
      <c r="A127" s="244"/>
      <c r="B127" s="246" t="s">
        <v>285</v>
      </c>
      <c r="C127" s="245" t="s">
        <v>263</v>
      </c>
      <c r="D127" s="246" t="s">
        <v>277</v>
      </c>
      <c r="E127" s="246" t="s">
        <v>281</v>
      </c>
      <c r="F127" s="247">
        <f t="shared" ref="F127:F128" si="48">G127+I127+H127</f>
      </c>
      <c r="G127" s="248">
        <v>235.29</v>
      </c>
      <c r="H127" s="248">
        <v>269.36</v>
      </c>
      <c r="I127" s="248">
        <v>232.99</v>
      </c>
      <c r="J127" s="249">
        <v>1</v>
      </c>
      <c r="K127" s="249">
        <v>1</v>
      </c>
      <c r="L127" s="250">
        <v>967.1999999999989</v>
      </c>
      <c r="M127" s="251">
        <f t="shared" si="0"/>
      </c>
      <c r="N127" s="252">
        <f t="shared" si="69"/>
      </c>
      <c r="O127" s="253">
        <f t="shared" si="20"/>
      </c>
      <c r="P127" s="253">
        <f t="shared" si="79"/>
      </c>
      <c r="Q127" s="253">
        <f t="shared" si="74"/>
      </c>
      <c r="R127" s="253">
        <f t="shared" si="87"/>
      </c>
      <c r="S127" s="253">
        <f t="shared" si="83"/>
      </c>
      <c r="T127" s="253">
        <f t="shared" si="17"/>
      </c>
      <c r="U127" s="253">
        <f t="shared" si="2"/>
      </c>
      <c r="V127" s="251">
        <f t="shared" si="71"/>
      </c>
      <c r="W127" s="251">
        <f t="shared" si="22"/>
      </c>
      <c r="X127" s="251">
        <f t="shared" si="24"/>
      </c>
      <c r="Y127" s="251">
        <f t="shared" si="26"/>
      </c>
      <c r="Z127" s="251">
        <f t="shared" si="81"/>
      </c>
      <c r="AA127" s="251">
        <f t="shared" si="76"/>
      </c>
      <c r="AB127" s="252">
        <f t="shared" si="89"/>
      </c>
      <c r="AC127" s="252">
        <f t="shared" si="85"/>
      </c>
      <c r="AD127" s="252">
        <f t="shared" si="4"/>
      </c>
      <c r="AE127" s="251">
        <f t="shared" si="91"/>
      </c>
      <c r="AF127" s="252">
        <f t="shared" si="28"/>
      </c>
      <c r="AG127" s="251">
        <f t="shared" si="19"/>
      </c>
      <c r="AH127" s="251">
        <f t="shared" si="78"/>
      </c>
      <c r="AI127" s="254">
        <v>3789</v>
      </c>
      <c r="AJ127" s="249">
        <v>135</v>
      </c>
      <c r="AK127" s="249">
        <v>147</v>
      </c>
      <c r="AL127" s="249">
        <v>36</v>
      </c>
      <c r="AM127" s="249">
        <v>1</v>
      </c>
      <c r="AN127" s="249">
        <v>1</v>
      </c>
      <c r="AO127" s="249">
        <v>26</v>
      </c>
      <c r="AP127" s="249">
        <v>21</v>
      </c>
      <c r="AQ127" s="249">
        <v>3</v>
      </c>
      <c r="AR127" s="249">
        <v>0</v>
      </c>
      <c r="AS127" s="271">
        <v>1</v>
      </c>
    </row>
    <row r="128">
      <c r="A128" s="244"/>
      <c r="B128" s="246" t="s">
        <v>285</v>
      </c>
      <c r="C128" s="245" t="s">
        <v>263</v>
      </c>
      <c r="D128" s="246" t="s">
        <v>277</v>
      </c>
      <c r="E128" s="246" t="s">
        <v>282</v>
      </c>
      <c r="F128" s="247">
        <f t="shared" si="48"/>
      </c>
      <c r="G128" s="248">
        <v>3.28</v>
      </c>
      <c r="H128" s="248">
        <v>0</v>
      </c>
      <c r="I128" s="248">
        <v>134.17</v>
      </c>
      <c r="J128" s="249">
        <v>0</v>
      </c>
      <c r="K128" s="249">
        <v>0</v>
      </c>
      <c r="L128" s="250">
        <v>0</v>
      </c>
      <c r="M128" s="251">
        <f t="shared" si="0"/>
      </c>
      <c r="N128" s="252">
        <f t="shared" si="69"/>
      </c>
      <c r="O128" s="253">
        <f t="shared" si="20"/>
      </c>
      <c r="P128" s="253">
        <f t="shared" si="79"/>
      </c>
      <c r="Q128" s="253">
        <f t="shared" si="74"/>
      </c>
      <c r="R128" s="253">
        <f t="shared" si="87"/>
      </c>
      <c r="S128" s="253">
        <f t="shared" si="83"/>
      </c>
      <c r="T128" s="253">
        <f t="shared" si="17"/>
      </c>
      <c r="U128" s="253">
        <f t="shared" si="2"/>
      </c>
      <c r="V128" s="251">
        <f t="shared" si="71"/>
      </c>
      <c r="W128" s="251">
        <f t="shared" si="22"/>
      </c>
      <c r="X128" s="251">
        <f t="shared" si="24"/>
      </c>
      <c r="Y128" s="251">
        <f t="shared" si="26"/>
      </c>
      <c r="Z128" s="251">
        <f t="shared" si="81"/>
      </c>
      <c r="AA128" s="251">
        <f t="shared" si="76"/>
      </c>
      <c r="AB128" s="252">
        <f t="shared" si="89"/>
      </c>
      <c r="AC128" s="252">
        <f t="shared" si="85"/>
      </c>
      <c r="AD128" s="252">
        <f t="shared" si="4"/>
      </c>
      <c r="AE128" s="251">
        <f t="shared" si="91"/>
      </c>
      <c r="AF128" s="252">
        <f t="shared" si="28"/>
      </c>
      <c r="AG128" s="251">
        <f t="shared" si="19"/>
      </c>
      <c r="AH128" s="251">
        <f t="shared" si="78"/>
      </c>
      <c r="AI128" s="254">
        <v>959</v>
      </c>
      <c r="AJ128" s="254">
        <v>35</v>
      </c>
      <c r="AK128" s="254">
        <v>39</v>
      </c>
      <c r="AL128" s="254">
        <v>7</v>
      </c>
      <c r="AM128" s="254">
        <v>0</v>
      </c>
      <c r="AN128" s="254">
        <v>0</v>
      </c>
      <c r="AO128" s="254">
        <v>5</v>
      </c>
      <c r="AP128" s="254">
        <v>6</v>
      </c>
      <c r="AQ128" s="254">
        <v>0</v>
      </c>
      <c r="AR128" s="249">
        <v>0</v>
      </c>
      <c r="AS128" s="271">
        <v>1</v>
      </c>
    </row>
    <row r="129">
      <c r="A129" s="244"/>
      <c r="B129" s="257" t="s">
        <v>268</v>
      </c>
      <c r="C129" s="257"/>
      <c r="D129" s="257"/>
      <c r="E129" s="257"/>
      <c r="F129" s="258">
        <f>SUM(F127:F128)</f>
      </c>
      <c r="G129" s="258">
        <f>SUM(G127:G128)</f>
      </c>
      <c r="H129" s="258">
        <f>SUM(H127:H128)</f>
      </c>
      <c r="I129" s="258">
        <f>SUM(I127:I128)</f>
      </c>
      <c r="J129" s="259">
        <f>SUM(J127:J128)</f>
      </c>
      <c r="K129" s="259">
        <f>SUM(K127:K128)</f>
      </c>
      <c r="L129" s="258">
        <f>SUM(L127:L128)</f>
      </c>
      <c r="M129" s="260">
        <f t="shared" si="0"/>
      </c>
      <c r="N129" s="261">
        <f t="shared" si="69"/>
      </c>
      <c r="O129" s="262">
        <f t="shared" si="20"/>
      </c>
      <c r="P129" s="262">
        <f t="shared" si="79"/>
      </c>
      <c r="Q129" s="262">
        <f t="shared" si="74"/>
      </c>
      <c r="R129" s="262">
        <f t="shared" si="87"/>
      </c>
      <c r="S129" s="262">
        <f t="shared" si="83"/>
      </c>
      <c r="T129" s="262">
        <f t="shared" si="17"/>
      </c>
      <c r="U129" s="262">
        <f t="shared" si="2"/>
      </c>
      <c r="V129" s="260">
        <f t="shared" si="71"/>
      </c>
      <c r="W129" s="260">
        <f t="shared" si="22"/>
      </c>
      <c r="X129" s="260">
        <f t="shared" si="24"/>
      </c>
      <c r="Y129" s="260">
        <f t="shared" si="26"/>
      </c>
      <c r="Z129" s="260">
        <f t="shared" si="81"/>
      </c>
      <c r="AA129" s="260">
        <f t="shared" si="76"/>
      </c>
      <c r="AB129" s="261">
        <f t="shared" si="89"/>
      </c>
      <c r="AC129" s="261">
        <f t="shared" si="85"/>
      </c>
      <c r="AD129" s="261">
        <f t="shared" si="4"/>
      </c>
      <c r="AE129" s="260">
        <f t="shared" si="91"/>
      </c>
      <c r="AF129" s="261">
        <f t="shared" si="28"/>
      </c>
      <c r="AG129" s="260">
        <f t="shared" si="19"/>
      </c>
      <c r="AH129" s="260">
        <f t="shared" si="78"/>
      </c>
      <c r="AI129" s="259">
        <f>SUM(AI127:AI128)</f>
      </c>
      <c r="AJ129" s="259">
        <f>SUM(AJ127:AJ128)</f>
      </c>
      <c r="AK129" s="259">
        <f>SUM(AK127:AK128)</f>
      </c>
      <c r="AL129" s="259">
        <f>SUM(AL127:AL128)</f>
      </c>
      <c r="AM129" s="259">
        <f>SUM(AM127:AM128)</f>
      </c>
      <c r="AN129" s="259">
        <f>SUM(AN127:AN128)</f>
      </c>
      <c r="AO129" s="259">
        <f>SUM(AO127:AO128)</f>
      </c>
      <c r="AP129" s="259">
        <f>SUM(AP127:AP128)</f>
      </c>
      <c r="AQ129" s="259">
        <f>SUM(AQ127:AQ128)</f>
      </c>
      <c r="AR129" s="259">
        <f>SUM(AR127:AR128)</f>
      </c>
      <c r="AS129" s="263">
        <f>SUM(AS127:AS128)</f>
      </c>
    </row>
    <row r="130">
      <c r="A130" s="244"/>
      <c r="B130" s="264" t="s">
        <v>273</v>
      </c>
      <c r="C130" s="264"/>
      <c r="D130" s="264"/>
      <c r="E130" s="264"/>
      <c r="F130" s="265">
        <f t="shared" ref="F130:F133" si="49">G130+I130+H130</f>
      </c>
      <c r="G130" s="265">
        <f>G122+G129+G126</f>
      </c>
      <c r="H130" s="265">
        <f>H122+H129+H126</f>
      </c>
      <c r="I130" s="265">
        <f>I122+I129+I126</f>
      </c>
      <c r="J130" s="265">
        <f>J122+J129+J126</f>
      </c>
      <c r="K130" s="265">
        <f>K122+K129+K126</f>
      </c>
      <c r="L130" s="265">
        <f>L122+L129+L126</f>
      </c>
      <c r="M130" s="267">
        <f t="shared" si="0"/>
      </c>
      <c r="N130" s="268">
        <f t="shared" si="69"/>
      </c>
      <c r="O130" s="269">
        <f t="shared" si="20"/>
      </c>
      <c r="P130" s="269">
        <f t="shared" si="79"/>
      </c>
      <c r="Q130" s="269">
        <f t="shared" si="74"/>
      </c>
      <c r="R130" s="269">
        <f t="shared" si="87"/>
      </c>
      <c r="S130" s="269">
        <f t="shared" si="83"/>
      </c>
      <c r="T130" s="269">
        <f t="shared" si="17"/>
      </c>
      <c r="U130" s="269">
        <f t="shared" si="2"/>
      </c>
      <c r="V130" s="267">
        <f t="shared" si="71"/>
      </c>
      <c r="W130" s="267">
        <f t="shared" si="22"/>
      </c>
      <c r="X130" s="267">
        <f t="shared" si="24"/>
      </c>
      <c r="Y130" s="267">
        <f t="shared" si="26"/>
      </c>
      <c r="Z130" s="267">
        <f t="shared" si="81"/>
      </c>
      <c r="AA130" s="267">
        <f t="shared" si="76"/>
      </c>
      <c r="AB130" s="268">
        <f t="shared" si="89"/>
      </c>
      <c r="AC130" s="268">
        <f t="shared" si="85"/>
      </c>
      <c r="AD130" s="268">
        <f t="shared" si="4"/>
      </c>
      <c r="AE130" s="267">
        <f t="shared" si="91"/>
      </c>
      <c r="AF130" s="268">
        <f t="shared" si="28"/>
      </c>
      <c r="AG130" s="267">
        <f t="shared" si="19"/>
      </c>
      <c r="AH130" s="267">
        <f t="shared" si="78"/>
      </c>
      <c r="AI130" s="270">
        <f>AI122+AI129+AI126</f>
      </c>
      <c r="AJ130" s="270">
        <f>AJ122+AJ129+AJ126</f>
      </c>
      <c r="AK130" s="270">
        <f>AK122+AK129+AK126</f>
      </c>
      <c r="AL130" s="270">
        <f>AL122+AL129+AL126</f>
      </c>
      <c r="AM130" s="270">
        <f>AM122+AM129+AM126</f>
      </c>
      <c r="AN130" s="270">
        <f>AN122+AN129+AN126</f>
      </c>
      <c r="AO130" s="270">
        <f>AO122+AO129+AO126</f>
      </c>
      <c r="AP130" s="270">
        <f>AP122+AP129+AP126</f>
      </c>
      <c r="AQ130" s="270">
        <f>AQ122+AQ129+AQ126</f>
      </c>
      <c r="AR130" s="270">
        <f>AR122+AR129+AR126</f>
      </c>
      <c r="AS130" s="263">
        <f>AS122+AS129+AS126</f>
      </c>
    </row>
    <row r="131">
      <c r="A131" s="244">
        <v>46259</v>
      </c>
      <c r="B131" s="245" t="s">
        <v>285</v>
      </c>
      <c r="C131" s="245" t="s">
        <v>263</v>
      </c>
      <c r="D131" s="245" t="s">
        <v>277</v>
      </c>
      <c r="E131" s="245" t="s">
        <v>274</v>
      </c>
      <c r="F131" s="247">
        <f t="shared" si="49"/>
      </c>
      <c r="G131" s="248">
        <v>0</v>
      </c>
      <c r="H131" s="274">
        <v>1559.53</v>
      </c>
      <c r="I131" s="274">
        <v>318.61</v>
      </c>
      <c r="J131" s="249">
        <v>1</v>
      </c>
      <c r="K131" s="249">
        <v>0</v>
      </c>
      <c r="L131" s="250">
        <v>0</v>
      </c>
      <c r="M131" s="251">
        <f t="shared" si="0"/>
      </c>
      <c r="N131" s="252">
        <f t="shared" si="69"/>
      </c>
      <c r="O131" s="253">
        <f t="shared" si="20"/>
      </c>
      <c r="P131" s="253">
        <f t="shared" si="79"/>
      </c>
      <c r="Q131" s="253">
        <f t="shared" si="74"/>
      </c>
      <c r="R131" s="253">
        <f t="shared" si="87"/>
      </c>
      <c r="S131" s="253">
        <f t="shared" si="83"/>
      </c>
      <c r="T131" s="253">
        <f t="shared" si="17"/>
      </c>
      <c r="U131" s="253">
        <f t="shared" si="2"/>
      </c>
      <c r="V131" s="251">
        <f t="shared" si="71"/>
      </c>
      <c r="W131" s="251">
        <f t="shared" si="22"/>
      </c>
      <c r="X131" s="251">
        <f t="shared" si="24"/>
      </c>
      <c r="Y131" s="251">
        <f t="shared" si="26"/>
      </c>
      <c r="Z131" s="251">
        <f t="shared" si="81"/>
      </c>
      <c r="AA131" s="251">
        <f t="shared" si="76"/>
      </c>
      <c r="AB131" s="252">
        <f t="shared" si="89"/>
      </c>
      <c r="AC131" s="252">
        <f t="shared" si="85"/>
      </c>
      <c r="AD131" s="252">
        <f t="shared" si="4"/>
      </c>
      <c r="AE131" s="251">
        <f t="shared" si="91"/>
      </c>
      <c r="AF131" s="252">
        <f t="shared" si="28"/>
      </c>
      <c r="AG131" s="251">
        <f t="shared" si="19"/>
      </c>
      <c r="AH131" s="251">
        <f t="shared" si="78"/>
      </c>
      <c r="AI131" s="273">
        <v>10483</v>
      </c>
      <c r="AJ131" s="273">
        <v>385</v>
      </c>
      <c r="AK131" s="273">
        <v>380</v>
      </c>
      <c r="AL131" s="254">
        <v>71</v>
      </c>
      <c r="AM131" s="254">
        <v>2</v>
      </c>
      <c r="AN131" s="254">
        <v>0</v>
      </c>
      <c r="AO131" s="254">
        <v>52</v>
      </c>
      <c r="AP131" s="254">
        <v>44</v>
      </c>
      <c r="AQ131" s="254">
        <v>4</v>
      </c>
      <c r="AR131" s="249">
        <v>0</v>
      </c>
      <c r="AS131" s="271">
        <v>1</v>
      </c>
    </row>
    <row r="132">
      <c r="A132" s="256"/>
      <c r="B132" s="245" t="s">
        <v>285</v>
      </c>
      <c r="C132" s="245" t="s">
        <v>263</v>
      </c>
      <c r="D132" s="245" t="s">
        <v>277</v>
      </c>
      <c r="E132" s="245" t="s">
        <v>275</v>
      </c>
      <c r="F132" s="247">
        <f t="shared" si="49"/>
      </c>
      <c r="G132" s="248">
        <v>0</v>
      </c>
      <c r="H132" s="275">
        <v>1263.64</v>
      </c>
      <c r="I132" s="274">
        <v>112.63</v>
      </c>
      <c r="J132" s="254">
        <v>4</v>
      </c>
      <c r="K132" s="254">
        <v>3</v>
      </c>
      <c r="L132" s="276">
        <v>1862.1999999999998</v>
      </c>
      <c r="M132" s="251">
        <f t="shared" si="0"/>
      </c>
      <c r="N132" s="252">
        <f t="shared" si="69"/>
      </c>
      <c r="O132" s="253">
        <f t="shared" si="20"/>
      </c>
      <c r="P132" s="253">
        <f t="shared" si="79"/>
      </c>
      <c r="Q132" s="253">
        <f t="shared" si="74"/>
      </c>
      <c r="R132" s="253">
        <f t="shared" si="87"/>
      </c>
      <c r="S132" s="253">
        <f t="shared" si="83"/>
      </c>
      <c r="T132" s="253">
        <f t="shared" si="17"/>
      </c>
      <c r="U132" s="253">
        <f t="shared" si="2"/>
      </c>
      <c r="V132" s="251">
        <f t="shared" si="71"/>
      </c>
      <c r="W132" s="251">
        <f t="shared" si="22"/>
      </c>
      <c r="X132" s="251">
        <f t="shared" si="24"/>
      </c>
      <c r="Y132" s="251">
        <f t="shared" si="26"/>
      </c>
      <c r="Z132" s="251">
        <f t="shared" si="81"/>
      </c>
      <c r="AA132" s="251">
        <f t="shared" si="76"/>
      </c>
      <c r="AB132" s="252">
        <f t="shared" si="89"/>
      </c>
      <c r="AC132" s="252">
        <f t="shared" si="85"/>
      </c>
      <c r="AD132" s="252">
        <f t="shared" si="4"/>
      </c>
      <c r="AE132" s="251">
        <f t="shared" si="91"/>
      </c>
      <c r="AF132" s="252">
        <f t="shared" si="28"/>
      </c>
      <c r="AG132" s="251">
        <f t="shared" si="19"/>
      </c>
      <c r="AH132" s="251">
        <f t="shared" si="78"/>
      </c>
      <c r="AI132" s="254">
        <v>6915</v>
      </c>
      <c r="AJ132" s="254">
        <v>155</v>
      </c>
      <c r="AK132" s="254">
        <v>160</v>
      </c>
      <c r="AL132" s="254">
        <v>51</v>
      </c>
      <c r="AM132" s="254">
        <v>3</v>
      </c>
      <c r="AN132" s="254">
        <v>3</v>
      </c>
      <c r="AO132" s="254">
        <v>45</v>
      </c>
      <c r="AP132" s="254">
        <v>51</v>
      </c>
      <c r="AQ132" s="254">
        <v>3</v>
      </c>
      <c r="AR132" s="249">
        <v>0</v>
      </c>
      <c r="AS132" s="271">
        <v>1</v>
      </c>
    </row>
    <row r="133">
      <c r="A133" s="256"/>
      <c r="B133" s="245" t="s">
        <v>285</v>
      </c>
      <c r="C133" s="245" t="s">
        <v>263</v>
      </c>
      <c r="D133" s="245" t="s">
        <v>277</v>
      </c>
      <c r="E133" s="245" t="s">
        <v>276</v>
      </c>
      <c r="F133" s="247">
        <f t="shared" si="49"/>
      </c>
      <c r="G133" s="248">
        <v>0</v>
      </c>
      <c r="H133" s="274">
        <v>1448.39</v>
      </c>
      <c r="I133" s="274">
        <v>210.03</v>
      </c>
      <c r="J133" s="254">
        <v>5</v>
      </c>
      <c r="K133" s="254">
        <v>3</v>
      </c>
      <c r="L133" s="276">
        <v>3271.2000000000007</v>
      </c>
      <c r="M133" s="251">
        <f t="shared" si="0"/>
      </c>
      <c r="N133" s="252">
        <f t="shared" si="69"/>
      </c>
      <c r="O133" s="253">
        <f t="shared" si="20"/>
      </c>
      <c r="P133" s="253">
        <f t="shared" si="79"/>
      </c>
      <c r="Q133" s="253">
        <f t="shared" si="74"/>
      </c>
      <c r="R133" s="253">
        <f t="shared" si="87"/>
      </c>
      <c r="S133" s="253">
        <f t="shared" si="83"/>
      </c>
      <c r="T133" s="253">
        <f t="shared" si="17"/>
      </c>
      <c r="U133" s="253">
        <f t="shared" si="2"/>
      </c>
      <c r="V133" s="251">
        <f t="shared" si="71"/>
      </c>
      <c r="W133" s="251">
        <f t="shared" si="22"/>
      </c>
      <c r="X133" s="251">
        <f t="shared" si="24"/>
      </c>
      <c r="Y133" s="251">
        <f t="shared" si="26"/>
      </c>
      <c r="Z133" s="251">
        <f t="shared" si="81"/>
      </c>
      <c r="AA133" s="251">
        <f t="shared" si="76"/>
      </c>
      <c r="AB133" s="252">
        <f t="shared" si="89"/>
      </c>
      <c r="AC133" s="252">
        <f t="shared" si="85"/>
      </c>
      <c r="AD133" s="252">
        <f t="shared" si="4"/>
      </c>
      <c r="AE133" s="251">
        <f t="shared" si="91"/>
      </c>
      <c r="AF133" s="252">
        <f t="shared" si="28"/>
      </c>
      <c r="AG133" s="251">
        <f t="shared" si="19"/>
      </c>
      <c r="AH133" s="251">
        <f t="shared" si="78"/>
      </c>
      <c r="AI133" s="254">
        <v>7854</v>
      </c>
      <c r="AJ133" s="254">
        <v>206</v>
      </c>
      <c r="AK133" s="254">
        <v>208</v>
      </c>
      <c r="AL133" s="254">
        <v>79</v>
      </c>
      <c r="AM133" s="254">
        <v>5</v>
      </c>
      <c r="AN133" s="254">
        <v>3</v>
      </c>
      <c r="AO133" s="254">
        <v>75</v>
      </c>
      <c r="AP133" s="254">
        <v>79</v>
      </c>
      <c r="AQ133" s="254">
        <v>4</v>
      </c>
      <c r="AR133" s="249">
        <v>0</v>
      </c>
      <c r="AS133" s="271">
        <v>1</v>
      </c>
    </row>
    <row r="134">
      <c r="A134" s="256"/>
      <c r="B134" s="257" t="s">
        <v>268</v>
      </c>
      <c r="C134" s="257"/>
      <c r="D134" s="257"/>
      <c r="E134" s="257"/>
      <c r="F134" s="258">
        <f>SUM(F131:F133)</f>
      </c>
      <c r="G134" s="258">
        <f>SUM(G131:G133)</f>
      </c>
      <c r="H134" s="258">
        <f>SUM(H131:H133)</f>
      </c>
      <c r="I134" s="258">
        <f>SUM(I131:I133)</f>
      </c>
      <c r="J134" s="259">
        <f>SUM(J131:J133)</f>
      </c>
      <c r="K134" s="259">
        <f>SUM(K131:K133)</f>
      </c>
      <c r="L134" s="258">
        <f>SUM(L131:L133)</f>
      </c>
      <c r="M134" s="260">
        <f t="shared" si="0"/>
      </c>
      <c r="N134" s="261">
        <f t="shared" si="69"/>
      </c>
      <c r="O134" s="262">
        <f t="shared" si="20"/>
      </c>
      <c r="P134" s="262">
        <f t="shared" si="79"/>
      </c>
      <c r="Q134" s="262">
        <f t="shared" si="74"/>
      </c>
      <c r="R134" s="262">
        <f t="shared" si="87"/>
      </c>
      <c r="S134" s="262">
        <f t="shared" si="83"/>
      </c>
      <c r="T134" s="262">
        <f t="shared" si="17"/>
      </c>
      <c r="U134" s="262">
        <f t="shared" si="2"/>
      </c>
      <c r="V134" s="260">
        <f t="shared" si="71"/>
      </c>
      <c r="W134" s="260">
        <f t="shared" si="22"/>
      </c>
      <c r="X134" s="260">
        <f t="shared" si="24"/>
      </c>
      <c r="Y134" s="260">
        <f t="shared" si="26"/>
      </c>
      <c r="Z134" s="260">
        <f t="shared" si="81"/>
      </c>
      <c r="AA134" s="260">
        <f t="shared" si="76"/>
      </c>
      <c r="AB134" s="261">
        <f t="shared" si="89"/>
      </c>
      <c r="AC134" s="261">
        <f t="shared" si="85"/>
      </c>
      <c r="AD134" s="261">
        <f t="shared" si="4"/>
      </c>
      <c r="AE134" s="260">
        <f t="shared" si="91"/>
      </c>
      <c r="AF134" s="261">
        <f t="shared" si="28"/>
      </c>
      <c r="AG134" s="260">
        <f t="shared" si="19"/>
      </c>
      <c r="AH134" s="260">
        <f t="shared" si="78"/>
      </c>
      <c r="AI134" s="259">
        <f>SUM(AI131:AI133)</f>
      </c>
      <c r="AJ134" s="259">
        <f>SUM(AJ131:AJ133)</f>
      </c>
      <c r="AK134" s="259">
        <f>SUM(AK131:AK133)</f>
      </c>
      <c r="AL134" s="259">
        <f>SUM(AL131:AL133)</f>
      </c>
      <c r="AM134" s="259">
        <f>SUM(AM131:AM133)</f>
      </c>
      <c r="AN134" s="259">
        <f>SUM(AN131:AN133)</f>
      </c>
      <c r="AO134" s="259">
        <f>SUM(AO131:AO133)</f>
      </c>
      <c r="AP134" s="259">
        <f>SUM(AP131:AP133)</f>
      </c>
      <c r="AQ134" s="259">
        <f>SUM(AQ131:AQ133)</f>
      </c>
      <c r="AR134" s="259">
        <f>SUM(AR131:AR133)</f>
      </c>
      <c r="AS134" s="263">
        <f>SUM(AS131:AS133)</f>
      </c>
    </row>
    <row r="135">
      <c r="A135" s="256"/>
      <c r="B135" s="245" t="s">
        <v>285</v>
      </c>
      <c r="C135" s="245" t="s">
        <v>263</v>
      </c>
      <c r="D135" s="246" t="s">
        <v>269</v>
      </c>
      <c r="E135" s="245" t="s">
        <v>278</v>
      </c>
      <c r="F135" s="247">
        <f t="shared" ref="F135:F136" si="50">G135+I135+H135</f>
      </c>
      <c r="G135" s="248">
        <v>0</v>
      </c>
      <c r="H135" s="274">
        <v>1507.76</v>
      </c>
      <c r="I135" s="274">
        <v>491.21</v>
      </c>
      <c r="J135" s="254">
        <v>3</v>
      </c>
      <c r="K135" s="254">
        <v>3</v>
      </c>
      <c r="L135" s="276">
        <v>2078.2</v>
      </c>
      <c r="M135" s="251">
        <f t="shared" si="0"/>
      </c>
      <c r="N135" s="252">
        <f t="shared" si="69"/>
      </c>
      <c r="O135" s="253">
        <f t="shared" si="20"/>
      </c>
      <c r="P135" s="253">
        <f t="shared" si="79"/>
      </c>
      <c r="Q135" s="253">
        <f t="shared" si="74"/>
      </c>
      <c r="R135" s="253">
        <f t="shared" si="87"/>
      </c>
      <c r="S135" s="253">
        <f t="shared" si="83"/>
      </c>
      <c r="T135" s="253">
        <f t="shared" si="17"/>
      </c>
      <c r="U135" s="253">
        <f t="shared" si="2"/>
      </c>
      <c r="V135" s="251">
        <f t="shared" si="71"/>
      </c>
      <c r="W135" s="251">
        <f t="shared" si="22"/>
      </c>
      <c r="X135" s="251">
        <f t="shared" si="24"/>
      </c>
      <c r="Y135" s="251">
        <f t="shared" si="26"/>
      </c>
      <c r="Z135" s="251">
        <f t="shared" si="81"/>
      </c>
      <c r="AA135" s="251">
        <f t="shared" si="76"/>
      </c>
      <c r="AB135" s="252">
        <f t="shared" si="89"/>
      </c>
      <c r="AC135" s="252">
        <f t="shared" si="85"/>
      </c>
      <c r="AD135" s="252">
        <f t="shared" si="4"/>
      </c>
      <c r="AE135" s="251">
        <f t="shared" si="91"/>
      </c>
      <c r="AF135" s="252">
        <f t="shared" si="28"/>
      </c>
      <c r="AG135" s="251">
        <f t="shared" si="19"/>
      </c>
      <c r="AH135" s="251">
        <f t="shared" si="78"/>
      </c>
      <c r="AI135" s="254">
        <v>8513</v>
      </c>
      <c r="AJ135" s="254">
        <v>234</v>
      </c>
      <c r="AK135" s="254">
        <v>232</v>
      </c>
      <c r="AL135" s="254">
        <v>62</v>
      </c>
      <c r="AM135" s="254">
        <v>3</v>
      </c>
      <c r="AN135" s="254">
        <v>2</v>
      </c>
      <c r="AO135" s="254">
        <v>44</v>
      </c>
      <c r="AP135" s="254">
        <v>54</v>
      </c>
      <c r="AQ135" s="254">
        <v>7</v>
      </c>
      <c r="AR135" s="249">
        <v>1</v>
      </c>
      <c r="AS135" s="255">
        <v>1</v>
      </c>
    </row>
    <row r="136">
      <c r="A136" s="256"/>
      <c r="B136" s="245" t="s">
        <v>285</v>
      </c>
      <c r="C136" s="245" t="s">
        <v>263</v>
      </c>
      <c r="D136" s="246" t="s">
        <v>269</v>
      </c>
      <c r="E136" s="246" t="s">
        <v>279</v>
      </c>
      <c r="F136" s="247">
        <f t="shared" si="50"/>
      </c>
      <c r="G136" s="248">
        <v>0</v>
      </c>
      <c r="H136" s="274">
        <v>1230.06</v>
      </c>
      <c r="I136" s="274">
        <v>377.23</v>
      </c>
      <c r="J136" s="254">
        <v>2</v>
      </c>
      <c r="K136" s="254">
        <v>1</v>
      </c>
      <c r="L136" s="276">
        <v>967.1999999999998</v>
      </c>
      <c r="M136" s="251">
        <f t="shared" si="0"/>
      </c>
      <c r="N136" s="252">
        <f t="shared" si="69"/>
      </c>
      <c r="O136" s="253">
        <f t="shared" si="20"/>
      </c>
      <c r="P136" s="253">
        <f t="shared" si="79"/>
      </c>
      <c r="Q136" s="253">
        <f t="shared" si="74"/>
      </c>
      <c r="R136" s="253">
        <f t="shared" si="87"/>
      </c>
      <c r="S136" s="253">
        <f t="shared" si="83"/>
      </c>
      <c r="T136" s="253">
        <f t="shared" si="17"/>
      </c>
      <c r="U136" s="253">
        <f t="shared" si="2"/>
      </c>
      <c r="V136" s="251">
        <f t="shared" si="71"/>
      </c>
      <c r="W136" s="251">
        <f t="shared" si="22"/>
      </c>
      <c r="X136" s="251">
        <f t="shared" si="24"/>
      </c>
      <c r="Y136" s="251">
        <f t="shared" si="26"/>
      </c>
      <c r="Z136" s="251">
        <f t="shared" si="81"/>
      </c>
      <c r="AA136" s="251">
        <f t="shared" si="76"/>
      </c>
      <c r="AB136" s="252">
        <f t="shared" si="89"/>
      </c>
      <c r="AC136" s="252">
        <f t="shared" si="85"/>
      </c>
      <c r="AD136" s="252">
        <f t="shared" si="4"/>
      </c>
      <c r="AE136" s="251">
        <f t="shared" si="91"/>
      </c>
      <c r="AF136" s="252">
        <f t="shared" si="28"/>
      </c>
      <c r="AG136" s="251">
        <f t="shared" si="19"/>
      </c>
      <c r="AH136" s="251">
        <f t="shared" si="78"/>
      </c>
      <c r="AI136" s="254">
        <v>7272</v>
      </c>
      <c r="AJ136" s="254">
        <v>205</v>
      </c>
      <c r="AK136" s="254">
        <v>211</v>
      </c>
      <c r="AL136" s="254">
        <v>51</v>
      </c>
      <c r="AM136" s="254">
        <v>2</v>
      </c>
      <c r="AN136" s="254">
        <v>1</v>
      </c>
      <c r="AO136" s="254">
        <v>34</v>
      </c>
      <c r="AP136" s="254">
        <v>45</v>
      </c>
      <c r="AQ136" s="254">
        <v>4</v>
      </c>
      <c r="AR136" s="249">
        <v>0</v>
      </c>
      <c r="AS136" s="271">
        <v>1</v>
      </c>
    </row>
    <row r="137">
      <c r="A137" s="256"/>
      <c r="B137" s="257" t="s">
        <v>268</v>
      </c>
      <c r="C137" s="257"/>
      <c r="D137" s="257"/>
      <c r="E137" s="257"/>
      <c r="F137" s="258">
        <f>SUM(F135:F136)</f>
      </c>
      <c r="G137" s="258">
        <f>SUM(G135:G136)</f>
      </c>
      <c r="H137" s="258">
        <f>SUM(H135:H136)</f>
      </c>
      <c r="I137" s="258">
        <f>SUM(I135:I136)</f>
      </c>
      <c r="J137" s="259">
        <f>SUM(J135:J136)</f>
      </c>
      <c r="K137" s="259">
        <f>SUM(K135:K136)</f>
      </c>
      <c r="L137" s="258">
        <f>SUM(L135:L136)</f>
      </c>
      <c r="M137" s="260">
        <f t="shared" si="0"/>
      </c>
      <c r="N137" s="261">
        <f t="shared" si="69"/>
      </c>
      <c r="O137" s="262">
        <f t="shared" si="20"/>
      </c>
      <c r="P137" s="262">
        <f t="shared" si="79"/>
      </c>
      <c r="Q137" s="262">
        <f t="shared" si="74"/>
      </c>
      <c r="R137" s="262">
        <f t="shared" si="87"/>
      </c>
      <c r="S137" s="262">
        <f t="shared" si="83"/>
      </c>
      <c r="T137" s="262">
        <f t="shared" si="17"/>
      </c>
      <c r="U137" s="262">
        <f t="shared" si="2"/>
      </c>
      <c r="V137" s="260">
        <f t="shared" si="71"/>
      </c>
      <c r="W137" s="260">
        <f t="shared" si="22"/>
      </c>
      <c r="X137" s="260">
        <f t="shared" si="24"/>
      </c>
      <c r="Y137" s="260">
        <f t="shared" si="26"/>
      </c>
      <c r="Z137" s="260">
        <f t="shared" si="81"/>
      </c>
      <c r="AA137" s="260">
        <f t="shared" si="76"/>
      </c>
      <c r="AB137" s="261">
        <f t="shared" si="89"/>
      </c>
      <c r="AC137" s="261">
        <f t="shared" si="85"/>
      </c>
      <c r="AD137" s="261">
        <f t="shared" si="4"/>
      </c>
      <c r="AE137" s="260">
        <f t="shared" si="91"/>
      </c>
      <c r="AF137" s="261">
        <f t="shared" si="28"/>
      </c>
      <c r="AG137" s="260">
        <f t="shared" si="19"/>
      </c>
      <c r="AH137" s="260">
        <f t="shared" si="78"/>
      </c>
      <c r="AI137" s="259">
        <f>SUM(AI135:AI136)</f>
      </c>
      <c r="AJ137" s="259">
        <f>SUM(AJ135:AJ136)</f>
      </c>
      <c r="AK137" s="259">
        <f>SUM(AK135:AK136)</f>
      </c>
      <c r="AL137" s="259">
        <f>SUM(AL135:AL136)</f>
      </c>
      <c r="AM137" s="259">
        <f>SUM(AM135:AM136)</f>
      </c>
      <c r="AN137" s="259">
        <f>SUM(AN135:AN136)</f>
      </c>
      <c r="AO137" s="259">
        <f>SUM(AO135:AO136)</f>
      </c>
      <c r="AP137" s="259">
        <f>SUM(AP135:AP136)</f>
      </c>
      <c r="AQ137" s="259">
        <f>SUM(AQ135:AQ136)</f>
      </c>
      <c r="AR137" s="259">
        <f>SUM(AR135:AR136)</f>
      </c>
      <c r="AS137" s="263">
        <f>SUM(AS135:AS136)</f>
      </c>
    </row>
    <row r="138">
      <c r="A138" s="256"/>
      <c r="B138" s="245" t="s">
        <v>285</v>
      </c>
      <c r="C138" s="245" t="s">
        <v>263</v>
      </c>
      <c r="D138" s="245" t="s">
        <v>264</v>
      </c>
      <c r="E138" s="245" t="s">
        <v>280</v>
      </c>
      <c r="F138" s="247">
        <f t="shared" ref="F138:F140" si="51">G138+I138+H138</f>
      </c>
      <c r="G138" s="248">
        <v>0</v>
      </c>
      <c r="H138" s="274">
        <v>935.27</v>
      </c>
      <c r="I138" s="274">
        <v>229.77</v>
      </c>
      <c r="J138" s="249">
        <v>1</v>
      </c>
      <c r="K138" s="249">
        <v>1</v>
      </c>
      <c r="L138" s="250">
        <v>368.9999999999991</v>
      </c>
      <c r="M138" s="251">
        <f t="shared" si="0"/>
      </c>
      <c r="N138" s="252">
        <f t="shared" si="69"/>
      </c>
      <c r="O138" s="253">
        <f t="shared" si="20"/>
      </c>
      <c r="P138" s="253">
        <f t="shared" si="79"/>
      </c>
      <c r="Q138" s="253">
        <f t="shared" si="74"/>
      </c>
      <c r="R138" s="253">
        <f t="shared" si="87"/>
      </c>
      <c r="S138" s="253">
        <f t="shared" si="83"/>
      </c>
      <c r="T138" s="253">
        <f t="shared" si="17"/>
      </c>
      <c r="U138" s="253">
        <f t="shared" si="2"/>
      </c>
      <c r="V138" s="251">
        <f t="shared" si="71"/>
      </c>
      <c r="W138" s="251">
        <f t="shared" si="22"/>
      </c>
      <c r="X138" s="251">
        <f t="shared" si="24"/>
      </c>
      <c r="Y138" s="251">
        <f t="shared" si="26"/>
      </c>
      <c r="Z138" s="251">
        <f t="shared" si="81"/>
      </c>
      <c r="AA138" s="251">
        <f t="shared" si="76"/>
      </c>
      <c r="AB138" s="252">
        <f t="shared" si="89"/>
      </c>
      <c r="AC138" s="252">
        <f t="shared" si="85"/>
      </c>
      <c r="AD138" s="252">
        <f t="shared" si="4"/>
      </c>
      <c r="AE138" s="251">
        <f t="shared" si="91"/>
      </c>
      <c r="AF138" s="252">
        <f t="shared" si="28"/>
      </c>
      <c r="AG138" s="251">
        <f t="shared" si="19"/>
      </c>
      <c r="AH138" s="251">
        <f t="shared" si="78"/>
      </c>
      <c r="AI138" s="254">
        <v>6872</v>
      </c>
      <c r="AJ138" s="254">
        <v>172</v>
      </c>
      <c r="AK138" s="254">
        <v>178</v>
      </c>
      <c r="AL138" s="254">
        <v>47</v>
      </c>
      <c r="AM138" s="254">
        <v>1</v>
      </c>
      <c r="AN138" s="254">
        <v>1</v>
      </c>
      <c r="AO138" s="254">
        <v>39</v>
      </c>
      <c r="AP138" s="254">
        <v>37</v>
      </c>
      <c r="AQ138" s="254">
        <v>7</v>
      </c>
      <c r="AR138" s="249">
        <v>0</v>
      </c>
      <c r="AS138" s="271">
        <v>1</v>
      </c>
    </row>
    <row customHeight="true" ht="16.071428571428573" r="139">
      <c r="A139" s="256"/>
      <c r="B139" s="245" t="s">
        <v>285</v>
      </c>
      <c r="C139" s="245" t="s">
        <v>263</v>
      </c>
      <c r="D139" s="245" t="s">
        <v>264</v>
      </c>
      <c r="E139" s="245" t="s">
        <v>281</v>
      </c>
      <c r="F139" s="247">
        <f t="shared" si="51"/>
      </c>
      <c r="G139" s="248">
        <v>0</v>
      </c>
      <c r="H139" s="274">
        <v>762.82</v>
      </c>
      <c r="I139" s="274">
        <v>248.68</v>
      </c>
      <c r="J139" s="254">
        <v>3</v>
      </c>
      <c r="K139" s="254">
        <v>3</v>
      </c>
      <c r="L139" s="276">
        <v>2085</v>
      </c>
      <c r="M139" s="251">
        <f t="shared" si="0"/>
      </c>
      <c r="N139" s="252">
        <f t="shared" si="69"/>
      </c>
      <c r="O139" s="253">
        <f t="shared" si="20"/>
      </c>
      <c r="P139" s="253">
        <f t="shared" si="79"/>
      </c>
      <c r="Q139" s="253">
        <f t="shared" si="74"/>
      </c>
      <c r="R139" s="253">
        <f t="shared" si="87"/>
      </c>
      <c r="S139" s="253">
        <f t="shared" si="83"/>
      </c>
      <c r="T139" s="253">
        <f t="shared" si="17"/>
      </c>
      <c r="U139" s="253">
        <f t="shared" si="2"/>
      </c>
      <c r="V139" s="251">
        <f t="shared" si="71"/>
      </c>
      <c r="W139" s="251">
        <f t="shared" si="22"/>
      </c>
      <c r="X139" s="251">
        <f t="shared" si="24"/>
      </c>
      <c r="Y139" s="251">
        <f t="shared" si="26"/>
      </c>
      <c r="Z139" s="251">
        <f t="shared" si="81"/>
      </c>
      <c r="AA139" s="251">
        <f t="shared" si="76"/>
      </c>
      <c r="AB139" s="252">
        <f t="shared" si="89"/>
      </c>
      <c r="AC139" s="252">
        <f t="shared" si="85"/>
      </c>
      <c r="AD139" s="252">
        <f t="shared" si="4"/>
      </c>
      <c r="AE139" s="251">
        <f t="shared" si="91"/>
      </c>
      <c r="AF139" s="252">
        <f t="shared" si="28"/>
      </c>
      <c r="AG139" s="251">
        <f t="shared" si="19"/>
      </c>
      <c r="AH139" s="251">
        <f t="shared" si="78"/>
      </c>
      <c r="AI139" s="254">
        <v>3879</v>
      </c>
      <c r="AJ139" s="254">
        <v>121</v>
      </c>
      <c r="AK139" s="254">
        <v>133</v>
      </c>
      <c r="AL139" s="254">
        <v>36</v>
      </c>
      <c r="AM139" s="254">
        <v>4</v>
      </c>
      <c r="AN139" s="254">
        <v>3</v>
      </c>
      <c r="AO139" s="254">
        <v>27</v>
      </c>
      <c r="AP139" s="254">
        <v>54</v>
      </c>
      <c r="AQ139" s="254">
        <v>4</v>
      </c>
      <c r="AR139" s="249">
        <v>1</v>
      </c>
      <c r="AS139" s="271">
        <v>1</v>
      </c>
    </row>
    <row r="140">
      <c r="A140" s="256"/>
      <c r="B140" s="245" t="s">
        <v>285</v>
      </c>
      <c r="C140" s="245" t="s">
        <v>263</v>
      </c>
      <c r="D140" s="245" t="s">
        <v>264</v>
      </c>
      <c r="E140" s="245" t="s">
        <v>282</v>
      </c>
      <c r="F140" s="247">
        <f t="shared" si="51"/>
      </c>
      <c r="G140" s="248">
        <v>0</v>
      </c>
      <c r="H140" s="274">
        <v>450.78</v>
      </c>
      <c r="I140" s="274">
        <v>246.55</v>
      </c>
      <c r="J140" s="254">
        <v>1</v>
      </c>
      <c r="K140" s="254">
        <v>1</v>
      </c>
      <c r="L140" s="276">
        <v>895.0000000000018</v>
      </c>
      <c r="M140" s="251">
        <f t="shared" si="0"/>
      </c>
      <c r="N140" s="252">
        <f t="shared" si="69"/>
      </c>
      <c r="O140" s="253">
        <f t="shared" si="20"/>
      </c>
      <c r="P140" s="253">
        <f t="shared" si="79"/>
      </c>
      <c r="Q140" s="253">
        <f t="shared" si="74"/>
      </c>
      <c r="R140" s="253">
        <f t="shared" si="87"/>
      </c>
      <c r="S140" s="253">
        <f t="shared" si="83"/>
      </c>
      <c r="T140" s="253">
        <f t="shared" si="17"/>
      </c>
      <c r="U140" s="253">
        <f t="shared" si="2"/>
      </c>
      <c r="V140" s="251">
        <f t="shared" si="71"/>
      </c>
      <c r="W140" s="251">
        <f t="shared" si="22"/>
      </c>
      <c r="X140" s="251">
        <f t="shared" si="24"/>
      </c>
      <c r="Y140" s="251">
        <f t="shared" si="26"/>
      </c>
      <c r="Z140" s="251">
        <f t="shared" si="81"/>
      </c>
      <c r="AA140" s="251">
        <f t="shared" si="76"/>
      </c>
      <c r="AB140" s="252">
        <f t="shared" si="89"/>
      </c>
      <c r="AC140" s="252">
        <f t="shared" si="85"/>
      </c>
      <c r="AD140" s="252">
        <f t="shared" si="4"/>
      </c>
      <c r="AE140" s="251">
        <f t="shared" si="91"/>
      </c>
      <c r="AF140" s="252">
        <f t="shared" si="28"/>
      </c>
      <c r="AG140" s="251">
        <f t="shared" si="19"/>
      </c>
      <c r="AH140" s="251">
        <f t="shared" si="78"/>
      </c>
      <c r="AI140" s="254">
        <v>3290</v>
      </c>
      <c r="AJ140" s="254">
        <v>114</v>
      </c>
      <c r="AK140" s="254">
        <v>118</v>
      </c>
      <c r="AL140" s="254">
        <v>23</v>
      </c>
      <c r="AM140" s="254">
        <v>0</v>
      </c>
      <c r="AN140" s="254">
        <v>0</v>
      </c>
      <c r="AO140" s="254">
        <v>22</v>
      </c>
      <c r="AP140" s="254">
        <v>40</v>
      </c>
      <c r="AQ140" s="254">
        <v>2</v>
      </c>
      <c r="AR140" s="249">
        <v>0</v>
      </c>
      <c r="AS140" s="271">
        <v>1</v>
      </c>
    </row>
    <row r="141">
      <c r="A141" s="256"/>
      <c r="B141" s="257" t="s">
        <v>268</v>
      </c>
      <c r="C141" s="257"/>
      <c r="D141" s="257"/>
      <c r="E141" s="257"/>
      <c r="F141" s="258">
        <f>SUM(F138:F140)</f>
      </c>
      <c r="G141" s="258">
        <f>SUM(G138:G140)</f>
      </c>
      <c r="H141" s="258">
        <f>SUM(H138:H140)</f>
      </c>
      <c r="I141" s="258">
        <f>SUM(I138:I140)</f>
      </c>
      <c r="J141" s="259">
        <f>SUM(J138:J140)</f>
      </c>
      <c r="K141" s="259">
        <f>SUM(K138:K140)</f>
      </c>
      <c r="L141" s="258">
        <f>SUM(L138:L140)</f>
      </c>
      <c r="M141" s="260">
        <f t="shared" si="0"/>
      </c>
      <c r="N141" s="261">
        <f t="shared" si="69"/>
      </c>
      <c r="O141" s="262">
        <f t="shared" si="20"/>
      </c>
      <c r="P141" s="262">
        <f t="shared" si="79"/>
      </c>
      <c r="Q141" s="262">
        <f t="shared" si="74"/>
      </c>
      <c r="R141" s="262">
        <f t="shared" si="87"/>
      </c>
      <c r="S141" s="262">
        <f t="shared" si="83"/>
      </c>
      <c r="T141" s="262">
        <f t="shared" si="17"/>
      </c>
      <c r="U141" s="262">
        <f t="shared" si="2"/>
      </c>
      <c r="V141" s="260">
        <f t="shared" si="71"/>
      </c>
      <c r="W141" s="260">
        <f t="shared" si="22"/>
      </c>
      <c r="X141" s="260">
        <f t="shared" si="24"/>
      </c>
      <c r="Y141" s="260">
        <f t="shared" si="26"/>
      </c>
      <c r="Z141" s="260">
        <f t="shared" si="81"/>
      </c>
      <c r="AA141" s="260">
        <f t="shared" si="76"/>
      </c>
      <c r="AB141" s="261">
        <f t="shared" si="89"/>
      </c>
      <c r="AC141" s="261">
        <f t="shared" si="85"/>
      </c>
      <c r="AD141" s="261">
        <f t="shared" si="4"/>
      </c>
      <c r="AE141" s="260">
        <f t="shared" si="91"/>
      </c>
      <c r="AF141" s="261">
        <f t="shared" si="28"/>
      </c>
      <c r="AG141" s="260">
        <f t="shared" si="19"/>
      </c>
      <c r="AH141" s="260">
        <f t="shared" si="78"/>
      </c>
      <c r="AI141" s="259">
        <f>SUM(AI138:AI140)</f>
      </c>
      <c r="AJ141" s="259">
        <f>SUM(AJ138:AJ140)</f>
      </c>
      <c r="AK141" s="259">
        <f>SUM(AK138:AK140)</f>
      </c>
      <c r="AL141" s="259">
        <f>SUM(AL138:AL140)</f>
      </c>
      <c r="AM141" s="259">
        <f>SUM(AM138:AM140)</f>
      </c>
      <c r="AN141" s="259">
        <f>SUM(AN138:AN140)</f>
      </c>
      <c r="AO141" s="259">
        <f>SUM(AO138:AO140)</f>
      </c>
      <c r="AP141" s="259">
        <f>SUM(AP138:AP140)</f>
      </c>
      <c r="AQ141" s="259">
        <f>SUM(AQ138:AQ140)</f>
      </c>
      <c r="AR141" s="259">
        <f>SUM(AR138:AR140)</f>
      </c>
      <c r="AS141" s="263">
        <f>SUM(AS138:AS140)</f>
      </c>
    </row>
    <row r="142">
      <c r="A142" s="256"/>
      <c r="B142" s="264" t="s">
        <v>273</v>
      </c>
      <c r="C142" s="264"/>
      <c r="D142" s="264"/>
      <c r="E142" s="264"/>
      <c r="F142" s="265">
        <f t="shared" ref="F142:F145" si="52">G142+I142+H142</f>
      </c>
      <c r="G142" s="265">
        <f>G134+G141+G137</f>
      </c>
      <c r="H142" s="265">
        <f>H134+H141+H137</f>
      </c>
      <c r="I142" s="265">
        <f>I134+I141+I137</f>
      </c>
      <c r="J142" s="265">
        <f>J134+J141+J137</f>
      </c>
      <c r="K142" s="265">
        <f>K134+K141+K137</f>
      </c>
      <c r="L142" s="265">
        <f>L134+L141+L137</f>
      </c>
      <c r="M142" s="267">
        <f t="shared" si="0"/>
      </c>
      <c r="N142" s="268">
        <f t="shared" si="69"/>
      </c>
      <c r="O142" s="269">
        <f t="shared" si="20"/>
      </c>
      <c r="P142" s="269">
        <f t="shared" si="79"/>
      </c>
      <c r="Q142" s="269">
        <f t="shared" si="74"/>
      </c>
      <c r="R142" s="269">
        <f t="shared" si="87"/>
      </c>
      <c r="S142" s="269">
        <f t="shared" si="83"/>
      </c>
      <c r="T142" s="269">
        <f t="shared" si="17"/>
      </c>
      <c r="U142" s="269">
        <f t="shared" si="2"/>
      </c>
      <c r="V142" s="267">
        <f t="shared" si="71"/>
      </c>
      <c r="W142" s="267">
        <f t="shared" si="22"/>
      </c>
      <c r="X142" s="267">
        <f t="shared" si="24"/>
      </c>
      <c r="Y142" s="267">
        <f t="shared" si="26"/>
      </c>
      <c r="Z142" s="267">
        <f t="shared" si="81"/>
      </c>
      <c r="AA142" s="267">
        <f t="shared" si="76"/>
      </c>
      <c r="AB142" s="268">
        <f t="shared" si="89"/>
      </c>
      <c r="AC142" s="268">
        <f t="shared" si="85"/>
      </c>
      <c r="AD142" s="268">
        <f t="shared" si="4"/>
      </c>
      <c r="AE142" s="267">
        <f t="shared" si="91"/>
      </c>
      <c r="AF142" s="268">
        <f t="shared" si="28"/>
      </c>
      <c r="AG142" s="267">
        <f t="shared" si="19"/>
      </c>
      <c r="AH142" s="267">
        <f t="shared" si="78"/>
      </c>
      <c r="AI142" s="270">
        <f>AI134+AI141+AI137</f>
      </c>
      <c r="AJ142" s="270">
        <f>AJ134+AJ141+AJ137</f>
      </c>
      <c r="AK142" s="270">
        <f>AK134+AK141+AK137</f>
      </c>
      <c r="AL142" s="270">
        <f>AL134+AL141+AL137</f>
      </c>
      <c r="AM142" s="270">
        <f>AM134+AM141+AM137</f>
      </c>
      <c r="AN142" s="270">
        <f>AN134+AN141+AN137</f>
      </c>
      <c r="AO142" s="270">
        <f>AO134+AO141+AO137</f>
      </c>
      <c r="AP142" s="270">
        <f>AP134+AP141+AP137</f>
      </c>
      <c r="AQ142" s="270">
        <f>AQ134+AQ141+AQ137</f>
      </c>
      <c r="AR142" s="270">
        <f>AR134+AR141+AR137</f>
      </c>
      <c r="AS142" s="263">
        <f>AS134+AS141+AS137</f>
      </c>
    </row>
    <row r="143">
      <c r="A143" s="244">
        <v>46260</v>
      </c>
      <c r="B143" s="246" t="s">
        <v>262</v>
      </c>
      <c r="C143" s="245" t="s">
        <v>263</v>
      </c>
      <c r="D143" s="245" t="s">
        <v>277</v>
      </c>
      <c r="E143" s="245" t="s">
        <v>280</v>
      </c>
      <c r="F143" s="247">
        <f t="shared" si="52"/>
      </c>
      <c r="G143" s="248">
        <v>0</v>
      </c>
      <c r="H143" s="274">
        <v>0.52</v>
      </c>
      <c r="I143" s="274">
        <v>0.62</v>
      </c>
      <c r="J143" s="249">
        <v>0</v>
      </c>
      <c r="K143" s="249">
        <v>0</v>
      </c>
      <c r="L143" s="250">
        <v>0</v>
      </c>
      <c r="M143" s="251">
        <f t="shared" si="0"/>
      </c>
      <c r="N143" s="252">
        <f t="shared" si="69"/>
      </c>
      <c r="O143" s="253">
        <f t="shared" si="20"/>
      </c>
      <c r="P143" s="253">
        <f t="shared" si="79"/>
      </c>
      <c r="Q143" s="253">
        <f t="shared" si="74"/>
      </c>
      <c r="R143" s="253">
        <f t="shared" si="87"/>
      </c>
      <c r="S143" s="253">
        <f t="shared" si="83"/>
      </c>
      <c r="T143" s="253">
        <f t="shared" si="17"/>
      </c>
      <c r="U143" s="253">
        <f t="shared" si="2"/>
      </c>
      <c r="V143" s="251">
        <f t="shared" si="71"/>
      </c>
      <c r="W143" s="251">
        <f t="shared" si="22"/>
      </c>
      <c r="X143" s="251">
        <f t="shared" si="24"/>
      </c>
      <c r="Y143" s="251">
        <f t="shared" si="26"/>
      </c>
      <c r="Z143" s="251">
        <f t="shared" si="81"/>
      </c>
      <c r="AA143" s="251">
        <f t="shared" si="76"/>
      </c>
      <c r="AB143" s="252">
        <f t="shared" si="89"/>
      </c>
      <c r="AC143" s="252">
        <f t="shared" si="85"/>
      </c>
      <c r="AD143" s="252">
        <f t="shared" si="4"/>
      </c>
      <c r="AE143" s="251">
        <f t="shared" si="91"/>
      </c>
      <c r="AF143" s="252">
        <f t="shared" si="28"/>
      </c>
      <c r="AG143" s="251">
        <f t="shared" si="19"/>
      </c>
      <c r="AH143" s="251">
        <f t="shared" si="78"/>
      </c>
      <c r="AI143" s="273">
        <v>45</v>
      </c>
      <c r="AJ143" s="273">
        <v>1</v>
      </c>
      <c r="AK143" s="273">
        <v>11</v>
      </c>
      <c r="AL143" s="254">
        <v>0</v>
      </c>
      <c r="AM143" s="254">
        <v>0</v>
      </c>
      <c r="AN143" s="254">
        <v>0</v>
      </c>
      <c r="AO143" s="254">
        <v>0</v>
      </c>
      <c r="AP143" s="254">
        <v>0</v>
      </c>
      <c r="AQ143" s="254">
        <v>0</v>
      </c>
      <c r="AR143" s="249">
        <v>0</v>
      </c>
      <c r="AS143" s="271">
        <v>1</v>
      </c>
    </row>
    <row r="144">
      <c r="A144" s="244"/>
      <c r="B144" s="246" t="s">
        <v>262</v>
      </c>
      <c r="C144" s="245" t="s">
        <v>263</v>
      </c>
      <c r="D144" s="245" t="s">
        <v>277</v>
      </c>
      <c r="E144" s="245" t="s">
        <v>281</v>
      </c>
      <c r="F144" s="247">
        <f t="shared" si="52"/>
      </c>
      <c r="G144" s="248">
        <v>0</v>
      </c>
      <c r="H144" s="275">
        <v>0.48</v>
      </c>
      <c r="I144" s="274">
        <v>0.05</v>
      </c>
      <c r="J144" s="249">
        <v>1</v>
      </c>
      <c r="K144" s="249">
        <v>2</v>
      </c>
      <c r="L144" s="276">
        <v>830.4000000000001</v>
      </c>
      <c r="M144" s="251">
        <f t="shared" si="0"/>
      </c>
      <c r="N144" s="252">
        <f t="shared" si="69"/>
      </c>
      <c r="O144" s="253">
        <f t="shared" si="20"/>
      </c>
      <c r="P144" s="253">
        <f t="shared" si="79"/>
      </c>
      <c r="Q144" s="253">
        <f t="shared" si="74"/>
      </c>
      <c r="R144" s="253">
        <f t="shared" si="87"/>
      </c>
      <c r="S144" s="253">
        <f t="shared" si="83"/>
      </c>
      <c r="T144" s="253">
        <f t="shared" si="17"/>
      </c>
      <c r="U144" s="253">
        <f t="shared" si="2"/>
      </c>
      <c r="V144" s="251">
        <f t="shared" si="71"/>
      </c>
      <c r="W144" s="251">
        <f t="shared" si="22"/>
      </c>
      <c r="X144" s="251">
        <f t="shared" si="24"/>
      </c>
      <c r="Y144" s="251">
        <f t="shared" si="26"/>
      </c>
      <c r="Z144" s="251">
        <f t="shared" si="81"/>
      </c>
      <c r="AA144" s="251">
        <f t="shared" si="76"/>
      </c>
      <c r="AB144" s="252">
        <f t="shared" si="89"/>
      </c>
      <c r="AC144" s="252">
        <f t="shared" si="85"/>
      </c>
      <c r="AD144" s="252">
        <f t="shared" si="4"/>
      </c>
      <c r="AE144" s="251">
        <f t="shared" si="91"/>
      </c>
      <c r="AF144" s="252">
        <f t="shared" si="28"/>
      </c>
      <c r="AG144" s="251">
        <f t="shared" si="19"/>
      </c>
      <c r="AH144" s="251">
        <f t="shared" si="78"/>
      </c>
      <c r="AI144" s="254">
        <v>7</v>
      </c>
      <c r="AJ144" s="254">
        <v>0</v>
      </c>
      <c r="AK144" s="254">
        <v>0</v>
      </c>
      <c r="AL144" s="254">
        <v>1</v>
      </c>
      <c r="AM144" s="254">
        <v>0</v>
      </c>
      <c r="AN144" s="254">
        <v>0</v>
      </c>
      <c r="AO144" s="254">
        <v>0</v>
      </c>
      <c r="AP144" s="254">
        <v>0</v>
      </c>
      <c r="AQ144" s="254">
        <v>0</v>
      </c>
      <c r="AR144" s="249">
        <v>1</v>
      </c>
      <c r="AS144" s="271">
        <v>1</v>
      </c>
    </row>
    <row r="145">
      <c r="A145" s="244"/>
      <c r="B145" s="246" t="s">
        <v>262</v>
      </c>
      <c r="C145" s="245" t="s">
        <v>263</v>
      </c>
      <c r="D145" s="245" t="s">
        <v>277</v>
      </c>
      <c r="E145" s="245" t="s">
        <v>282</v>
      </c>
      <c r="F145" s="247">
        <f t="shared" si="52"/>
      </c>
      <c r="G145" s="248">
        <v>0</v>
      </c>
      <c r="H145" s="274">
        <v>45.75</v>
      </c>
      <c r="I145" s="274">
        <v>0.49</v>
      </c>
      <c r="J145" s="249">
        <v>0</v>
      </c>
      <c r="K145" s="249">
        <v>0</v>
      </c>
      <c r="L145" s="250">
        <v>0</v>
      </c>
      <c r="M145" s="251">
        <f t="shared" si="0"/>
      </c>
      <c r="N145" s="252">
        <f t="shared" si="69"/>
      </c>
      <c r="O145" s="253">
        <f t="shared" si="20"/>
      </c>
      <c r="P145" s="253">
        <f t="shared" si="79"/>
      </c>
      <c r="Q145" s="253">
        <f t="shared" si="74"/>
      </c>
      <c r="R145" s="253">
        <f t="shared" si="87"/>
      </c>
      <c r="S145" s="253">
        <f t="shared" si="83"/>
      </c>
      <c r="T145" s="253">
        <f t="shared" si="17"/>
      </c>
      <c r="U145" s="253">
        <f t="shared" si="2"/>
      </c>
      <c r="V145" s="251">
        <f t="shared" si="71"/>
      </c>
      <c r="W145" s="251">
        <f t="shared" si="22"/>
      </c>
      <c r="X145" s="251">
        <f t="shared" si="24"/>
      </c>
      <c r="Y145" s="251">
        <f t="shared" si="26"/>
      </c>
      <c r="Z145" s="251">
        <f t="shared" si="81"/>
      </c>
      <c r="AA145" s="251">
        <f t="shared" si="76"/>
      </c>
      <c r="AB145" s="252">
        <f t="shared" si="89"/>
      </c>
      <c r="AC145" s="252">
        <f t="shared" si="85"/>
      </c>
      <c r="AD145" s="252">
        <f t="shared" si="4"/>
      </c>
      <c r="AE145" s="251">
        <f t="shared" si="91"/>
      </c>
      <c r="AF145" s="252">
        <f t="shared" si="28"/>
      </c>
      <c r="AG145" s="251">
        <f t="shared" si="19"/>
      </c>
      <c r="AH145" s="251">
        <f t="shared" si="78"/>
      </c>
      <c r="AI145" s="254">
        <v>295</v>
      </c>
      <c r="AJ145" s="254">
        <v>16</v>
      </c>
      <c r="AK145" s="254">
        <v>15</v>
      </c>
      <c r="AL145" s="254">
        <v>5</v>
      </c>
      <c r="AM145" s="254">
        <v>0</v>
      </c>
      <c r="AN145" s="254">
        <v>0</v>
      </c>
      <c r="AO145" s="254">
        <v>2</v>
      </c>
      <c r="AP145" s="254">
        <v>2</v>
      </c>
      <c r="AQ145" s="254">
        <v>0</v>
      </c>
      <c r="AR145" s="249">
        <v>0</v>
      </c>
      <c r="AS145" s="271">
        <v>1</v>
      </c>
    </row>
    <row r="146">
      <c r="A146" s="244"/>
      <c r="B146" s="257" t="s">
        <v>268</v>
      </c>
      <c r="C146" s="257"/>
      <c r="D146" s="257"/>
      <c r="E146" s="257"/>
      <c r="F146" s="258">
        <f>SUM(F143:F145)</f>
      </c>
      <c r="G146" s="258">
        <f>SUM(G143:G145)</f>
      </c>
      <c r="H146" s="258">
        <f>SUM(H143:H145)</f>
      </c>
      <c r="I146" s="258">
        <f>SUM(I143:I145)</f>
      </c>
      <c r="J146" s="259">
        <f>SUM(J143:J145)</f>
      </c>
      <c r="K146" s="259">
        <f>SUM(K143:K145)</f>
      </c>
      <c r="L146" s="258">
        <f>SUM(L143:L145)</f>
      </c>
      <c r="M146" s="260">
        <f t="shared" si="0"/>
      </c>
      <c r="N146" s="261">
        <f t="shared" si="69"/>
      </c>
      <c r="O146" s="262">
        <f t="shared" si="20"/>
      </c>
      <c r="P146" s="262">
        <f t="shared" si="79"/>
      </c>
      <c r="Q146" s="262">
        <f t="shared" si="74"/>
      </c>
      <c r="R146" s="262">
        <f t="shared" si="87"/>
      </c>
      <c r="S146" s="262">
        <f t="shared" si="83"/>
      </c>
      <c r="T146" s="262">
        <f t="shared" si="17"/>
      </c>
      <c r="U146" s="262">
        <f t="shared" si="2"/>
      </c>
      <c r="V146" s="260">
        <f t="shared" si="71"/>
      </c>
      <c r="W146" s="260">
        <f t="shared" si="22"/>
      </c>
      <c r="X146" s="260">
        <f t="shared" si="24"/>
      </c>
      <c r="Y146" s="260">
        <f t="shared" si="26"/>
      </c>
      <c r="Z146" s="260">
        <f t="shared" si="81"/>
      </c>
      <c r="AA146" s="260">
        <f t="shared" si="76"/>
      </c>
      <c r="AB146" s="261">
        <f t="shared" si="89"/>
      </c>
      <c r="AC146" s="261">
        <f t="shared" si="85"/>
      </c>
      <c r="AD146" s="261">
        <f t="shared" si="4"/>
      </c>
      <c r="AE146" s="260">
        <f t="shared" si="91"/>
      </c>
      <c r="AF146" s="261">
        <f t="shared" si="28"/>
      </c>
      <c r="AG146" s="260">
        <f t="shared" si="19"/>
      </c>
      <c r="AH146" s="260">
        <f t="shared" si="78"/>
      </c>
      <c r="AI146" s="259">
        <f>SUM(AI143:AI145)</f>
      </c>
      <c r="AJ146" s="259">
        <f>SUM(AJ143:AJ145)</f>
      </c>
      <c r="AK146" s="259">
        <f>SUM(AK143:AK145)</f>
      </c>
      <c r="AL146" s="259">
        <f>SUM(AL143:AL145)</f>
      </c>
      <c r="AM146" s="259">
        <f>SUM(AM143:AM145)</f>
      </c>
      <c r="AN146" s="259">
        <f>SUM(AN143:AN145)</f>
      </c>
      <c r="AO146" s="259">
        <f>SUM(AO143:AO145)</f>
      </c>
      <c r="AP146" s="259">
        <f>SUM(AP143:AP145)</f>
      </c>
      <c r="AQ146" s="259">
        <f>SUM(AQ143:AQ145)</f>
      </c>
      <c r="AR146" s="259">
        <f>SUM(AR143:AR145)</f>
      </c>
      <c r="AS146" s="263">
        <f>SUM(AS143:AS145)</f>
      </c>
    </row>
    <row r="147">
      <c r="A147" s="244"/>
      <c r="B147" s="246" t="s">
        <v>262</v>
      </c>
      <c r="C147" s="245" t="s">
        <v>263</v>
      </c>
      <c r="D147" s="246" t="s">
        <v>287</v>
      </c>
      <c r="E147" s="246" t="s">
        <v>288</v>
      </c>
      <c r="F147" s="247">
        <f t="shared" ref="F147:F148" si="53">G147+I147+H147</f>
      </c>
      <c r="G147" s="248">
        <v>0</v>
      </c>
      <c r="H147" s="274">
        <v>1575.87</v>
      </c>
      <c r="I147" s="274">
        <v>104.91</v>
      </c>
      <c r="J147" s="254">
        <v>2</v>
      </c>
      <c r="K147" s="254">
        <v>2</v>
      </c>
      <c r="L147" s="276">
        <v>1336.8000000000002</v>
      </c>
      <c r="M147" s="251">
        <f t="shared" si="0"/>
      </c>
      <c r="N147" s="252">
        <f t="shared" si="69"/>
      </c>
      <c r="O147" s="253">
        <f t="shared" si="20"/>
      </c>
      <c r="P147" s="253">
        <f t="shared" si="79"/>
      </c>
      <c r="Q147" s="253">
        <f t="shared" si="74"/>
      </c>
      <c r="R147" s="253">
        <f t="shared" si="87"/>
      </c>
      <c r="S147" s="253">
        <f t="shared" si="83"/>
      </c>
      <c r="T147" s="253">
        <f t="shared" si="17"/>
      </c>
      <c r="U147" s="253">
        <f t="shared" si="2"/>
      </c>
      <c r="V147" s="251">
        <f t="shared" si="71"/>
      </c>
      <c r="W147" s="251">
        <f t="shared" si="22"/>
      </c>
      <c r="X147" s="251">
        <f t="shared" si="24"/>
      </c>
      <c r="Y147" s="251">
        <f t="shared" si="26"/>
      </c>
      <c r="Z147" s="251">
        <f t="shared" si="81"/>
      </c>
      <c r="AA147" s="251">
        <f t="shared" si="76"/>
      </c>
      <c r="AB147" s="252">
        <f t="shared" si="89"/>
      </c>
      <c r="AC147" s="252">
        <f t="shared" si="85"/>
      </c>
      <c r="AD147" s="252">
        <f t="shared" si="4"/>
      </c>
      <c r="AE147" s="251">
        <f t="shared" si="91"/>
      </c>
      <c r="AF147" s="252">
        <f t="shared" si="28"/>
      </c>
      <c r="AG147" s="251">
        <f t="shared" si="19"/>
      </c>
      <c r="AH147" s="251">
        <f t="shared" si="78"/>
      </c>
      <c r="AI147" s="254">
        <v>8243</v>
      </c>
      <c r="AJ147" s="254">
        <v>216</v>
      </c>
      <c r="AK147" s="254">
        <v>205</v>
      </c>
      <c r="AL147" s="254">
        <v>71</v>
      </c>
      <c r="AM147" s="254">
        <v>2</v>
      </c>
      <c r="AN147" s="254">
        <v>2</v>
      </c>
      <c r="AO147" s="254">
        <v>39</v>
      </c>
      <c r="AP147" s="254">
        <v>42</v>
      </c>
      <c r="AQ147" s="254">
        <v>3</v>
      </c>
      <c r="AR147" s="249">
        <v>0</v>
      </c>
      <c r="AS147" s="271">
        <v>1</v>
      </c>
    </row>
    <row r="148">
      <c r="A148" s="244"/>
      <c r="B148" s="246" t="s">
        <v>262</v>
      </c>
      <c r="C148" s="245" t="s">
        <v>263</v>
      </c>
      <c r="D148" s="246" t="s">
        <v>287</v>
      </c>
      <c r="E148" s="246" t="s">
        <v>289</v>
      </c>
      <c r="F148" s="247">
        <f t="shared" si="53"/>
      </c>
      <c r="G148" s="248">
        <v>0</v>
      </c>
      <c r="H148" s="274">
        <v>1767.49</v>
      </c>
      <c r="I148" s="274">
        <v>258.71</v>
      </c>
      <c r="J148" s="249">
        <v>2</v>
      </c>
      <c r="K148" s="254">
        <v>1</v>
      </c>
      <c r="L148" s="276">
        <v>967.1999999999998</v>
      </c>
      <c r="M148" s="251">
        <f t="shared" si="0"/>
      </c>
      <c r="N148" s="252">
        <f t="shared" si="69"/>
      </c>
      <c r="O148" s="253">
        <f t="shared" si="20"/>
      </c>
      <c r="P148" s="253">
        <f t="shared" si="79"/>
      </c>
      <c r="Q148" s="253">
        <f t="shared" si="74"/>
      </c>
      <c r="R148" s="253">
        <f t="shared" si="87"/>
      </c>
      <c r="S148" s="253">
        <f t="shared" si="83"/>
      </c>
      <c r="T148" s="253">
        <f t="shared" si="17"/>
      </c>
      <c r="U148" s="253">
        <f t="shared" si="2"/>
      </c>
      <c r="V148" s="251">
        <f t="shared" si="71"/>
      </c>
      <c r="W148" s="251">
        <f t="shared" si="22"/>
      </c>
      <c r="X148" s="251">
        <f t="shared" si="24"/>
      </c>
      <c r="Y148" s="251">
        <f t="shared" si="26"/>
      </c>
      <c r="Z148" s="251">
        <f t="shared" si="81"/>
      </c>
      <c r="AA148" s="251">
        <f t="shared" si="76"/>
      </c>
      <c r="AB148" s="252">
        <f t="shared" si="89"/>
      </c>
      <c r="AC148" s="252">
        <f t="shared" si="85"/>
      </c>
      <c r="AD148" s="252">
        <f t="shared" si="4"/>
      </c>
      <c r="AE148" s="251">
        <f t="shared" si="91"/>
      </c>
      <c r="AF148" s="252">
        <f t="shared" si="28"/>
      </c>
      <c r="AG148" s="251">
        <f t="shared" si="19"/>
      </c>
      <c r="AH148" s="251">
        <f t="shared" si="78"/>
      </c>
      <c r="AI148" s="254">
        <v>10612</v>
      </c>
      <c r="AJ148" s="254">
        <v>275</v>
      </c>
      <c r="AK148" s="254">
        <v>282</v>
      </c>
      <c r="AL148" s="254">
        <v>97</v>
      </c>
      <c r="AM148" s="254">
        <v>2</v>
      </c>
      <c r="AN148" s="254">
        <v>1</v>
      </c>
      <c r="AO148" s="254">
        <v>57</v>
      </c>
      <c r="AP148" s="254">
        <v>62</v>
      </c>
      <c r="AQ148" s="254">
        <v>7</v>
      </c>
      <c r="AR148" s="249">
        <v>0</v>
      </c>
      <c r="AS148" s="271">
        <v>1</v>
      </c>
    </row>
    <row r="149">
      <c r="A149" s="244"/>
      <c r="B149" s="257" t="s">
        <v>268</v>
      </c>
      <c r="C149" s="257"/>
      <c r="D149" s="257"/>
      <c r="E149" s="257"/>
      <c r="F149" s="258">
        <f>SUM(F147:F148)</f>
      </c>
      <c r="G149" s="258">
        <f>SUM(G147:G148)</f>
      </c>
      <c r="H149" s="258">
        <f>SUM(H147:H148)</f>
      </c>
      <c r="I149" s="258">
        <f>SUM(I147:I148)</f>
      </c>
      <c r="J149" s="259">
        <f>SUM(J147:J148)</f>
      </c>
      <c r="K149" s="259">
        <f>SUM(K147:K148)</f>
      </c>
      <c r="L149" s="258">
        <f>SUM(L147:L148)</f>
      </c>
      <c r="M149" s="260">
        <f t="shared" si="0"/>
      </c>
      <c r="N149" s="261">
        <f t="shared" si="69"/>
      </c>
      <c r="O149" s="262">
        <f t="shared" si="20"/>
      </c>
      <c r="P149" s="262">
        <f t="shared" si="79"/>
      </c>
      <c r="Q149" s="262">
        <f t="shared" si="74"/>
      </c>
      <c r="R149" s="262">
        <f t="shared" si="87"/>
      </c>
      <c r="S149" s="262">
        <f t="shared" si="83"/>
      </c>
      <c r="T149" s="262">
        <f t="shared" si="17"/>
      </c>
      <c r="U149" s="262">
        <f t="shared" si="2"/>
      </c>
      <c r="V149" s="260">
        <f t="shared" si="71"/>
      </c>
      <c r="W149" s="260">
        <f t="shared" si="22"/>
      </c>
      <c r="X149" s="260">
        <f t="shared" si="24"/>
      </c>
      <c r="Y149" s="260">
        <f t="shared" si="26"/>
      </c>
      <c r="Z149" s="260">
        <f t="shared" si="81"/>
      </c>
      <c r="AA149" s="260">
        <f t="shared" si="76"/>
      </c>
      <c r="AB149" s="261">
        <f t="shared" si="89"/>
      </c>
      <c r="AC149" s="261">
        <f t="shared" si="85"/>
      </c>
      <c r="AD149" s="261">
        <f t="shared" si="4"/>
      </c>
      <c r="AE149" s="260">
        <f t="shared" si="91"/>
      </c>
      <c r="AF149" s="261">
        <f t="shared" si="28"/>
      </c>
      <c r="AG149" s="260">
        <f t="shared" si="19"/>
      </c>
      <c r="AH149" s="260">
        <f t="shared" si="78"/>
      </c>
      <c r="AI149" s="259">
        <f>SUM(AI147:AI148)</f>
      </c>
      <c r="AJ149" s="259">
        <f>SUM(AJ147:AJ148)</f>
      </c>
      <c r="AK149" s="259">
        <f>SUM(AK147:AK148)</f>
      </c>
      <c r="AL149" s="259">
        <f>SUM(AL147:AL148)</f>
      </c>
      <c r="AM149" s="259">
        <f>SUM(AM147:AM148)</f>
      </c>
      <c r="AN149" s="259">
        <f>SUM(AN147:AN148)</f>
      </c>
      <c r="AO149" s="259">
        <f>SUM(AO147:AO148)</f>
      </c>
      <c r="AP149" s="259">
        <f>SUM(AP147:AP148)</f>
      </c>
      <c r="AQ149" s="259">
        <f>SUM(AQ147:AQ148)</f>
      </c>
      <c r="AR149" s="259">
        <f>SUM(AR147:AR148)</f>
      </c>
      <c r="AS149" s="263">
        <f>SUM(AS147:AS148)</f>
      </c>
    </row>
    <row r="150">
      <c r="A150" s="244"/>
      <c r="B150" s="246" t="s">
        <v>262</v>
      </c>
      <c r="C150" s="245" t="s">
        <v>263</v>
      </c>
      <c r="D150" s="246" t="s">
        <v>269</v>
      </c>
      <c r="E150" s="246" t="s">
        <v>290</v>
      </c>
      <c r="F150" s="247">
        <f t="shared" ref="F150:F152" si="54">G150+I150+H150</f>
      </c>
      <c r="G150" s="248">
        <v>0</v>
      </c>
      <c r="H150" s="274">
        <v>522.06</v>
      </c>
      <c r="I150" s="274">
        <v>218.2</v>
      </c>
      <c r="J150" s="249">
        <v>0</v>
      </c>
      <c r="K150" s="249">
        <v>0</v>
      </c>
      <c r="L150" s="250">
        <v>0</v>
      </c>
      <c r="M150" s="251">
        <f t="shared" si="0"/>
      </c>
      <c r="N150" s="252">
        <f t="shared" si="69"/>
      </c>
      <c r="O150" s="253">
        <f t="shared" si="20"/>
      </c>
      <c r="P150" s="253">
        <f t="shared" si="79"/>
      </c>
      <c r="Q150" s="253">
        <f t="shared" si="74"/>
      </c>
      <c r="R150" s="253">
        <f t="shared" si="87"/>
      </c>
      <c r="S150" s="253">
        <f t="shared" si="83"/>
      </c>
      <c r="T150" s="253">
        <f t="shared" si="17"/>
      </c>
      <c r="U150" s="253">
        <f t="shared" si="2"/>
      </c>
      <c r="V150" s="251">
        <f t="shared" si="71"/>
      </c>
      <c r="W150" s="251">
        <f t="shared" si="22"/>
      </c>
      <c r="X150" s="251">
        <f t="shared" si="24"/>
      </c>
      <c r="Y150" s="251">
        <f t="shared" si="26"/>
      </c>
      <c r="Z150" s="251">
        <f t="shared" si="81"/>
      </c>
      <c r="AA150" s="251">
        <f t="shared" si="76"/>
      </c>
      <c r="AB150" s="252">
        <f t="shared" si="89"/>
      </c>
      <c r="AC150" s="252">
        <f t="shared" si="85"/>
      </c>
      <c r="AD150" s="252">
        <f t="shared" si="4"/>
      </c>
      <c r="AE150" s="251">
        <f t="shared" si="91"/>
      </c>
      <c r="AF150" s="252">
        <f t="shared" si="28"/>
      </c>
      <c r="AG150" s="251">
        <f t="shared" si="19"/>
      </c>
      <c r="AH150" s="251">
        <f t="shared" si="78"/>
      </c>
      <c r="AI150" s="254">
        <v>4653</v>
      </c>
      <c r="AJ150" s="254">
        <v>115</v>
      </c>
      <c r="AK150" s="254">
        <v>121</v>
      </c>
      <c r="AL150" s="254">
        <v>31</v>
      </c>
      <c r="AM150" s="254">
        <v>0</v>
      </c>
      <c r="AN150" s="254">
        <v>0</v>
      </c>
      <c r="AO150" s="254">
        <v>26</v>
      </c>
      <c r="AP150" s="254">
        <v>37</v>
      </c>
      <c r="AQ150" s="254">
        <v>4</v>
      </c>
      <c r="AR150" s="249">
        <v>0</v>
      </c>
      <c r="AS150" s="271">
        <v>1</v>
      </c>
    </row>
    <row r="151">
      <c r="A151" s="244"/>
      <c r="B151" s="246" t="s">
        <v>262</v>
      </c>
      <c r="C151" s="245" t="s">
        <v>263</v>
      </c>
      <c r="D151" s="246" t="s">
        <v>269</v>
      </c>
      <c r="E151" s="246" t="s">
        <v>265</v>
      </c>
      <c r="F151" s="247">
        <f t="shared" si="54"/>
      </c>
      <c r="G151" s="248">
        <v>0</v>
      </c>
      <c r="H151" s="274">
        <v>338.25</v>
      </c>
      <c r="I151" s="274">
        <v>111.35</v>
      </c>
      <c r="J151" s="254">
        <v>4</v>
      </c>
      <c r="K151" s="254">
        <v>2</v>
      </c>
      <c r="L151" s="276">
        <v>948</v>
      </c>
      <c r="M151" s="251">
        <f t="shared" si="0"/>
      </c>
      <c r="N151" s="252">
        <f t="shared" si="69"/>
      </c>
      <c r="O151" s="253">
        <f t="shared" si="20"/>
      </c>
      <c r="P151" s="253">
        <f t="shared" si="79"/>
      </c>
      <c r="Q151" s="253">
        <f t="shared" si="74"/>
      </c>
      <c r="R151" s="253">
        <f t="shared" si="87"/>
      </c>
      <c r="S151" s="253">
        <f t="shared" si="83"/>
      </c>
      <c r="T151" s="253">
        <f t="shared" si="17"/>
      </c>
      <c r="U151" s="253">
        <f t="shared" si="2"/>
      </c>
      <c r="V151" s="251">
        <f t="shared" si="71"/>
      </c>
      <c r="W151" s="251">
        <f t="shared" si="22"/>
      </c>
      <c r="X151" s="251">
        <f t="shared" si="24"/>
      </c>
      <c r="Y151" s="251">
        <f t="shared" si="26"/>
      </c>
      <c r="Z151" s="251">
        <f t="shared" si="81"/>
      </c>
      <c r="AA151" s="251">
        <f t="shared" si="76"/>
      </c>
      <c r="AB151" s="252">
        <f t="shared" si="89"/>
      </c>
      <c r="AC151" s="252">
        <f t="shared" si="85"/>
      </c>
      <c r="AD151" s="252">
        <f t="shared" si="4"/>
      </c>
      <c r="AE151" s="251">
        <f t="shared" si="91"/>
      </c>
      <c r="AF151" s="252">
        <f t="shared" si="28"/>
      </c>
      <c r="AG151" s="251">
        <f t="shared" si="19"/>
      </c>
      <c r="AH151" s="251">
        <f t="shared" si="78"/>
      </c>
      <c r="AI151" s="254">
        <v>2757</v>
      </c>
      <c r="AJ151" s="254">
        <v>72</v>
      </c>
      <c r="AK151" s="254">
        <v>70</v>
      </c>
      <c r="AL151" s="254">
        <v>21</v>
      </c>
      <c r="AM151" s="254">
        <v>3</v>
      </c>
      <c r="AN151" s="254">
        <v>2</v>
      </c>
      <c r="AO151" s="254">
        <v>21</v>
      </c>
      <c r="AP151" s="254">
        <v>25</v>
      </c>
      <c r="AQ151" s="254">
        <v>2</v>
      </c>
      <c r="AR151" s="249">
        <v>0</v>
      </c>
      <c r="AS151" s="271">
        <v>1</v>
      </c>
    </row>
    <row r="152">
      <c r="A152" s="244"/>
      <c r="B152" s="246" t="s">
        <v>262</v>
      </c>
      <c r="C152" s="245" t="s">
        <v>263</v>
      </c>
      <c r="D152" s="246" t="s">
        <v>269</v>
      </c>
      <c r="E152" s="246" t="s">
        <v>266</v>
      </c>
      <c r="F152" s="247">
        <f t="shared" si="54"/>
      </c>
      <c r="G152" s="248">
        <v>0</v>
      </c>
      <c r="H152" s="274">
        <v>147.08</v>
      </c>
      <c r="I152" s="274">
        <v>174.25</v>
      </c>
      <c r="J152" s="254">
        <v>1</v>
      </c>
      <c r="K152" s="254">
        <v>1</v>
      </c>
      <c r="L152" s="276">
        <v>473.99999999999955</v>
      </c>
      <c r="M152" s="251">
        <f t="shared" si="0"/>
      </c>
      <c r="N152" s="252">
        <f t="shared" si="69"/>
      </c>
      <c r="O152" s="253">
        <f t="shared" si="20"/>
      </c>
      <c r="P152" s="253">
        <f t="shared" si="79"/>
      </c>
      <c r="Q152" s="253">
        <f t="shared" si="74"/>
      </c>
      <c r="R152" s="253">
        <f t="shared" si="87"/>
      </c>
      <c r="S152" s="253">
        <f t="shared" si="83"/>
      </c>
      <c r="T152" s="253">
        <f t="shared" si="17"/>
      </c>
      <c r="U152" s="253">
        <f t="shared" si="2"/>
      </c>
      <c r="V152" s="251">
        <f t="shared" si="71"/>
      </c>
      <c r="W152" s="251">
        <f t="shared" si="22"/>
      </c>
      <c r="X152" s="251">
        <f t="shared" si="24"/>
      </c>
      <c r="Y152" s="251">
        <f t="shared" si="26"/>
      </c>
      <c r="Z152" s="251">
        <f t="shared" si="81"/>
      </c>
      <c r="AA152" s="251">
        <f t="shared" si="76"/>
      </c>
      <c r="AB152" s="252">
        <f t="shared" si="89"/>
      </c>
      <c r="AC152" s="252">
        <f t="shared" si="85"/>
      </c>
      <c r="AD152" s="252">
        <f t="shared" si="4"/>
      </c>
      <c r="AE152" s="251">
        <f t="shared" si="91"/>
      </c>
      <c r="AF152" s="252">
        <f t="shared" si="28"/>
      </c>
      <c r="AG152" s="251">
        <f t="shared" si="19"/>
      </c>
      <c r="AH152" s="251">
        <f t="shared" si="78"/>
      </c>
      <c r="AI152" s="254">
        <v>1879</v>
      </c>
      <c r="AJ152" s="254">
        <v>75</v>
      </c>
      <c r="AK152" s="254">
        <v>81</v>
      </c>
      <c r="AL152" s="254">
        <v>14</v>
      </c>
      <c r="AM152" s="254">
        <v>1</v>
      </c>
      <c r="AN152" s="254">
        <v>1</v>
      </c>
      <c r="AO152" s="254">
        <v>13</v>
      </c>
      <c r="AP152" s="254">
        <v>37</v>
      </c>
      <c r="AQ152" s="254">
        <v>2</v>
      </c>
      <c r="AR152" s="254">
        <v>0</v>
      </c>
      <c r="AS152" s="255">
        <v>1</v>
      </c>
    </row>
    <row r="153">
      <c r="A153" s="244"/>
      <c r="B153" s="257" t="s">
        <v>268</v>
      </c>
      <c r="C153" s="257"/>
      <c r="D153" s="257"/>
      <c r="E153" s="257"/>
      <c r="F153" s="258">
        <f>SUM(F150:F152)</f>
      </c>
      <c r="G153" s="258">
        <f>SUM(G150:G152)</f>
      </c>
      <c r="H153" s="258">
        <f>SUM(H150:H152)</f>
      </c>
      <c r="I153" s="258">
        <f>SUM(I150:I152)</f>
      </c>
      <c r="J153" s="259">
        <f>SUM(J150:J152)</f>
      </c>
      <c r="K153" s="259">
        <f>SUM(K150:K152)</f>
      </c>
      <c r="L153" s="258">
        <f>SUM(L150:L152)</f>
      </c>
      <c r="M153" s="260">
        <f t="shared" si="0"/>
      </c>
      <c r="N153" s="261">
        <f t="shared" si="69"/>
      </c>
      <c r="O153" s="262">
        <f t="shared" si="20"/>
      </c>
      <c r="P153" s="262">
        <f t="shared" si="79"/>
      </c>
      <c r="Q153" s="262">
        <f t="shared" si="74"/>
      </c>
      <c r="R153" s="262">
        <f t="shared" si="87"/>
      </c>
      <c r="S153" s="262">
        <f t="shared" si="83"/>
      </c>
      <c r="T153" s="262">
        <f t="shared" si="17"/>
      </c>
      <c r="U153" s="262">
        <f t="shared" si="2"/>
      </c>
      <c r="V153" s="260">
        <f t="shared" si="71"/>
      </c>
      <c r="W153" s="260">
        <f t="shared" si="22"/>
      </c>
      <c r="X153" s="260">
        <f t="shared" si="24"/>
      </c>
      <c r="Y153" s="260">
        <f t="shared" si="26"/>
      </c>
      <c r="Z153" s="260">
        <f t="shared" si="81"/>
      </c>
      <c r="AA153" s="260">
        <f t="shared" si="76"/>
      </c>
      <c r="AB153" s="261">
        <f t="shared" si="89"/>
      </c>
      <c r="AC153" s="261">
        <f t="shared" si="85"/>
      </c>
      <c r="AD153" s="261">
        <f t="shared" si="4"/>
      </c>
      <c r="AE153" s="260">
        <f t="shared" si="91"/>
      </c>
      <c r="AF153" s="261">
        <f t="shared" si="28"/>
      </c>
      <c r="AG153" s="260">
        <f t="shared" si="19"/>
      </c>
      <c r="AH153" s="260">
        <f t="shared" si="78"/>
      </c>
      <c r="AI153" s="259">
        <f>SUM(AI150:AI152)</f>
      </c>
      <c r="AJ153" s="259">
        <f>SUM(AJ150:AJ152)</f>
      </c>
      <c r="AK153" s="259">
        <f>SUM(AK150:AK152)</f>
      </c>
      <c r="AL153" s="259">
        <f>SUM(AL150:AL152)</f>
      </c>
      <c r="AM153" s="259">
        <f>SUM(AM150:AM152)</f>
      </c>
      <c r="AN153" s="259">
        <f>SUM(AN150:AN152)</f>
      </c>
      <c r="AO153" s="259">
        <f>SUM(AO150:AO152)</f>
      </c>
      <c r="AP153" s="259">
        <f>SUM(AP150:AP152)</f>
      </c>
      <c r="AQ153" s="259">
        <f>SUM(AQ150:AQ152)</f>
      </c>
      <c r="AR153" s="259">
        <f>SUM(AR150:AR152)</f>
      </c>
      <c r="AS153" s="263">
        <f>SUM(AS150:AS152)</f>
      </c>
    </row>
    <row r="154">
      <c r="A154" s="244"/>
      <c r="B154" s="264" t="s">
        <v>273</v>
      </c>
      <c r="C154" s="264"/>
      <c r="D154" s="264"/>
      <c r="E154" s="264"/>
      <c r="F154" s="265">
        <f t="shared" ref="F154:F157" si="55">G154+I154+H154</f>
      </c>
      <c r="G154" s="265">
        <f>G146+G153+G149</f>
      </c>
      <c r="H154" s="265">
        <f>H146+H153+H149</f>
      </c>
      <c r="I154" s="265">
        <f>I146+I153+I149</f>
      </c>
      <c r="J154" s="265">
        <f>J146+J153+J149</f>
      </c>
      <c r="K154" s="265">
        <f>K146+K153+K149</f>
      </c>
      <c r="L154" s="265">
        <f>L146+L153+L149</f>
      </c>
      <c r="M154" s="267">
        <f t="shared" si="0"/>
      </c>
      <c r="N154" s="268">
        <f t="shared" si="69"/>
      </c>
      <c r="O154" s="269">
        <f t="shared" si="20"/>
      </c>
      <c r="P154" s="269">
        <f t="shared" si="79"/>
      </c>
      <c r="Q154" s="269">
        <f t="shared" si="74"/>
      </c>
      <c r="R154" s="269">
        <f t="shared" si="87"/>
      </c>
      <c r="S154" s="269">
        <f t="shared" si="83"/>
      </c>
      <c r="T154" s="269">
        <f t="shared" si="17"/>
      </c>
      <c r="U154" s="269">
        <f t="shared" si="2"/>
      </c>
      <c r="V154" s="267">
        <f t="shared" si="71"/>
      </c>
      <c r="W154" s="267">
        <f t="shared" si="22"/>
      </c>
      <c r="X154" s="267">
        <f t="shared" si="24"/>
      </c>
      <c r="Y154" s="267">
        <f t="shared" si="26"/>
      </c>
      <c r="Z154" s="267">
        <f t="shared" si="81"/>
      </c>
      <c r="AA154" s="267">
        <f t="shared" si="76"/>
      </c>
      <c r="AB154" s="268">
        <f t="shared" si="89"/>
      </c>
      <c r="AC154" s="268">
        <f t="shared" si="85"/>
      </c>
      <c r="AD154" s="268">
        <f t="shared" si="4"/>
      </c>
      <c r="AE154" s="267">
        <f t="shared" si="91"/>
      </c>
      <c r="AF154" s="268">
        <f t="shared" si="28"/>
      </c>
      <c r="AG154" s="267">
        <f t="shared" si="19"/>
      </c>
      <c r="AH154" s="267">
        <f t="shared" si="78"/>
      </c>
      <c r="AI154" s="270">
        <f>AI146+AI153+AI149</f>
      </c>
      <c r="AJ154" s="270">
        <f>AJ146+AJ153+AJ149</f>
      </c>
      <c r="AK154" s="270">
        <f>AK146+AK153+AK149</f>
      </c>
      <c r="AL154" s="270">
        <f>AL146+AL153+AL149</f>
      </c>
      <c r="AM154" s="270">
        <f>AM146+AM153+AM149</f>
      </c>
      <c r="AN154" s="270">
        <f>AN146+AN153+AN149</f>
      </c>
      <c r="AO154" s="270">
        <f>AO146+AO153+AO149</f>
      </c>
      <c r="AP154" s="270">
        <f>AP146+AP153+AP149</f>
      </c>
      <c r="AQ154" s="270">
        <f>AQ146+AQ153+AQ149</f>
      </c>
      <c r="AR154" s="270">
        <f>AR146+AR153+AR149</f>
      </c>
      <c r="AS154" s="263">
        <f>AS146+AS153+AS149</f>
      </c>
    </row>
    <row r="155">
      <c r="A155" s="244">
        <v>46261</v>
      </c>
      <c r="B155" s="246" t="s">
        <v>262</v>
      </c>
      <c r="C155" s="245" t="s">
        <v>263</v>
      </c>
      <c r="D155" s="245" t="s">
        <v>277</v>
      </c>
      <c r="E155" s="245" t="s">
        <v>280</v>
      </c>
      <c r="F155" s="247">
        <f t="shared" si="55"/>
      </c>
      <c r="G155" s="248">
        <v>0</v>
      </c>
      <c r="H155" s="274">
        <v>380.85</v>
      </c>
      <c r="I155" s="274">
        <v>557</v>
      </c>
      <c r="J155" s="249">
        <v>2</v>
      </c>
      <c r="K155" s="249">
        <v>1</v>
      </c>
      <c r="L155" s="250">
        <v>398.40000000000003</v>
      </c>
      <c r="M155" s="251">
        <f t="shared" si="0"/>
      </c>
      <c r="N155" s="252">
        <f t="shared" si="69"/>
      </c>
      <c r="O155" s="253">
        <f t="shared" si="20"/>
      </c>
      <c r="P155" s="253">
        <f t="shared" si="79"/>
      </c>
      <c r="Q155" s="253">
        <f t="shared" si="74"/>
      </c>
      <c r="R155" s="253">
        <f t="shared" si="87"/>
      </c>
      <c r="S155" s="253">
        <f t="shared" si="83"/>
      </c>
      <c r="T155" s="253">
        <f t="shared" si="17"/>
      </c>
      <c r="U155" s="253">
        <f t="shared" si="2"/>
      </c>
      <c r="V155" s="251">
        <f t="shared" si="71"/>
      </c>
      <c r="W155" s="251">
        <f t="shared" si="22"/>
      </c>
      <c r="X155" s="251">
        <f t="shared" si="24"/>
      </c>
      <c r="Y155" s="251">
        <f t="shared" si="26"/>
      </c>
      <c r="Z155" s="251">
        <f t="shared" si="81"/>
      </c>
      <c r="AA155" s="251">
        <f t="shared" si="76"/>
      </c>
      <c r="AB155" s="252">
        <f t="shared" si="89"/>
      </c>
      <c r="AC155" s="252">
        <f t="shared" si="85"/>
      </c>
      <c r="AD155" s="252">
        <f t="shared" si="4"/>
      </c>
      <c r="AE155" s="251">
        <f t="shared" si="91"/>
      </c>
      <c r="AF155" s="252">
        <f t="shared" si="28"/>
      </c>
      <c r="AG155" s="251">
        <f t="shared" si="19"/>
      </c>
      <c r="AH155" s="251">
        <f t="shared" si="78"/>
      </c>
      <c r="AI155" s="273">
        <v>4787</v>
      </c>
      <c r="AJ155" s="273">
        <v>208</v>
      </c>
      <c r="AK155" s="273">
        <v>215</v>
      </c>
      <c r="AL155" s="254">
        <v>55</v>
      </c>
      <c r="AM155" s="254">
        <v>2</v>
      </c>
      <c r="AN155" s="254">
        <v>1</v>
      </c>
      <c r="AO155" s="254">
        <v>42</v>
      </c>
      <c r="AP155" s="254">
        <v>82</v>
      </c>
      <c r="AQ155" s="254">
        <v>6</v>
      </c>
      <c r="AR155" s="249">
        <v>0</v>
      </c>
      <c r="AS155" s="271">
        <v>1</v>
      </c>
    </row>
    <row r="156">
      <c r="A156" s="244"/>
      <c r="B156" s="246" t="s">
        <v>262</v>
      </c>
      <c r="C156" s="245" t="s">
        <v>263</v>
      </c>
      <c r="D156" s="245" t="s">
        <v>277</v>
      </c>
      <c r="E156" s="245" t="s">
        <v>281</v>
      </c>
      <c r="F156" s="247">
        <f t="shared" si="55"/>
      </c>
      <c r="G156" s="248">
        <v>0</v>
      </c>
      <c r="H156" s="275">
        <v>522.52</v>
      </c>
      <c r="I156" s="274">
        <v>537.06</v>
      </c>
      <c r="J156" s="249">
        <v>0</v>
      </c>
      <c r="K156" s="249">
        <v>0</v>
      </c>
      <c r="L156" s="250">
        <v>0</v>
      </c>
      <c r="M156" s="251">
        <f t="shared" si="0"/>
      </c>
      <c r="N156" s="252">
        <f t="shared" si="69"/>
      </c>
      <c r="O156" s="253">
        <f t="shared" si="20"/>
      </c>
      <c r="P156" s="253">
        <f t="shared" si="79"/>
      </c>
      <c r="Q156" s="253">
        <f t="shared" si="74"/>
      </c>
      <c r="R156" s="253">
        <f t="shared" si="87"/>
      </c>
      <c r="S156" s="253">
        <f t="shared" si="83"/>
      </c>
      <c r="T156" s="253">
        <f t="shared" si="17"/>
      </c>
      <c r="U156" s="253">
        <f t="shared" si="2"/>
      </c>
      <c r="V156" s="251">
        <f t="shared" si="71"/>
      </c>
      <c r="W156" s="251">
        <f t="shared" si="22"/>
      </c>
      <c r="X156" s="251">
        <f t="shared" si="24"/>
      </c>
      <c r="Y156" s="251">
        <f t="shared" si="26"/>
      </c>
      <c r="Z156" s="251">
        <f t="shared" si="81"/>
      </c>
      <c r="AA156" s="251">
        <f t="shared" si="76"/>
      </c>
      <c r="AB156" s="252">
        <f t="shared" si="89"/>
      </c>
      <c r="AC156" s="252">
        <f t="shared" si="85"/>
      </c>
      <c r="AD156" s="252">
        <f t="shared" si="4"/>
      </c>
      <c r="AE156" s="251">
        <f t="shared" si="91"/>
      </c>
      <c r="AF156" s="252">
        <f t="shared" si="28"/>
      </c>
      <c r="AG156" s="251">
        <f t="shared" si="19"/>
      </c>
      <c r="AH156" s="251">
        <f t="shared" si="78"/>
      </c>
      <c r="AI156" s="254">
        <v>5278</v>
      </c>
      <c r="AJ156" s="254">
        <v>191</v>
      </c>
      <c r="AK156" s="254">
        <v>208</v>
      </c>
      <c r="AL156" s="254">
        <v>35</v>
      </c>
      <c r="AM156" s="254">
        <v>0</v>
      </c>
      <c r="AN156" s="254">
        <v>0</v>
      </c>
      <c r="AO156" s="254">
        <v>30</v>
      </c>
      <c r="AP156" s="254">
        <v>29</v>
      </c>
      <c r="AQ156" s="249">
        <v>1</v>
      </c>
      <c r="AR156" s="249">
        <v>0</v>
      </c>
      <c r="AS156" s="271">
        <v>1</v>
      </c>
    </row>
    <row r="157">
      <c r="A157" s="244"/>
      <c r="B157" s="246" t="s">
        <v>262</v>
      </c>
      <c r="C157" s="245" t="s">
        <v>263</v>
      </c>
      <c r="D157" s="245" t="s">
        <v>277</v>
      </c>
      <c r="E157" s="245" t="s">
        <v>282</v>
      </c>
      <c r="F157" s="247">
        <f t="shared" si="55"/>
      </c>
      <c r="G157" s="248">
        <v>0</v>
      </c>
      <c r="H157" s="274">
        <v>282.25</v>
      </c>
      <c r="I157" s="274">
        <v>175.39</v>
      </c>
      <c r="J157" s="249">
        <v>3</v>
      </c>
      <c r="K157" s="249">
        <v>3</v>
      </c>
      <c r="L157" s="250">
        <v>1867.2000000000003</v>
      </c>
      <c r="M157" s="251">
        <f t="shared" si="0"/>
      </c>
      <c r="N157" s="252">
        <f t="shared" si="69"/>
      </c>
      <c r="O157" s="253">
        <f t="shared" si="20"/>
      </c>
      <c r="P157" s="253">
        <f t="shared" si="79"/>
      </c>
      <c r="Q157" s="253">
        <f t="shared" si="74"/>
      </c>
      <c r="R157" s="253">
        <f t="shared" si="87"/>
      </c>
      <c r="S157" s="253">
        <f t="shared" si="83"/>
      </c>
      <c r="T157" s="253">
        <f t="shared" si="17"/>
      </c>
      <c r="U157" s="253">
        <f t="shared" si="2"/>
      </c>
      <c r="V157" s="251">
        <f t="shared" si="71"/>
      </c>
      <c r="W157" s="251">
        <f t="shared" si="22"/>
      </c>
      <c r="X157" s="251">
        <f t="shared" si="24"/>
      </c>
      <c r="Y157" s="251">
        <f t="shared" si="26"/>
      </c>
      <c r="Z157" s="251">
        <f t="shared" si="81"/>
      </c>
      <c r="AA157" s="251">
        <f t="shared" si="76"/>
      </c>
      <c r="AB157" s="252">
        <f t="shared" si="89"/>
      </c>
      <c r="AC157" s="252">
        <f t="shared" si="85"/>
      </c>
      <c r="AD157" s="252">
        <f t="shared" si="4"/>
      </c>
      <c r="AE157" s="251">
        <f t="shared" si="91"/>
      </c>
      <c r="AF157" s="252">
        <f t="shared" si="28"/>
      </c>
      <c r="AG157" s="251">
        <f t="shared" si="19"/>
      </c>
      <c r="AH157" s="251">
        <f t="shared" si="78"/>
      </c>
      <c r="AI157" s="254">
        <v>2617</v>
      </c>
      <c r="AJ157" s="254">
        <v>72</v>
      </c>
      <c r="AK157" s="254">
        <v>76</v>
      </c>
      <c r="AL157" s="254">
        <v>18</v>
      </c>
      <c r="AM157" s="254">
        <v>3</v>
      </c>
      <c r="AN157" s="254">
        <v>2</v>
      </c>
      <c r="AO157" s="254">
        <v>17</v>
      </c>
      <c r="AP157" s="254">
        <v>41</v>
      </c>
      <c r="AQ157" s="254">
        <v>4</v>
      </c>
      <c r="AR157" s="249">
        <v>1</v>
      </c>
      <c r="AS157" s="271">
        <v>1</v>
      </c>
    </row>
    <row r="158">
      <c r="A158" s="244"/>
      <c r="B158" s="257" t="s">
        <v>268</v>
      </c>
      <c r="C158" s="257"/>
      <c r="D158" s="257"/>
      <c r="E158" s="257"/>
      <c r="F158" s="258">
        <f>SUM(F155:F157)</f>
      </c>
      <c r="G158" s="258">
        <f>SUM(G155:G157)</f>
      </c>
      <c r="H158" s="258">
        <f>SUM(H155:H157)</f>
      </c>
      <c r="I158" s="258">
        <f>SUM(I155:I157)</f>
      </c>
      <c r="J158" s="259">
        <f>SUM(J155:J157)</f>
      </c>
      <c r="K158" s="259">
        <f>SUM(K155:K157)</f>
      </c>
      <c r="L158" s="258">
        <f>SUM(L155:L157)</f>
      </c>
      <c r="M158" s="260">
        <f t="shared" si="0"/>
      </c>
      <c r="N158" s="261">
        <f t="shared" si="69"/>
      </c>
      <c r="O158" s="262">
        <f t="shared" si="20"/>
      </c>
      <c r="P158" s="262">
        <f t="shared" si="79"/>
      </c>
      <c r="Q158" s="262">
        <f t="shared" si="74"/>
      </c>
      <c r="R158" s="262">
        <f t="shared" si="87"/>
      </c>
      <c r="S158" s="262">
        <f t="shared" si="83"/>
      </c>
      <c r="T158" s="262">
        <f t="shared" si="17"/>
      </c>
      <c r="U158" s="262">
        <f t="shared" si="2"/>
      </c>
      <c r="V158" s="260">
        <f t="shared" si="71"/>
      </c>
      <c r="W158" s="260">
        <f t="shared" si="22"/>
      </c>
      <c r="X158" s="260">
        <f t="shared" si="24"/>
      </c>
      <c r="Y158" s="260">
        <f t="shared" si="26"/>
      </c>
      <c r="Z158" s="260">
        <f t="shared" si="81"/>
      </c>
      <c r="AA158" s="260">
        <f t="shared" si="76"/>
      </c>
      <c r="AB158" s="261">
        <f t="shared" si="89"/>
      </c>
      <c r="AC158" s="261">
        <f t="shared" si="85"/>
      </c>
      <c r="AD158" s="261">
        <f t="shared" si="4"/>
      </c>
      <c r="AE158" s="260">
        <f t="shared" si="91"/>
      </c>
      <c r="AF158" s="261">
        <f t="shared" si="28"/>
      </c>
      <c r="AG158" s="260">
        <f t="shared" si="19"/>
      </c>
      <c r="AH158" s="260">
        <f t="shared" si="78"/>
      </c>
      <c r="AI158" s="259">
        <f>SUM(AI155:AI157)</f>
      </c>
      <c r="AJ158" s="259">
        <f>SUM(AJ155:AJ157)</f>
      </c>
      <c r="AK158" s="259">
        <f>SUM(AK155:AK157)</f>
      </c>
      <c r="AL158" s="259">
        <f>SUM(AL155:AL157)</f>
      </c>
      <c r="AM158" s="259">
        <f>SUM(AM155:AM157)</f>
      </c>
      <c r="AN158" s="259">
        <f>SUM(AN155:AN157)</f>
      </c>
      <c r="AO158" s="259">
        <f>SUM(AO155:AO157)</f>
      </c>
      <c r="AP158" s="259">
        <f>SUM(AP155:AP157)</f>
      </c>
      <c r="AQ158" s="259">
        <f>SUM(AQ155:AQ157)</f>
      </c>
      <c r="AR158" s="259">
        <f>SUM(AR155:AR157)</f>
      </c>
      <c r="AS158" s="263">
        <f>SUM(AS155:AS157)</f>
      </c>
    </row>
    <row r="159">
      <c r="A159" s="244"/>
      <c r="B159" s="246" t="s">
        <v>262</v>
      </c>
      <c r="C159" s="245" t="s">
        <v>263</v>
      </c>
      <c r="D159" s="246" t="s">
        <v>287</v>
      </c>
      <c r="E159" s="246" t="s">
        <v>288</v>
      </c>
      <c r="F159" s="247">
        <f t="shared" ref="F159:F160" si="56">G159+I159+H159</f>
      </c>
      <c r="G159" s="248">
        <v>0</v>
      </c>
      <c r="H159" s="274">
        <v>477.08</v>
      </c>
      <c r="I159" s="274">
        <v>137.06</v>
      </c>
      <c r="J159" s="254">
        <v>3</v>
      </c>
      <c r="K159" s="254">
        <v>2</v>
      </c>
      <c r="L159" s="276">
        <v>1661.8000000000002</v>
      </c>
      <c r="M159" s="251">
        <f t="shared" si="0"/>
      </c>
      <c r="N159" s="252">
        <f t="shared" si="69"/>
      </c>
      <c r="O159" s="253">
        <f t="shared" si="20"/>
      </c>
      <c r="P159" s="253">
        <f t="shared" si="79"/>
      </c>
      <c r="Q159" s="253">
        <f t="shared" si="74"/>
      </c>
      <c r="R159" s="253">
        <f t="shared" si="87"/>
      </c>
      <c r="S159" s="253">
        <f t="shared" si="83"/>
      </c>
      <c r="T159" s="253">
        <f t="shared" si="17"/>
      </c>
      <c r="U159" s="253">
        <f t="shared" si="2"/>
      </c>
      <c r="V159" s="251">
        <f t="shared" si="71"/>
      </c>
      <c r="W159" s="251">
        <f t="shared" si="22"/>
      </c>
      <c r="X159" s="251">
        <f t="shared" si="24"/>
      </c>
      <c r="Y159" s="251">
        <f t="shared" si="26"/>
      </c>
      <c r="Z159" s="251">
        <f t="shared" si="81"/>
      </c>
      <c r="AA159" s="251">
        <f t="shared" si="76"/>
      </c>
      <c r="AB159" s="252">
        <f t="shared" si="89"/>
      </c>
      <c r="AC159" s="252">
        <f t="shared" si="85"/>
      </c>
      <c r="AD159" s="252">
        <f t="shared" si="4"/>
      </c>
      <c r="AE159" s="251">
        <f t="shared" si="91"/>
      </c>
      <c r="AF159" s="252">
        <f t="shared" si="28"/>
      </c>
      <c r="AG159" s="251">
        <f t="shared" si="19"/>
      </c>
      <c r="AH159" s="251">
        <f t="shared" si="78"/>
      </c>
      <c r="AI159" s="254">
        <v>2792</v>
      </c>
      <c r="AJ159" s="254">
        <v>112</v>
      </c>
      <c r="AK159" s="254">
        <v>115</v>
      </c>
      <c r="AL159" s="254">
        <v>23</v>
      </c>
      <c r="AM159" s="254">
        <v>2</v>
      </c>
      <c r="AN159" s="254">
        <v>1</v>
      </c>
      <c r="AO159" s="254">
        <v>23</v>
      </c>
      <c r="AP159" s="254">
        <v>17</v>
      </c>
      <c r="AQ159" s="254">
        <v>2</v>
      </c>
      <c r="AR159" s="249">
        <v>0</v>
      </c>
      <c r="AS159" s="271">
        <v>1</v>
      </c>
    </row>
    <row r="160">
      <c r="A160" s="244"/>
      <c r="B160" s="246" t="s">
        <v>262</v>
      </c>
      <c r="C160" s="245" t="s">
        <v>263</v>
      </c>
      <c r="D160" s="246" t="s">
        <v>287</v>
      </c>
      <c r="E160" s="246" t="s">
        <v>289</v>
      </c>
      <c r="F160" s="247">
        <f t="shared" si="56"/>
      </c>
      <c r="G160" s="248">
        <v>0</v>
      </c>
      <c r="H160" s="274">
        <v>411.85</v>
      </c>
      <c r="I160" s="274">
        <v>139.42</v>
      </c>
      <c r="J160" s="249">
        <v>1</v>
      </c>
      <c r="K160" s="254">
        <v>0</v>
      </c>
      <c r="L160" s="276">
        <v>0</v>
      </c>
      <c r="M160" s="251">
        <f t="shared" si="0"/>
      </c>
      <c r="N160" s="252">
        <f t="shared" si="69"/>
      </c>
      <c r="O160" s="253">
        <f t="shared" si="20"/>
      </c>
      <c r="P160" s="253">
        <f t="shared" si="79"/>
      </c>
      <c r="Q160" s="253">
        <f t="shared" si="74"/>
      </c>
      <c r="R160" s="253">
        <f t="shared" si="87"/>
      </c>
      <c r="S160" s="253">
        <f t="shared" si="83"/>
      </c>
      <c r="T160" s="253">
        <f t="shared" si="17"/>
      </c>
      <c r="U160" s="253">
        <f t="shared" si="2"/>
      </c>
      <c r="V160" s="251">
        <f t="shared" si="71"/>
      </c>
      <c r="W160" s="251">
        <f t="shared" si="22"/>
      </c>
      <c r="X160" s="251">
        <f t="shared" si="24"/>
      </c>
      <c r="Y160" s="251">
        <f t="shared" si="26"/>
      </c>
      <c r="Z160" s="251">
        <f t="shared" si="81"/>
      </c>
      <c r="AA160" s="251">
        <f t="shared" si="76"/>
      </c>
      <c r="AB160" s="252">
        <f t="shared" si="89"/>
      </c>
      <c r="AC160" s="252">
        <f t="shared" si="85"/>
      </c>
      <c r="AD160" s="252">
        <f t="shared" si="4"/>
      </c>
      <c r="AE160" s="251">
        <f t="shared" si="91"/>
      </c>
      <c r="AF160" s="252">
        <f t="shared" si="28"/>
      </c>
      <c r="AG160" s="251">
        <f t="shared" si="19"/>
      </c>
      <c r="AH160" s="251">
        <f t="shared" si="78"/>
      </c>
      <c r="AI160" s="254">
        <v>2863</v>
      </c>
      <c r="AJ160" s="254">
        <v>94</v>
      </c>
      <c r="AK160" s="254">
        <v>94</v>
      </c>
      <c r="AL160" s="254">
        <v>25</v>
      </c>
      <c r="AM160" s="254">
        <v>0</v>
      </c>
      <c r="AN160" s="254">
        <v>0</v>
      </c>
      <c r="AO160" s="254">
        <v>18</v>
      </c>
      <c r="AP160" s="254">
        <v>22</v>
      </c>
      <c r="AQ160" s="254">
        <v>2</v>
      </c>
      <c r="AR160" s="249">
        <v>0</v>
      </c>
      <c r="AS160" s="271">
        <v>1</v>
      </c>
    </row>
    <row r="161">
      <c r="A161" s="244"/>
      <c r="B161" s="257" t="s">
        <v>268</v>
      </c>
      <c r="C161" s="257"/>
      <c r="D161" s="257"/>
      <c r="E161" s="257"/>
      <c r="F161" s="258">
        <f>SUM(F159:F160)</f>
      </c>
      <c r="G161" s="258">
        <f>SUM(G159:G160)</f>
      </c>
      <c r="H161" s="258">
        <f>SUM(H159:H160)</f>
      </c>
      <c r="I161" s="258">
        <f>SUM(I159:I160)</f>
      </c>
      <c r="J161" s="259">
        <f>SUM(J159:J160)</f>
      </c>
      <c r="K161" s="259">
        <f>SUM(K159:K160)</f>
      </c>
      <c r="L161" s="258">
        <f>SUM(L159:L160)</f>
      </c>
      <c r="M161" s="260">
        <f t="shared" si="0"/>
      </c>
      <c r="N161" s="261">
        <f t="shared" si="69"/>
      </c>
      <c r="O161" s="262">
        <f t="shared" si="20"/>
      </c>
      <c r="P161" s="262">
        <f t="shared" si="79"/>
      </c>
      <c r="Q161" s="262">
        <f t="shared" si="74"/>
      </c>
      <c r="R161" s="262">
        <f t="shared" si="87"/>
      </c>
      <c r="S161" s="262">
        <f t="shared" si="83"/>
      </c>
      <c r="T161" s="262">
        <f t="shared" si="17"/>
      </c>
      <c r="U161" s="262">
        <f t="shared" si="2"/>
      </c>
      <c r="V161" s="260">
        <f t="shared" si="71"/>
      </c>
      <c r="W161" s="260">
        <f t="shared" si="22"/>
      </c>
      <c r="X161" s="260">
        <f t="shared" si="24"/>
      </c>
      <c r="Y161" s="260">
        <f t="shared" si="26"/>
      </c>
      <c r="Z161" s="260">
        <f t="shared" si="81"/>
      </c>
      <c r="AA161" s="260">
        <f t="shared" si="76"/>
      </c>
      <c r="AB161" s="261">
        <f t="shared" si="89"/>
      </c>
      <c r="AC161" s="261">
        <f t="shared" si="85"/>
      </c>
      <c r="AD161" s="261">
        <f t="shared" si="4"/>
      </c>
      <c r="AE161" s="260">
        <f t="shared" si="91"/>
      </c>
      <c r="AF161" s="261">
        <f t="shared" si="28"/>
      </c>
      <c r="AG161" s="260">
        <f t="shared" si="19"/>
      </c>
      <c r="AH161" s="260">
        <f t="shared" si="78"/>
      </c>
      <c r="AI161" s="259">
        <f>SUM(AI159:AI160)</f>
      </c>
      <c r="AJ161" s="259">
        <f>SUM(AJ159:AJ160)</f>
      </c>
      <c r="AK161" s="259">
        <f>SUM(AK159:AK160)</f>
      </c>
      <c r="AL161" s="259">
        <f>SUM(AL159:AL160)</f>
      </c>
      <c r="AM161" s="259">
        <f>SUM(AM159:AM160)</f>
      </c>
      <c r="AN161" s="259">
        <f>SUM(AN159:AN160)</f>
      </c>
      <c r="AO161" s="259">
        <f>SUM(AO159:AO160)</f>
      </c>
      <c r="AP161" s="259">
        <f>SUM(AP159:AP160)</f>
      </c>
      <c r="AQ161" s="259">
        <f>SUM(AQ159:AQ160)</f>
      </c>
      <c r="AR161" s="259">
        <f>SUM(AR159:AR160)</f>
      </c>
      <c r="AS161" s="263">
        <f>SUM(AS159:AS160)</f>
      </c>
    </row>
    <row r="162">
      <c r="A162" s="244"/>
      <c r="B162" s="246" t="s">
        <v>262</v>
      </c>
      <c r="C162" s="245" t="s">
        <v>263</v>
      </c>
      <c r="D162" s="246" t="s">
        <v>264</v>
      </c>
      <c r="E162" s="246" t="s">
        <v>290</v>
      </c>
      <c r="F162" s="247">
        <f t="shared" ref="F162:F165" si="57">G162+I162+H162</f>
      </c>
      <c r="G162" s="248">
        <v>0</v>
      </c>
      <c r="H162" s="274">
        <v>340.98</v>
      </c>
      <c r="I162" s="274">
        <v>162.77</v>
      </c>
      <c r="J162" s="249">
        <v>3</v>
      </c>
      <c r="K162" s="249">
        <v>3</v>
      </c>
      <c r="L162" s="250">
        <v>2588.4000000000005</v>
      </c>
      <c r="M162" s="251">
        <f t="shared" si="0"/>
      </c>
      <c r="N162" s="252">
        <f t="shared" si="69"/>
      </c>
      <c r="O162" s="253">
        <f t="shared" si="20"/>
      </c>
      <c r="P162" s="253">
        <f t="shared" si="79"/>
      </c>
      <c r="Q162" s="253">
        <f t="shared" si="74"/>
      </c>
      <c r="R162" s="253">
        <f t="shared" si="87"/>
      </c>
      <c r="S162" s="253">
        <f t="shared" si="83"/>
      </c>
      <c r="T162" s="253">
        <f t="shared" si="17"/>
      </c>
      <c r="U162" s="253">
        <f t="shared" si="2"/>
      </c>
      <c r="V162" s="251">
        <f t="shared" si="71"/>
      </c>
      <c r="W162" s="251">
        <f t="shared" si="22"/>
      </c>
      <c r="X162" s="251">
        <f t="shared" si="24"/>
      </c>
      <c r="Y162" s="251">
        <f t="shared" si="26"/>
      </c>
      <c r="Z162" s="251">
        <f t="shared" si="81"/>
      </c>
      <c r="AA162" s="251">
        <f t="shared" si="76"/>
      </c>
      <c r="AB162" s="252">
        <f t="shared" si="89"/>
      </c>
      <c r="AC162" s="252">
        <f t="shared" si="85"/>
      </c>
      <c r="AD162" s="252">
        <f t="shared" si="4"/>
      </c>
      <c r="AE162" s="251">
        <f t="shared" si="91"/>
      </c>
      <c r="AF162" s="252">
        <f t="shared" si="28"/>
      </c>
      <c r="AG162" s="251">
        <f t="shared" si="19"/>
      </c>
      <c r="AH162" s="251">
        <f t="shared" si="78"/>
      </c>
      <c r="AI162" s="254">
        <v>2588</v>
      </c>
      <c r="AJ162" s="254">
        <v>78</v>
      </c>
      <c r="AK162" s="254">
        <v>75</v>
      </c>
      <c r="AL162" s="254">
        <v>26</v>
      </c>
      <c r="AM162" s="254">
        <v>3</v>
      </c>
      <c r="AN162" s="254">
        <v>3</v>
      </c>
      <c r="AO162" s="254">
        <v>17</v>
      </c>
      <c r="AP162" s="254">
        <v>84</v>
      </c>
      <c r="AQ162" s="254">
        <v>3</v>
      </c>
      <c r="AR162" s="249">
        <v>0</v>
      </c>
      <c r="AS162" s="271">
        <v>1</v>
      </c>
    </row>
    <row r="163">
      <c r="A163" s="244"/>
      <c r="B163" s="246" t="s">
        <v>262</v>
      </c>
      <c r="C163" s="245" t="s">
        <v>263</v>
      </c>
      <c r="D163" s="246" t="s">
        <v>264</v>
      </c>
      <c r="E163" s="246" t="s">
        <v>265</v>
      </c>
      <c r="F163" s="247">
        <f t="shared" si="57"/>
      </c>
      <c r="G163" s="248">
        <v>0</v>
      </c>
      <c r="H163" s="274">
        <v>994.3</v>
      </c>
      <c r="I163" s="274">
        <v>165.5</v>
      </c>
      <c r="J163" s="254">
        <v>4</v>
      </c>
      <c r="K163" s="254">
        <v>5</v>
      </c>
      <c r="L163" s="276">
        <v>3273.3999999999996</v>
      </c>
      <c r="M163" s="251">
        <f t="shared" si="0"/>
      </c>
      <c r="N163" s="252">
        <f t="shared" si="69"/>
      </c>
      <c r="O163" s="253">
        <f t="shared" si="20"/>
      </c>
      <c r="P163" s="253">
        <f t="shared" si="79"/>
      </c>
      <c r="Q163" s="253">
        <f t="shared" si="74"/>
      </c>
      <c r="R163" s="253">
        <f t="shared" si="87"/>
      </c>
      <c r="S163" s="253">
        <f t="shared" si="83"/>
      </c>
      <c r="T163" s="253">
        <f t="shared" si="17"/>
      </c>
      <c r="U163" s="253">
        <f t="shared" si="2"/>
      </c>
      <c r="V163" s="251">
        <f t="shared" si="71"/>
      </c>
      <c r="W163" s="251">
        <f t="shared" si="22"/>
      </c>
      <c r="X163" s="251">
        <f t="shared" si="24"/>
      </c>
      <c r="Y163" s="251">
        <f t="shared" si="26"/>
      </c>
      <c r="Z163" s="251">
        <f t="shared" si="81"/>
      </c>
      <c r="AA163" s="251">
        <f t="shared" si="76"/>
      </c>
      <c r="AB163" s="252">
        <f t="shared" si="89"/>
      </c>
      <c r="AC163" s="252">
        <f t="shared" si="85"/>
      </c>
      <c r="AD163" s="252">
        <f t="shared" si="4"/>
      </c>
      <c r="AE163" s="251">
        <f t="shared" si="91"/>
      </c>
      <c r="AF163" s="252">
        <f t="shared" si="28"/>
      </c>
      <c r="AG163" s="251">
        <f t="shared" si="19"/>
      </c>
      <c r="AH163" s="251">
        <f t="shared" si="78"/>
      </c>
      <c r="AI163" s="254">
        <v>7203</v>
      </c>
      <c r="AJ163" s="254">
        <v>165</v>
      </c>
      <c r="AK163" s="254">
        <v>162</v>
      </c>
      <c r="AL163" s="254">
        <v>53</v>
      </c>
      <c r="AM163" s="254">
        <v>4</v>
      </c>
      <c r="AN163" s="254">
        <v>4</v>
      </c>
      <c r="AO163" s="254">
        <v>34</v>
      </c>
      <c r="AP163" s="254">
        <v>71</v>
      </c>
      <c r="AQ163" s="254">
        <v>1</v>
      </c>
      <c r="AR163" s="249">
        <v>0</v>
      </c>
      <c r="AS163" s="271">
        <v>1</v>
      </c>
    </row>
    <row customHeight="true" ht="16.071428571428573" r="164">
      <c r="A164" s="244"/>
      <c r="B164" s="246" t="s">
        <v>262</v>
      </c>
      <c r="C164" s="245" t="s">
        <v>263</v>
      </c>
      <c r="D164" s="246" t="s">
        <v>264</v>
      </c>
      <c r="E164" s="246" t="s">
        <v>266</v>
      </c>
      <c r="F164" s="247">
        <f t="shared" si="57"/>
      </c>
      <c r="G164" s="248">
        <v>0</v>
      </c>
      <c r="H164" s="274">
        <v>1552.73</v>
      </c>
      <c r="I164" s="274">
        <v>233.31</v>
      </c>
      <c r="J164" s="254">
        <v>3</v>
      </c>
      <c r="K164" s="254">
        <v>3</v>
      </c>
      <c r="L164" s="276">
        <v>2797.2000000000007</v>
      </c>
      <c r="M164" s="251">
        <f t="shared" si="0"/>
      </c>
      <c r="N164" s="252">
        <f t="shared" si="69"/>
      </c>
      <c r="O164" s="253">
        <f t="shared" si="20"/>
      </c>
      <c r="P164" s="253">
        <f t="shared" si="79"/>
      </c>
      <c r="Q164" s="253">
        <f t="shared" si="74"/>
      </c>
      <c r="R164" s="253">
        <f t="shared" si="87"/>
      </c>
      <c r="S164" s="253">
        <f t="shared" si="83"/>
      </c>
      <c r="T164" s="253">
        <f t="shared" si="17"/>
      </c>
      <c r="U164" s="253">
        <f t="shared" si="2"/>
      </c>
      <c r="V164" s="251">
        <f t="shared" si="71"/>
      </c>
      <c r="W164" s="251">
        <f t="shared" si="22"/>
      </c>
      <c r="X164" s="251">
        <f t="shared" si="24"/>
      </c>
      <c r="Y164" s="251">
        <f t="shared" si="26"/>
      </c>
      <c r="Z164" s="251">
        <f t="shared" si="81"/>
      </c>
      <c r="AA164" s="251">
        <f t="shared" si="76"/>
      </c>
      <c r="AB164" s="252">
        <f t="shared" si="89"/>
      </c>
      <c r="AC164" s="252">
        <f t="shared" si="85"/>
      </c>
      <c r="AD164" s="252">
        <f t="shared" si="4"/>
      </c>
      <c r="AE164" s="251">
        <f t="shared" si="91"/>
      </c>
      <c r="AF164" s="252">
        <f t="shared" si="28"/>
      </c>
      <c r="AG164" s="251">
        <f t="shared" si="19"/>
      </c>
      <c r="AH164" s="251">
        <f t="shared" si="78"/>
      </c>
      <c r="AI164" s="254">
        <v>12178</v>
      </c>
      <c r="AJ164" s="254">
        <v>246</v>
      </c>
      <c r="AK164" s="254">
        <v>254</v>
      </c>
      <c r="AL164" s="254">
        <v>62</v>
      </c>
      <c r="AM164" s="254">
        <v>3</v>
      </c>
      <c r="AN164" s="254">
        <v>3</v>
      </c>
      <c r="AO164" s="254">
        <v>47</v>
      </c>
      <c r="AP164" s="254">
        <v>63</v>
      </c>
      <c r="AQ164" s="254">
        <v>5</v>
      </c>
      <c r="AR164" s="249">
        <v>0</v>
      </c>
      <c r="AS164" s="271">
        <v>1</v>
      </c>
    </row>
    <row r="165">
      <c r="A165" s="244"/>
      <c r="B165" s="246" t="s">
        <v>262</v>
      </c>
      <c r="C165" s="245" t="s">
        <v>263</v>
      </c>
      <c r="D165" s="246" t="s">
        <v>264</v>
      </c>
      <c r="E165" s="246" t="s">
        <v>267</v>
      </c>
      <c r="F165" s="247">
        <f t="shared" si="57"/>
      </c>
      <c r="G165" s="248">
        <v>0</v>
      </c>
      <c r="H165" s="274">
        <v>1679.76</v>
      </c>
      <c r="I165" s="274">
        <v>451.6</v>
      </c>
      <c r="J165" s="254">
        <v>5</v>
      </c>
      <c r="K165" s="254">
        <v>5</v>
      </c>
      <c r="L165" s="276">
        <v>3138</v>
      </c>
      <c r="M165" s="251">
        <f t="shared" si="0"/>
      </c>
      <c r="N165" s="252">
        <f t="shared" si="69"/>
      </c>
      <c r="O165" s="253">
        <f t="shared" si="20"/>
      </c>
      <c r="P165" s="253">
        <f t="shared" si="79"/>
      </c>
      <c r="Q165" s="253">
        <f t="shared" si="74"/>
      </c>
      <c r="R165" s="253">
        <f t="shared" si="87"/>
      </c>
      <c r="S165" s="253">
        <f t="shared" si="83"/>
      </c>
      <c r="T165" s="253">
        <f t="shared" si="17"/>
      </c>
      <c r="U165" s="253">
        <f t="shared" si="2"/>
      </c>
      <c r="V165" s="251">
        <f t="shared" si="71"/>
      </c>
      <c r="W165" s="251">
        <f t="shared" si="22"/>
      </c>
      <c r="X165" s="251">
        <f t="shared" si="24"/>
      </c>
      <c r="Y165" s="251">
        <f t="shared" si="26"/>
      </c>
      <c r="Z165" s="251">
        <f t="shared" si="81"/>
      </c>
      <c r="AA165" s="251">
        <f t="shared" si="76"/>
      </c>
      <c r="AB165" s="252">
        <f t="shared" si="89"/>
      </c>
      <c r="AC165" s="252">
        <f t="shared" si="85"/>
      </c>
      <c r="AD165" s="252">
        <f t="shared" si="4"/>
      </c>
      <c r="AE165" s="251">
        <f t="shared" si="91"/>
      </c>
      <c r="AF165" s="252">
        <f t="shared" si="28"/>
      </c>
      <c r="AG165" s="251">
        <f t="shared" si="19"/>
      </c>
      <c r="AH165" s="251">
        <f t="shared" si="78"/>
      </c>
      <c r="AI165" s="254">
        <v>12494</v>
      </c>
      <c r="AJ165" s="254">
        <v>273</v>
      </c>
      <c r="AK165" s="254">
        <v>287</v>
      </c>
      <c r="AL165" s="254">
        <v>77</v>
      </c>
      <c r="AM165" s="254">
        <v>5</v>
      </c>
      <c r="AN165" s="254">
        <v>4</v>
      </c>
      <c r="AO165" s="254">
        <v>63</v>
      </c>
      <c r="AP165" s="254">
        <v>112</v>
      </c>
      <c r="AQ165" s="254">
        <v>8</v>
      </c>
      <c r="AR165" s="249">
        <v>1</v>
      </c>
      <c r="AS165" s="271">
        <v>1</v>
      </c>
    </row>
    <row r="166">
      <c r="A166" s="244"/>
      <c r="B166" s="257" t="s">
        <v>268</v>
      </c>
      <c r="C166" s="257"/>
      <c r="D166" s="257"/>
      <c r="E166" s="257"/>
      <c r="F166" s="258">
        <f>SUM(F162:F165)</f>
      </c>
      <c r="G166" s="258">
        <f>SUM(G162:G165)</f>
      </c>
      <c r="H166" s="258">
        <f>SUM(H162:H165)</f>
      </c>
      <c r="I166" s="258">
        <f>SUM(I162:I165)</f>
      </c>
      <c r="J166" s="259">
        <f>SUM(J162:J165)</f>
      </c>
      <c r="K166" s="259">
        <f>SUM(K162:K165)</f>
      </c>
      <c r="L166" s="258">
        <f>SUM(L162:L165)</f>
      </c>
      <c r="M166" s="260">
        <f t="shared" si="0"/>
      </c>
      <c r="N166" s="261">
        <f t="shared" si="69"/>
      </c>
      <c r="O166" s="262">
        <f t="shared" si="20"/>
      </c>
      <c r="P166" s="262">
        <f t="shared" si="79"/>
      </c>
      <c r="Q166" s="262">
        <f t="shared" si="74"/>
      </c>
      <c r="R166" s="262">
        <f t="shared" si="87"/>
      </c>
      <c r="S166" s="262">
        <f t="shared" si="83"/>
      </c>
      <c r="T166" s="262">
        <f t="shared" si="17"/>
      </c>
      <c r="U166" s="262">
        <f t="shared" si="2"/>
      </c>
      <c r="V166" s="260">
        <f t="shared" si="71"/>
      </c>
      <c r="W166" s="260">
        <f t="shared" si="22"/>
      </c>
      <c r="X166" s="260">
        <f t="shared" si="24"/>
      </c>
      <c r="Y166" s="260">
        <f t="shared" si="26"/>
      </c>
      <c r="Z166" s="260">
        <f t="shared" si="81"/>
      </c>
      <c r="AA166" s="260">
        <f t="shared" si="76"/>
      </c>
      <c r="AB166" s="261">
        <f t="shared" si="89"/>
      </c>
      <c r="AC166" s="261">
        <f t="shared" si="85"/>
      </c>
      <c r="AD166" s="261">
        <f t="shared" si="4"/>
      </c>
      <c r="AE166" s="260">
        <f t="shared" si="91"/>
      </c>
      <c r="AF166" s="261">
        <f t="shared" si="28"/>
      </c>
      <c r="AG166" s="260">
        <f t="shared" si="19"/>
      </c>
      <c r="AH166" s="260">
        <f t="shared" si="78"/>
      </c>
      <c r="AI166" s="259">
        <f>SUM(AI162:AI165)</f>
      </c>
      <c r="AJ166" s="259">
        <f>SUM(AJ162:AJ165)</f>
      </c>
      <c r="AK166" s="259">
        <f>SUM(AK162:AK165)</f>
      </c>
      <c r="AL166" s="259">
        <f>SUM(AL162:AL165)</f>
      </c>
      <c r="AM166" s="259">
        <f>SUM(AM162:AM165)</f>
      </c>
      <c r="AN166" s="259">
        <f>SUM(AN162:AN165)</f>
      </c>
      <c r="AO166" s="259">
        <f>SUM(AO162:AO165)</f>
      </c>
      <c r="AP166" s="259">
        <f>SUM(AP162:AP165)</f>
      </c>
      <c r="AQ166" s="259">
        <f>SUM(AQ162:AQ165)</f>
      </c>
      <c r="AR166" s="259">
        <f>SUM(AR162:AR165)</f>
      </c>
      <c r="AS166" s="263">
        <f>SUM(AS162:AS165)</f>
      </c>
    </row>
    <row r="167">
      <c r="A167" s="244"/>
      <c r="B167" s="264" t="s">
        <v>273</v>
      </c>
      <c r="C167" s="264"/>
      <c r="D167" s="264"/>
      <c r="E167" s="264"/>
      <c r="F167" s="265">
        <f t="shared" ref="F167:F170" si="58">G167+I167+H167</f>
      </c>
      <c r="G167" s="265">
        <f>G158+G166+G161</f>
      </c>
      <c r="H167" s="265">
        <f>H158+H166+H161</f>
      </c>
      <c r="I167" s="265">
        <f>I158+I166+I161</f>
      </c>
      <c r="J167" s="265">
        <f>J158+J166+J161</f>
      </c>
      <c r="K167" s="265">
        <f>K158+K166+K161</f>
      </c>
      <c r="L167" s="265">
        <f>L158+L166+L161</f>
      </c>
      <c r="M167" s="267">
        <f t="shared" si="0"/>
      </c>
      <c r="N167" s="268">
        <f t="shared" si="69"/>
      </c>
      <c r="O167" s="269">
        <f t="shared" si="20"/>
      </c>
      <c r="P167" s="269">
        <f t="shared" si="79"/>
      </c>
      <c r="Q167" s="269">
        <f t="shared" si="74"/>
      </c>
      <c r="R167" s="269">
        <f t="shared" si="87"/>
      </c>
      <c r="S167" s="269">
        <f t="shared" si="83"/>
      </c>
      <c r="T167" s="269">
        <f t="shared" si="17"/>
      </c>
      <c r="U167" s="269">
        <f t="shared" si="2"/>
      </c>
      <c r="V167" s="267">
        <f t="shared" si="71"/>
      </c>
      <c r="W167" s="267">
        <f t="shared" si="22"/>
      </c>
      <c r="X167" s="267">
        <f t="shared" si="24"/>
      </c>
      <c r="Y167" s="267">
        <f t="shared" si="26"/>
      </c>
      <c r="Z167" s="267">
        <f t="shared" si="81"/>
      </c>
      <c r="AA167" s="267">
        <f t="shared" si="76"/>
      </c>
      <c r="AB167" s="268">
        <f t="shared" si="89"/>
      </c>
      <c r="AC167" s="268">
        <f t="shared" si="85"/>
      </c>
      <c r="AD167" s="268">
        <f t="shared" si="4"/>
      </c>
      <c r="AE167" s="267">
        <f t="shared" si="91"/>
      </c>
      <c r="AF167" s="268">
        <f t="shared" si="28"/>
      </c>
      <c r="AG167" s="267">
        <f t="shared" si="19"/>
      </c>
      <c r="AH167" s="267">
        <f t="shared" si="78"/>
      </c>
      <c r="AI167" s="270">
        <f>AI158+AI166+AI161</f>
      </c>
      <c r="AJ167" s="270">
        <f>AJ158+AJ166+AJ161</f>
      </c>
      <c r="AK167" s="270">
        <f>AK158+AK166+AK161</f>
      </c>
      <c r="AL167" s="270">
        <f>AL158+AL166+AL161</f>
      </c>
      <c r="AM167" s="270">
        <f>AM158+AM166+AM161</f>
      </c>
      <c r="AN167" s="270">
        <f>AN158+AN166+AN161</f>
      </c>
      <c r="AO167" s="270">
        <f>AO158+AO166+AO161</f>
      </c>
      <c r="AP167" s="270">
        <f>AP158+AP166+AP161</f>
      </c>
      <c r="AQ167" s="270">
        <f>AQ158+AQ166+AQ161</f>
      </c>
      <c r="AR167" s="270">
        <f>AR158+AR166+AR161</f>
      </c>
      <c r="AS167" s="263">
        <f>AS158+AS166+AS161</f>
      </c>
    </row>
    <row r="168">
      <c r="A168" s="244">
        <v>46262</v>
      </c>
      <c r="B168" s="245" t="s">
        <v>285</v>
      </c>
      <c r="C168" s="245" t="s">
        <v>263</v>
      </c>
      <c r="D168" s="246" t="s">
        <v>287</v>
      </c>
      <c r="E168" s="245" t="s">
        <v>280</v>
      </c>
      <c r="F168" s="247">
        <f t="shared" si="58"/>
      </c>
      <c r="G168" s="248">
        <v>0</v>
      </c>
      <c r="H168" s="274">
        <v>2888.93</v>
      </c>
      <c r="I168" s="274">
        <v>357.56</v>
      </c>
      <c r="J168" s="249">
        <v>5</v>
      </c>
      <c r="K168" s="249">
        <v>4</v>
      </c>
      <c r="L168" s="250">
        <v>3660</v>
      </c>
      <c r="M168" s="251">
        <f t="shared" si="0"/>
      </c>
      <c r="N168" s="252">
        <f t="shared" si="69"/>
      </c>
      <c r="O168" s="253">
        <f t="shared" si="20"/>
      </c>
      <c r="P168" s="253">
        <f t="shared" si="79"/>
      </c>
      <c r="Q168" s="253">
        <f t="shared" si="74"/>
      </c>
      <c r="R168" s="253">
        <f t="shared" si="87"/>
      </c>
      <c r="S168" s="253">
        <f t="shared" si="83"/>
      </c>
      <c r="T168" s="253">
        <f t="shared" si="17"/>
      </c>
      <c r="U168" s="253">
        <f t="shared" si="2"/>
      </c>
      <c r="V168" s="251">
        <f t="shared" si="71"/>
      </c>
      <c r="W168" s="251">
        <f t="shared" si="22"/>
      </c>
      <c r="X168" s="251">
        <f t="shared" si="24"/>
      </c>
      <c r="Y168" s="251">
        <f t="shared" si="26"/>
      </c>
      <c r="Z168" s="251">
        <f t="shared" si="81"/>
      </c>
      <c r="AA168" s="251">
        <f t="shared" si="76"/>
      </c>
      <c r="AB168" s="252">
        <f t="shared" si="89"/>
      </c>
      <c r="AC168" s="252">
        <f t="shared" si="85"/>
      </c>
      <c r="AD168" s="252">
        <f t="shared" si="4"/>
      </c>
      <c r="AE168" s="251">
        <f t="shared" si="91"/>
      </c>
      <c r="AF168" s="252">
        <f t="shared" si="28"/>
      </c>
      <c r="AG168" s="251">
        <f t="shared" si="19"/>
      </c>
      <c r="AH168" s="251">
        <f t="shared" si="78"/>
      </c>
      <c r="AI168" s="254">
        <v>16527</v>
      </c>
      <c r="AJ168" s="273">
        <v>323</v>
      </c>
      <c r="AK168" s="273">
        <v>320</v>
      </c>
      <c r="AL168" s="254">
        <v>102</v>
      </c>
      <c r="AM168" s="254">
        <v>5</v>
      </c>
      <c r="AN168" s="254">
        <v>4</v>
      </c>
      <c r="AO168" s="254">
        <v>65</v>
      </c>
      <c r="AP168" s="254">
        <v>48</v>
      </c>
      <c r="AQ168" s="254">
        <v>4</v>
      </c>
      <c r="AR168" s="249">
        <v>0</v>
      </c>
      <c r="AS168" s="271">
        <v>1</v>
      </c>
    </row>
    <row r="169">
      <c r="A169" s="244"/>
      <c r="B169" s="245" t="s">
        <v>285</v>
      </c>
      <c r="C169" s="245" t="s">
        <v>263</v>
      </c>
      <c r="D169" s="246" t="s">
        <v>287</v>
      </c>
      <c r="E169" s="245" t="s">
        <v>281</v>
      </c>
      <c r="F169" s="247">
        <f t="shared" si="58"/>
      </c>
      <c r="G169" s="248">
        <v>0</v>
      </c>
      <c r="H169" s="275">
        <v>2039.82</v>
      </c>
      <c r="I169" s="274">
        <v>265.21</v>
      </c>
      <c r="J169" s="254">
        <v>4</v>
      </c>
      <c r="K169" s="254">
        <v>5</v>
      </c>
      <c r="L169" s="276">
        <v>2662.7999999999993</v>
      </c>
      <c r="M169" s="251">
        <f t="shared" si="0"/>
      </c>
      <c r="N169" s="252">
        <f t="shared" si="69"/>
      </c>
      <c r="O169" s="253">
        <f t="shared" si="20"/>
      </c>
      <c r="P169" s="253">
        <f t="shared" si="79"/>
      </c>
      <c r="Q169" s="253">
        <f t="shared" si="74"/>
      </c>
      <c r="R169" s="253">
        <f t="shared" si="87"/>
      </c>
      <c r="S169" s="253">
        <f t="shared" si="83"/>
      </c>
      <c r="T169" s="253">
        <f t="shared" si="17"/>
      </c>
      <c r="U169" s="253">
        <f t="shared" si="2"/>
      </c>
      <c r="V169" s="251">
        <f t="shared" si="71"/>
      </c>
      <c r="W169" s="251">
        <f t="shared" si="22"/>
      </c>
      <c r="X169" s="251">
        <f t="shared" si="24"/>
      </c>
      <c r="Y169" s="251">
        <f t="shared" si="26"/>
      </c>
      <c r="Z169" s="251">
        <f t="shared" si="81"/>
      </c>
      <c r="AA169" s="251">
        <f t="shared" si="76"/>
      </c>
      <c r="AB169" s="252">
        <f t="shared" si="89"/>
      </c>
      <c r="AC169" s="252">
        <f t="shared" si="85"/>
      </c>
      <c r="AD169" s="252">
        <f t="shared" si="4"/>
      </c>
      <c r="AE169" s="251">
        <f t="shared" si="91"/>
      </c>
      <c r="AF169" s="252">
        <f t="shared" si="28"/>
      </c>
      <c r="AG169" s="251">
        <f t="shared" si="19"/>
      </c>
      <c r="AH169" s="251">
        <f t="shared" si="78"/>
      </c>
      <c r="AI169" s="254">
        <v>12211</v>
      </c>
      <c r="AJ169" s="254">
        <v>245</v>
      </c>
      <c r="AK169" s="254">
        <v>229</v>
      </c>
      <c r="AL169" s="254">
        <v>83</v>
      </c>
      <c r="AM169" s="254">
        <v>4</v>
      </c>
      <c r="AN169" s="254">
        <v>2</v>
      </c>
      <c r="AO169" s="254">
        <v>61</v>
      </c>
      <c r="AP169" s="254">
        <v>72</v>
      </c>
      <c r="AQ169" s="249">
        <v>4</v>
      </c>
      <c r="AR169" s="249">
        <v>2</v>
      </c>
      <c r="AS169" s="271">
        <v>1</v>
      </c>
    </row>
    <row r="170">
      <c r="A170" s="244"/>
      <c r="B170" s="245" t="s">
        <v>285</v>
      </c>
      <c r="C170" s="245" t="s">
        <v>263</v>
      </c>
      <c r="D170" s="246" t="s">
        <v>287</v>
      </c>
      <c r="E170" s="245" t="s">
        <v>282</v>
      </c>
      <c r="F170" s="247">
        <f t="shared" si="58"/>
      </c>
      <c r="G170" s="248">
        <v>0</v>
      </c>
      <c r="H170" s="274">
        <v>2102.92</v>
      </c>
      <c r="I170" s="274">
        <v>424.59</v>
      </c>
      <c r="J170" s="254">
        <v>4</v>
      </c>
      <c r="K170" s="254">
        <v>4</v>
      </c>
      <c r="L170" s="276">
        <v>2170.7999999999993</v>
      </c>
      <c r="M170" s="251">
        <f t="shared" si="0"/>
      </c>
      <c r="N170" s="252">
        <f t="shared" si="69"/>
      </c>
      <c r="O170" s="253">
        <f t="shared" si="20"/>
      </c>
      <c r="P170" s="253">
        <f t="shared" si="79"/>
      </c>
      <c r="Q170" s="253">
        <f t="shared" si="74"/>
      </c>
      <c r="R170" s="253">
        <f t="shared" si="87"/>
      </c>
      <c r="S170" s="253">
        <f t="shared" si="83"/>
      </c>
      <c r="T170" s="253">
        <f t="shared" si="17"/>
      </c>
      <c r="U170" s="253">
        <f t="shared" si="2"/>
      </c>
      <c r="V170" s="251">
        <f t="shared" si="71"/>
      </c>
      <c r="W170" s="251">
        <f t="shared" si="22"/>
      </c>
      <c r="X170" s="251">
        <f t="shared" si="24"/>
      </c>
      <c r="Y170" s="251">
        <f t="shared" si="26"/>
      </c>
      <c r="Z170" s="251">
        <f t="shared" si="81"/>
      </c>
      <c r="AA170" s="251">
        <f t="shared" si="76"/>
      </c>
      <c r="AB170" s="252">
        <f t="shared" si="89"/>
      </c>
      <c r="AC170" s="252">
        <f t="shared" si="85"/>
      </c>
      <c r="AD170" s="252">
        <f t="shared" si="4"/>
      </c>
      <c r="AE170" s="251">
        <f t="shared" si="91"/>
      </c>
      <c r="AF170" s="252">
        <f t="shared" si="28"/>
      </c>
      <c r="AG170" s="251">
        <f t="shared" si="19"/>
      </c>
      <c r="AH170" s="251">
        <f t="shared" si="78"/>
      </c>
      <c r="AI170" s="254">
        <v>13844</v>
      </c>
      <c r="AJ170" s="254">
        <v>282</v>
      </c>
      <c r="AK170" s="254">
        <v>292</v>
      </c>
      <c r="AL170" s="254">
        <v>77</v>
      </c>
      <c r="AM170" s="254">
        <v>3</v>
      </c>
      <c r="AN170" s="254">
        <v>3</v>
      </c>
      <c r="AO170" s="254">
        <v>57</v>
      </c>
      <c r="AP170" s="254">
        <v>70</v>
      </c>
      <c r="AQ170" s="254">
        <v>2</v>
      </c>
      <c r="AR170" s="249">
        <v>1</v>
      </c>
      <c r="AS170" s="271">
        <v>1</v>
      </c>
    </row>
    <row r="171">
      <c r="A171" s="244"/>
      <c r="B171" s="257" t="s">
        <v>268</v>
      </c>
      <c r="C171" s="257"/>
      <c r="D171" s="257"/>
      <c r="E171" s="257"/>
      <c r="F171" s="258">
        <f>SUM(F168:F170)</f>
      </c>
      <c r="G171" s="258">
        <f>SUM(G168:G170)</f>
      </c>
      <c r="H171" s="258">
        <f>SUM(H168:H170)</f>
      </c>
      <c r="I171" s="258">
        <f>SUM(I168:I170)</f>
      </c>
      <c r="J171" s="259">
        <f>SUM(J168:J170)</f>
      </c>
      <c r="K171" s="259">
        <f>SUM(K168:K170)</f>
      </c>
      <c r="L171" s="258">
        <f>SUM(L168:L170)</f>
      </c>
      <c r="M171" s="260">
        <f t="shared" si="0"/>
      </c>
      <c r="N171" s="261">
        <f t="shared" si="69"/>
      </c>
      <c r="O171" s="262">
        <f t="shared" si="20"/>
      </c>
      <c r="P171" s="262">
        <f t="shared" si="79"/>
      </c>
      <c r="Q171" s="262">
        <f t="shared" si="74"/>
      </c>
      <c r="R171" s="262">
        <f t="shared" si="87"/>
      </c>
      <c r="S171" s="262">
        <f t="shared" si="83"/>
      </c>
      <c r="T171" s="262">
        <f t="shared" si="17"/>
      </c>
      <c r="U171" s="262">
        <f t="shared" si="2"/>
      </c>
      <c r="V171" s="260">
        <f t="shared" si="71"/>
      </c>
      <c r="W171" s="260">
        <f t="shared" si="22"/>
      </c>
      <c r="X171" s="260">
        <f t="shared" si="24"/>
      </c>
      <c r="Y171" s="260">
        <f t="shared" si="26"/>
      </c>
      <c r="Z171" s="260">
        <f t="shared" si="81"/>
      </c>
      <c r="AA171" s="260">
        <f t="shared" si="76"/>
      </c>
      <c r="AB171" s="261">
        <f t="shared" si="89"/>
      </c>
      <c r="AC171" s="261">
        <f t="shared" si="85"/>
      </c>
      <c r="AD171" s="261">
        <f t="shared" si="4"/>
      </c>
      <c r="AE171" s="260">
        <f t="shared" si="91"/>
      </c>
      <c r="AF171" s="261">
        <f t="shared" si="28"/>
      </c>
      <c r="AG171" s="260">
        <f t="shared" si="19"/>
      </c>
      <c r="AH171" s="260">
        <f t="shared" si="78"/>
      </c>
      <c r="AI171" s="259">
        <f>SUM(AI168:AI170)</f>
      </c>
      <c r="AJ171" s="259">
        <f>SUM(AJ168:AJ170)</f>
      </c>
      <c r="AK171" s="259">
        <f>SUM(AK168:AK170)</f>
      </c>
      <c r="AL171" s="259">
        <f>SUM(AL168:AL170)</f>
      </c>
      <c r="AM171" s="259">
        <f>SUM(AM168:AM170)</f>
      </c>
      <c r="AN171" s="259">
        <f>SUM(AN168:AN170)</f>
      </c>
      <c r="AO171" s="259">
        <f>SUM(AO168:AO170)</f>
      </c>
      <c r="AP171" s="259">
        <f>SUM(AP168:AP170)</f>
      </c>
      <c r="AQ171" s="259">
        <f>SUM(AQ168:AQ170)</f>
      </c>
      <c r="AR171" s="259">
        <f>SUM(AR168:AR170)</f>
      </c>
      <c r="AS171" s="263">
        <f>SUM(AS168:AS170)</f>
      </c>
    </row>
    <row r="172">
      <c r="A172" s="244"/>
      <c r="B172" s="245" t="s">
        <v>285</v>
      </c>
      <c r="C172" s="245" t="s">
        <v>263</v>
      </c>
      <c r="D172" s="246" t="s">
        <v>269</v>
      </c>
      <c r="E172" s="246" t="s">
        <v>288</v>
      </c>
      <c r="F172" s="247">
        <f t="shared" ref="F172:F173" si="59">G172+I172+H172</f>
      </c>
      <c r="G172" s="248">
        <v>0</v>
      </c>
      <c r="H172" s="274">
        <v>2109.37</v>
      </c>
      <c r="I172" s="274">
        <v>735.17</v>
      </c>
      <c r="J172" s="254">
        <v>4</v>
      </c>
      <c r="K172" s="254">
        <v>2</v>
      </c>
      <c r="L172" s="276">
        <v>1441.2000000000007</v>
      </c>
      <c r="M172" s="251">
        <f t="shared" si="0"/>
      </c>
      <c r="N172" s="252">
        <f t="shared" si="69"/>
      </c>
      <c r="O172" s="253">
        <f t="shared" si="20"/>
      </c>
      <c r="P172" s="253">
        <f t="shared" si="79"/>
      </c>
      <c r="Q172" s="253">
        <f t="shared" si="74"/>
      </c>
      <c r="R172" s="253">
        <f t="shared" si="87"/>
      </c>
      <c r="S172" s="253">
        <f t="shared" si="83"/>
      </c>
      <c r="T172" s="253">
        <f t="shared" si="17"/>
      </c>
      <c r="U172" s="253">
        <f t="shared" si="2"/>
      </c>
      <c r="V172" s="251">
        <f t="shared" si="71"/>
      </c>
      <c r="W172" s="251">
        <f t="shared" si="22"/>
      </c>
      <c r="X172" s="251">
        <f t="shared" si="24"/>
      </c>
      <c r="Y172" s="251">
        <f t="shared" si="26"/>
      </c>
      <c r="Z172" s="251">
        <f t="shared" si="81"/>
      </c>
      <c r="AA172" s="251">
        <f t="shared" si="76"/>
      </c>
      <c r="AB172" s="252">
        <f t="shared" si="89"/>
      </c>
      <c r="AC172" s="252">
        <f t="shared" si="85"/>
      </c>
      <c r="AD172" s="252">
        <f t="shared" si="4"/>
      </c>
      <c r="AE172" s="251">
        <f t="shared" si="91"/>
      </c>
      <c r="AF172" s="252">
        <f t="shared" si="28"/>
      </c>
      <c r="AG172" s="251">
        <f t="shared" si="19"/>
      </c>
      <c r="AH172" s="251">
        <f t="shared" si="78"/>
      </c>
      <c r="AI172" s="254">
        <v>18221</v>
      </c>
      <c r="AJ172" s="254">
        <v>371</v>
      </c>
      <c r="AK172" s="254">
        <v>384</v>
      </c>
      <c r="AL172" s="254">
        <v>78</v>
      </c>
      <c r="AM172" s="254">
        <v>4</v>
      </c>
      <c r="AN172" s="254">
        <v>3</v>
      </c>
      <c r="AO172" s="254">
        <v>73</v>
      </c>
      <c r="AP172" s="254">
        <v>101</v>
      </c>
      <c r="AQ172" s="254">
        <v>6</v>
      </c>
      <c r="AR172" s="249">
        <v>0</v>
      </c>
      <c r="AS172" s="271">
        <v>1</v>
      </c>
    </row>
    <row r="173">
      <c r="A173" s="244"/>
      <c r="B173" s="245" t="s">
        <v>285</v>
      </c>
      <c r="C173" s="245" t="s">
        <v>263</v>
      </c>
      <c r="D173" s="246" t="s">
        <v>269</v>
      </c>
      <c r="E173" s="246" t="s">
        <v>289</v>
      </c>
      <c r="F173" s="247">
        <f t="shared" si="59"/>
      </c>
      <c r="G173" s="248">
        <v>0</v>
      </c>
      <c r="H173" s="274">
        <v>1856.86</v>
      </c>
      <c r="I173" s="274">
        <v>716.53</v>
      </c>
      <c r="J173" s="254">
        <v>2</v>
      </c>
      <c r="K173" s="254">
        <v>2</v>
      </c>
      <c r="L173" s="276">
        <v>1261.199999999999</v>
      </c>
      <c r="M173" s="251">
        <f t="shared" si="0"/>
      </c>
      <c r="N173" s="252">
        <f t="shared" si="69"/>
      </c>
      <c r="O173" s="253">
        <f t="shared" si="20"/>
      </c>
      <c r="P173" s="253">
        <f t="shared" si="79"/>
      </c>
      <c r="Q173" s="253">
        <f t="shared" si="74"/>
      </c>
      <c r="R173" s="253">
        <f t="shared" si="87"/>
      </c>
      <c r="S173" s="253">
        <f t="shared" si="83"/>
      </c>
      <c r="T173" s="253">
        <f t="shared" si="17"/>
      </c>
      <c r="U173" s="253">
        <f t="shared" si="2"/>
      </c>
      <c r="V173" s="251">
        <f t="shared" si="71"/>
      </c>
      <c r="W173" s="251">
        <f t="shared" si="22"/>
      </c>
      <c r="X173" s="251">
        <f t="shared" si="24"/>
      </c>
      <c r="Y173" s="251">
        <f t="shared" si="26"/>
      </c>
      <c r="Z173" s="251">
        <f t="shared" si="81"/>
      </c>
      <c r="AA173" s="251">
        <f t="shared" si="76"/>
      </c>
      <c r="AB173" s="252">
        <f t="shared" si="89"/>
      </c>
      <c r="AC173" s="252">
        <f t="shared" si="85"/>
      </c>
      <c r="AD173" s="252">
        <f t="shared" si="4"/>
      </c>
      <c r="AE173" s="251">
        <f t="shared" si="91"/>
      </c>
      <c r="AF173" s="252">
        <f t="shared" si="28"/>
      </c>
      <c r="AG173" s="251">
        <f t="shared" si="19"/>
      </c>
      <c r="AH173" s="251">
        <f t="shared" si="78"/>
      </c>
      <c r="AI173" s="254">
        <v>15476</v>
      </c>
      <c r="AJ173" s="254">
        <v>348</v>
      </c>
      <c r="AK173" s="254">
        <v>357</v>
      </c>
      <c r="AL173" s="254">
        <v>89</v>
      </c>
      <c r="AM173" s="254">
        <v>2</v>
      </c>
      <c r="AN173" s="254">
        <v>2</v>
      </c>
      <c r="AO173" s="254">
        <v>63</v>
      </c>
      <c r="AP173" s="254">
        <v>77</v>
      </c>
      <c r="AQ173" s="254">
        <v>9</v>
      </c>
      <c r="AR173" s="249">
        <v>0</v>
      </c>
      <c r="AS173" s="271">
        <v>1</v>
      </c>
    </row>
    <row r="174">
      <c r="A174" s="244"/>
      <c r="B174" s="257" t="s">
        <v>268</v>
      </c>
      <c r="C174" s="257"/>
      <c r="D174" s="257"/>
      <c r="E174" s="257"/>
      <c r="F174" s="258">
        <f>SUM(F172:F173)</f>
      </c>
      <c r="G174" s="258">
        <f>SUM(G172:G173)</f>
      </c>
      <c r="H174" s="258">
        <f>SUM(H172:H173)</f>
      </c>
      <c r="I174" s="258">
        <f>SUM(I172:I173)</f>
      </c>
      <c r="J174" s="259">
        <f>SUM(J172:J173)</f>
      </c>
      <c r="K174" s="259">
        <f>SUM(K172:K173)</f>
      </c>
      <c r="L174" s="258">
        <f>SUM(L172:L173)</f>
      </c>
      <c r="M174" s="260">
        <f t="shared" si="0"/>
      </c>
      <c r="N174" s="261">
        <f t="shared" si="69"/>
      </c>
      <c r="O174" s="262">
        <f t="shared" si="20"/>
      </c>
      <c r="P174" s="262">
        <f t="shared" si="79"/>
      </c>
      <c r="Q174" s="262">
        <f t="shared" si="74"/>
      </c>
      <c r="R174" s="262">
        <f t="shared" si="87"/>
      </c>
      <c r="S174" s="262">
        <f t="shared" si="83"/>
      </c>
      <c r="T174" s="262">
        <f t="shared" si="17"/>
      </c>
      <c r="U174" s="262">
        <f t="shared" si="2"/>
      </c>
      <c r="V174" s="260">
        <f t="shared" si="71"/>
      </c>
      <c r="W174" s="260">
        <f t="shared" si="22"/>
      </c>
      <c r="X174" s="260">
        <f t="shared" si="24"/>
      </c>
      <c r="Y174" s="260">
        <f t="shared" si="26"/>
      </c>
      <c r="Z174" s="260">
        <f t="shared" si="81"/>
      </c>
      <c r="AA174" s="260">
        <f t="shared" si="76"/>
      </c>
      <c r="AB174" s="261">
        <f t="shared" si="89"/>
      </c>
      <c r="AC174" s="261">
        <f t="shared" si="85"/>
      </c>
      <c r="AD174" s="261">
        <f t="shared" si="4"/>
      </c>
      <c r="AE174" s="260">
        <f t="shared" si="91"/>
      </c>
      <c r="AF174" s="261">
        <f t="shared" si="28"/>
      </c>
      <c r="AG174" s="260">
        <f t="shared" si="19"/>
      </c>
      <c r="AH174" s="260">
        <f t="shared" si="78"/>
      </c>
      <c r="AI174" s="259">
        <f>SUM(AI172:AI173)</f>
      </c>
      <c r="AJ174" s="259">
        <f>SUM(AJ172:AJ173)</f>
      </c>
      <c r="AK174" s="259">
        <f>SUM(AK172:AK173)</f>
      </c>
      <c r="AL174" s="259">
        <f>SUM(AL172:AL173)</f>
      </c>
      <c r="AM174" s="259">
        <f>SUM(AM172:AM173)</f>
      </c>
      <c r="AN174" s="259">
        <f>SUM(AN172:AN173)</f>
      </c>
      <c r="AO174" s="259">
        <f>SUM(AO172:AO173)</f>
      </c>
      <c r="AP174" s="259">
        <f>SUM(AP172:AP173)</f>
      </c>
      <c r="AQ174" s="259">
        <f>SUM(AQ172:AQ173)</f>
      </c>
      <c r="AR174" s="259">
        <f>SUM(AR172:AR173)</f>
      </c>
      <c r="AS174" s="263">
        <f>SUM(AS172:AS173)</f>
      </c>
    </row>
    <row r="175">
      <c r="A175" s="244"/>
      <c r="B175" s="245" t="s">
        <v>285</v>
      </c>
      <c r="C175" s="245" t="s">
        <v>263</v>
      </c>
      <c r="D175" s="245" t="s">
        <v>264</v>
      </c>
      <c r="E175" s="246" t="s">
        <v>290</v>
      </c>
      <c r="F175" s="247">
        <f t="shared" ref="F175:F177" si="60">G175+I175+H175</f>
      </c>
      <c r="G175" s="248">
        <v>0</v>
      </c>
      <c r="H175" s="274">
        <v>1447.81</v>
      </c>
      <c r="I175" s="274">
        <v>717.33</v>
      </c>
      <c r="J175" s="249">
        <v>2</v>
      </c>
      <c r="K175" s="249">
        <v>2</v>
      </c>
      <c r="L175" s="250">
        <v>1766.199999999999</v>
      </c>
      <c r="M175" s="251">
        <f t="shared" si="0"/>
      </c>
      <c r="N175" s="252">
        <f t="shared" si="69"/>
      </c>
      <c r="O175" s="253">
        <f t="shared" si="20"/>
      </c>
      <c r="P175" s="253">
        <f t="shared" si="79"/>
      </c>
      <c r="Q175" s="253">
        <f t="shared" si="74"/>
      </c>
      <c r="R175" s="253">
        <f t="shared" si="87"/>
      </c>
      <c r="S175" s="253">
        <f t="shared" si="83"/>
      </c>
      <c r="T175" s="253">
        <f t="shared" si="17"/>
      </c>
      <c r="U175" s="253">
        <f t="shared" si="2"/>
      </c>
      <c r="V175" s="251">
        <f t="shared" si="71"/>
      </c>
      <c r="W175" s="251">
        <f t="shared" si="22"/>
      </c>
      <c r="X175" s="251">
        <f t="shared" si="24"/>
      </c>
      <c r="Y175" s="251">
        <f t="shared" si="26"/>
      </c>
      <c r="Z175" s="251">
        <f t="shared" si="81"/>
      </c>
      <c r="AA175" s="251">
        <f t="shared" si="76"/>
      </c>
      <c r="AB175" s="252">
        <f t="shared" si="89"/>
      </c>
      <c r="AC175" s="252">
        <f t="shared" si="85"/>
      </c>
      <c r="AD175" s="252">
        <f t="shared" si="4"/>
      </c>
      <c r="AE175" s="251">
        <f t="shared" si="91"/>
      </c>
      <c r="AF175" s="252">
        <f t="shared" si="28"/>
      </c>
      <c r="AG175" s="251">
        <f t="shared" si="19"/>
      </c>
      <c r="AH175" s="251">
        <f t="shared" si="78"/>
      </c>
      <c r="AI175" s="254">
        <v>13154</v>
      </c>
      <c r="AJ175" s="254">
        <v>340</v>
      </c>
      <c r="AK175" s="254">
        <v>352</v>
      </c>
      <c r="AL175" s="254">
        <v>70</v>
      </c>
      <c r="AM175" s="254">
        <v>2</v>
      </c>
      <c r="AN175" s="254">
        <v>2</v>
      </c>
      <c r="AO175" s="254">
        <v>59</v>
      </c>
      <c r="AP175" s="254">
        <v>49</v>
      </c>
      <c r="AQ175" s="254">
        <v>6</v>
      </c>
      <c r="AR175" s="249">
        <v>0</v>
      </c>
      <c r="AS175" s="271">
        <v>1</v>
      </c>
    </row>
    <row r="176">
      <c r="A176" s="244"/>
      <c r="B176" s="245" t="s">
        <v>285</v>
      </c>
      <c r="C176" s="245" t="s">
        <v>263</v>
      </c>
      <c r="D176" s="245" t="s">
        <v>264</v>
      </c>
      <c r="E176" s="246" t="s">
        <v>265</v>
      </c>
      <c r="F176" s="247">
        <f t="shared" si="60"/>
      </c>
      <c r="G176" s="248">
        <v>0</v>
      </c>
      <c r="H176" s="248">
        <v>1520.88</v>
      </c>
      <c r="I176" s="274">
        <v>562.53</v>
      </c>
      <c r="J176" s="254">
        <v>2</v>
      </c>
      <c r="K176" s="254">
        <v>3</v>
      </c>
      <c r="L176" s="276">
        <v>2600.4000000000015</v>
      </c>
      <c r="M176" s="251">
        <f t="shared" si="0"/>
      </c>
      <c r="N176" s="252">
        <f t="shared" si="69"/>
      </c>
      <c r="O176" s="253">
        <f t="shared" si="20"/>
      </c>
      <c r="P176" s="253">
        <f t="shared" si="79"/>
      </c>
      <c r="Q176" s="253">
        <f t="shared" si="74"/>
      </c>
      <c r="R176" s="253">
        <f t="shared" si="87"/>
      </c>
      <c r="S176" s="253">
        <f t="shared" si="83"/>
      </c>
      <c r="T176" s="253">
        <f t="shared" si="17"/>
      </c>
      <c r="U176" s="253">
        <f t="shared" si="2"/>
      </c>
      <c r="V176" s="251">
        <f t="shared" si="71"/>
      </c>
      <c r="W176" s="251">
        <f t="shared" si="22"/>
      </c>
      <c r="X176" s="251">
        <f t="shared" si="24"/>
      </c>
      <c r="Y176" s="251">
        <f t="shared" si="26"/>
      </c>
      <c r="Z176" s="251">
        <f t="shared" si="81"/>
      </c>
      <c r="AA176" s="251">
        <f t="shared" si="76"/>
      </c>
      <c r="AB176" s="252">
        <f t="shared" si="89"/>
      </c>
      <c r="AC176" s="252">
        <f t="shared" si="85"/>
      </c>
      <c r="AD176" s="252">
        <f t="shared" si="4"/>
      </c>
      <c r="AE176" s="251">
        <f t="shared" si="91"/>
      </c>
      <c r="AF176" s="252">
        <f t="shared" si="28"/>
      </c>
      <c r="AG176" s="251">
        <f t="shared" si="19"/>
      </c>
      <c r="AH176" s="251">
        <f t="shared" si="78"/>
      </c>
      <c r="AI176" s="254">
        <v>14740</v>
      </c>
      <c r="AJ176" s="254">
        <v>387</v>
      </c>
      <c r="AK176" s="254">
        <v>402</v>
      </c>
      <c r="AL176" s="254">
        <v>68</v>
      </c>
      <c r="AM176" s="254">
        <v>2</v>
      </c>
      <c r="AN176" s="254">
        <v>2</v>
      </c>
      <c r="AO176" s="254">
        <v>57</v>
      </c>
      <c r="AP176" s="254">
        <v>66</v>
      </c>
      <c r="AQ176" s="254">
        <v>8</v>
      </c>
      <c r="AR176" s="249">
        <v>1</v>
      </c>
      <c r="AS176" s="271">
        <v>1</v>
      </c>
    </row>
    <row r="177">
      <c r="A177" s="244"/>
      <c r="B177" s="245" t="s">
        <v>285</v>
      </c>
      <c r="C177" s="245" t="s">
        <v>263</v>
      </c>
      <c r="D177" s="245" t="s">
        <v>264</v>
      </c>
      <c r="E177" s="246" t="s">
        <v>266</v>
      </c>
      <c r="F177" s="247">
        <f t="shared" si="60"/>
      </c>
      <c r="G177" s="248">
        <v>0</v>
      </c>
      <c r="H177" s="248">
        <v>1445.14</v>
      </c>
      <c r="I177" s="274">
        <v>565.39</v>
      </c>
      <c r="J177" s="254">
        <v>6</v>
      </c>
      <c r="K177" s="254">
        <v>7</v>
      </c>
      <c r="L177" s="276">
        <v>4318.5999999999985</v>
      </c>
      <c r="M177" s="251">
        <f t="shared" si="0"/>
      </c>
      <c r="N177" s="252">
        <f t="shared" si="69"/>
      </c>
      <c r="O177" s="253">
        <f t="shared" si="20"/>
      </c>
      <c r="P177" s="253">
        <f t="shared" si="79"/>
      </c>
      <c r="Q177" s="253">
        <f t="shared" si="74"/>
      </c>
      <c r="R177" s="253">
        <f t="shared" si="87"/>
      </c>
      <c r="S177" s="253">
        <f t="shared" si="83"/>
      </c>
      <c r="T177" s="253">
        <f t="shared" si="17"/>
      </c>
      <c r="U177" s="253">
        <f t="shared" si="2"/>
      </c>
      <c r="V177" s="251">
        <f t="shared" si="71"/>
      </c>
      <c r="W177" s="251">
        <f t="shared" si="22"/>
      </c>
      <c r="X177" s="251">
        <f t="shared" si="24"/>
      </c>
      <c r="Y177" s="251">
        <f t="shared" si="26"/>
      </c>
      <c r="Z177" s="251">
        <f t="shared" si="81"/>
      </c>
      <c r="AA177" s="251">
        <f t="shared" si="76"/>
      </c>
      <c r="AB177" s="252">
        <f t="shared" si="89"/>
      </c>
      <c r="AC177" s="252">
        <f t="shared" si="85"/>
      </c>
      <c r="AD177" s="252">
        <f t="shared" si="4"/>
      </c>
      <c r="AE177" s="251">
        <f t="shared" si="91"/>
      </c>
      <c r="AF177" s="252">
        <f t="shared" si="28"/>
      </c>
      <c r="AG177" s="251">
        <f t="shared" si="19"/>
      </c>
      <c r="AH177" s="251">
        <f t="shared" si="78"/>
      </c>
      <c r="AI177" s="254">
        <v>13210</v>
      </c>
      <c r="AJ177" s="254">
        <v>352</v>
      </c>
      <c r="AK177" s="254">
        <v>364</v>
      </c>
      <c r="AL177" s="254">
        <v>61</v>
      </c>
      <c r="AM177" s="254">
        <v>4</v>
      </c>
      <c r="AN177" s="254">
        <v>4</v>
      </c>
      <c r="AO177" s="254">
        <v>74</v>
      </c>
      <c r="AP177" s="254">
        <v>86</v>
      </c>
      <c r="AQ177" s="254">
        <v>5</v>
      </c>
      <c r="AR177" s="249">
        <v>1</v>
      </c>
      <c r="AS177" s="271">
        <v>1</v>
      </c>
    </row>
    <row r="178">
      <c r="A178" s="244"/>
      <c r="B178" s="257" t="s">
        <v>268</v>
      </c>
      <c r="C178" s="257"/>
      <c r="D178" s="257"/>
      <c r="E178" s="257"/>
      <c r="F178" s="258">
        <f>SUM(F175:F177)</f>
      </c>
      <c r="G178" s="258">
        <f>SUM(G175:G177)</f>
      </c>
      <c r="H178" s="258">
        <f>SUM(H175:H177)</f>
      </c>
      <c r="I178" s="258">
        <f>SUM(I175:I177)</f>
      </c>
      <c r="J178" s="259">
        <f>SUM(J175:J177)</f>
      </c>
      <c r="K178" s="259">
        <f>SUM(K175:K177)</f>
      </c>
      <c r="L178" s="258">
        <f>SUM(L175:L177)</f>
      </c>
      <c r="M178" s="260">
        <f t="shared" si="0"/>
      </c>
      <c r="N178" s="261">
        <f t="shared" si="69"/>
      </c>
      <c r="O178" s="262">
        <f t="shared" si="20"/>
      </c>
      <c r="P178" s="262">
        <f t="shared" si="79"/>
      </c>
      <c r="Q178" s="262">
        <f t="shared" si="74"/>
      </c>
      <c r="R178" s="262">
        <f t="shared" si="87"/>
      </c>
      <c r="S178" s="262">
        <f t="shared" si="83"/>
      </c>
      <c r="T178" s="262">
        <f t="shared" si="17"/>
      </c>
      <c r="U178" s="262">
        <f t="shared" si="2"/>
      </c>
      <c r="V178" s="260">
        <f t="shared" si="71"/>
      </c>
      <c r="W178" s="260">
        <f t="shared" si="22"/>
      </c>
      <c r="X178" s="260">
        <f t="shared" si="24"/>
      </c>
      <c r="Y178" s="260">
        <f t="shared" si="26"/>
      </c>
      <c r="Z178" s="260">
        <f t="shared" si="81"/>
      </c>
      <c r="AA178" s="260">
        <f t="shared" si="76"/>
      </c>
      <c r="AB178" s="261">
        <f t="shared" si="89"/>
      </c>
      <c r="AC178" s="261">
        <f t="shared" si="85"/>
      </c>
      <c r="AD178" s="261">
        <f t="shared" si="4"/>
      </c>
      <c r="AE178" s="260">
        <f t="shared" si="91"/>
      </c>
      <c r="AF178" s="261">
        <f t="shared" si="28"/>
      </c>
      <c r="AG178" s="260">
        <f t="shared" si="19"/>
      </c>
      <c r="AH178" s="260">
        <f t="shared" si="78"/>
      </c>
      <c r="AI178" s="259">
        <f>SUM(AI175:AI177)</f>
      </c>
      <c r="AJ178" s="259">
        <f>SUM(AJ175:AJ177)</f>
      </c>
      <c r="AK178" s="259">
        <f>SUM(AK175:AK177)</f>
      </c>
      <c r="AL178" s="259">
        <f>SUM(AL175:AL177)</f>
      </c>
      <c r="AM178" s="259">
        <f>SUM(AM175:AM177)</f>
      </c>
      <c r="AN178" s="259">
        <f>SUM(AN175:AN177)</f>
      </c>
      <c r="AO178" s="259">
        <f>SUM(AO175:AO177)</f>
      </c>
      <c r="AP178" s="259">
        <f>SUM(AP175:AP177)</f>
      </c>
      <c r="AQ178" s="259">
        <f>SUM(AQ175:AQ177)</f>
      </c>
      <c r="AR178" s="259">
        <f>SUM(AR175:AR177)</f>
      </c>
      <c r="AS178" s="263">
        <f>SUM(AS175:AS177)</f>
      </c>
    </row>
    <row r="179">
      <c r="A179" s="244"/>
      <c r="B179" s="264" t="s">
        <v>273</v>
      </c>
      <c r="C179" s="264"/>
      <c r="D179" s="264"/>
      <c r="E179" s="264"/>
      <c r="F179" s="265">
        <f t="shared" ref="F179:F183" si="61">G179+I179+H179</f>
      </c>
      <c r="G179" s="265">
        <f>G171+G178+G174</f>
      </c>
      <c r="H179" s="265">
        <f>H171+H178+H174</f>
      </c>
      <c r="I179" s="265">
        <f>I171+I178+I174</f>
      </c>
      <c r="J179" s="265">
        <f>J171+J178+J174</f>
      </c>
      <c r="K179" s="265">
        <f>K171+K178+K174</f>
      </c>
      <c r="L179" s="265">
        <f>L171+L178+L174</f>
      </c>
      <c r="M179" s="267">
        <f t="shared" si="0"/>
      </c>
      <c r="N179" s="268">
        <f t="shared" si="69"/>
      </c>
      <c r="O179" s="269">
        <f t="shared" si="20"/>
      </c>
      <c r="P179" s="269">
        <f t="shared" si="79"/>
      </c>
      <c r="Q179" s="269">
        <f t="shared" si="74"/>
      </c>
      <c r="R179" s="269">
        <f t="shared" si="87"/>
      </c>
      <c r="S179" s="269">
        <f t="shared" si="83"/>
      </c>
      <c r="T179" s="269">
        <f t="shared" si="17"/>
      </c>
      <c r="U179" s="269">
        <f t="shared" si="2"/>
      </c>
      <c r="V179" s="267">
        <f t="shared" si="71"/>
      </c>
      <c r="W179" s="267">
        <f t="shared" si="22"/>
      </c>
      <c r="X179" s="267">
        <f t="shared" si="24"/>
      </c>
      <c r="Y179" s="267">
        <f t="shared" si="26"/>
      </c>
      <c r="Z179" s="267">
        <f t="shared" si="81"/>
      </c>
      <c r="AA179" s="267">
        <f t="shared" si="76"/>
      </c>
      <c r="AB179" s="268">
        <f t="shared" si="89"/>
      </c>
      <c r="AC179" s="268">
        <f t="shared" si="85"/>
      </c>
      <c r="AD179" s="268">
        <f t="shared" si="4"/>
      </c>
      <c r="AE179" s="267">
        <f t="shared" si="91"/>
      </c>
      <c r="AF179" s="268">
        <f t="shared" si="28"/>
      </c>
      <c r="AG179" s="267">
        <f t="shared" si="19"/>
      </c>
      <c r="AH179" s="267">
        <f t="shared" si="78"/>
      </c>
      <c r="AI179" s="270">
        <f>AI171+AI178+AI174</f>
      </c>
      <c r="AJ179" s="270">
        <f>AJ171+AJ178+AJ174</f>
      </c>
      <c r="AK179" s="270">
        <f>AK171+AK178+AK174</f>
      </c>
      <c r="AL179" s="270">
        <f>AL171+AL178+AL174</f>
      </c>
      <c r="AM179" s="270">
        <f>AM171+AM178+AM174</f>
      </c>
      <c r="AN179" s="270">
        <f>AN171+AN178+AN174</f>
      </c>
      <c r="AO179" s="270">
        <f>AO171+AO178+AO174</f>
      </c>
      <c r="AP179" s="270">
        <f>AP171+AP178+AP174</f>
      </c>
      <c r="AQ179" s="270">
        <f>AQ171+AQ178+AQ174</f>
      </c>
      <c r="AR179" s="270">
        <f>AR171+AR178+AR174</f>
      </c>
      <c r="AS179" s="263">
        <f>AS171+AS178+AS174</f>
      </c>
    </row>
    <row r="180">
      <c r="A180" s="244">
        <v>46263</v>
      </c>
      <c r="B180" s="245" t="s">
        <v>262</v>
      </c>
      <c r="C180" s="245" t="s">
        <v>263</v>
      </c>
      <c r="D180" s="246" t="s">
        <v>277</v>
      </c>
      <c r="E180" s="246" t="s">
        <v>289</v>
      </c>
      <c r="F180" s="247">
        <f t="shared" si="61"/>
      </c>
      <c r="G180" s="248">
        <v>0</v>
      </c>
      <c r="H180" s="248">
        <v>2485.82</v>
      </c>
      <c r="I180" s="248">
        <v>280.83</v>
      </c>
      <c r="J180" s="249">
        <v>8</v>
      </c>
      <c r="K180" s="249">
        <v>4</v>
      </c>
      <c r="L180" s="250">
        <v>2753.8</v>
      </c>
      <c r="M180" s="251">
        <f t="shared" si="0"/>
      </c>
      <c r="N180" s="252">
        <f t="shared" si="69"/>
      </c>
      <c r="O180" s="253">
        <f t="shared" si="20"/>
      </c>
      <c r="P180" s="253">
        <f t="shared" si="79"/>
      </c>
      <c r="Q180" s="253">
        <f t="shared" si="74"/>
      </c>
      <c r="R180" s="253">
        <f t="shared" si="87"/>
      </c>
      <c r="S180" s="253">
        <f t="shared" si="83"/>
      </c>
      <c r="T180" s="253">
        <f t="shared" si="17"/>
      </c>
      <c r="U180" s="253">
        <f t="shared" si="2"/>
      </c>
      <c r="V180" s="251">
        <f t="shared" si="71"/>
      </c>
      <c r="W180" s="251">
        <f t="shared" si="22"/>
      </c>
      <c r="X180" s="251">
        <f t="shared" si="24"/>
      </c>
      <c r="Y180" s="251">
        <f t="shared" si="26"/>
      </c>
      <c r="Z180" s="251">
        <f t="shared" si="81"/>
      </c>
      <c r="AA180" s="251">
        <f t="shared" si="76"/>
      </c>
      <c r="AB180" s="252">
        <f t="shared" si="89"/>
      </c>
      <c r="AC180" s="252">
        <f t="shared" si="85"/>
      </c>
      <c r="AD180" s="252">
        <f t="shared" si="4"/>
      </c>
      <c r="AE180" s="251">
        <f t="shared" si="91"/>
      </c>
      <c r="AF180" s="252">
        <f t="shared" si="28"/>
      </c>
      <c r="AG180" s="251">
        <f t="shared" si="19"/>
      </c>
      <c r="AH180" s="251">
        <f t="shared" si="78"/>
      </c>
      <c r="AI180" s="254">
        <v>13406</v>
      </c>
      <c r="AJ180" s="254">
        <v>295</v>
      </c>
      <c r="AK180" s="254">
        <v>295</v>
      </c>
      <c r="AL180" s="254">
        <v>88</v>
      </c>
      <c r="AM180" s="254">
        <v>6</v>
      </c>
      <c r="AN180" s="254">
        <v>2</v>
      </c>
      <c r="AO180" s="254">
        <v>61</v>
      </c>
      <c r="AP180" s="254">
        <v>74</v>
      </c>
      <c r="AQ180" s="254">
        <v>6</v>
      </c>
      <c r="AR180" s="249">
        <v>0</v>
      </c>
      <c r="AS180" s="271">
        <v>1</v>
      </c>
    </row>
    <row r="181">
      <c r="A181" s="244"/>
      <c r="B181" s="245" t="s">
        <v>262</v>
      </c>
      <c r="C181" s="245" t="s">
        <v>263</v>
      </c>
      <c r="D181" s="246" t="s">
        <v>277</v>
      </c>
      <c r="E181" s="246" t="s">
        <v>290</v>
      </c>
      <c r="F181" s="247">
        <f t="shared" si="61"/>
      </c>
      <c r="G181" s="248">
        <v>0</v>
      </c>
      <c r="H181" s="248">
        <v>2054.35</v>
      </c>
      <c r="I181" s="248">
        <v>356.1</v>
      </c>
      <c r="J181" s="249">
        <v>6</v>
      </c>
      <c r="K181" s="249">
        <v>4</v>
      </c>
      <c r="L181" s="250">
        <v>3596.2</v>
      </c>
      <c r="M181" s="251">
        <f t="shared" si="0"/>
      </c>
      <c r="N181" s="252">
        <f t="shared" si="69"/>
      </c>
      <c r="O181" s="253">
        <f t="shared" si="20"/>
      </c>
      <c r="P181" s="253">
        <f t="shared" si="79"/>
      </c>
      <c r="Q181" s="253">
        <f t="shared" si="74"/>
      </c>
      <c r="R181" s="253">
        <f t="shared" si="87"/>
      </c>
      <c r="S181" s="253">
        <f t="shared" si="83"/>
      </c>
      <c r="T181" s="253">
        <f t="shared" si="17"/>
      </c>
      <c r="U181" s="253">
        <f t="shared" si="2"/>
      </c>
      <c r="V181" s="251">
        <f t="shared" si="71"/>
      </c>
      <c r="W181" s="251">
        <f t="shared" si="22"/>
      </c>
      <c r="X181" s="251">
        <f t="shared" si="24"/>
      </c>
      <c r="Y181" s="251">
        <f t="shared" si="26"/>
      </c>
      <c r="Z181" s="251">
        <f t="shared" si="81"/>
      </c>
      <c r="AA181" s="251">
        <f t="shared" si="76"/>
      </c>
      <c r="AB181" s="252">
        <f t="shared" si="89"/>
      </c>
      <c r="AC181" s="252">
        <f t="shared" si="85"/>
      </c>
      <c r="AD181" s="252">
        <f t="shared" si="4"/>
      </c>
      <c r="AE181" s="251">
        <f t="shared" si="91"/>
      </c>
      <c r="AF181" s="252">
        <f t="shared" si="28"/>
      </c>
      <c r="AG181" s="251">
        <f t="shared" si="19"/>
      </c>
      <c r="AH181" s="251">
        <f t="shared" si="78"/>
      </c>
      <c r="AI181" s="254">
        <v>14768</v>
      </c>
      <c r="AJ181" s="254">
        <v>332</v>
      </c>
      <c r="AK181" s="254">
        <v>322</v>
      </c>
      <c r="AL181" s="254">
        <v>88</v>
      </c>
      <c r="AM181" s="254">
        <v>6</v>
      </c>
      <c r="AN181" s="254">
        <v>4</v>
      </c>
      <c r="AO181" s="254">
        <v>64</v>
      </c>
      <c r="AP181" s="254">
        <v>83</v>
      </c>
      <c r="AQ181" s="254">
        <v>7</v>
      </c>
      <c r="AR181" s="249">
        <v>0</v>
      </c>
      <c r="AS181" s="271">
        <v>1</v>
      </c>
    </row>
    <row customHeight="true" ht="16.071428571428573" r="182">
      <c r="A182" s="244"/>
      <c r="B182" s="245" t="s">
        <v>262</v>
      </c>
      <c r="C182" s="245" t="s">
        <v>263</v>
      </c>
      <c r="D182" s="246" t="s">
        <v>277</v>
      </c>
      <c r="E182" s="246" t="s">
        <v>265</v>
      </c>
      <c r="F182" s="247">
        <f t="shared" si="61"/>
      </c>
      <c r="G182" s="248">
        <v>0</v>
      </c>
      <c r="H182" s="248">
        <v>1728.32</v>
      </c>
      <c r="I182" s="248">
        <v>354.31</v>
      </c>
      <c r="J182" s="249">
        <v>2</v>
      </c>
      <c r="K182" s="249">
        <v>3</v>
      </c>
      <c r="L182" s="250">
        <v>1662</v>
      </c>
      <c r="M182" s="251">
        <f t="shared" si="0"/>
      </c>
      <c r="N182" s="252">
        <f t="shared" si="69"/>
      </c>
      <c r="O182" s="253">
        <f t="shared" si="20"/>
      </c>
      <c r="P182" s="253">
        <f t="shared" si="79"/>
      </c>
      <c r="Q182" s="253">
        <f t="shared" si="74"/>
      </c>
      <c r="R182" s="253">
        <f t="shared" si="87"/>
      </c>
      <c r="S182" s="253">
        <f t="shared" si="83"/>
      </c>
      <c r="T182" s="253">
        <f t="shared" si="17"/>
      </c>
      <c r="U182" s="253">
        <f t="shared" si="2"/>
      </c>
      <c r="V182" s="251">
        <f t="shared" si="71"/>
      </c>
      <c r="W182" s="251">
        <f t="shared" si="22"/>
      </c>
      <c r="X182" s="251">
        <f t="shared" si="24"/>
      </c>
      <c r="Y182" s="251">
        <f t="shared" si="26"/>
      </c>
      <c r="Z182" s="251">
        <f t="shared" si="81"/>
      </c>
      <c r="AA182" s="251">
        <f t="shared" si="76"/>
      </c>
      <c r="AB182" s="252">
        <f t="shared" si="89"/>
      </c>
      <c r="AC182" s="252">
        <f t="shared" si="85"/>
      </c>
      <c r="AD182" s="252">
        <f t="shared" si="4"/>
      </c>
      <c r="AE182" s="251">
        <f t="shared" si="91"/>
      </c>
      <c r="AF182" s="252">
        <f t="shared" si="28"/>
      </c>
      <c r="AG182" s="251">
        <f t="shared" si="19"/>
      </c>
      <c r="AH182" s="251">
        <f t="shared" si="78"/>
      </c>
      <c r="AI182" s="254">
        <v>14215</v>
      </c>
      <c r="AJ182" s="254">
        <v>320</v>
      </c>
      <c r="AK182" s="254">
        <v>316</v>
      </c>
      <c r="AL182" s="254">
        <v>86</v>
      </c>
      <c r="AM182" s="254">
        <v>4</v>
      </c>
      <c r="AN182" s="254">
        <v>2</v>
      </c>
      <c r="AO182" s="254">
        <v>61</v>
      </c>
      <c r="AP182" s="254">
        <v>88</v>
      </c>
      <c r="AQ182" s="254">
        <v>8</v>
      </c>
      <c r="AR182" s="249">
        <v>1</v>
      </c>
      <c r="AS182" s="271">
        <v>1</v>
      </c>
    </row>
    <row r="183">
      <c r="A183" s="244"/>
      <c r="B183" s="245" t="s">
        <v>262</v>
      </c>
      <c r="C183" s="245" t="s">
        <v>263</v>
      </c>
      <c r="D183" s="246" t="s">
        <v>277</v>
      </c>
      <c r="E183" s="246" t="s">
        <v>266</v>
      </c>
      <c r="F183" s="247">
        <f t="shared" si="61"/>
      </c>
      <c r="G183" s="248">
        <v>0</v>
      </c>
      <c r="H183" s="248">
        <v>1479.8</v>
      </c>
      <c r="I183" s="248">
        <v>384.1</v>
      </c>
      <c r="J183" s="249">
        <v>5</v>
      </c>
      <c r="K183" s="249">
        <v>5</v>
      </c>
      <c r="L183" s="250">
        <v>3637.2000000000007</v>
      </c>
      <c r="M183" s="251">
        <f t="shared" si="0"/>
      </c>
      <c r="N183" s="252">
        <f t="shared" si="69"/>
      </c>
      <c r="O183" s="253">
        <f t="shared" si="20"/>
      </c>
      <c r="P183" s="253">
        <f t="shared" si="79"/>
      </c>
      <c r="Q183" s="253">
        <f t="shared" si="74"/>
      </c>
      <c r="R183" s="253">
        <f t="shared" si="87"/>
      </c>
      <c r="S183" s="253">
        <f t="shared" si="83"/>
      </c>
      <c r="T183" s="253">
        <f t="shared" si="17"/>
      </c>
      <c r="U183" s="253">
        <f t="shared" si="2"/>
      </c>
      <c r="V183" s="251">
        <f t="shared" si="71"/>
      </c>
      <c r="W183" s="251">
        <f t="shared" si="22"/>
      </c>
      <c r="X183" s="251">
        <f t="shared" si="24"/>
      </c>
      <c r="Y183" s="251">
        <f t="shared" si="26"/>
      </c>
      <c r="Z183" s="251">
        <f t="shared" si="81"/>
      </c>
      <c r="AA183" s="251">
        <f t="shared" si="76"/>
      </c>
      <c r="AB183" s="252">
        <f t="shared" si="89"/>
      </c>
      <c r="AC183" s="252">
        <f t="shared" si="85"/>
      </c>
      <c r="AD183" s="252">
        <f t="shared" si="4"/>
      </c>
      <c r="AE183" s="251">
        <f t="shared" si="91"/>
      </c>
      <c r="AF183" s="252">
        <f t="shared" si="28"/>
      </c>
      <c r="AG183" s="251">
        <f t="shared" si="19"/>
      </c>
      <c r="AH183" s="251">
        <f t="shared" si="78"/>
      </c>
      <c r="AI183" s="254">
        <v>12087</v>
      </c>
      <c r="AJ183" s="254">
        <v>252</v>
      </c>
      <c r="AK183" s="254">
        <v>259</v>
      </c>
      <c r="AL183" s="254">
        <v>61</v>
      </c>
      <c r="AM183" s="254">
        <v>3</v>
      </c>
      <c r="AN183" s="254">
        <v>5</v>
      </c>
      <c r="AO183" s="254">
        <v>41</v>
      </c>
      <c r="AP183" s="254">
        <v>58</v>
      </c>
      <c r="AQ183" s="254">
        <v>3</v>
      </c>
      <c r="AR183" s="249">
        <v>0</v>
      </c>
      <c r="AS183" s="271">
        <v>1</v>
      </c>
    </row>
    <row r="184">
      <c r="A184" s="244"/>
      <c r="B184" s="257" t="s">
        <v>268</v>
      </c>
      <c r="C184" s="257"/>
      <c r="D184" s="257"/>
      <c r="E184" s="257"/>
      <c r="F184" s="258">
        <f>SUM(F180:F183)</f>
      </c>
      <c r="G184" s="258">
        <f>SUM(G180:G183)</f>
      </c>
      <c r="H184" s="258">
        <f>SUM(H180:H183)</f>
      </c>
      <c r="I184" s="258">
        <f>SUM(I180:I183)</f>
      </c>
      <c r="J184" s="259">
        <f>SUM(J180:J183)</f>
      </c>
      <c r="K184" s="259">
        <f>SUM(K180:K183)</f>
      </c>
      <c r="L184" s="258">
        <f>SUM(L180:L183)</f>
      </c>
      <c r="M184" s="260">
        <f t="shared" si="0"/>
      </c>
      <c r="N184" s="261">
        <f t="shared" si="69"/>
      </c>
      <c r="O184" s="262">
        <f t="shared" si="20"/>
      </c>
      <c r="P184" s="262">
        <f t="shared" si="79"/>
      </c>
      <c r="Q184" s="262">
        <f t="shared" si="74"/>
      </c>
      <c r="R184" s="262">
        <f t="shared" si="87"/>
      </c>
      <c r="S184" s="262">
        <f t="shared" si="83"/>
      </c>
      <c r="T184" s="262">
        <f t="shared" si="17"/>
      </c>
      <c r="U184" s="262">
        <f t="shared" si="2"/>
      </c>
      <c r="V184" s="260">
        <f t="shared" si="71"/>
      </c>
      <c r="W184" s="260">
        <f t="shared" si="22"/>
      </c>
      <c r="X184" s="260">
        <f t="shared" si="24"/>
      </c>
      <c r="Y184" s="260">
        <f t="shared" si="26"/>
      </c>
      <c r="Z184" s="260">
        <f t="shared" si="81"/>
      </c>
      <c r="AA184" s="260">
        <f t="shared" si="76"/>
      </c>
      <c r="AB184" s="261">
        <f t="shared" si="89"/>
      </c>
      <c r="AC184" s="261">
        <f t="shared" si="85"/>
      </c>
      <c r="AD184" s="261">
        <f t="shared" si="4"/>
      </c>
      <c r="AE184" s="260">
        <f t="shared" si="91"/>
      </c>
      <c r="AF184" s="261">
        <f t="shared" si="28"/>
      </c>
      <c r="AG184" s="260">
        <f t="shared" si="19"/>
      </c>
      <c r="AH184" s="260">
        <f t="shared" si="78"/>
      </c>
      <c r="AI184" s="259">
        <f>SUM(AI180:AI183)</f>
      </c>
      <c r="AJ184" s="259">
        <f>SUM(AJ180:AJ183)</f>
      </c>
      <c r="AK184" s="259">
        <f>SUM(AK180:AK183)</f>
      </c>
      <c r="AL184" s="259">
        <f>SUM(AL180:AL183)</f>
      </c>
      <c r="AM184" s="259">
        <f>SUM(AM180:AM183)</f>
      </c>
      <c r="AN184" s="259">
        <f>SUM(AN180:AN183)</f>
      </c>
      <c r="AO184" s="259">
        <f>SUM(AO180:AO183)</f>
      </c>
      <c r="AP184" s="259">
        <f>SUM(AP180:AP183)</f>
      </c>
      <c r="AQ184" s="259">
        <f>SUM(AQ180:AQ183)</f>
      </c>
      <c r="AR184" s="259">
        <f>SUM(AR180:AR183)</f>
      </c>
      <c r="AS184" s="263">
        <f>SUM(AS180:AS183)</f>
      </c>
    </row>
    <row r="185">
      <c r="A185" s="244"/>
      <c r="B185" s="245" t="s">
        <v>262</v>
      </c>
      <c r="C185" s="245" t="s">
        <v>263</v>
      </c>
      <c r="D185" s="246" t="s">
        <v>264</v>
      </c>
      <c r="E185" s="246" t="s">
        <v>267</v>
      </c>
      <c r="F185" s="247">
        <f t="shared" ref="F185:F188" si="62">G185+I185+H185</f>
      </c>
      <c r="G185" s="248">
        <v>0</v>
      </c>
      <c r="H185" s="248">
        <v>1883.8</v>
      </c>
      <c r="I185" s="248">
        <v>297.37</v>
      </c>
      <c r="J185" s="249">
        <v>3</v>
      </c>
      <c r="K185" s="249">
        <v>2</v>
      </c>
      <c r="L185" s="250">
        <v>1862.2000000000007</v>
      </c>
      <c r="M185" s="251">
        <f t="shared" si="0"/>
      </c>
      <c r="N185" s="252">
        <f t="shared" si="69"/>
      </c>
      <c r="O185" s="253">
        <f t="shared" si="20"/>
      </c>
      <c r="P185" s="253">
        <f t="shared" si="79"/>
      </c>
      <c r="Q185" s="253">
        <f t="shared" si="74"/>
      </c>
      <c r="R185" s="253">
        <f t="shared" si="87"/>
      </c>
      <c r="S185" s="253">
        <f t="shared" si="83"/>
      </c>
      <c r="T185" s="253">
        <f t="shared" si="17"/>
      </c>
      <c r="U185" s="253">
        <f t="shared" si="2"/>
      </c>
      <c r="V185" s="251">
        <f t="shared" si="71"/>
      </c>
      <c r="W185" s="251">
        <f t="shared" si="22"/>
      </c>
      <c r="X185" s="251">
        <f t="shared" si="24"/>
      </c>
      <c r="Y185" s="251">
        <f t="shared" si="26"/>
      </c>
      <c r="Z185" s="251">
        <f t="shared" si="81"/>
      </c>
      <c r="AA185" s="251">
        <f t="shared" si="76"/>
      </c>
      <c r="AB185" s="252">
        <f t="shared" si="89"/>
      </c>
      <c r="AC185" s="252">
        <f t="shared" si="85"/>
      </c>
      <c r="AD185" s="252">
        <f t="shared" si="4"/>
      </c>
      <c r="AE185" s="251">
        <f t="shared" si="91"/>
      </c>
      <c r="AF185" s="252">
        <f t="shared" si="28"/>
      </c>
      <c r="AG185" s="251">
        <f t="shared" si="19"/>
      </c>
      <c r="AH185" s="251">
        <f t="shared" si="78"/>
      </c>
      <c r="AI185" s="254">
        <v>14478</v>
      </c>
      <c r="AJ185" s="254">
        <v>295</v>
      </c>
      <c r="AK185" s="254">
        <v>281</v>
      </c>
      <c r="AL185" s="254">
        <v>80</v>
      </c>
      <c r="AM185" s="254">
        <v>4</v>
      </c>
      <c r="AN185" s="254">
        <v>2</v>
      </c>
      <c r="AO185" s="254">
        <v>58</v>
      </c>
      <c r="AP185" s="254">
        <v>48</v>
      </c>
      <c r="AQ185" s="254">
        <v>3</v>
      </c>
      <c r="AR185" s="249">
        <v>0</v>
      </c>
      <c r="AS185" s="271">
        <v>1</v>
      </c>
    </row>
    <row r="186">
      <c r="A186" s="244"/>
      <c r="B186" s="245" t="s">
        <v>262</v>
      </c>
      <c r="C186" s="245" t="s">
        <v>263</v>
      </c>
      <c r="D186" s="246" t="s">
        <v>264</v>
      </c>
      <c r="E186" s="245" t="s">
        <v>270</v>
      </c>
      <c r="F186" s="247">
        <f t="shared" si="62"/>
      </c>
      <c r="G186" s="248">
        <v>0</v>
      </c>
      <c r="H186" s="248">
        <v>2828.81</v>
      </c>
      <c r="I186" s="248">
        <v>847.84</v>
      </c>
      <c r="J186" s="249">
        <v>8</v>
      </c>
      <c r="K186" s="249">
        <v>6</v>
      </c>
      <c r="L186" s="250">
        <v>4133.799999999999</v>
      </c>
      <c r="M186" s="251">
        <f t="shared" si="0"/>
      </c>
      <c r="N186" s="252">
        <f t="shared" si="69"/>
      </c>
      <c r="O186" s="253">
        <f t="shared" si="20"/>
      </c>
      <c r="P186" s="253">
        <f t="shared" si="79"/>
      </c>
      <c r="Q186" s="253">
        <f t="shared" si="74"/>
      </c>
      <c r="R186" s="253">
        <f t="shared" si="87"/>
      </c>
      <c r="S186" s="253">
        <f t="shared" si="83"/>
      </c>
      <c r="T186" s="253">
        <f t="shared" si="17"/>
      </c>
      <c r="U186" s="253">
        <f t="shared" si="2"/>
      </c>
      <c r="V186" s="251">
        <f t="shared" si="71"/>
      </c>
      <c r="W186" s="251">
        <f t="shared" si="22"/>
      </c>
      <c r="X186" s="251">
        <f t="shared" si="24"/>
      </c>
      <c r="Y186" s="251">
        <f t="shared" si="26"/>
      </c>
      <c r="Z186" s="251">
        <f t="shared" si="81"/>
      </c>
      <c r="AA186" s="251">
        <f t="shared" si="76"/>
      </c>
      <c r="AB186" s="252">
        <f t="shared" si="89"/>
      </c>
      <c r="AC186" s="252">
        <f t="shared" si="85"/>
      </c>
      <c r="AD186" s="252">
        <f t="shared" si="4"/>
      </c>
      <c r="AE186" s="251">
        <f t="shared" si="91"/>
      </c>
      <c r="AF186" s="252">
        <f t="shared" si="28"/>
      </c>
      <c r="AG186" s="251">
        <f t="shared" si="19"/>
      </c>
      <c r="AH186" s="251">
        <f t="shared" si="78"/>
      </c>
      <c r="AI186" s="254">
        <v>23238</v>
      </c>
      <c r="AJ186" s="254">
        <v>547</v>
      </c>
      <c r="AK186" s="254">
        <v>541</v>
      </c>
      <c r="AL186" s="254">
        <v>120</v>
      </c>
      <c r="AM186" s="254">
        <v>5</v>
      </c>
      <c r="AN186" s="254">
        <v>4</v>
      </c>
      <c r="AO186" s="254">
        <v>110</v>
      </c>
      <c r="AP186" s="254">
        <v>101</v>
      </c>
      <c r="AQ186" s="254">
        <v>13</v>
      </c>
      <c r="AR186" s="249">
        <v>1</v>
      </c>
      <c r="AS186" s="271">
        <v>1</v>
      </c>
    </row>
    <row customHeight="true" ht="16.071428571428573" r="187">
      <c r="A187" s="244"/>
      <c r="B187" s="245" t="s">
        <v>262</v>
      </c>
      <c r="C187" s="245" t="s">
        <v>263</v>
      </c>
      <c r="D187" s="246" t="s">
        <v>264</v>
      </c>
      <c r="E187" s="245" t="s">
        <v>271</v>
      </c>
      <c r="F187" s="247">
        <f t="shared" si="62"/>
      </c>
      <c r="G187" s="248">
        <v>0</v>
      </c>
      <c r="H187" s="248">
        <v>2664.72</v>
      </c>
      <c r="I187" s="248">
        <v>1094.82</v>
      </c>
      <c r="J187" s="249">
        <v>2</v>
      </c>
      <c r="K187" s="249">
        <v>3</v>
      </c>
      <c r="L187" s="250">
        <v>1304.3999999999978</v>
      </c>
      <c r="M187" s="251">
        <f t="shared" si="0"/>
      </c>
      <c r="N187" s="252">
        <f t="shared" si="69"/>
      </c>
      <c r="O187" s="253">
        <f t="shared" si="20"/>
      </c>
      <c r="P187" s="253">
        <f t="shared" si="79"/>
      </c>
      <c r="Q187" s="253">
        <f t="shared" si="74"/>
      </c>
      <c r="R187" s="253">
        <f t="shared" si="87"/>
      </c>
      <c r="S187" s="253">
        <f t="shared" si="83"/>
      </c>
      <c r="T187" s="253">
        <f t="shared" si="17"/>
      </c>
      <c r="U187" s="253">
        <f t="shared" si="2"/>
      </c>
      <c r="V187" s="251">
        <f t="shared" si="71"/>
      </c>
      <c r="W187" s="251">
        <f t="shared" si="22"/>
      </c>
      <c r="X187" s="251">
        <f t="shared" si="24"/>
      </c>
      <c r="Y187" s="251">
        <f t="shared" si="26"/>
      </c>
      <c r="Z187" s="251">
        <f t="shared" si="81"/>
      </c>
      <c r="AA187" s="251">
        <f t="shared" si="76"/>
      </c>
      <c r="AB187" s="252">
        <f t="shared" si="89"/>
      </c>
      <c r="AC187" s="252">
        <f t="shared" si="85"/>
      </c>
      <c r="AD187" s="252">
        <f t="shared" si="4"/>
      </c>
      <c r="AE187" s="251">
        <f t="shared" si="91"/>
      </c>
      <c r="AF187" s="252">
        <f t="shared" si="28"/>
      </c>
      <c r="AG187" s="251">
        <f t="shared" si="19"/>
      </c>
      <c r="AH187" s="251">
        <f t="shared" si="78"/>
      </c>
      <c r="AI187" s="254">
        <v>28204</v>
      </c>
      <c r="AJ187" s="254">
        <v>554</v>
      </c>
      <c r="AK187" s="254">
        <v>564</v>
      </c>
      <c r="AL187" s="254">
        <v>121</v>
      </c>
      <c r="AM187" s="254">
        <v>3</v>
      </c>
      <c r="AN187" s="254">
        <v>2</v>
      </c>
      <c r="AO187" s="254">
        <v>87</v>
      </c>
      <c r="AP187" s="254">
        <v>89</v>
      </c>
      <c r="AQ187" s="254">
        <v>6</v>
      </c>
      <c r="AR187" s="249">
        <v>1</v>
      </c>
      <c r="AS187" s="271">
        <v>1</v>
      </c>
    </row>
    <row r="188">
      <c r="A188" s="244"/>
      <c r="B188" s="245" t="s">
        <v>262</v>
      </c>
      <c r="C188" s="245" t="s">
        <v>263</v>
      </c>
      <c r="D188" s="246" t="s">
        <v>264</v>
      </c>
      <c r="E188" s="246" t="s">
        <v>272</v>
      </c>
      <c r="F188" s="247">
        <f t="shared" si="62"/>
      </c>
      <c r="G188" s="248">
        <v>0</v>
      </c>
      <c r="H188" s="248">
        <v>2483.56</v>
      </c>
      <c r="I188" s="248">
        <v>303.29</v>
      </c>
      <c r="J188" s="249">
        <v>5</v>
      </c>
      <c r="K188" s="249">
        <v>5</v>
      </c>
      <c r="L188" s="250">
        <v>4302.800000000003</v>
      </c>
      <c r="M188" s="251">
        <f t="shared" si="0"/>
      </c>
      <c r="N188" s="252">
        <f t="shared" si="69"/>
      </c>
      <c r="O188" s="253">
        <f t="shared" si="20"/>
      </c>
      <c r="P188" s="253">
        <f t="shared" si="79"/>
      </c>
      <c r="Q188" s="253">
        <f t="shared" si="74"/>
      </c>
      <c r="R188" s="253">
        <f t="shared" si="87"/>
      </c>
      <c r="S188" s="253">
        <f t="shared" si="83"/>
      </c>
      <c r="T188" s="253">
        <f t="shared" si="17"/>
      </c>
      <c r="U188" s="253">
        <f t="shared" si="2"/>
      </c>
      <c r="V188" s="251">
        <f t="shared" si="71"/>
      </c>
      <c r="W188" s="251">
        <f t="shared" si="22"/>
      </c>
      <c r="X188" s="251">
        <f t="shared" si="24"/>
      </c>
      <c r="Y188" s="251">
        <f t="shared" si="26"/>
      </c>
      <c r="Z188" s="251">
        <f t="shared" si="81"/>
      </c>
      <c r="AA188" s="251">
        <f t="shared" si="76"/>
      </c>
      <c r="AB188" s="252">
        <f t="shared" si="89"/>
      </c>
      <c r="AC188" s="252">
        <f t="shared" si="85"/>
      </c>
      <c r="AD188" s="252">
        <f t="shared" si="4"/>
      </c>
      <c r="AE188" s="251">
        <f t="shared" si="91"/>
      </c>
      <c r="AF188" s="252">
        <f t="shared" si="28"/>
      </c>
      <c r="AG188" s="251">
        <f t="shared" si="19"/>
      </c>
      <c r="AH188" s="251">
        <f t="shared" si="78"/>
      </c>
      <c r="AI188" s="254">
        <v>23397</v>
      </c>
      <c r="AJ188" s="254">
        <v>295</v>
      </c>
      <c r="AK188" s="254">
        <v>295</v>
      </c>
      <c r="AL188" s="254">
        <v>83</v>
      </c>
      <c r="AM188" s="254">
        <v>5</v>
      </c>
      <c r="AN188" s="254">
        <v>3</v>
      </c>
      <c r="AO188" s="254">
        <v>64</v>
      </c>
      <c r="AP188" s="254">
        <v>64</v>
      </c>
      <c r="AQ188" s="254">
        <v>10</v>
      </c>
      <c r="AR188" s="249">
        <v>1</v>
      </c>
      <c r="AS188" s="271">
        <v>1</v>
      </c>
    </row>
    <row r="189">
      <c r="A189" s="244"/>
      <c r="B189" s="257" t="s">
        <v>268</v>
      </c>
      <c r="C189" s="257"/>
      <c r="D189" s="257"/>
      <c r="E189" s="257"/>
      <c r="F189" s="258">
        <f>SUM(F185:F188)</f>
      </c>
      <c r="G189" s="258">
        <f>SUM(G185:G188)</f>
      </c>
      <c r="H189" s="258">
        <f>SUM(H185:H188)</f>
      </c>
      <c r="I189" s="258">
        <f>SUM(I185:I188)</f>
      </c>
      <c r="J189" s="259">
        <f>SUM(J185:J188)</f>
      </c>
      <c r="K189" s="259">
        <f>SUM(K185:K188)</f>
      </c>
      <c r="L189" s="258">
        <f>SUM(L185:L188)</f>
      </c>
      <c r="M189" s="260">
        <f t="shared" si="0"/>
      </c>
      <c r="N189" s="261">
        <f t="shared" si="69"/>
      </c>
      <c r="O189" s="262">
        <f t="shared" si="20"/>
      </c>
      <c r="P189" s="262">
        <f t="shared" si="79"/>
      </c>
      <c r="Q189" s="262">
        <f t="shared" si="74"/>
      </c>
      <c r="R189" s="262">
        <f t="shared" si="87"/>
      </c>
      <c r="S189" s="262">
        <f t="shared" si="83"/>
      </c>
      <c r="T189" s="262">
        <f t="shared" si="17"/>
      </c>
      <c r="U189" s="262">
        <f t="shared" si="2"/>
      </c>
      <c r="V189" s="260">
        <f t="shared" si="71"/>
      </c>
      <c r="W189" s="260">
        <f t="shared" si="22"/>
      </c>
      <c r="X189" s="260">
        <f t="shared" si="24"/>
      </c>
      <c r="Y189" s="260">
        <f t="shared" si="26"/>
      </c>
      <c r="Z189" s="260">
        <f t="shared" si="81"/>
      </c>
      <c r="AA189" s="260">
        <f t="shared" si="76"/>
      </c>
      <c r="AB189" s="261">
        <f t="shared" si="89"/>
      </c>
      <c r="AC189" s="261">
        <f t="shared" si="85"/>
      </c>
      <c r="AD189" s="261">
        <f t="shared" si="4"/>
      </c>
      <c r="AE189" s="260">
        <f t="shared" si="91"/>
      </c>
      <c r="AF189" s="261">
        <f t="shared" si="28"/>
      </c>
      <c r="AG189" s="260">
        <f t="shared" si="19"/>
      </c>
      <c r="AH189" s="260">
        <f t="shared" si="78"/>
      </c>
      <c r="AI189" s="259">
        <f>SUM(AI185:AI188)</f>
      </c>
      <c r="AJ189" s="259">
        <f>SUM(AJ185:AJ188)</f>
      </c>
      <c r="AK189" s="259">
        <f>SUM(AK185:AK188)</f>
      </c>
      <c r="AL189" s="259">
        <f>SUM(AL185:AL188)</f>
      </c>
      <c r="AM189" s="259">
        <f>SUM(AM185:AM188)</f>
      </c>
      <c r="AN189" s="259">
        <f>SUM(AN185:AN188)</f>
      </c>
      <c r="AO189" s="259">
        <f>SUM(AO185:AO188)</f>
      </c>
      <c r="AP189" s="259">
        <f>SUM(AP185:AP188)</f>
      </c>
      <c r="AQ189" s="259">
        <f>SUM(AQ185:AQ188)</f>
      </c>
      <c r="AR189" s="259">
        <f>SUM(AR185:AR188)</f>
      </c>
      <c r="AS189" s="263">
        <f>SUM(AS185:AS188)</f>
      </c>
    </row>
    <row r="190">
      <c r="A190" s="244"/>
      <c r="B190" s="264" t="s">
        <v>273</v>
      </c>
      <c r="C190" s="264"/>
      <c r="D190" s="264"/>
      <c r="E190" s="264"/>
      <c r="F190" s="265">
        <f t="shared" ref="F190:F193" si="63">G190+I190+H190</f>
      </c>
      <c r="G190" s="265">
        <f>G184+G189</f>
      </c>
      <c r="H190" s="265">
        <f>H184+H189</f>
      </c>
      <c r="I190" s="265">
        <f>I184+I189</f>
      </c>
      <c r="J190" s="266">
        <f>J184+J189</f>
      </c>
      <c r="K190" s="266">
        <f>K184+K189</f>
      </c>
      <c r="L190" s="265">
        <f>L184+L189</f>
      </c>
      <c r="M190" s="267">
        <f t="shared" si="0"/>
      </c>
      <c r="N190" s="268">
        <f t="shared" si="69"/>
      </c>
      <c r="O190" s="269">
        <f t="shared" si="20"/>
      </c>
      <c r="P190" s="269">
        <f t="shared" si="79"/>
      </c>
      <c r="Q190" s="269">
        <f t="shared" si="74"/>
      </c>
      <c r="R190" s="269">
        <f t="shared" si="87"/>
      </c>
      <c r="S190" s="269">
        <f t="shared" si="83"/>
      </c>
      <c r="T190" s="269">
        <f t="shared" si="17"/>
      </c>
      <c r="U190" s="269">
        <f t="shared" si="2"/>
      </c>
      <c r="V190" s="267">
        <f t="shared" si="71"/>
      </c>
      <c r="W190" s="267">
        <f t="shared" si="22"/>
      </c>
      <c r="X190" s="267">
        <f t="shared" si="24"/>
      </c>
      <c r="Y190" s="267">
        <f t="shared" si="26"/>
      </c>
      <c r="Z190" s="267">
        <f t="shared" si="81"/>
      </c>
      <c r="AA190" s="267">
        <f t="shared" si="76"/>
      </c>
      <c r="AB190" s="268">
        <f t="shared" si="89"/>
      </c>
      <c r="AC190" s="268">
        <f t="shared" si="85"/>
      </c>
      <c r="AD190" s="268">
        <f t="shared" si="4"/>
      </c>
      <c r="AE190" s="267">
        <f t="shared" si="91"/>
      </c>
      <c r="AF190" s="268">
        <f t="shared" si="28"/>
      </c>
      <c r="AG190" s="267">
        <f t="shared" si="19"/>
      </c>
      <c r="AH190" s="267">
        <f t="shared" si="78"/>
      </c>
      <c r="AI190" s="270">
        <f>AI184+AI189</f>
      </c>
      <c r="AJ190" s="270">
        <f>AJ184+AJ189</f>
      </c>
      <c r="AK190" s="270">
        <f>AK184+AK189</f>
      </c>
      <c r="AL190" s="270">
        <f>AL184+AL189</f>
      </c>
      <c r="AM190" s="270">
        <f>AM184+AM189</f>
      </c>
      <c r="AN190" s="270">
        <f>AN184+AN189</f>
      </c>
      <c r="AO190" s="270">
        <f>AO184+AO189</f>
      </c>
      <c r="AP190" s="270">
        <f>AP184+AP189</f>
      </c>
      <c r="AQ190" s="270">
        <f>AQ184+AQ189</f>
      </c>
      <c r="AR190" s="270">
        <f>AR184+AR189</f>
      </c>
      <c r="AS190" s="263">
        <f>AS184+AS189</f>
      </c>
    </row>
    <row r="191">
      <c r="A191" s="244">
        <v>46264</v>
      </c>
      <c r="B191" s="246" t="s">
        <v>262</v>
      </c>
      <c r="C191" s="245" t="s">
        <v>263</v>
      </c>
      <c r="D191" s="246" t="s">
        <v>277</v>
      </c>
      <c r="E191" s="246" t="s">
        <v>289</v>
      </c>
      <c r="F191" s="247">
        <f t="shared" si="63"/>
      </c>
      <c r="G191" s="248">
        <v>0</v>
      </c>
      <c r="H191" s="274">
        <v>2858.51</v>
      </c>
      <c r="I191" s="274">
        <v>543.85</v>
      </c>
      <c r="J191" s="249">
        <v>10</v>
      </c>
      <c r="K191" s="249">
        <v>11</v>
      </c>
      <c r="L191" s="250">
        <v>6615.599999999999</v>
      </c>
      <c r="M191" s="251">
        <f t="shared" si="0"/>
      </c>
      <c r="N191" s="252">
        <f t="shared" si="69"/>
      </c>
      <c r="O191" s="253">
        <f t="shared" si="20"/>
      </c>
      <c r="P191" s="253">
        <f t="shared" si="79"/>
      </c>
      <c r="Q191" s="253">
        <f t="shared" si="74"/>
      </c>
      <c r="R191" s="253">
        <f t="shared" si="87"/>
      </c>
      <c r="S191" s="253">
        <f t="shared" si="83"/>
      </c>
      <c r="T191" s="253">
        <f t="shared" si="17"/>
      </c>
      <c r="U191" s="253">
        <f t="shared" si="2"/>
      </c>
      <c r="V191" s="251">
        <f t="shared" si="71"/>
      </c>
      <c r="W191" s="251">
        <f t="shared" si="22"/>
      </c>
      <c r="X191" s="251">
        <f t="shared" si="24"/>
      </c>
      <c r="Y191" s="251">
        <f t="shared" si="26"/>
      </c>
      <c r="Z191" s="251">
        <f t="shared" si="81"/>
      </c>
      <c r="AA191" s="251">
        <f t="shared" si="76"/>
      </c>
      <c r="AB191" s="252">
        <f t="shared" si="89"/>
      </c>
      <c r="AC191" s="252">
        <f t="shared" si="85"/>
      </c>
      <c r="AD191" s="252">
        <f t="shared" si="4"/>
      </c>
      <c r="AE191" s="251">
        <f t="shared" si="91"/>
      </c>
      <c r="AF191" s="252">
        <f t="shared" si="28"/>
      </c>
      <c r="AG191" s="251">
        <f t="shared" si="19"/>
      </c>
      <c r="AH191" s="251">
        <f t="shared" si="78"/>
      </c>
      <c r="AI191" s="254">
        <v>20461</v>
      </c>
      <c r="AJ191" s="273">
        <v>369</v>
      </c>
      <c r="AK191" s="273">
        <v>361</v>
      </c>
      <c r="AL191" s="254">
        <v>112</v>
      </c>
      <c r="AM191" s="254">
        <v>10</v>
      </c>
      <c r="AN191" s="254">
        <v>10</v>
      </c>
      <c r="AO191" s="254">
        <v>97</v>
      </c>
      <c r="AP191" s="254">
        <v>104</v>
      </c>
      <c r="AQ191" s="254">
        <v>10</v>
      </c>
      <c r="AR191" s="249">
        <v>1</v>
      </c>
      <c r="AS191" s="271">
        <v>1</v>
      </c>
    </row>
    <row r="192">
      <c r="A192" s="244"/>
      <c r="B192" s="246" t="s">
        <v>262</v>
      </c>
      <c r="C192" s="245" t="s">
        <v>263</v>
      </c>
      <c r="D192" s="246" t="s">
        <v>277</v>
      </c>
      <c r="E192" s="246" t="s">
        <v>290</v>
      </c>
      <c r="F192" s="247">
        <f t="shared" si="63"/>
      </c>
      <c r="G192" s="248">
        <v>0</v>
      </c>
      <c r="H192" s="275">
        <v>3382.23</v>
      </c>
      <c r="I192" s="274">
        <v>311.03</v>
      </c>
      <c r="J192" s="254">
        <v>4</v>
      </c>
      <c r="K192" s="254">
        <v>4</v>
      </c>
      <c r="L192" s="276">
        <v>2246.999999999999</v>
      </c>
      <c r="M192" s="251">
        <f t="shared" si="0"/>
      </c>
      <c r="N192" s="252">
        <f t="shared" si="69"/>
      </c>
      <c r="O192" s="253">
        <f t="shared" si="20"/>
      </c>
      <c r="P192" s="253">
        <f t="shared" si="79"/>
      </c>
      <c r="Q192" s="253">
        <f t="shared" si="74"/>
      </c>
      <c r="R192" s="253">
        <f t="shared" si="87"/>
      </c>
      <c r="S192" s="253">
        <f t="shared" si="83"/>
      </c>
      <c r="T192" s="253">
        <f t="shared" si="17"/>
      </c>
      <c r="U192" s="253">
        <f t="shared" si="2"/>
      </c>
      <c r="V192" s="251">
        <f t="shared" si="71"/>
      </c>
      <c r="W192" s="251">
        <f t="shared" si="22"/>
      </c>
      <c r="X192" s="251">
        <f t="shared" si="24"/>
      </c>
      <c r="Y192" s="251">
        <f t="shared" si="26"/>
      </c>
      <c r="Z192" s="251">
        <f t="shared" si="81"/>
      </c>
      <c r="AA192" s="251">
        <f t="shared" si="76"/>
      </c>
      <c r="AB192" s="252">
        <f t="shared" si="89"/>
      </c>
      <c r="AC192" s="252">
        <f t="shared" si="85"/>
      </c>
      <c r="AD192" s="252">
        <f t="shared" si="4"/>
      </c>
      <c r="AE192" s="251">
        <f t="shared" si="91"/>
      </c>
      <c r="AF192" s="252">
        <f t="shared" si="28"/>
      </c>
      <c r="AG192" s="251">
        <f t="shared" si="19"/>
      </c>
      <c r="AH192" s="251">
        <f t="shared" si="78"/>
      </c>
      <c r="AI192" s="254">
        <v>30295</v>
      </c>
      <c r="AJ192" s="254">
        <v>393</v>
      </c>
      <c r="AK192" s="254">
        <v>401</v>
      </c>
      <c r="AL192" s="254">
        <v>108</v>
      </c>
      <c r="AM192" s="254">
        <v>3</v>
      </c>
      <c r="AN192" s="254">
        <v>3</v>
      </c>
      <c r="AO192" s="254">
        <v>74</v>
      </c>
      <c r="AP192" s="254">
        <v>48</v>
      </c>
      <c r="AQ192" s="249">
        <v>7</v>
      </c>
      <c r="AR192" s="249">
        <v>0</v>
      </c>
      <c r="AS192" s="271">
        <v>1</v>
      </c>
    </row>
    <row r="193">
      <c r="A193" s="244"/>
      <c r="B193" s="246" t="s">
        <v>262</v>
      </c>
      <c r="C193" s="245" t="s">
        <v>263</v>
      </c>
      <c r="D193" s="246" t="s">
        <v>277</v>
      </c>
      <c r="E193" s="246" t="s">
        <v>265</v>
      </c>
      <c r="F193" s="247">
        <f t="shared" si="63"/>
      </c>
      <c r="G193" s="248">
        <v>0</v>
      </c>
      <c r="H193" s="274">
        <v>2261.58</v>
      </c>
      <c r="I193" s="274">
        <v>1117.14</v>
      </c>
      <c r="J193" s="254">
        <v>6</v>
      </c>
      <c r="K193" s="254">
        <v>4</v>
      </c>
      <c r="L193" s="276">
        <v>1747.2000000000007</v>
      </c>
      <c r="M193" s="251">
        <f t="shared" si="0"/>
      </c>
      <c r="N193" s="252">
        <f t="shared" si="69"/>
      </c>
      <c r="O193" s="253">
        <f t="shared" si="20"/>
      </c>
      <c r="P193" s="253">
        <f t="shared" si="79"/>
      </c>
      <c r="Q193" s="253">
        <f t="shared" si="74"/>
      </c>
      <c r="R193" s="253">
        <f t="shared" si="87"/>
      </c>
      <c r="S193" s="253">
        <f t="shared" si="83"/>
      </c>
      <c r="T193" s="253">
        <f t="shared" si="17"/>
      </c>
      <c r="U193" s="253">
        <f t="shared" si="2"/>
      </c>
      <c r="V193" s="251">
        <f t="shared" si="71"/>
      </c>
      <c r="W193" s="251">
        <f t="shared" si="22"/>
      </c>
      <c r="X193" s="251">
        <f t="shared" si="24"/>
      </c>
      <c r="Y193" s="251">
        <f t="shared" si="26"/>
      </c>
      <c r="Z193" s="251">
        <f t="shared" si="81"/>
      </c>
      <c r="AA193" s="251">
        <f t="shared" si="76"/>
      </c>
      <c r="AB193" s="252">
        <f t="shared" si="89"/>
      </c>
      <c r="AC193" s="252">
        <f t="shared" si="85"/>
      </c>
      <c r="AD193" s="252">
        <f t="shared" si="4"/>
      </c>
      <c r="AE193" s="251">
        <f t="shared" si="91"/>
      </c>
      <c r="AF193" s="252">
        <f t="shared" si="28"/>
      </c>
      <c r="AG193" s="251">
        <f t="shared" si="19"/>
      </c>
      <c r="AH193" s="251">
        <f t="shared" si="78"/>
      </c>
      <c r="AI193" s="254">
        <v>32333</v>
      </c>
      <c r="AJ193" s="254">
        <v>635</v>
      </c>
      <c r="AK193" s="254">
        <v>646</v>
      </c>
      <c r="AL193" s="254">
        <v>114</v>
      </c>
      <c r="AM193" s="254">
        <v>6</v>
      </c>
      <c r="AN193" s="254">
        <v>3</v>
      </c>
      <c r="AO193" s="254">
        <v>77</v>
      </c>
      <c r="AP193" s="254">
        <v>73</v>
      </c>
      <c r="AQ193" s="254">
        <v>7</v>
      </c>
      <c r="AR193" s="249">
        <v>1</v>
      </c>
      <c r="AS193" s="271">
        <v>1</v>
      </c>
    </row>
    <row r="194">
      <c r="A194" s="244"/>
      <c r="B194" s="257" t="s">
        <v>268</v>
      </c>
      <c r="C194" s="257"/>
      <c r="D194" s="257"/>
      <c r="E194" s="257"/>
      <c r="F194" s="258">
        <f>SUM(F191:F193)</f>
      </c>
      <c r="G194" s="258">
        <f>SUM(G191:G193)</f>
      </c>
      <c r="H194" s="258">
        <f>SUM(H191:H193)</f>
      </c>
      <c r="I194" s="258">
        <f>SUM(I191:I193)</f>
      </c>
      <c r="J194" s="259">
        <f>SUM(J191:J193)</f>
      </c>
      <c r="K194" s="259">
        <f>SUM(K191:K193)</f>
      </c>
      <c r="L194" s="258">
        <f>SUM(L191:L193)</f>
      </c>
      <c r="M194" s="260">
        <f t="shared" si="0"/>
      </c>
      <c r="N194" s="261">
        <f t="shared" si="69"/>
      </c>
      <c r="O194" s="262">
        <f t="shared" si="20"/>
      </c>
      <c r="P194" s="262">
        <f t="shared" si="79"/>
      </c>
      <c r="Q194" s="262">
        <f t="shared" si="74"/>
      </c>
      <c r="R194" s="262">
        <f t="shared" si="87"/>
      </c>
      <c r="S194" s="262">
        <f t="shared" si="83"/>
      </c>
      <c r="T194" s="262">
        <f t="shared" si="17"/>
      </c>
      <c r="U194" s="262">
        <f t="shared" si="2"/>
      </c>
      <c r="V194" s="260">
        <f t="shared" si="71"/>
      </c>
      <c r="W194" s="260">
        <f t="shared" si="22"/>
      </c>
      <c r="X194" s="260">
        <f t="shared" si="24"/>
      </c>
      <c r="Y194" s="260">
        <f t="shared" si="26"/>
      </c>
      <c r="Z194" s="260">
        <f t="shared" si="81"/>
      </c>
      <c r="AA194" s="260">
        <f t="shared" si="76"/>
      </c>
      <c r="AB194" s="261">
        <f t="shared" si="89"/>
      </c>
      <c r="AC194" s="261">
        <f t="shared" si="85"/>
      </c>
      <c r="AD194" s="261">
        <f t="shared" si="4"/>
      </c>
      <c r="AE194" s="260">
        <f t="shared" si="91"/>
      </c>
      <c r="AF194" s="261">
        <f t="shared" si="28"/>
      </c>
      <c r="AG194" s="260">
        <f t="shared" si="19"/>
      </c>
      <c r="AH194" s="260">
        <f t="shared" si="78"/>
      </c>
      <c r="AI194" s="259">
        <f>SUM(AI191:AI193)</f>
      </c>
      <c r="AJ194" s="259">
        <f>SUM(AJ191:AJ193)</f>
      </c>
      <c r="AK194" s="259">
        <f>SUM(AK191:AK193)</f>
      </c>
      <c r="AL194" s="259">
        <f>SUM(AL191:AL193)</f>
      </c>
      <c r="AM194" s="259">
        <f>SUM(AM191:AM193)</f>
      </c>
      <c r="AN194" s="259">
        <f>SUM(AN191:AN193)</f>
      </c>
      <c r="AO194" s="259">
        <f>SUM(AO191:AO193)</f>
      </c>
      <c r="AP194" s="259">
        <f>SUM(AP191:AP193)</f>
      </c>
      <c r="AQ194" s="259">
        <f>SUM(AQ191:AQ193)</f>
      </c>
      <c r="AR194" s="259">
        <f>SUM(AR191:AR193)</f>
      </c>
      <c r="AS194" s="263">
        <f>SUM(AS191:AS193)</f>
      </c>
    </row>
    <row r="195">
      <c r="A195" s="244"/>
      <c r="B195" s="246" t="s">
        <v>262</v>
      </c>
      <c r="C195" s="245" t="s">
        <v>263</v>
      </c>
      <c r="D195" s="246" t="s">
        <v>287</v>
      </c>
      <c r="E195" s="246" t="s">
        <v>266</v>
      </c>
      <c r="F195" s="247">
        <f t="shared" ref="F195:F196" si="64">G195+I195+H195</f>
      </c>
      <c r="G195" s="248">
        <v>0</v>
      </c>
      <c r="H195" s="274">
        <v>2056.05</v>
      </c>
      <c r="I195" s="274">
        <v>198.59</v>
      </c>
      <c r="J195" s="254">
        <v>2</v>
      </c>
      <c r="K195" s="254">
        <v>2</v>
      </c>
      <c r="L195" s="276">
        <v>1369</v>
      </c>
      <c r="M195" s="251">
        <f t="shared" si="0"/>
      </c>
      <c r="N195" s="252">
        <f t="shared" si="69"/>
      </c>
      <c r="O195" s="253">
        <f t="shared" si="20"/>
      </c>
      <c r="P195" s="253">
        <f t="shared" si="79"/>
      </c>
      <c r="Q195" s="253">
        <f t="shared" si="74"/>
      </c>
      <c r="R195" s="253">
        <f t="shared" si="87"/>
      </c>
      <c r="S195" s="253">
        <f t="shared" si="83"/>
      </c>
      <c r="T195" s="253">
        <f t="shared" si="17"/>
      </c>
      <c r="U195" s="253">
        <f t="shared" si="2"/>
      </c>
      <c r="V195" s="251">
        <f t="shared" si="71"/>
      </c>
      <c r="W195" s="251">
        <f t="shared" si="22"/>
      </c>
      <c r="X195" s="251">
        <f t="shared" si="24"/>
      </c>
      <c r="Y195" s="251">
        <f t="shared" si="26"/>
      </c>
      <c r="Z195" s="251">
        <f t="shared" si="81"/>
      </c>
      <c r="AA195" s="251">
        <f t="shared" si="76"/>
      </c>
      <c r="AB195" s="252">
        <f t="shared" si="89"/>
      </c>
      <c r="AC195" s="252">
        <f t="shared" si="85"/>
      </c>
      <c r="AD195" s="252">
        <f t="shared" si="4"/>
      </c>
      <c r="AE195" s="251">
        <f t="shared" si="91"/>
      </c>
      <c r="AF195" s="252">
        <f t="shared" si="28"/>
      </c>
      <c r="AG195" s="251">
        <f t="shared" si="19"/>
      </c>
      <c r="AH195" s="251">
        <f t="shared" si="78"/>
      </c>
      <c r="AI195" s="254">
        <v>25051</v>
      </c>
      <c r="AJ195" s="254">
        <v>244</v>
      </c>
      <c r="AK195" s="254">
        <v>254</v>
      </c>
      <c r="AL195" s="254">
        <v>62</v>
      </c>
      <c r="AM195" s="254">
        <v>2</v>
      </c>
      <c r="AN195" s="254">
        <v>2</v>
      </c>
      <c r="AO195" s="254">
        <v>34</v>
      </c>
      <c r="AP195" s="254">
        <v>31</v>
      </c>
      <c r="AQ195" s="254">
        <v>3</v>
      </c>
      <c r="AR195" s="249">
        <v>0</v>
      </c>
      <c r="AS195" s="271">
        <v>1</v>
      </c>
    </row>
    <row r="196">
      <c r="A196" s="244"/>
      <c r="B196" s="246" t="s">
        <v>262</v>
      </c>
      <c r="C196" s="245" t="s">
        <v>263</v>
      </c>
      <c r="D196" s="246" t="s">
        <v>287</v>
      </c>
      <c r="E196" s="246" t="s">
        <v>267</v>
      </c>
      <c r="F196" s="247">
        <f t="shared" si="64"/>
      </c>
      <c r="G196" s="248">
        <v>0</v>
      </c>
      <c r="H196" s="274">
        <v>3336.65</v>
      </c>
      <c r="I196" s="274">
        <v>886.39</v>
      </c>
      <c r="J196" s="254">
        <v>2</v>
      </c>
      <c r="K196" s="254">
        <v>2</v>
      </c>
      <c r="L196" s="276">
        <v>1661.7999999999993</v>
      </c>
      <c r="M196" s="251">
        <f t="shared" si="0"/>
      </c>
      <c r="N196" s="252">
        <f t="shared" si="69"/>
      </c>
      <c r="O196" s="253">
        <f t="shared" si="20"/>
      </c>
      <c r="P196" s="253">
        <f t="shared" si="79"/>
      </c>
      <c r="Q196" s="253">
        <f t="shared" si="74"/>
      </c>
      <c r="R196" s="253">
        <f t="shared" si="87"/>
      </c>
      <c r="S196" s="253">
        <f t="shared" si="83"/>
      </c>
      <c r="T196" s="253">
        <f t="shared" si="17"/>
      </c>
      <c r="U196" s="253">
        <f t="shared" si="2"/>
      </c>
      <c r="V196" s="251">
        <f t="shared" si="71"/>
      </c>
      <c r="W196" s="251">
        <f t="shared" si="22"/>
      </c>
      <c r="X196" s="251">
        <f t="shared" si="24"/>
      </c>
      <c r="Y196" s="251">
        <f t="shared" si="26"/>
      </c>
      <c r="Z196" s="251">
        <f t="shared" si="81"/>
      </c>
      <c r="AA196" s="251">
        <f t="shared" si="76"/>
      </c>
      <c r="AB196" s="252">
        <f t="shared" si="89"/>
      </c>
      <c r="AC196" s="252">
        <f t="shared" si="85"/>
      </c>
      <c r="AD196" s="252">
        <f t="shared" si="4"/>
      </c>
      <c r="AE196" s="251">
        <f t="shared" si="91"/>
      </c>
      <c r="AF196" s="252">
        <f t="shared" si="28"/>
      </c>
      <c r="AG196" s="251">
        <f t="shared" si="19"/>
      </c>
      <c r="AH196" s="251">
        <f t="shared" si="78"/>
      </c>
      <c r="AI196" s="254">
        <v>40940</v>
      </c>
      <c r="AJ196" s="254">
        <v>631</v>
      </c>
      <c r="AK196" s="254">
        <v>622</v>
      </c>
      <c r="AL196" s="254">
        <v>126</v>
      </c>
      <c r="AM196" s="254">
        <v>2</v>
      </c>
      <c r="AN196" s="254">
        <v>2</v>
      </c>
      <c r="AO196" s="254">
        <v>91</v>
      </c>
      <c r="AP196" s="254">
        <v>65</v>
      </c>
      <c r="AQ196" s="254">
        <v>7</v>
      </c>
      <c r="AR196" s="249">
        <v>0</v>
      </c>
      <c r="AS196" s="271">
        <v>1</v>
      </c>
    </row>
    <row r="197">
      <c r="A197" s="244"/>
      <c r="B197" s="257" t="s">
        <v>268</v>
      </c>
      <c r="C197" s="257"/>
      <c r="D197" s="257"/>
      <c r="E197" s="257"/>
      <c r="F197" s="258">
        <f>SUM(F195:F196)</f>
      </c>
      <c r="G197" s="258">
        <f>SUM(G195:G196)</f>
      </c>
      <c r="H197" s="258">
        <f>SUM(H195:H196)</f>
      </c>
      <c r="I197" s="258">
        <f>SUM(I195:I196)</f>
      </c>
      <c r="J197" s="259">
        <f>SUM(J195:J196)</f>
      </c>
      <c r="K197" s="259">
        <f>SUM(K195:K196)</f>
      </c>
      <c r="L197" s="258">
        <f>SUM(L195:L196)</f>
      </c>
      <c r="M197" s="260">
        <f t="shared" si="0"/>
      </c>
      <c r="N197" s="261">
        <f t="shared" si="69"/>
      </c>
      <c r="O197" s="262">
        <f t="shared" si="20"/>
      </c>
      <c r="P197" s="262">
        <f t="shared" si="79"/>
      </c>
      <c r="Q197" s="262">
        <f t="shared" si="74"/>
      </c>
      <c r="R197" s="262">
        <f t="shared" si="87"/>
      </c>
      <c r="S197" s="262">
        <f t="shared" si="83"/>
      </c>
      <c r="T197" s="262">
        <f t="shared" si="17"/>
      </c>
      <c r="U197" s="262">
        <f t="shared" si="2"/>
      </c>
      <c r="V197" s="260">
        <f t="shared" si="71"/>
      </c>
      <c r="W197" s="260">
        <f t="shared" si="22"/>
      </c>
      <c r="X197" s="260">
        <f t="shared" si="24"/>
      </c>
      <c r="Y197" s="260">
        <f t="shared" si="26"/>
      </c>
      <c r="Z197" s="260">
        <f t="shared" si="81"/>
      </c>
      <c r="AA197" s="260">
        <f t="shared" si="76"/>
      </c>
      <c r="AB197" s="261">
        <f t="shared" si="89"/>
      </c>
      <c r="AC197" s="261">
        <f t="shared" si="85"/>
      </c>
      <c r="AD197" s="261">
        <f t="shared" si="4"/>
      </c>
      <c r="AE197" s="260">
        <f t="shared" si="91"/>
      </c>
      <c r="AF197" s="261">
        <f t="shared" si="28"/>
      </c>
      <c r="AG197" s="260">
        <f t="shared" si="19"/>
      </c>
      <c r="AH197" s="260">
        <f t="shared" si="78"/>
      </c>
      <c r="AI197" s="259">
        <f>SUM(AI195:AI196)</f>
      </c>
      <c r="AJ197" s="259">
        <f>SUM(AJ195:AJ196)</f>
      </c>
      <c r="AK197" s="259">
        <f>SUM(AK195:AK196)</f>
      </c>
      <c r="AL197" s="259">
        <f>SUM(AL195:AL196)</f>
      </c>
      <c r="AM197" s="259">
        <f>SUM(AM195:AM196)</f>
      </c>
      <c r="AN197" s="259">
        <f>SUM(AN195:AN196)</f>
      </c>
      <c r="AO197" s="259">
        <f>SUM(AO195:AO196)</f>
      </c>
      <c r="AP197" s="259">
        <f>SUM(AP195:AP196)</f>
      </c>
      <c r="AQ197" s="259">
        <f>SUM(AQ195:AQ196)</f>
      </c>
      <c r="AR197" s="259">
        <f>SUM(AR195:AR196)</f>
      </c>
      <c r="AS197" s="263">
        <f>SUM(AS195:AS196)</f>
      </c>
    </row>
    <row r="198">
      <c r="A198" s="244"/>
      <c r="B198" s="246" t="s">
        <v>262</v>
      </c>
      <c r="C198" s="245" t="s">
        <v>263</v>
      </c>
      <c r="D198" s="245" t="s">
        <v>264</v>
      </c>
      <c r="E198" s="245" t="s">
        <v>270</v>
      </c>
      <c r="F198" s="247">
        <f t="shared" ref="F198:F200" si="65">G198+I198+H198</f>
      </c>
      <c r="G198" s="248">
        <v>0</v>
      </c>
      <c r="H198" s="274">
        <v>3594.91</v>
      </c>
      <c r="I198" s="274">
        <v>1218.81</v>
      </c>
      <c r="J198" s="249">
        <v>3</v>
      </c>
      <c r="K198" s="249">
        <v>2</v>
      </c>
      <c r="L198" s="250">
        <v>1336.7999999999993</v>
      </c>
      <c r="M198" s="251">
        <f t="shared" si="0"/>
      </c>
      <c r="N198" s="252">
        <f t="shared" si="69"/>
      </c>
      <c r="O198" s="253">
        <f t="shared" si="20"/>
      </c>
      <c r="P198" s="253">
        <f t="shared" si="79"/>
      </c>
      <c r="Q198" s="253">
        <f t="shared" si="74"/>
      </c>
      <c r="R198" s="253">
        <f t="shared" si="87"/>
      </c>
      <c r="S198" s="253">
        <f t="shared" si="83"/>
      </c>
      <c r="T198" s="253">
        <f t="shared" si="17"/>
      </c>
      <c r="U198" s="253">
        <f t="shared" si="2"/>
      </c>
      <c r="V198" s="251">
        <f t="shared" si="71"/>
      </c>
      <c r="W198" s="251">
        <f t="shared" si="22"/>
      </c>
      <c r="X198" s="251">
        <f t="shared" si="24"/>
      </c>
      <c r="Y198" s="251">
        <f t="shared" si="26"/>
      </c>
      <c r="Z198" s="251">
        <f t="shared" si="81"/>
      </c>
      <c r="AA198" s="251">
        <f t="shared" si="76"/>
      </c>
      <c r="AB198" s="252">
        <f t="shared" si="89"/>
      </c>
      <c r="AC198" s="252">
        <f t="shared" si="85"/>
      </c>
      <c r="AD198" s="252">
        <f t="shared" si="4"/>
      </c>
      <c r="AE198" s="251">
        <f t="shared" si="91"/>
      </c>
      <c r="AF198" s="252">
        <f t="shared" si="28"/>
      </c>
      <c r="AG198" s="251">
        <f t="shared" si="19"/>
      </c>
      <c r="AH198" s="251">
        <f t="shared" si="78"/>
      </c>
      <c r="AI198" s="254">
        <v>35495</v>
      </c>
      <c r="AJ198" s="254">
        <v>810</v>
      </c>
      <c r="AK198" s="254">
        <v>817</v>
      </c>
      <c r="AL198" s="254">
        <v>169</v>
      </c>
      <c r="AM198" s="254">
        <v>2</v>
      </c>
      <c r="AN198" s="254">
        <v>1</v>
      </c>
      <c r="AO198" s="254">
        <v>114</v>
      </c>
      <c r="AP198" s="254">
        <v>79</v>
      </c>
      <c r="AQ198" s="254">
        <v>10</v>
      </c>
      <c r="AR198" s="249">
        <v>0</v>
      </c>
      <c r="AS198" s="271">
        <v>1</v>
      </c>
    </row>
    <row r="199">
      <c r="A199" s="244"/>
      <c r="B199" s="246" t="s">
        <v>262</v>
      </c>
      <c r="C199" s="245" t="s">
        <v>263</v>
      </c>
      <c r="D199" s="245" t="s">
        <v>264</v>
      </c>
      <c r="E199" s="245" t="s">
        <v>271</v>
      </c>
      <c r="F199" s="247">
        <f t="shared" si="65"/>
      </c>
      <c r="G199" s="248">
        <v>0</v>
      </c>
      <c r="H199" s="248">
        <v>1654.01</v>
      </c>
      <c r="I199" s="274">
        <v>379</v>
      </c>
      <c r="J199" s="254">
        <v>4</v>
      </c>
      <c r="K199" s="254">
        <v>4</v>
      </c>
      <c r="L199" s="276">
        <v>2354.2000000000007</v>
      </c>
      <c r="M199" s="251">
        <f t="shared" si="0"/>
      </c>
      <c r="N199" s="252">
        <f t="shared" si="69"/>
      </c>
      <c r="O199" s="253">
        <f t="shared" si="20"/>
      </c>
      <c r="P199" s="253">
        <f t="shared" si="79"/>
      </c>
      <c r="Q199" s="253">
        <f t="shared" si="74"/>
      </c>
      <c r="R199" s="253">
        <f t="shared" si="87"/>
      </c>
      <c r="S199" s="253">
        <f t="shared" si="83"/>
      </c>
      <c r="T199" s="253">
        <f t="shared" si="17"/>
      </c>
      <c r="U199" s="253">
        <f t="shared" si="2"/>
      </c>
      <c r="V199" s="251">
        <f t="shared" si="71"/>
      </c>
      <c r="W199" s="251">
        <f t="shared" si="22"/>
      </c>
      <c r="X199" s="251">
        <f t="shared" si="24"/>
      </c>
      <c r="Y199" s="251">
        <f t="shared" si="26"/>
      </c>
      <c r="Z199" s="251">
        <f t="shared" si="81"/>
      </c>
      <c r="AA199" s="251">
        <f t="shared" si="76"/>
      </c>
      <c r="AB199" s="252">
        <f t="shared" si="89"/>
      </c>
      <c r="AC199" s="252">
        <f t="shared" si="85"/>
      </c>
      <c r="AD199" s="252">
        <f t="shared" si="4"/>
      </c>
      <c r="AE199" s="251">
        <f t="shared" si="91"/>
      </c>
      <c r="AF199" s="252">
        <f t="shared" si="28"/>
      </c>
      <c r="AG199" s="251">
        <f t="shared" si="19"/>
      </c>
      <c r="AH199" s="251">
        <f t="shared" si="78"/>
      </c>
      <c r="AI199" s="254">
        <v>16911</v>
      </c>
      <c r="AJ199" s="254">
        <v>375</v>
      </c>
      <c r="AK199" s="254">
        <v>379</v>
      </c>
      <c r="AL199" s="254">
        <v>78</v>
      </c>
      <c r="AM199" s="254">
        <v>5</v>
      </c>
      <c r="AN199" s="254">
        <v>5</v>
      </c>
      <c r="AO199" s="254">
        <v>63</v>
      </c>
      <c r="AP199" s="254">
        <v>116</v>
      </c>
      <c r="AQ199" s="254">
        <v>11</v>
      </c>
      <c r="AR199" s="249">
        <v>0</v>
      </c>
      <c r="AS199" s="271">
        <v>1</v>
      </c>
    </row>
    <row r="200">
      <c r="A200" s="244"/>
      <c r="B200" s="246" t="s">
        <v>262</v>
      </c>
      <c r="C200" s="245" t="s">
        <v>263</v>
      </c>
      <c r="D200" s="245" t="s">
        <v>264</v>
      </c>
      <c r="E200" s="246" t="s">
        <v>272</v>
      </c>
      <c r="F200" s="247">
        <f t="shared" si="65"/>
      </c>
      <c r="G200" s="248">
        <v>0</v>
      </c>
      <c r="H200" s="248">
        <v>1256.67</v>
      </c>
      <c r="I200" s="274">
        <v>191.83</v>
      </c>
      <c r="J200" s="254">
        <v>3</v>
      </c>
      <c r="K200" s="254">
        <v>2</v>
      </c>
      <c r="L200" s="276">
        <v>1406.2000000000007</v>
      </c>
      <c r="M200" s="251">
        <f t="shared" si="0"/>
      </c>
      <c r="N200" s="252">
        <f t="shared" si="69"/>
      </c>
      <c r="O200" s="253">
        <f t="shared" si="20"/>
      </c>
      <c r="P200" s="253">
        <f t="shared" si="79"/>
      </c>
      <c r="Q200" s="253">
        <f t="shared" si="74"/>
      </c>
      <c r="R200" s="253">
        <f t="shared" si="87"/>
      </c>
      <c r="S200" s="253">
        <f t="shared" si="83"/>
      </c>
      <c r="T200" s="253">
        <f t="shared" si="17"/>
      </c>
      <c r="U200" s="253">
        <f t="shared" si="2"/>
      </c>
      <c r="V200" s="251">
        <f t="shared" si="71"/>
      </c>
      <c r="W200" s="251">
        <f t="shared" si="22"/>
      </c>
      <c r="X200" s="251">
        <f t="shared" si="24"/>
      </c>
      <c r="Y200" s="251">
        <f t="shared" si="26"/>
      </c>
      <c r="Z200" s="251">
        <f t="shared" si="81"/>
      </c>
      <c r="AA200" s="251">
        <f t="shared" si="76"/>
      </c>
      <c r="AB200" s="252">
        <f t="shared" si="89"/>
      </c>
      <c r="AC200" s="252">
        <f t="shared" si="85"/>
      </c>
      <c r="AD200" s="252">
        <f t="shared" si="4"/>
      </c>
      <c r="AE200" s="251">
        <f t="shared" si="91"/>
      </c>
      <c r="AF200" s="252">
        <f t="shared" si="28"/>
      </c>
      <c r="AG200" s="251">
        <f t="shared" si="19"/>
      </c>
      <c r="AH200" s="251">
        <f t="shared" si="78"/>
      </c>
      <c r="AI200" s="254">
        <v>9189</v>
      </c>
      <c r="AJ200" s="254">
        <v>229</v>
      </c>
      <c r="AK200" s="254">
        <v>234</v>
      </c>
      <c r="AL200" s="254">
        <v>61</v>
      </c>
      <c r="AM200" s="254">
        <v>2</v>
      </c>
      <c r="AN200" s="254">
        <v>1</v>
      </c>
      <c r="AO200" s="254">
        <v>49</v>
      </c>
      <c r="AP200" s="254">
        <v>60</v>
      </c>
      <c r="AQ200" s="254">
        <v>5</v>
      </c>
      <c r="AR200" s="249">
        <v>0</v>
      </c>
      <c r="AS200" s="271">
        <v>1</v>
      </c>
    </row>
    <row r="201">
      <c r="A201" s="244"/>
      <c r="B201" s="257" t="s">
        <v>268</v>
      </c>
      <c r="C201" s="257"/>
      <c r="D201" s="257"/>
      <c r="E201" s="257"/>
      <c r="F201" s="258">
        <f>SUM(F198:F200)</f>
      </c>
      <c r="G201" s="258">
        <f>SUM(G198:G200)</f>
      </c>
      <c r="H201" s="258">
        <f>SUM(H198:H200)</f>
      </c>
      <c r="I201" s="258">
        <f>SUM(I198:I200)</f>
      </c>
      <c r="J201" s="259">
        <f>SUM(J198:J200)</f>
      </c>
      <c r="K201" s="259">
        <f>SUM(K198:K200)</f>
      </c>
      <c r="L201" s="258">
        <f>SUM(L198:L200)</f>
      </c>
      <c r="M201" s="260">
        <f t="shared" si="0"/>
      </c>
      <c r="N201" s="261">
        <f t="shared" si="69"/>
      </c>
      <c r="O201" s="262">
        <f t="shared" si="20"/>
      </c>
      <c r="P201" s="262">
        <f t="shared" si="79"/>
      </c>
      <c r="Q201" s="262">
        <f t="shared" si="74"/>
      </c>
      <c r="R201" s="262">
        <f t="shared" si="87"/>
      </c>
      <c r="S201" s="262">
        <f t="shared" si="83"/>
      </c>
      <c r="T201" s="262">
        <f t="shared" si="17"/>
      </c>
      <c r="U201" s="262">
        <f t="shared" si="2"/>
      </c>
      <c r="V201" s="260">
        <f t="shared" si="71"/>
      </c>
      <c r="W201" s="260">
        <f t="shared" si="22"/>
      </c>
      <c r="X201" s="260">
        <f t="shared" si="24"/>
      </c>
      <c r="Y201" s="260">
        <f t="shared" si="26"/>
      </c>
      <c r="Z201" s="260">
        <f t="shared" si="81"/>
      </c>
      <c r="AA201" s="260">
        <f t="shared" si="76"/>
      </c>
      <c r="AB201" s="261">
        <f t="shared" si="89"/>
      </c>
      <c r="AC201" s="261">
        <f t="shared" si="85"/>
      </c>
      <c r="AD201" s="261">
        <f t="shared" si="4"/>
      </c>
      <c r="AE201" s="260">
        <f t="shared" si="91"/>
      </c>
      <c r="AF201" s="261">
        <f t="shared" si="28"/>
      </c>
      <c r="AG201" s="260">
        <f t="shared" si="19"/>
      </c>
      <c r="AH201" s="260">
        <f t="shared" si="78"/>
      </c>
      <c r="AI201" s="259">
        <f>SUM(AI198:AI200)</f>
      </c>
      <c r="AJ201" s="259">
        <f>SUM(AJ198:AJ200)</f>
      </c>
      <c r="AK201" s="259">
        <f>SUM(AK198:AK200)</f>
      </c>
      <c r="AL201" s="259">
        <f>SUM(AL198:AL200)</f>
      </c>
      <c r="AM201" s="259">
        <f>SUM(AM198:AM200)</f>
      </c>
      <c r="AN201" s="259">
        <f>SUM(AN198:AN200)</f>
      </c>
      <c r="AO201" s="259">
        <f>SUM(AO198:AO200)</f>
      </c>
      <c r="AP201" s="259">
        <f>SUM(AP198:AP200)</f>
      </c>
      <c r="AQ201" s="259">
        <f>SUM(AQ198:AQ200)</f>
      </c>
      <c r="AR201" s="259">
        <f>SUM(AR198:AR200)</f>
      </c>
      <c r="AS201" s="263">
        <f>SUM(AS198:AS200)</f>
      </c>
    </row>
    <row r="202">
      <c r="A202" s="244"/>
      <c r="B202" s="264" t="s">
        <v>273</v>
      </c>
      <c r="C202" s="264"/>
      <c r="D202" s="264"/>
      <c r="E202" s="264"/>
      <c r="F202" s="265">
        <f t="shared" ref="F202:F205" si="66">G202+I202+H202</f>
      </c>
      <c r="G202" s="265">
        <f>G194+G201+G197</f>
      </c>
      <c r="H202" s="265">
        <f>H194+H201+H197</f>
      </c>
      <c r="I202" s="265">
        <f>I194+I201+I197</f>
      </c>
      <c r="J202" s="265">
        <f>J194+J201+J197</f>
      </c>
      <c r="K202" s="265">
        <f>K194+K201+K197</f>
      </c>
      <c r="L202" s="265">
        <f>L194+L201+L197</f>
      </c>
      <c r="M202" s="267">
        <f t="shared" si="0"/>
      </c>
      <c r="N202" s="268">
        <f t="shared" si="69"/>
      </c>
      <c r="O202" s="269">
        <f t="shared" si="20"/>
      </c>
      <c r="P202" s="269">
        <f t="shared" si="79"/>
      </c>
      <c r="Q202" s="269">
        <f t="shared" si="74"/>
      </c>
      <c r="R202" s="269">
        <f t="shared" si="87"/>
      </c>
      <c r="S202" s="269">
        <f t="shared" si="83"/>
      </c>
      <c r="T202" s="269">
        <f t="shared" si="17"/>
      </c>
      <c r="U202" s="269">
        <f t="shared" si="2"/>
      </c>
      <c r="V202" s="267">
        <f t="shared" si="71"/>
      </c>
      <c r="W202" s="267">
        <f t="shared" si="22"/>
      </c>
      <c r="X202" s="267">
        <f t="shared" si="24"/>
      </c>
      <c r="Y202" s="267">
        <f t="shared" si="26"/>
      </c>
      <c r="Z202" s="267">
        <f t="shared" si="81"/>
      </c>
      <c r="AA202" s="267">
        <f t="shared" si="76"/>
      </c>
      <c r="AB202" s="268">
        <f t="shared" si="89"/>
      </c>
      <c r="AC202" s="268">
        <f t="shared" si="85"/>
      </c>
      <c r="AD202" s="268">
        <f t="shared" si="4"/>
      </c>
      <c r="AE202" s="267">
        <f t="shared" si="91"/>
      </c>
      <c r="AF202" s="268">
        <f t="shared" si="28"/>
      </c>
      <c r="AG202" s="267">
        <f t="shared" si="19"/>
      </c>
      <c r="AH202" s="267">
        <f t="shared" si="78"/>
      </c>
      <c r="AI202" s="270">
        <f>AI194+AI201+AI197</f>
      </c>
      <c r="AJ202" s="270">
        <f>AJ194+AJ201+AJ197</f>
      </c>
      <c r="AK202" s="270">
        <f>AK194+AK201+AK197</f>
      </c>
      <c r="AL202" s="270">
        <f>AL194+AL201+AL197</f>
      </c>
      <c r="AM202" s="270">
        <f>AM194+AM201+AM197</f>
      </c>
      <c r="AN202" s="270">
        <f>AN194+AN201+AN197</f>
      </c>
      <c r="AO202" s="270">
        <f>AO194+AO201+AO197</f>
      </c>
      <c r="AP202" s="270">
        <f>AP194+AP201+AP197</f>
      </c>
      <c r="AQ202" s="270">
        <f>AQ194+AQ201+AQ197</f>
      </c>
      <c r="AR202" s="270">
        <f>AR194+AR201+AR197</f>
      </c>
      <c r="AS202" s="263">
        <f>AS194+AS201+AS197</f>
      </c>
    </row>
    <row r="203">
      <c r="A203" s="244">
        <v>46265</v>
      </c>
      <c r="B203" s="246" t="s">
        <v>262</v>
      </c>
      <c r="C203" s="245" t="s">
        <v>263</v>
      </c>
      <c r="D203" s="246" t="s">
        <v>277</v>
      </c>
      <c r="E203" s="246" t="s">
        <v>289</v>
      </c>
      <c r="F203" s="247">
        <f t="shared" si="66"/>
      </c>
      <c r="G203" s="248">
        <v>0</v>
      </c>
      <c r="H203" s="274">
        <v>1727.42</v>
      </c>
      <c r="I203" s="274">
        <v>486.9</v>
      </c>
      <c r="J203" s="249">
        <v>5</v>
      </c>
      <c r="K203" s="249">
        <v>4</v>
      </c>
      <c r="L203" s="250">
        <v>2642</v>
      </c>
      <c r="M203" s="251">
        <f t="shared" si="0"/>
      </c>
      <c r="N203" s="252">
        <f t="shared" si="69"/>
      </c>
      <c r="O203" s="253">
        <f t="shared" si="20"/>
      </c>
      <c r="P203" s="253">
        <f t="shared" si="79"/>
      </c>
      <c r="Q203" s="253">
        <f t="shared" si="74"/>
      </c>
      <c r="R203" s="253">
        <f t="shared" si="87"/>
      </c>
      <c r="S203" s="253">
        <f t="shared" si="83"/>
      </c>
      <c r="T203" s="253">
        <f t="shared" si="17"/>
      </c>
      <c r="U203" s="253">
        <f t="shared" si="2"/>
      </c>
      <c r="V203" s="251">
        <f t="shared" si="71"/>
      </c>
      <c r="W203" s="251">
        <f t="shared" si="22"/>
      </c>
      <c r="X203" s="251">
        <f t="shared" si="24"/>
      </c>
      <c r="Y203" s="251">
        <f t="shared" si="26"/>
      </c>
      <c r="Z203" s="251">
        <f t="shared" si="81"/>
      </c>
      <c r="AA203" s="251">
        <f t="shared" si="76"/>
      </c>
      <c r="AB203" s="252">
        <f t="shared" si="89"/>
      </c>
      <c r="AC203" s="252">
        <f t="shared" si="85"/>
      </c>
      <c r="AD203" s="252">
        <f t="shared" si="4"/>
      </c>
      <c r="AE203" s="251">
        <f t="shared" si="91"/>
      </c>
      <c r="AF203" s="252">
        <f t="shared" si="28"/>
      </c>
      <c r="AG203" s="251">
        <f t="shared" si="19"/>
      </c>
      <c r="AH203" s="251">
        <f t="shared" si="78"/>
      </c>
      <c r="AI203" s="254">
        <v>11842</v>
      </c>
      <c r="AJ203" s="273">
        <v>281</v>
      </c>
      <c r="AK203" s="273">
        <v>283</v>
      </c>
      <c r="AL203" s="254">
        <v>70</v>
      </c>
      <c r="AM203" s="254">
        <v>5</v>
      </c>
      <c r="AN203" s="254">
        <v>4</v>
      </c>
      <c r="AO203" s="254">
        <v>57</v>
      </c>
      <c r="AP203" s="254">
        <v>89</v>
      </c>
      <c r="AQ203" s="254">
        <v>5</v>
      </c>
      <c r="AR203" s="249">
        <v>0</v>
      </c>
      <c r="AS203" s="271">
        <v>1</v>
      </c>
    </row>
    <row r="204">
      <c r="A204" s="244"/>
      <c r="B204" s="246" t="s">
        <v>262</v>
      </c>
      <c r="C204" s="245" t="s">
        <v>263</v>
      </c>
      <c r="D204" s="246" t="s">
        <v>277</v>
      </c>
      <c r="E204" s="246" t="s">
        <v>290</v>
      </c>
      <c r="F204" s="247">
        <f t="shared" si="66"/>
      </c>
      <c r="G204" s="248">
        <v>0</v>
      </c>
      <c r="H204" s="275">
        <v>1576.07</v>
      </c>
      <c r="I204" s="274">
        <v>323.32</v>
      </c>
      <c r="J204" s="254">
        <v>2</v>
      </c>
      <c r="K204" s="254">
        <v>2</v>
      </c>
      <c r="L204" s="276">
        <v>1368</v>
      </c>
      <c r="M204" s="251">
        <f t="shared" si="0"/>
      </c>
      <c r="N204" s="252">
        <f t="shared" si="69"/>
      </c>
      <c r="O204" s="253">
        <f t="shared" si="20"/>
      </c>
      <c r="P204" s="253">
        <f t="shared" si="79"/>
      </c>
      <c r="Q204" s="253">
        <f t="shared" si="74"/>
      </c>
      <c r="R204" s="253">
        <f t="shared" si="87"/>
      </c>
      <c r="S204" s="253">
        <f t="shared" si="83"/>
      </c>
      <c r="T204" s="253">
        <f t="shared" si="17"/>
      </c>
      <c r="U204" s="253">
        <f t="shared" si="2"/>
      </c>
      <c r="V204" s="251">
        <f t="shared" si="71"/>
      </c>
      <c r="W204" s="251">
        <f t="shared" si="22"/>
      </c>
      <c r="X204" s="251">
        <f t="shared" si="24"/>
      </c>
      <c r="Y204" s="251">
        <f t="shared" si="26"/>
      </c>
      <c r="Z204" s="251">
        <f t="shared" si="81"/>
      </c>
      <c r="AA204" s="251">
        <f t="shared" si="76"/>
      </c>
      <c r="AB204" s="252">
        <f t="shared" si="89"/>
      </c>
      <c r="AC204" s="252">
        <f t="shared" si="85"/>
      </c>
      <c r="AD204" s="252">
        <f t="shared" si="4"/>
      </c>
      <c r="AE204" s="251">
        <f t="shared" si="91"/>
      </c>
      <c r="AF204" s="252">
        <f t="shared" si="28"/>
      </c>
      <c r="AG204" s="251">
        <f t="shared" si="19"/>
      </c>
      <c r="AH204" s="251">
        <f t="shared" si="78"/>
      </c>
      <c r="AI204" s="254">
        <v>10630</v>
      </c>
      <c r="AJ204" s="254">
        <v>243</v>
      </c>
      <c r="AK204" s="254">
        <v>229</v>
      </c>
      <c r="AL204" s="254">
        <v>76</v>
      </c>
      <c r="AM204" s="254">
        <v>2</v>
      </c>
      <c r="AN204" s="254">
        <v>1</v>
      </c>
      <c r="AO204" s="254">
        <v>56</v>
      </c>
      <c r="AP204" s="254">
        <v>82</v>
      </c>
      <c r="AQ204" s="249">
        <v>2</v>
      </c>
      <c r="AR204" s="249">
        <v>1</v>
      </c>
      <c r="AS204" s="271">
        <v>1</v>
      </c>
    </row>
    <row r="205">
      <c r="A205" s="244"/>
      <c r="B205" s="246" t="s">
        <v>262</v>
      </c>
      <c r="C205" s="245" t="s">
        <v>263</v>
      </c>
      <c r="D205" s="246" t="s">
        <v>277</v>
      </c>
      <c r="E205" s="246" t="s">
        <v>265</v>
      </c>
      <c r="F205" s="247">
        <f t="shared" si="66"/>
      </c>
      <c r="G205" s="248">
        <v>0</v>
      </c>
      <c r="H205" s="274">
        <v>2122.91</v>
      </c>
      <c r="I205" s="274">
        <v>324.43</v>
      </c>
      <c r="J205" s="254">
        <v>6</v>
      </c>
      <c r="K205" s="254">
        <v>3</v>
      </c>
      <c r="L205" s="276">
        <v>1563.3999999999996</v>
      </c>
      <c r="M205" s="251">
        <f t="shared" si="0"/>
      </c>
      <c r="N205" s="252">
        <f t="shared" si="69"/>
      </c>
      <c r="O205" s="253">
        <f t="shared" si="20"/>
      </c>
      <c r="P205" s="253">
        <f t="shared" si="79"/>
      </c>
      <c r="Q205" s="253">
        <f t="shared" si="74"/>
      </c>
      <c r="R205" s="253">
        <f t="shared" si="87"/>
      </c>
      <c r="S205" s="253">
        <f t="shared" si="83"/>
      </c>
      <c r="T205" s="253">
        <f t="shared" si="17"/>
      </c>
      <c r="U205" s="253">
        <f t="shared" si="2"/>
      </c>
      <c r="V205" s="251">
        <f t="shared" si="71"/>
      </c>
      <c r="W205" s="251">
        <f t="shared" si="22"/>
      </c>
      <c r="X205" s="251">
        <f t="shared" si="24"/>
      </c>
      <c r="Y205" s="251">
        <f t="shared" si="26"/>
      </c>
      <c r="Z205" s="251">
        <f t="shared" si="81"/>
      </c>
      <c r="AA205" s="251">
        <f t="shared" si="76"/>
      </c>
      <c r="AB205" s="252">
        <f t="shared" si="89"/>
      </c>
      <c r="AC205" s="252">
        <f t="shared" si="85"/>
      </c>
      <c r="AD205" s="252">
        <f t="shared" si="4"/>
      </c>
      <c r="AE205" s="251">
        <f t="shared" si="91"/>
      </c>
      <c r="AF205" s="252">
        <f t="shared" si="28"/>
      </c>
      <c r="AG205" s="251">
        <f t="shared" si="19"/>
      </c>
      <c r="AH205" s="251">
        <f t="shared" si="78"/>
      </c>
      <c r="AI205" s="254">
        <v>16688</v>
      </c>
      <c r="AJ205" s="254">
        <v>332</v>
      </c>
      <c r="AK205" s="254">
        <v>302</v>
      </c>
      <c r="AL205" s="254">
        <v>101</v>
      </c>
      <c r="AM205" s="254">
        <v>6</v>
      </c>
      <c r="AN205" s="254">
        <v>3</v>
      </c>
      <c r="AO205" s="254">
        <v>63</v>
      </c>
      <c r="AP205" s="254">
        <v>62</v>
      </c>
      <c r="AQ205" s="254">
        <v>7</v>
      </c>
      <c r="AR205" s="249">
        <v>0</v>
      </c>
      <c r="AS205" s="271">
        <v>1</v>
      </c>
    </row>
    <row r="206">
      <c r="A206" s="244"/>
      <c r="B206" s="257" t="s">
        <v>268</v>
      </c>
      <c r="C206" s="257"/>
      <c r="D206" s="257"/>
      <c r="E206" s="257"/>
      <c r="F206" s="258">
        <f>SUM(F203:F205)</f>
      </c>
      <c r="G206" s="258">
        <f>SUM(G203:G205)</f>
      </c>
      <c r="H206" s="258">
        <f>SUM(H203:H205)</f>
      </c>
      <c r="I206" s="258">
        <f>SUM(I203:I205)</f>
      </c>
      <c r="J206" s="259">
        <f>SUM(J203:J205)</f>
      </c>
      <c r="K206" s="259">
        <f>SUM(K203:K205)</f>
      </c>
      <c r="L206" s="258">
        <f>SUM(L203:L205)</f>
      </c>
      <c r="M206" s="260">
        <f t="shared" si="0"/>
      </c>
      <c r="N206" s="261">
        <f t="shared" si="69"/>
      </c>
      <c r="O206" s="262">
        <f t="shared" si="20"/>
      </c>
      <c r="P206" s="262">
        <f t="shared" si="79"/>
      </c>
      <c r="Q206" s="262">
        <f t="shared" si="74"/>
      </c>
      <c r="R206" s="262">
        <f t="shared" si="87"/>
      </c>
      <c r="S206" s="262">
        <f t="shared" si="83"/>
      </c>
      <c r="T206" s="262">
        <f t="shared" si="17"/>
      </c>
      <c r="U206" s="262">
        <f t="shared" si="2"/>
      </c>
      <c r="V206" s="260">
        <f t="shared" si="71"/>
      </c>
      <c r="W206" s="260">
        <f t="shared" si="22"/>
      </c>
      <c r="X206" s="260">
        <f t="shared" si="24"/>
      </c>
      <c r="Y206" s="260">
        <f t="shared" si="26"/>
      </c>
      <c r="Z206" s="260">
        <f t="shared" si="81"/>
      </c>
      <c r="AA206" s="260">
        <f t="shared" si="76"/>
      </c>
      <c r="AB206" s="261">
        <f t="shared" si="89"/>
      </c>
      <c r="AC206" s="261">
        <f t="shared" si="85"/>
      </c>
      <c r="AD206" s="261">
        <f t="shared" si="4"/>
      </c>
      <c r="AE206" s="260">
        <f t="shared" si="91"/>
      </c>
      <c r="AF206" s="261">
        <f t="shared" si="28"/>
      </c>
      <c r="AG206" s="260">
        <f t="shared" si="19"/>
      </c>
      <c r="AH206" s="260">
        <f t="shared" si="78"/>
      </c>
      <c r="AI206" s="259">
        <f>SUM(AI203:AI205)</f>
      </c>
      <c r="AJ206" s="259">
        <f>SUM(AJ203:AJ205)</f>
      </c>
      <c r="AK206" s="259">
        <f>SUM(AK203:AK205)</f>
      </c>
      <c r="AL206" s="259">
        <f>SUM(AL203:AL205)</f>
      </c>
      <c r="AM206" s="259">
        <f>SUM(AM203:AM205)</f>
      </c>
      <c r="AN206" s="259">
        <f>SUM(AN203:AN205)</f>
      </c>
      <c r="AO206" s="259">
        <f>SUM(AO203:AO205)</f>
      </c>
      <c r="AP206" s="259">
        <f>SUM(AP203:AP205)</f>
      </c>
      <c r="AQ206" s="259">
        <f>SUM(AQ203:AQ205)</f>
      </c>
      <c r="AR206" s="259">
        <f>SUM(AR203:AR205)</f>
      </c>
      <c r="AS206" s="263">
        <f>SUM(AS203:AS205)</f>
      </c>
    </row>
    <row r="207">
      <c r="A207" s="244"/>
      <c r="B207" s="246" t="s">
        <v>262</v>
      </c>
      <c r="C207" s="245" t="s">
        <v>263</v>
      </c>
      <c r="D207" s="246" t="s">
        <v>269</v>
      </c>
      <c r="E207" s="246" t="s">
        <v>266</v>
      </c>
      <c r="F207" s="247">
        <f t="shared" ref="F207:F208" si="67">G207+I207+H207</f>
      </c>
      <c r="G207" s="248">
        <v>0</v>
      </c>
      <c r="H207" s="274">
        <v>1606.51</v>
      </c>
      <c r="I207" s="274">
        <v>203.7</v>
      </c>
      <c r="J207" s="254">
        <v>5</v>
      </c>
      <c r="K207" s="254">
        <v>5</v>
      </c>
      <c r="L207" s="276">
        <v>3012.6000000000004</v>
      </c>
      <c r="M207" s="251">
        <f t="shared" si="0"/>
      </c>
      <c r="N207" s="252">
        <f t="shared" si="69"/>
      </c>
      <c r="O207" s="253">
        <f t="shared" si="20"/>
      </c>
      <c r="P207" s="253">
        <f t="shared" si="79"/>
      </c>
      <c r="Q207" s="253">
        <f t="shared" si="74"/>
      </c>
      <c r="R207" s="253">
        <f t="shared" si="87"/>
      </c>
      <c r="S207" s="253">
        <f t="shared" si="83"/>
      </c>
      <c r="T207" s="253">
        <f t="shared" si="17"/>
      </c>
      <c r="U207" s="253">
        <f t="shared" si="2"/>
      </c>
      <c r="V207" s="251">
        <f t="shared" si="71"/>
      </c>
      <c r="W207" s="251">
        <f t="shared" si="22"/>
      </c>
      <c r="X207" s="251">
        <f t="shared" si="24"/>
      </c>
      <c r="Y207" s="251">
        <f t="shared" si="26"/>
      </c>
      <c r="Z207" s="251">
        <f t="shared" si="81"/>
      </c>
      <c r="AA207" s="251">
        <f t="shared" si="76"/>
      </c>
      <c r="AB207" s="252">
        <f t="shared" si="89"/>
      </c>
      <c r="AC207" s="252">
        <f t="shared" si="85"/>
      </c>
      <c r="AD207" s="252">
        <f t="shared" si="4"/>
      </c>
      <c r="AE207" s="251">
        <f t="shared" si="91"/>
      </c>
      <c r="AF207" s="252">
        <f t="shared" si="28"/>
      </c>
      <c r="AG207" s="251">
        <f t="shared" si="19"/>
      </c>
      <c r="AH207" s="251">
        <f t="shared" si="78"/>
      </c>
      <c r="AI207" s="254">
        <v>13768</v>
      </c>
      <c r="AJ207" s="254">
        <v>228</v>
      </c>
      <c r="AK207" s="254">
        <v>219</v>
      </c>
      <c r="AL207" s="254">
        <v>57</v>
      </c>
      <c r="AM207" s="254">
        <v>4</v>
      </c>
      <c r="AN207" s="254">
        <v>4</v>
      </c>
      <c r="AO207" s="254">
        <v>49</v>
      </c>
      <c r="AP207" s="254">
        <v>75</v>
      </c>
      <c r="AQ207" s="254">
        <v>3</v>
      </c>
      <c r="AR207" s="249">
        <v>0</v>
      </c>
      <c r="AS207" s="271">
        <v>1</v>
      </c>
    </row>
    <row r="208">
      <c r="A208" s="244"/>
      <c r="B208" s="246" t="s">
        <v>262</v>
      </c>
      <c r="C208" s="245" t="s">
        <v>263</v>
      </c>
      <c r="D208" s="246" t="s">
        <v>269</v>
      </c>
      <c r="E208" s="246" t="s">
        <v>267</v>
      </c>
      <c r="F208" s="247">
        <f t="shared" si="67"/>
      </c>
      <c r="G208" s="248">
        <v>0</v>
      </c>
      <c r="H208" s="274">
        <v>1479.77</v>
      </c>
      <c r="I208" s="274">
        <v>82.41</v>
      </c>
      <c r="J208" s="254">
        <v>6</v>
      </c>
      <c r="K208" s="254">
        <v>5</v>
      </c>
      <c r="L208" s="276">
        <v>4235.6</v>
      </c>
      <c r="M208" s="251">
        <f t="shared" si="0"/>
      </c>
      <c r="N208" s="252">
        <f t="shared" si="69"/>
      </c>
      <c r="O208" s="253">
        <f t="shared" si="20"/>
      </c>
      <c r="P208" s="253">
        <f t="shared" si="79"/>
      </c>
      <c r="Q208" s="253">
        <f t="shared" si="74"/>
      </c>
      <c r="R208" s="253">
        <f t="shared" si="87"/>
      </c>
      <c r="S208" s="253">
        <f t="shared" si="83"/>
      </c>
      <c r="T208" s="253">
        <f t="shared" si="17"/>
      </c>
      <c r="U208" s="253">
        <f t="shared" si="2"/>
      </c>
      <c r="V208" s="251">
        <f t="shared" si="71"/>
      </c>
      <c r="W208" s="251">
        <f t="shared" si="22"/>
      </c>
      <c r="X208" s="251">
        <f t="shared" si="24"/>
      </c>
      <c r="Y208" s="251">
        <f t="shared" si="26"/>
      </c>
      <c r="Z208" s="251">
        <f t="shared" si="81"/>
      </c>
      <c r="AA208" s="251">
        <f t="shared" si="76"/>
      </c>
      <c r="AB208" s="252">
        <f t="shared" si="89"/>
      </c>
      <c r="AC208" s="252">
        <f t="shared" si="85"/>
      </c>
      <c r="AD208" s="252">
        <f t="shared" si="4"/>
      </c>
      <c r="AE208" s="251">
        <f t="shared" si="91"/>
      </c>
      <c r="AF208" s="252">
        <f t="shared" si="28"/>
      </c>
      <c r="AG208" s="251">
        <f t="shared" si="19"/>
      </c>
      <c r="AH208" s="251">
        <f t="shared" si="78"/>
      </c>
      <c r="AI208" s="254">
        <v>13630</v>
      </c>
      <c r="AJ208" s="254">
        <v>255</v>
      </c>
      <c r="AK208" s="254">
        <v>252</v>
      </c>
      <c r="AL208" s="254">
        <v>77</v>
      </c>
      <c r="AM208" s="254">
        <v>7</v>
      </c>
      <c r="AN208" s="254">
        <v>6</v>
      </c>
      <c r="AO208" s="254">
        <v>59</v>
      </c>
      <c r="AP208" s="254">
        <v>78</v>
      </c>
      <c r="AQ208" s="254">
        <v>3</v>
      </c>
      <c r="AR208" s="249">
        <v>0</v>
      </c>
      <c r="AS208" s="271">
        <v>1</v>
      </c>
    </row>
    <row r="209">
      <c r="A209" s="244"/>
      <c r="B209" s="257" t="s">
        <v>268</v>
      </c>
      <c r="C209" s="257"/>
      <c r="D209" s="257"/>
      <c r="E209" s="257"/>
      <c r="F209" s="258">
        <f>SUM(F207:F208)</f>
      </c>
      <c r="G209" s="258">
        <f>SUM(G207:G208)</f>
      </c>
      <c r="H209" s="258">
        <f>SUM(H207:H208)</f>
      </c>
      <c r="I209" s="258">
        <f>SUM(I207:I208)</f>
      </c>
      <c r="J209" s="259">
        <f>SUM(J207:J208)</f>
      </c>
      <c r="K209" s="259">
        <f>SUM(K207:K208)</f>
      </c>
      <c r="L209" s="258">
        <f>SUM(L207:L208)</f>
      </c>
      <c r="M209" s="260">
        <f t="shared" si="0"/>
      </c>
      <c r="N209" s="261">
        <f t="shared" si="69"/>
      </c>
      <c r="O209" s="262">
        <f t="shared" si="20"/>
      </c>
      <c r="P209" s="262">
        <f t="shared" si="79"/>
      </c>
      <c r="Q209" s="262">
        <f t="shared" si="74"/>
      </c>
      <c r="R209" s="262">
        <f t="shared" si="87"/>
      </c>
      <c r="S209" s="262">
        <f t="shared" si="83"/>
      </c>
      <c r="T209" s="262">
        <f t="shared" si="17"/>
      </c>
      <c r="U209" s="262">
        <f t="shared" si="2"/>
      </c>
      <c r="V209" s="260">
        <f t="shared" si="71"/>
      </c>
      <c r="W209" s="260">
        <f t="shared" si="22"/>
      </c>
      <c r="X209" s="260">
        <f t="shared" si="24"/>
      </c>
      <c r="Y209" s="260">
        <f t="shared" si="26"/>
      </c>
      <c r="Z209" s="260">
        <f t="shared" si="81"/>
      </c>
      <c r="AA209" s="260">
        <f t="shared" si="76"/>
      </c>
      <c r="AB209" s="261">
        <f t="shared" si="89"/>
      </c>
      <c r="AC209" s="261">
        <f t="shared" si="85"/>
      </c>
      <c r="AD209" s="261">
        <f t="shared" si="4"/>
      </c>
      <c r="AE209" s="260">
        <f t="shared" si="91"/>
      </c>
      <c r="AF209" s="261">
        <f t="shared" si="28"/>
      </c>
      <c r="AG209" s="260">
        <f t="shared" si="19"/>
      </c>
      <c r="AH209" s="260">
        <f t="shared" si="78"/>
      </c>
      <c r="AI209" s="259">
        <f>SUM(AI207:AI208)</f>
      </c>
      <c r="AJ209" s="259">
        <f>SUM(AJ207:AJ208)</f>
      </c>
      <c r="AK209" s="259">
        <f>SUM(AK207:AK208)</f>
      </c>
      <c r="AL209" s="259">
        <f>SUM(AL207:AL208)</f>
      </c>
      <c r="AM209" s="259">
        <f>SUM(AM207:AM208)</f>
      </c>
      <c r="AN209" s="259">
        <f>SUM(AN207:AN208)</f>
      </c>
      <c r="AO209" s="259">
        <f>SUM(AO207:AO208)</f>
      </c>
      <c r="AP209" s="259">
        <f>SUM(AP207:AP208)</f>
      </c>
      <c r="AQ209" s="259">
        <f>SUM(AQ207:AQ208)</f>
      </c>
      <c r="AR209" s="259">
        <f>SUM(AR207:AR208)</f>
      </c>
      <c r="AS209" s="263">
        <f>SUM(AS207:AS208)</f>
      </c>
    </row>
    <row r="210">
      <c r="A210" s="244"/>
      <c r="B210" s="246" t="s">
        <v>262</v>
      </c>
      <c r="C210" s="245" t="s">
        <v>263</v>
      </c>
      <c r="D210" s="245" t="s">
        <v>264</v>
      </c>
      <c r="E210" s="245" t="s">
        <v>270</v>
      </c>
      <c r="F210" s="247">
        <f t="shared" ref="F210:F212" si="68">G210+I210+H210</f>
      </c>
      <c r="G210" s="248">
        <v>0</v>
      </c>
      <c r="H210" s="274">
        <v>2284.33</v>
      </c>
      <c r="I210" s="274">
        <v>164.28</v>
      </c>
      <c r="J210" s="249">
        <v>4</v>
      </c>
      <c r="K210" s="249">
        <v>5</v>
      </c>
      <c r="L210" s="250">
        <v>3238.7999999999993</v>
      </c>
      <c r="M210" s="251">
        <f t="shared" si="0"/>
      </c>
      <c r="N210" s="252">
        <f t="shared" si="69"/>
      </c>
      <c r="O210" s="253">
        <f t="shared" si="20"/>
      </c>
      <c r="P210" s="253">
        <f t="shared" si="79"/>
      </c>
      <c r="Q210" s="253">
        <f t="shared" si="74"/>
      </c>
      <c r="R210" s="253">
        <f t="shared" si="87"/>
      </c>
      <c r="S210" s="253">
        <f t="shared" si="83"/>
      </c>
      <c r="T210" s="253">
        <f t="shared" si="17"/>
      </c>
      <c r="U210" s="253">
        <f t="shared" si="2"/>
      </c>
      <c r="V210" s="251">
        <f t="shared" si="71"/>
      </c>
      <c r="W210" s="251">
        <f t="shared" si="22"/>
      </c>
      <c r="X210" s="251">
        <f t="shared" si="24"/>
      </c>
      <c r="Y210" s="251">
        <f t="shared" si="26"/>
      </c>
      <c r="Z210" s="251">
        <f t="shared" si="81"/>
      </c>
      <c r="AA210" s="251">
        <f t="shared" si="76"/>
      </c>
      <c r="AB210" s="252">
        <f t="shared" si="89"/>
      </c>
      <c r="AC210" s="252">
        <f t="shared" si="85"/>
      </c>
      <c r="AD210" s="252">
        <f t="shared" si="4"/>
      </c>
      <c r="AE210" s="251">
        <f t="shared" si="91"/>
      </c>
      <c r="AF210" s="252">
        <f t="shared" si="28"/>
      </c>
      <c r="AG210" s="251">
        <f t="shared" si="19"/>
      </c>
      <c r="AH210" s="251">
        <f t="shared" si="78"/>
      </c>
      <c r="AI210" s="254">
        <v>15113</v>
      </c>
      <c r="AJ210" s="254">
        <v>222</v>
      </c>
      <c r="AK210" s="254">
        <v>214</v>
      </c>
      <c r="AL210" s="254">
        <v>74</v>
      </c>
      <c r="AM210" s="254">
        <v>4</v>
      </c>
      <c r="AN210" s="254">
        <v>3</v>
      </c>
      <c r="AO210" s="254">
        <v>53</v>
      </c>
      <c r="AP210" s="254">
        <v>49</v>
      </c>
      <c r="AQ210" s="254">
        <v>6</v>
      </c>
      <c r="AR210" s="249">
        <v>1</v>
      </c>
      <c r="AS210" s="271">
        <v>1</v>
      </c>
    </row>
    <row r="211">
      <c r="A211" s="244"/>
      <c r="B211" s="246" t="s">
        <v>262</v>
      </c>
      <c r="C211" s="245" t="s">
        <v>263</v>
      </c>
      <c r="D211" s="245" t="s">
        <v>264</v>
      </c>
      <c r="E211" s="245" t="s">
        <v>271</v>
      </c>
      <c r="F211" s="247">
        <f t="shared" si="68"/>
      </c>
      <c r="G211" s="248">
        <v>0</v>
      </c>
      <c r="H211" s="248">
        <v>2136.5</v>
      </c>
      <c r="I211" s="274">
        <v>87.05</v>
      </c>
      <c r="J211" s="254">
        <v>2</v>
      </c>
      <c r="K211" s="254">
        <v>2</v>
      </c>
      <c r="L211" s="276">
        <v>1830.0000000000018</v>
      </c>
      <c r="M211" s="251">
        <f t="shared" si="0"/>
      </c>
      <c r="N211" s="252">
        <f t="shared" si="69"/>
      </c>
      <c r="O211" s="253">
        <f t="shared" si="20"/>
      </c>
      <c r="P211" s="253">
        <f t="shared" si="79"/>
      </c>
      <c r="Q211" s="253">
        <f t="shared" si="74"/>
      </c>
      <c r="R211" s="253">
        <f t="shared" si="87"/>
      </c>
      <c r="S211" s="253">
        <f t="shared" si="83"/>
      </c>
      <c r="T211" s="253">
        <f t="shared" si="17"/>
      </c>
      <c r="U211" s="253">
        <f t="shared" si="2"/>
      </c>
      <c r="V211" s="251">
        <f t="shared" si="71"/>
      </c>
      <c r="W211" s="251">
        <f t="shared" si="22"/>
      </c>
      <c r="X211" s="251">
        <f t="shared" si="24"/>
      </c>
      <c r="Y211" s="251">
        <f t="shared" si="26"/>
      </c>
      <c r="Z211" s="251">
        <f t="shared" si="81"/>
      </c>
      <c r="AA211" s="251">
        <f t="shared" si="76"/>
      </c>
      <c r="AB211" s="252">
        <f t="shared" si="89"/>
      </c>
      <c r="AC211" s="252">
        <f t="shared" si="85"/>
      </c>
      <c r="AD211" s="252">
        <f t="shared" si="4"/>
      </c>
      <c r="AE211" s="251">
        <f t="shared" si="91"/>
      </c>
      <c r="AF211" s="252">
        <f t="shared" si="28"/>
      </c>
      <c r="AG211" s="251">
        <f t="shared" si="19"/>
      </c>
      <c r="AH211" s="251">
        <f t="shared" si="78"/>
      </c>
      <c r="AI211" s="254">
        <v>20178</v>
      </c>
      <c r="AJ211" s="254">
        <v>345</v>
      </c>
      <c r="AK211" s="254">
        <v>326</v>
      </c>
      <c r="AL211" s="254">
        <v>88</v>
      </c>
      <c r="AM211" s="254">
        <v>2</v>
      </c>
      <c r="AN211" s="254">
        <v>2</v>
      </c>
      <c r="AO211" s="254">
        <v>53</v>
      </c>
      <c r="AP211" s="254">
        <v>56</v>
      </c>
      <c r="AQ211" s="254">
        <v>4</v>
      </c>
      <c r="AR211" s="249">
        <v>0</v>
      </c>
      <c r="AS211" s="271">
        <v>1</v>
      </c>
    </row>
    <row r="212">
      <c r="A212" s="244"/>
      <c r="B212" s="246" t="s">
        <v>262</v>
      </c>
      <c r="C212" s="245" t="s">
        <v>263</v>
      </c>
      <c r="D212" s="245" t="s">
        <v>264</v>
      </c>
      <c r="E212" s="246" t="s">
        <v>272</v>
      </c>
      <c r="F212" s="247">
        <f t="shared" si="68"/>
      </c>
      <c r="G212" s="248">
        <v>0</v>
      </c>
      <c r="H212" s="248">
        <v>1728.78</v>
      </c>
      <c r="I212" s="274">
        <v>363.3</v>
      </c>
      <c r="J212" s="254">
        <v>1</v>
      </c>
      <c r="K212" s="254">
        <v>1</v>
      </c>
      <c r="L212" s="276">
        <v>439</v>
      </c>
      <c r="M212" s="251">
        <f t="shared" si="0"/>
      </c>
      <c r="N212" s="252">
        <f t="shared" si="69"/>
      </c>
      <c r="O212" s="253">
        <f t="shared" si="20"/>
      </c>
      <c r="P212" s="253">
        <f t="shared" si="79"/>
      </c>
      <c r="Q212" s="253">
        <f t="shared" si="74"/>
      </c>
      <c r="R212" s="253">
        <f t="shared" si="87"/>
      </c>
      <c r="S212" s="253">
        <f t="shared" si="83"/>
      </c>
      <c r="T212" s="253">
        <f t="shared" si="17"/>
      </c>
      <c r="U212" s="253">
        <f t="shared" si="2"/>
      </c>
      <c r="V212" s="251">
        <f t="shared" si="71"/>
      </c>
      <c r="W212" s="251">
        <f t="shared" si="22"/>
      </c>
      <c r="X212" s="251">
        <f t="shared" si="24"/>
      </c>
      <c r="Y212" s="251">
        <f t="shared" si="26"/>
      </c>
      <c r="Z212" s="251">
        <f t="shared" si="81"/>
      </c>
      <c r="AA212" s="251">
        <f t="shared" si="76"/>
      </c>
      <c r="AB212" s="252">
        <f t="shared" si="89"/>
      </c>
      <c r="AC212" s="252">
        <f t="shared" si="85"/>
      </c>
      <c r="AD212" s="252">
        <f t="shared" si="4"/>
      </c>
      <c r="AE212" s="251">
        <f t="shared" si="91"/>
      </c>
      <c r="AF212" s="252">
        <f t="shared" si="28"/>
      </c>
      <c r="AG212" s="251">
        <f t="shared" si="19"/>
      </c>
      <c r="AH212" s="251">
        <f t="shared" si="78"/>
      </c>
      <c r="AI212" s="254">
        <v>11106</v>
      </c>
      <c r="AJ212" s="254">
        <v>269</v>
      </c>
      <c r="AK212" s="254">
        <v>279</v>
      </c>
      <c r="AL212" s="254">
        <v>55</v>
      </c>
      <c r="AM212" s="254">
        <v>0</v>
      </c>
      <c r="AN212" s="254">
        <v>0</v>
      </c>
      <c r="AO212" s="254">
        <v>42</v>
      </c>
      <c r="AP212" s="254">
        <v>47</v>
      </c>
      <c r="AQ212" s="254">
        <v>5</v>
      </c>
      <c r="AR212" s="249">
        <v>0</v>
      </c>
      <c r="AS212" s="271">
        <v>1</v>
      </c>
    </row>
    <row r="213">
      <c r="A213" s="244"/>
      <c r="B213" s="257" t="s">
        <v>268</v>
      </c>
      <c r="C213" s="257"/>
      <c r="D213" s="257"/>
      <c r="E213" s="257"/>
      <c r="F213" s="258">
        <f>SUM(F210:F212)</f>
      </c>
      <c r="G213" s="258">
        <f>SUM(G210:G212)</f>
      </c>
      <c r="H213" s="258">
        <f>SUM(H210:H212)</f>
      </c>
      <c r="I213" s="258">
        <f>SUM(I210:I212)</f>
      </c>
      <c r="J213" s="259">
        <f>SUM(J210:J212)</f>
      </c>
      <c r="K213" s="259">
        <f>SUM(K210:K212)</f>
      </c>
      <c r="L213" s="258">
        <f>SUM(L210:L212)</f>
      </c>
      <c r="M213" s="260">
        <f t="shared" si="0"/>
      </c>
      <c r="N213" s="261">
        <f t="shared" si="69"/>
      </c>
      <c r="O213" s="262">
        <f t="shared" si="20"/>
      </c>
      <c r="P213" s="262">
        <f t="shared" si="79"/>
      </c>
      <c r="Q213" s="262">
        <f t="shared" si="74"/>
      </c>
      <c r="R213" s="262">
        <f t="shared" si="87"/>
      </c>
      <c r="S213" s="262">
        <f t="shared" si="83"/>
      </c>
      <c r="T213" s="262">
        <f t="shared" si="17"/>
      </c>
      <c r="U213" s="262">
        <f t="shared" si="2"/>
      </c>
      <c r="V213" s="260">
        <f t="shared" si="71"/>
      </c>
      <c r="W213" s="260">
        <f t="shared" si="22"/>
      </c>
      <c r="X213" s="260">
        <f t="shared" si="24"/>
      </c>
      <c r="Y213" s="260">
        <f t="shared" si="26"/>
      </c>
      <c r="Z213" s="260">
        <f t="shared" si="81"/>
      </c>
      <c r="AA213" s="260">
        <f t="shared" si="76"/>
      </c>
      <c r="AB213" s="261">
        <f t="shared" si="89"/>
      </c>
      <c r="AC213" s="261">
        <f t="shared" si="85"/>
      </c>
      <c r="AD213" s="261">
        <f t="shared" si="4"/>
      </c>
      <c r="AE213" s="260">
        <f t="shared" si="91"/>
      </c>
      <c r="AF213" s="261">
        <f t="shared" si="28"/>
      </c>
      <c r="AG213" s="260">
        <f t="shared" si="19"/>
      </c>
      <c r="AH213" s="260">
        <f t="shared" si="78"/>
      </c>
      <c r="AI213" s="259">
        <f>SUM(AI210:AI212)</f>
      </c>
      <c r="AJ213" s="259">
        <f>SUM(AJ210:AJ212)</f>
      </c>
      <c r="AK213" s="259">
        <f>SUM(AK210:AK212)</f>
      </c>
      <c r="AL213" s="259">
        <f>SUM(AL210:AL212)</f>
      </c>
      <c r="AM213" s="259">
        <f>SUM(AM210:AM212)</f>
      </c>
      <c r="AN213" s="259">
        <f>SUM(AN210:AN212)</f>
      </c>
      <c r="AO213" s="259">
        <f>SUM(AO210:AO212)</f>
      </c>
      <c r="AP213" s="259">
        <f>SUM(AP210:AP212)</f>
      </c>
      <c r="AQ213" s="259">
        <f>SUM(AQ210:AQ212)</f>
      </c>
      <c r="AR213" s="259">
        <f>SUM(AR210:AR212)</f>
      </c>
      <c r="AS213" s="263">
        <f>SUM(AS210:AS212)</f>
      </c>
    </row>
    <row r="214">
      <c r="A214" s="244"/>
      <c r="B214" s="264" t="s">
        <v>273</v>
      </c>
      <c r="C214" s="264"/>
      <c r="D214" s="264"/>
      <c r="E214" s="264"/>
      <c r="F214" s="265">
        <f>G214+I214+H214</f>
      </c>
      <c r="G214" s="265">
        <f>G206+G213+G209</f>
      </c>
      <c r="H214" s="265">
        <f>H206+H213+H209</f>
      </c>
      <c r="I214" s="265">
        <f>I206+I213+I209</f>
      </c>
      <c r="J214" s="265">
        <f>J206+J213+J209</f>
      </c>
      <c r="K214" s="265">
        <f>K206+K213+K209</f>
      </c>
      <c r="L214" s="265">
        <f>L206+L213+L209</f>
      </c>
      <c r="M214" s="267">
        <f t="shared" si="0"/>
      </c>
      <c r="N214" s="268">
        <f t="shared" si="69"/>
      </c>
      <c r="O214" s="269">
        <f t="shared" si="20"/>
      </c>
      <c r="P214" s="269">
        <f t="shared" si="79"/>
      </c>
      <c r="Q214" s="269">
        <f t="shared" si="74"/>
      </c>
      <c r="R214" s="269">
        <f t="shared" si="87"/>
      </c>
      <c r="S214" s="269">
        <f t="shared" si="83"/>
      </c>
      <c r="T214" s="269">
        <f t="shared" si="17"/>
      </c>
      <c r="U214" s="269">
        <f t="shared" si="2"/>
      </c>
      <c r="V214" s="267">
        <f t="shared" si="71"/>
      </c>
      <c r="W214" s="267">
        <f t="shared" si="22"/>
      </c>
      <c r="X214" s="267">
        <f t="shared" si="24"/>
      </c>
      <c r="Y214" s="267">
        <f t="shared" si="26"/>
      </c>
      <c r="Z214" s="267">
        <f t="shared" si="81"/>
      </c>
      <c r="AA214" s="267">
        <f t="shared" si="76"/>
      </c>
      <c r="AB214" s="268">
        <f t="shared" si="89"/>
      </c>
      <c r="AC214" s="268">
        <f t="shared" si="85"/>
      </c>
      <c r="AD214" s="268">
        <f t="shared" si="4"/>
      </c>
      <c r="AE214" s="267">
        <f t="shared" si="91"/>
      </c>
      <c r="AF214" s="268">
        <f t="shared" si="28"/>
      </c>
      <c r="AG214" s="267">
        <f t="shared" si="19"/>
      </c>
      <c r="AH214" s="267">
        <f t="shared" si="78"/>
      </c>
      <c r="AI214" s="270">
        <f>AI206+AI213+AI209</f>
      </c>
      <c r="AJ214" s="270">
        <f>AJ206+AJ213+AJ209</f>
      </c>
      <c r="AK214" s="270">
        <f>AK206+AK213+AK209</f>
      </c>
      <c r="AL214" s="270">
        <f>AL206+AL213+AL209</f>
      </c>
      <c r="AM214" s="270">
        <f>AM206+AM213+AM209</f>
      </c>
      <c r="AN214" s="270">
        <f>AN206+AN213+AN209</f>
      </c>
      <c r="AO214" s="270">
        <f>AO206+AO213+AO209</f>
      </c>
      <c r="AP214" s="270">
        <f>AP206+AP213+AP209</f>
      </c>
      <c r="AQ214" s="270">
        <f>AQ206+AQ213+AQ209</f>
      </c>
      <c r="AR214" s="270">
        <f>AR206+AR213+AR209</f>
      </c>
      <c r="AS214" s="263">
        <f>AS206+AS213+AS209</f>
      </c>
    </row>
    <row r="215">
      <c r="J215" s="277">
        <f>J216-J214</f>
      </c>
      <c r="K215" s="277">
        <f>K216-K214</f>
      </c>
      <c r="L215" s="277">
        <f>L216-L214</f>
      </c>
      <c r="AI215" s="277">
        <f>AI216-AI214</f>
      </c>
      <c r="AJ215" s="277">
        <f>AJ216-AJ214</f>
      </c>
      <c r="AK215" s="277">
        <f>AK216-AK214</f>
      </c>
      <c r="AL215" s="277">
        <f>AL216-AL214</f>
      </c>
      <c r="AM215" s="277">
        <f>AM216-AM214</f>
      </c>
      <c r="AN215" s="277">
        <f>AN216-AN214</f>
      </c>
      <c r="AO215" s="277">
        <f>AO216-AO214</f>
      </c>
      <c r="AP215" s="277">
        <f>AP216-AP214</f>
      </c>
      <c r="AQ215" s="277">
        <f>AQ216-AQ214</f>
      </c>
      <c r="AR215" s="278">
        <v>0</v>
      </c>
      <c r="AS215" s="278">
        <v>1</v>
      </c>
    </row>
    <row r="216">
      <c r="J216" s="279">
        <v>31</v>
      </c>
      <c r="K216" s="279">
        <v>27</v>
      </c>
      <c r="L216">
        <v>18329.4</v>
      </c>
      <c r="AI216" s="277">
        <v>112955</v>
      </c>
      <c r="AJ216" s="277">
        <v>2175</v>
      </c>
      <c r="AK216" s="277">
        <v>2104</v>
      </c>
      <c r="AL216" s="277">
        <v>598</v>
      </c>
      <c r="AM216" s="277">
        <v>30</v>
      </c>
      <c r="AN216" s="277">
        <v>23</v>
      </c>
      <c r="AO216" s="277">
        <v>432</v>
      </c>
      <c r="AP216" s="277">
        <v>538</v>
      </c>
      <c r="AQ216" s="277">
        <v>35</v>
      </c>
      <c r="AR216" s="277"/>
      <c r="AS216" s="277"/>
    </row>
    <row r="217">
      <c r="AI217" s="277"/>
      <c r="AJ217" s="277"/>
      <c r="AK217" s="277"/>
      <c r="AL217" s="277"/>
      <c r="AM217" s="277"/>
      <c r="AN217" s="277"/>
      <c r="AO217" s="277"/>
      <c r="AP217" s="277"/>
      <c r="AQ217" s="277"/>
      <c r="AR217" s="277"/>
      <c r="AS217" s="277"/>
    </row>
    <row r="218">
      <c r="AI218" s="277"/>
      <c r="AJ218" s="277"/>
      <c r="AK218" s="277"/>
      <c r="AL218" s="277"/>
      <c r="AM218" s="277"/>
      <c r="AN218" s="277"/>
      <c r="AO218" s="277"/>
      <c r="AP218" s="277"/>
      <c r="AQ218" s="277"/>
      <c r="AR218" s="277"/>
      <c r="AS218" s="277"/>
    </row>
    <row r="219">
      <c r="AI219" s="277"/>
      <c r="AJ219" s="277"/>
      <c r="AK219" s="277"/>
      <c r="AL219" s="277"/>
      <c r="AM219" s="277"/>
      <c r="AN219" s="277"/>
      <c r="AO219" s="277"/>
      <c r="AP219" s="277"/>
      <c r="AQ219" s="277"/>
      <c r="AR219" s="277"/>
      <c r="AS219" s="277"/>
    </row>
    <row r="220">
      <c r="AI220" s="277"/>
      <c r="AJ220" s="277"/>
      <c r="AK220" s="277"/>
      <c r="AL220" s="277"/>
      <c r="AM220" s="277"/>
      <c r="AN220" s="277"/>
      <c r="AO220" s="277"/>
      <c r="AP220" s="277"/>
      <c r="AQ220" s="277"/>
      <c r="AR220" s="277"/>
      <c r="AS220" s="277"/>
    </row>
    <row r="221">
      <c r="AI221" s="277"/>
      <c r="AJ221" s="277"/>
      <c r="AK221" s="277"/>
      <c r="AL221" s="277"/>
      <c r="AM221" s="277"/>
      <c r="AN221" s="277"/>
      <c r="AO221" s="277"/>
      <c r="AP221" s="277"/>
      <c r="AQ221" s="277"/>
      <c r="AR221" s="277"/>
      <c r="AS221" s="277"/>
    </row>
    <row r="222">
      <c r="AI222" s="277"/>
      <c r="AJ222" s="277"/>
      <c r="AK222" s="277"/>
      <c r="AL222" s="277"/>
      <c r="AM222" s="277"/>
      <c r="AN222" s="277"/>
      <c r="AO222" s="277"/>
      <c r="AP222" s="277"/>
      <c r="AQ222" s="277"/>
      <c r="AR222" s="277"/>
      <c r="AS222" s="277"/>
    </row>
    <row r="223">
      <c r="AI223" s="277"/>
      <c r="AJ223" s="277"/>
      <c r="AK223" s="277"/>
      <c r="AL223" s="277"/>
      <c r="AM223" s="277"/>
      <c r="AN223" s="277"/>
      <c r="AO223" s="277"/>
      <c r="AP223" s="277"/>
      <c r="AQ223" s="277"/>
      <c r="AR223" s="277"/>
      <c r="AS223" s="277"/>
    </row>
    <row r="224">
      <c r="AI224" s="277"/>
      <c r="AJ224" s="277"/>
      <c r="AK224" s="277"/>
      <c r="AL224" s="277"/>
      <c r="AM224" s="277"/>
      <c r="AN224" s="277"/>
      <c r="AO224" s="277"/>
      <c r="AP224" s="277"/>
      <c r="AQ224" s="277"/>
      <c r="AR224" s="277"/>
      <c r="AS224" s="277"/>
    </row>
    <row r="225">
      <c r="AI225" s="277"/>
      <c r="AJ225" s="277"/>
      <c r="AK225" s="277"/>
      <c r="AL225" s="277"/>
      <c r="AM225" s="277"/>
      <c r="AN225" s="277"/>
      <c r="AO225" s="277"/>
      <c r="AP225" s="277"/>
      <c r="AQ225" s="277"/>
      <c r="AR225" s="277"/>
      <c r="AS225" s="277"/>
    </row>
    <row r="226">
      <c r="AI226" s="277"/>
      <c r="AJ226" s="277"/>
      <c r="AK226" s="277"/>
      <c r="AL226" s="277"/>
      <c r="AM226" s="277"/>
      <c r="AN226" s="277"/>
      <c r="AO226" s="277"/>
      <c r="AP226" s="277"/>
      <c r="AQ226" s="277"/>
      <c r="AR226" s="277"/>
      <c r="AS226" s="277"/>
    </row>
    <row r="227">
      <c r="AI227" s="277"/>
      <c r="AJ227" s="277"/>
      <c r="AK227" s="277"/>
      <c r="AL227" s="277"/>
      <c r="AM227" s="277"/>
      <c r="AN227" s="277"/>
      <c r="AO227" s="277"/>
      <c r="AP227" s="277"/>
      <c r="AQ227" s="277"/>
      <c r="AR227" s="277"/>
      <c r="AS227" s="277"/>
    </row>
    <row r="228">
      <c r="AI228" s="277"/>
      <c r="AJ228" s="277"/>
      <c r="AK228" s="277"/>
      <c r="AL228" s="277"/>
      <c r="AM228" s="277"/>
      <c r="AN228" s="277"/>
      <c r="AO228" s="277"/>
      <c r="AP228" s="277"/>
      <c r="AQ228" s="277"/>
      <c r="AR228" s="277"/>
      <c r="AS228" s="277"/>
    </row>
    <row r="229">
      <c r="AI229" s="277"/>
      <c r="AJ229" s="277"/>
      <c r="AK229" s="277"/>
      <c r="AL229" s="277"/>
      <c r="AM229" s="277"/>
      <c r="AN229" s="277"/>
      <c r="AO229" s="277"/>
      <c r="AP229" s="277"/>
      <c r="AQ229" s="277"/>
      <c r="AR229" s="277"/>
      <c r="AS229" s="277"/>
    </row>
    <row r="230">
      <c r="AI230" s="277"/>
      <c r="AJ230" s="277"/>
      <c r="AK230" s="277"/>
      <c r="AL230" s="277"/>
      <c r="AM230" s="277"/>
      <c r="AN230" s="277"/>
      <c r="AO230" s="277"/>
      <c r="AP230" s="277"/>
      <c r="AQ230" s="277"/>
      <c r="AR230" s="277"/>
      <c r="AS230" s="277"/>
    </row>
    <row r="231">
      <c r="AI231" s="277"/>
      <c r="AJ231" s="277"/>
      <c r="AK231" s="277"/>
      <c r="AL231" s="277"/>
      <c r="AM231" s="277"/>
      <c r="AN231" s="277"/>
      <c r="AO231" s="277"/>
      <c r="AP231" s="277"/>
      <c r="AQ231" s="277"/>
      <c r="AR231" s="277"/>
      <c r="AS231" s="277"/>
    </row>
    <row r="232">
      <c r="AI232" s="277"/>
      <c r="AJ232" s="277"/>
      <c r="AK232" s="277"/>
      <c r="AL232" s="277"/>
      <c r="AM232" s="277"/>
      <c r="AN232" s="277"/>
      <c r="AO232" s="277"/>
      <c r="AP232" s="277"/>
      <c r="AQ232" s="277"/>
      <c r="AR232" s="277"/>
      <c r="AS232" s="277"/>
    </row>
    <row r="233">
      <c r="AI233" s="277"/>
      <c r="AJ233" s="277"/>
      <c r="AK233" s="277"/>
      <c r="AL233" s="277"/>
      <c r="AM233" s="277"/>
      <c r="AN233" s="277"/>
      <c r="AO233" s="277"/>
      <c r="AP233" s="277"/>
      <c r="AQ233" s="277"/>
      <c r="AR233" s="277"/>
      <c r="AS233" s="277"/>
    </row>
    <row r="234">
      <c r="AI234" s="277"/>
      <c r="AJ234" s="277"/>
      <c r="AK234" s="277"/>
      <c r="AL234" s="277"/>
      <c r="AM234" s="277"/>
      <c r="AN234" s="277"/>
      <c r="AO234" s="277"/>
      <c r="AP234" s="277"/>
      <c r="AQ234" s="277"/>
      <c r="AR234" s="277"/>
      <c r="AS234" s="277"/>
    </row>
    <row r="235">
      <c r="AI235" s="277"/>
      <c r="AJ235" s="277"/>
      <c r="AK235" s="277"/>
      <c r="AL235" s="277"/>
      <c r="AM235" s="277"/>
      <c r="AN235" s="277"/>
      <c r="AO235" s="277"/>
      <c r="AP235" s="277"/>
      <c r="AQ235" s="277"/>
      <c r="AR235" s="277"/>
      <c r="AS235" s="277"/>
    </row>
    <row r="236">
      <c r="AI236" s="277"/>
      <c r="AJ236" s="277"/>
      <c r="AK236" s="277"/>
      <c r="AL236" s="277"/>
      <c r="AM236" s="277"/>
      <c r="AN236" s="277"/>
      <c r="AO236" s="277"/>
      <c r="AP236" s="277"/>
      <c r="AQ236" s="277"/>
      <c r="AR236" s="277"/>
      <c r="AS236" s="277"/>
    </row>
    <row r="237">
      <c r="AI237" s="277"/>
      <c r="AJ237" s="277"/>
      <c r="AK237" s="277"/>
      <c r="AL237" s="277"/>
      <c r="AM237" s="277"/>
      <c r="AN237" s="277"/>
      <c r="AO237" s="277"/>
      <c r="AP237" s="277"/>
      <c r="AQ237" s="277"/>
      <c r="AR237" s="277"/>
      <c r="AS237" s="277"/>
    </row>
    <row r="238">
      <c r="AI238" s="277"/>
      <c r="AJ238" s="277"/>
      <c r="AK238" s="277"/>
      <c r="AL238" s="277"/>
      <c r="AM238" s="277"/>
      <c r="AN238" s="277"/>
      <c r="AO238" s="277"/>
      <c r="AP238" s="277"/>
      <c r="AQ238" s="277"/>
      <c r="AR238" s="277"/>
      <c r="AS238" s="277"/>
    </row>
    <row r="239">
      <c r="AI239" s="277"/>
      <c r="AJ239" s="277"/>
      <c r="AK239" s="277"/>
      <c r="AL239" s="277"/>
      <c r="AM239" s="277"/>
      <c r="AN239" s="277"/>
      <c r="AO239" s="277"/>
      <c r="AP239" s="277"/>
      <c r="AQ239" s="277"/>
      <c r="AR239" s="277"/>
      <c r="AS239" s="277"/>
    </row>
    <row r="240">
      <c r="AI240" s="277"/>
      <c r="AJ240" s="277"/>
      <c r="AK240" s="277"/>
      <c r="AL240" s="277"/>
      <c r="AM240" s="277"/>
      <c r="AN240" s="277"/>
      <c r="AO240" s="277"/>
      <c r="AP240" s="277"/>
      <c r="AQ240" s="277"/>
      <c r="AR240" s="277"/>
      <c r="AS240" s="277"/>
    </row>
    <row r="241">
      <c r="AI241" s="277"/>
      <c r="AJ241" s="277"/>
      <c r="AK241" s="277"/>
      <c r="AL241" s="277"/>
      <c r="AM241" s="277"/>
      <c r="AN241" s="277"/>
      <c r="AO241" s="277"/>
      <c r="AP241" s="277"/>
      <c r="AQ241" s="277"/>
      <c r="AR241" s="277"/>
      <c r="AS241" s="277"/>
    </row>
    <row r="242">
      <c r="AI242" s="277"/>
      <c r="AJ242" s="277"/>
      <c r="AK242" s="277"/>
      <c r="AL242" s="277"/>
      <c r="AM242" s="277"/>
      <c r="AN242" s="277"/>
      <c r="AO242" s="277"/>
      <c r="AP242" s="277"/>
      <c r="AQ242" s="277"/>
      <c r="AR242" s="277"/>
      <c r="AS242" s="277"/>
    </row>
    <row r="243">
      <c r="AI243" s="277"/>
      <c r="AJ243" s="277"/>
      <c r="AK243" s="277"/>
      <c r="AL243" s="277"/>
      <c r="AM243" s="277"/>
      <c r="AN243" s="277"/>
      <c r="AO243" s="277"/>
      <c r="AP243" s="277"/>
      <c r="AQ243" s="277"/>
      <c r="AR243" s="277"/>
      <c r="AS243" s="277"/>
    </row>
    <row r="244">
      <c r="AI244" s="277"/>
      <c r="AJ244" s="277"/>
      <c r="AK244" s="277"/>
      <c r="AL244" s="277"/>
      <c r="AM244" s="277"/>
      <c r="AN244" s="277"/>
      <c r="AO244" s="277"/>
      <c r="AP244" s="277"/>
      <c r="AQ244" s="277"/>
      <c r="AR244" s="277"/>
      <c r="AS244" s="277"/>
    </row>
    <row r="245">
      <c r="AI245" s="277"/>
      <c r="AJ245" s="277"/>
      <c r="AK245" s="277"/>
      <c r="AL245" s="277"/>
      <c r="AM245" s="277"/>
      <c r="AN245" s="277"/>
      <c r="AO245" s="277"/>
      <c r="AP245" s="277"/>
      <c r="AQ245" s="277"/>
      <c r="AR245" s="277"/>
      <c r="AS245" s="277"/>
    </row>
    <row r="246">
      <c r="AI246" s="277"/>
      <c r="AJ246" s="277"/>
      <c r="AK246" s="277"/>
      <c r="AL246" s="277"/>
      <c r="AM246" s="277"/>
      <c r="AN246" s="277"/>
      <c r="AO246" s="277"/>
      <c r="AP246" s="277"/>
      <c r="AQ246" s="277"/>
      <c r="AR246" s="277"/>
      <c r="AS246" s="277"/>
    </row>
    <row r="247">
      <c r="AI247" s="277"/>
      <c r="AJ247" s="277"/>
      <c r="AK247" s="277"/>
      <c r="AL247" s="277"/>
      <c r="AM247" s="277"/>
      <c r="AN247" s="277"/>
      <c r="AO247" s="277"/>
      <c r="AP247" s="277"/>
      <c r="AQ247" s="277"/>
      <c r="AR247" s="277"/>
      <c r="AS247" s="277"/>
    </row>
    <row r="248">
      <c r="AI248" s="277"/>
      <c r="AJ248" s="277"/>
      <c r="AK248" s="277"/>
      <c r="AL248" s="277"/>
      <c r="AM248" s="277"/>
      <c r="AN248" s="277"/>
      <c r="AO248" s="277"/>
      <c r="AP248" s="277"/>
      <c r="AQ248" s="277"/>
      <c r="AR248" s="277"/>
      <c r="AS248" s="277"/>
    </row>
    <row r="249">
      <c r="AI249" s="277"/>
      <c r="AJ249" s="277"/>
      <c r="AK249" s="277"/>
      <c r="AL249" s="277"/>
      <c r="AM249" s="277"/>
      <c r="AN249" s="277"/>
      <c r="AO249" s="277"/>
      <c r="AP249" s="277"/>
      <c r="AQ249" s="277"/>
      <c r="AR249" s="277"/>
      <c r="AS249" s="277"/>
    </row>
    <row r="250">
      <c r="AI250" s="277"/>
      <c r="AJ250" s="277"/>
      <c r="AK250" s="277"/>
      <c r="AL250" s="277"/>
      <c r="AM250" s="277"/>
      <c r="AN250" s="277"/>
      <c r="AO250" s="277"/>
      <c r="AP250" s="277"/>
      <c r="AQ250" s="277"/>
      <c r="AR250" s="277"/>
      <c r="AS250" s="277"/>
    </row>
    <row r="251">
      <c r="AI251" s="277"/>
      <c r="AJ251" s="277"/>
      <c r="AK251" s="277"/>
      <c r="AL251" s="277"/>
      <c r="AM251" s="277"/>
      <c r="AN251" s="277"/>
      <c r="AO251" s="277"/>
      <c r="AP251" s="277"/>
      <c r="AQ251" s="277"/>
      <c r="AR251" s="277"/>
      <c r="AS251" s="277"/>
    </row>
    <row r="252">
      <c r="AI252" s="277"/>
      <c r="AJ252" s="277"/>
      <c r="AK252" s="277"/>
      <c r="AL252" s="277"/>
      <c r="AM252" s="277"/>
      <c r="AN252" s="277"/>
      <c r="AO252" s="277"/>
      <c r="AP252" s="277"/>
      <c r="AQ252" s="277"/>
      <c r="AR252" s="277"/>
      <c r="AS252" s="277"/>
    </row>
    <row r="253">
      <c r="AI253" s="277"/>
      <c r="AJ253" s="277"/>
      <c r="AK253" s="277"/>
      <c r="AL253" s="277"/>
      <c r="AM253" s="277"/>
      <c r="AN253" s="277"/>
      <c r="AO253" s="277"/>
      <c r="AP253" s="277"/>
      <c r="AQ253" s="277"/>
      <c r="AR253" s="277"/>
      <c r="AS253" s="277"/>
    </row>
    <row r="254">
      <c r="AI254" s="277"/>
      <c r="AJ254" s="277"/>
      <c r="AK254" s="277"/>
      <c r="AL254" s="277"/>
      <c r="AM254" s="277"/>
      <c r="AN254" s="277"/>
      <c r="AO254" s="277"/>
      <c r="AP254" s="277"/>
      <c r="AQ254" s="277"/>
      <c r="AR254" s="277"/>
      <c r="AS254" s="277"/>
    </row>
    <row r="255">
      <c r="AI255" s="277"/>
      <c r="AJ255" s="277"/>
      <c r="AK255" s="277"/>
      <c r="AL255" s="277"/>
      <c r="AM255" s="277"/>
      <c r="AN255" s="277"/>
      <c r="AO255" s="277"/>
      <c r="AP255" s="277"/>
      <c r="AQ255" s="277"/>
      <c r="AR255" s="277"/>
      <c r="AS255" s="277"/>
    </row>
    <row r="256">
      <c r="AI256" s="277"/>
      <c r="AJ256" s="277"/>
      <c r="AK256" s="277"/>
      <c r="AL256" s="277"/>
      <c r="AM256" s="277"/>
      <c r="AN256" s="277"/>
      <c r="AO256" s="277"/>
      <c r="AP256" s="277"/>
      <c r="AQ256" s="277"/>
      <c r="AR256" s="277"/>
      <c r="AS256" s="277"/>
    </row>
    <row r="257">
      <c r="AI257" s="277"/>
      <c r="AJ257" s="277"/>
      <c r="AK257" s="277"/>
      <c r="AL257" s="277"/>
      <c r="AM257" s="277"/>
      <c r="AN257" s="277"/>
      <c r="AO257" s="277"/>
      <c r="AP257" s="277"/>
      <c r="AQ257" s="277"/>
      <c r="AR257" s="277"/>
      <c r="AS257" s="277"/>
    </row>
    <row r="258">
      <c r="AI258" s="277"/>
      <c r="AJ258" s="277"/>
      <c r="AK258" s="277"/>
      <c r="AL258" s="277"/>
      <c r="AM258" s="277"/>
      <c r="AN258" s="277"/>
      <c r="AO258" s="277"/>
      <c r="AP258" s="277"/>
      <c r="AQ258" s="277"/>
      <c r="AR258" s="277"/>
      <c r="AS258" s="277"/>
    </row>
    <row r="259">
      <c r="AI259" s="277"/>
      <c r="AJ259" s="277"/>
      <c r="AK259" s="277"/>
      <c r="AL259" s="277"/>
      <c r="AM259" s="277"/>
      <c r="AN259" s="277"/>
      <c r="AO259" s="277"/>
      <c r="AP259" s="277"/>
      <c r="AQ259" s="277"/>
      <c r="AR259" s="277"/>
      <c r="AS259" s="277"/>
    </row>
    <row r="260">
      <c r="AI260" s="277"/>
      <c r="AJ260" s="277"/>
      <c r="AK260" s="277"/>
      <c r="AL260" s="277"/>
      <c r="AM260" s="277"/>
      <c r="AN260" s="277"/>
      <c r="AO260" s="277"/>
      <c r="AP260" s="277"/>
      <c r="AQ260" s="277"/>
      <c r="AR260" s="277"/>
      <c r="AS260" s="277"/>
    </row>
    <row r="261">
      <c r="AI261" s="277"/>
      <c r="AJ261" s="277"/>
      <c r="AK261" s="277"/>
      <c r="AL261" s="277"/>
      <c r="AM261" s="277"/>
      <c r="AN261" s="277"/>
      <c r="AO261" s="277"/>
      <c r="AP261" s="277"/>
      <c r="AQ261" s="277"/>
      <c r="AR261" s="277"/>
      <c r="AS261" s="277"/>
    </row>
    <row r="262">
      <c r="AI262" s="277"/>
      <c r="AJ262" s="277"/>
      <c r="AK262" s="277"/>
      <c r="AL262" s="277"/>
      <c r="AM262" s="277"/>
      <c r="AN262" s="277"/>
      <c r="AO262" s="277"/>
      <c r="AP262" s="277"/>
      <c r="AQ262" s="277"/>
      <c r="AR262" s="277"/>
      <c r="AS262" s="277"/>
    </row>
    <row r="263">
      <c r="AI263" s="277"/>
      <c r="AJ263" s="277"/>
      <c r="AK263" s="277"/>
      <c r="AL263" s="277"/>
      <c r="AM263" s="277"/>
      <c r="AN263" s="277"/>
      <c r="AO263" s="277"/>
      <c r="AP263" s="277"/>
      <c r="AQ263" s="277"/>
      <c r="AR263" s="277"/>
      <c r="AS263" s="277"/>
    </row>
    <row r="264">
      <c r="AI264" s="277"/>
      <c r="AJ264" s="277"/>
      <c r="AK264" s="277"/>
      <c r="AL264" s="277"/>
      <c r="AM264" s="277"/>
      <c r="AN264" s="277"/>
      <c r="AO264" s="277"/>
      <c r="AP264" s="277"/>
      <c r="AQ264" s="277"/>
      <c r="AR264" s="277"/>
      <c r="AS264" s="277"/>
    </row>
    <row r="265">
      <c r="AI265" s="277"/>
      <c r="AJ265" s="277"/>
      <c r="AK265" s="277"/>
      <c r="AL265" s="277"/>
      <c r="AM265" s="277"/>
      <c r="AN265" s="277"/>
      <c r="AO265" s="277"/>
      <c r="AP265" s="277"/>
      <c r="AQ265" s="277"/>
      <c r="AR265" s="277"/>
      <c r="AS265" s="277"/>
    </row>
    <row r="266">
      <c r="AI266" s="277"/>
      <c r="AJ266" s="277"/>
      <c r="AK266" s="277"/>
      <c r="AL266" s="277"/>
      <c r="AM266" s="277"/>
      <c r="AN266" s="277"/>
      <c r="AO266" s="277"/>
      <c r="AP266" s="277"/>
      <c r="AQ266" s="277"/>
      <c r="AR266" s="277"/>
      <c r="AS266" s="277"/>
    </row>
    <row r="267">
      <c r="AI267" s="277"/>
      <c r="AJ267" s="277"/>
      <c r="AK267" s="277"/>
      <c r="AL267" s="277"/>
      <c r="AM267" s="277"/>
      <c r="AN267" s="277"/>
      <c r="AO267" s="277"/>
      <c r="AP267" s="277"/>
      <c r="AQ267" s="277"/>
      <c r="AR267" s="277"/>
      <c r="AS267" s="277"/>
    </row>
    <row r="268">
      <c r="AI268" s="277"/>
      <c r="AJ268" s="277"/>
      <c r="AK268" s="277"/>
      <c r="AL268" s="277"/>
      <c r="AM268" s="277"/>
      <c r="AN268" s="277"/>
      <c r="AO268" s="277"/>
      <c r="AP268" s="277"/>
      <c r="AQ268" s="277"/>
      <c r="AR268" s="277"/>
      <c r="AS268" s="277"/>
    </row>
    <row r="269">
      <c r="AI269" s="277"/>
      <c r="AJ269" s="277"/>
      <c r="AK269" s="277"/>
      <c r="AL269" s="277"/>
      <c r="AM269" s="277"/>
      <c r="AN269" s="277"/>
      <c r="AO269" s="277"/>
      <c r="AP269" s="277"/>
      <c r="AQ269" s="277"/>
      <c r="AR269" s="277"/>
      <c r="AS269" s="277"/>
    </row>
    <row r="270">
      <c r="AI270" s="277"/>
      <c r="AJ270" s="277"/>
      <c r="AK270" s="277"/>
      <c r="AL270" s="277"/>
      <c r="AM270" s="277"/>
      <c r="AN270" s="277"/>
      <c r="AO270" s="277"/>
      <c r="AP270" s="277"/>
      <c r="AQ270" s="277"/>
      <c r="AR270" s="277"/>
      <c r="AS270" s="277"/>
    </row>
    <row r="271">
      <c r="AI271" s="277"/>
      <c r="AJ271" s="277"/>
      <c r="AK271" s="277"/>
      <c r="AL271" s="277"/>
      <c r="AM271" s="277"/>
      <c r="AN271" s="277"/>
      <c r="AO271" s="277"/>
      <c r="AP271" s="277"/>
      <c r="AQ271" s="277"/>
      <c r="AR271" s="277"/>
      <c r="AS271" s="277"/>
    </row>
    <row r="272">
      <c r="AI272" s="277"/>
      <c r="AJ272" s="277"/>
      <c r="AK272" s="277"/>
      <c r="AL272" s="277"/>
      <c r="AM272" s="277"/>
      <c r="AN272" s="277"/>
      <c r="AO272" s="277"/>
      <c r="AP272" s="277"/>
      <c r="AQ272" s="277"/>
      <c r="AR272" s="277"/>
      <c r="AS272" s="277"/>
    </row>
  </sheetData>
  <autoFilter ref="A2:AS216"/>
  <mergeCells>
    <mergeCell ref="A168:A179"/>
    <mergeCell ref="B178:E178"/>
    <mergeCell ref="B179:E179"/>
    <mergeCell ref="B174:E174"/>
    <mergeCell ref="B171:E171"/>
    <mergeCell ref="A155:A167"/>
    <mergeCell ref="B166:E166"/>
    <mergeCell ref="B167:E167"/>
    <mergeCell ref="B161:E161"/>
    <mergeCell ref="B158:E158"/>
    <mergeCell ref="A131:A142"/>
    <mergeCell ref="B141:E141"/>
    <mergeCell ref="B142:E142"/>
    <mergeCell ref="B137:E137"/>
    <mergeCell ref="B134:E134"/>
    <mergeCell ref="B130:E130"/>
    <mergeCell ref="B129:E129"/>
    <mergeCell ref="B126:E126"/>
    <mergeCell ref="B122:E122"/>
    <mergeCell ref="A119:A130"/>
    <mergeCell ref="A60:A71"/>
    <mergeCell ref="B67:E67"/>
    <mergeCell ref="B70:E70"/>
    <mergeCell ref="B71:E71"/>
    <mergeCell ref="B63:E63"/>
    <mergeCell ref="B15:E15"/>
    <mergeCell ref="B18:E18"/>
    <mergeCell ref="B23:E23"/>
    <mergeCell ref="B22:E22"/>
    <mergeCell ref="A12:A23"/>
    <mergeCell ref="A1:E1"/>
    <mergeCell ref="A3:A11"/>
    <mergeCell ref="B6:E6"/>
    <mergeCell ref="B10:E10"/>
    <mergeCell ref="B11:E11"/>
    <mergeCell ref="B27:E27"/>
    <mergeCell ref="B30:E30"/>
    <mergeCell ref="B35:E35"/>
    <mergeCell ref="B34:E34"/>
    <mergeCell ref="A24:A35"/>
    <mergeCell ref="A36:A47"/>
    <mergeCell ref="B39:E39"/>
    <mergeCell ref="B42:E42"/>
    <mergeCell ref="B46:E46"/>
    <mergeCell ref="B47:E47"/>
    <mergeCell ref="AD1:AH1"/>
    <mergeCell ref="R1:AC1"/>
    <mergeCell ref="F1:Q1"/>
    <mergeCell ref="AI1:AS1"/>
    <mergeCell ref="A48:A59"/>
    <mergeCell ref="B55:E55"/>
    <mergeCell ref="B58:E58"/>
    <mergeCell ref="B59:E59"/>
    <mergeCell ref="B52:E52"/>
    <mergeCell ref="B76:E76"/>
    <mergeCell ref="A72:A82"/>
    <mergeCell ref="B81:E81"/>
    <mergeCell ref="B82:E82"/>
    <mergeCell ref="A83:A94"/>
    <mergeCell ref="B86:E86"/>
    <mergeCell ref="B90:E90"/>
    <mergeCell ref="B93:E93"/>
    <mergeCell ref="B94:E94"/>
    <mergeCell ref="A95:A106"/>
    <mergeCell ref="B98:E98"/>
    <mergeCell ref="B102:E102"/>
    <mergeCell ref="B105:E105"/>
    <mergeCell ref="B106:E106"/>
    <mergeCell ref="A107:A118"/>
    <mergeCell ref="B110:E110"/>
    <mergeCell ref="B114:E114"/>
    <mergeCell ref="B117:E117"/>
    <mergeCell ref="B118:E118"/>
    <mergeCell ref="A143:A154"/>
    <mergeCell ref="B146:E146"/>
    <mergeCell ref="B149:E149"/>
    <mergeCell ref="B153:E153"/>
    <mergeCell ref="B154:E154"/>
    <mergeCell ref="B184:E184"/>
    <mergeCell ref="A180:A190"/>
    <mergeCell ref="B190:E190"/>
    <mergeCell ref="B189:E189"/>
    <mergeCell ref="A191:A202"/>
    <mergeCell ref="B194:E194"/>
    <mergeCell ref="B197:E197"/>
    <mergeCell ref="B201:E201"/>
    <mergeCell ref="B202:E202"/>
    <mergeCell ref="A203:A214"/>
    <mergeCell ref="B206:E206"/>
    <mergeCell ref="B209:E209"/>
    <mergeCell ref="B213:E213"/>
    <mergeCell ref="B214:E21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