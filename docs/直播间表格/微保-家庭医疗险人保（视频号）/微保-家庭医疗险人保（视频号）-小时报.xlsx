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Sheet2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<sst xmlns="http://schemas.openxmlformats.org/spreadsheetml/2006/main" count="97" uniqueCount="97">
  <si>
    <t xml:space="preserve">  </t>
  </si>
  <si>
    <t xml:space="preserve">日期</t>
  </si>
  <si>
    <t xml:space="preserve">时间</t>
  </si>
  <si>
    <t xml:space="preserve">主播人员</t>
  </si>
  <si>
    <t xml:space="preserve">投手</t>
  </si>
  <si>
    <t xml:space="preserve">运营</t>
  </si>
  <si>
    <t xml:space="preserve">消耗</t>
  </si>
  <si>
    <t xml:space="preserve">曝光次数</t>
  </si>
  <si>
    <t xml:space="preserve">点击次数</t>
  </si>
  <si>
    <t xml:space="preserve">点击率</t>
  </si>
  <si>
    <t xml:space="preserve">点击单价</t>
  </si>
  <si>
    <t xml:space="preserve">组件点击人数</t>
  </si>
  <si>
    <t xml:space="preserve">组件点击数</t>
  </si>
  <si>
    <t xml:space="preserve">组件点击率
（组件/点击）</t>
  </si>
  <si>
    <t xml:space="preserve">组件点击成本</t>
  </si>
  <si>
    <t xml:space="preserve">表单</t>
  </si>
  <si>
    <t xml:space="preserve">表单提交率
（表单/点击）</t>
  </si>
  <si>
    <t xml:space="preserve">表单成本</t>
  </si>
  <si>
    <t xml:space="preserve">付费下单</t>
  </si>
  <si>
    <t xml:space="preserve">付费下单支付率
（下单/表单）</t>
  </si>
  <si>
    <t xml:space="preserve">付费下单成本</t>
  </si>
  <si>
    <t xml:space="preserve">保单件均</t>
  </si>
  <si>
    <t xml:space="preserve">付费保费</t>
  </si>
  <si>
    <t xml:space="preserve">微保ROI</t>
  </si>
  <si>
    <t xml:space="preserve">提单人数</t>
  </si>
  <si>
    <t xml:space="preserve">自然流下单</t>
  </si>
  <si>
    <t xml:space="preserve">自然流单量占比</t>
  </si>
  <si>
    <t xml:space="preserve">自然流年化保费</t>
  </si>
  <si>
    <t xml:space="preserve">总下单量</t>
  </si>
  <si>
    <t xml:space="preserve">总年化保费</t>
  </si>
  <si>
    <t xml:space="preserve">ROI</t>
  </si>
  <si>
    <t xml:space="preserve">70岁方案提单数</t>
  </si>
  <si>
    <t xml:space="preserve">70岁方案人群提单占比</t>
  </si>
  <si>
    <t xml:space="preserve">2026.10.10</t>
  </si>
  <si>
    <t xml:space="preserve">20:00-21:00</t>
  </si>
  <si>
    <t xml:space="preserve">张伟娜</t>
  </si>
  <si>
    <t xml:space="preserve">赖法彬</t>
  </si>
  <si>
    <t xml:space="preserve">段弼瑞</t>
  </si>
  <si>
    <t xml:space="preserve">21:00-22:00</t>
  </si>
  <si>
    <t xml:space="preserve">22:00-23:00</t>
  </si>
  <si>
    <t xml:space="preserve">23:00-24:00</t>
  </si>
  <si>
    <t xml:space="preserve">主播分时汇总</t>
  </si>
  <si>
    <t xml:space="preserve">合计</t>
  </si>
  <si>
    <t xml:space="preserve">2026.10.11</t>
  </si>
  <si>
    <t xml:space="preserve">表单（人数）</t>
  </si>
  <si>
    <t xml:space="preserve">付费ROI</t>
  </si>
  <si>
    <t xml:space="preserve">自然流成交单量</t>
  </si>
  <si>
    <t xml:space="preserve">自然流成交保费</t>
  </si>
  <si>
    <t xml:space="preserve">保单件均（盘古）</t>
  </si>
  <si>
    <t xml:space="preserve">总ROI</t>
  </si>
  <si>
    <t xml:space="preserve">提单人数（盘古去重）</t>
  </si>
  <si>
    <t xml:space="preserve">落地页组件点击人数</t>
  </si>
  <si>
    <t xml:space="preserve">提单率（提单人数/落地页组件点击人数）</t>
  </si>
  <si>
    <t xml:space="preserve">全部成交单量</t>
  </si>
  <si>
    <t xml:space="preserve">全部成交保费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</si>
  <si>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</si>
  <si>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</si>
  <si>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</si>
  <si>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</si>
  <si>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24:00-01:00</t>
  </si>
  <si>
    <t xml:space="preserve">2026.10.16</t>
  </si>
  <si>
    <t xml:space="preserve">19:00-20:00</t>
  </si>
  <si>
    <t xml:space="preserve">23:00-024:00</t>
  </si>
  <si>
    <t xml:space="preserve">2026.10.17</t>
  </si>
  <si>
    <t xml:space="preserve">2026.10.18</t>
  </si>
  <si>
    <t xml:space="preserve">日期</t>
  </si>
  <si>
    <t xml:space="preserve">时间</t>
  </si>
  <si>
    <t xml:space="preserve">主播人员</t>
  </si>
  <si>
    <t xml:space="preserve">投手</t>
  </si>
  <si>
    <t xml:space="preserve">运营</t>
  </si>
  <si>
    <t xml:space="preserve">消耗</t>
  </si>
  <si>
    <t xml:space="preserve">曝光次数</t>
  </si>
  <si>
    <t xml:space="preserve">点击次数</t>
  </si>
  <si>
    <t xml:space="preserve">点击率</t>
  </si>
  <si>
    <t xml:space="preserve">点击单价</t>
  </si>
  <si>
    <t xml:space="preserve">组件点击数</t>
  </si>
  <si>
    <t xml:space="preserve">组件点击率
（组件/点击）</t>
  </si>
  <si>
    <t xml:space="preserve">组件点击成本</t>
  </si>
  <si>
    <t xml:space="preserve">表单（人数）</t>
  </si>
  <si>
    <t xml:space="preserve">表单提交率
（表单/点击）</t>
  </si>
  <si>
    <t xml:space="preserve">表单成本</t>
  </si>
  <si>
    <t xml:space="preserve">付费下单</t>
  </si>
  <si>
    <t xml:space="preserve">付费下单支付率
（下单/表单）</t>
  </si>
  <si>
    <t xml:space="preserve">付费下单成本</t>
  </si>
  <si>
    <t xml:space="preserve">付费保费</t>
  </si>
  <si>
    <t xml:space="preserve">付费ROI</t>
  </si>
  <si>
    <t xml:space="preserve">自然流成交单量</t>
  </si>
  <si>
    <t xml:space="preserve">自然流成交保费</t>
  </si>
  <si>
    <t xml:space="preserve">保单件均（盘古）</t>
  </si>
  <si>
    <t xml:space="preserve">总ROI</t>
  </si>
  <si>
    <t xml:space="preserve">提单人数（盘古去重）</t>
  </si>
  <si>
    <t xml:space="preserve">落地页组件点击人数</t>
  </si>
  <si>
    <t xml:space="preserve">提单率（落地页组件点击人数/提单人数）</t>
  </si>
  <si>
    <t xml:space="preserve">全部成交单量</t>
  </si>
  <si>
    <t xml:space="preserve">全部成交保费</t>
  </si>
  <si>
    <t xml:space="preserve">2026.10.11</t>
  </si>
  <si>
    <t xml:space="preserve">主播分时汇总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</si>
</sst>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0"/>
    <numFmt numFmtId="165" formatCode="0.00%"/>
    <numFmt numFmtId="166" formatCode="#,##0"/>
    <numFmt numFmtId="167" formatCode="h:mm:ss"/>
    <numFmt numFmtId="168" formatCode="0"/>
    <numFmt numFmtId="169" formatCode="#,##0.00"/>
    <numFmt numFmtId="170" formatCode="0.00"/>
    <numFmt numFmtId="171" formatCode="0"/>
    <numFmt numFmtId="172" formatCode="0.00%"/>
    <numFmt numFmtId="173" formatCode="h:mm:ss"/>
  </numFmts>
  <fonts count="20">
    <font>
      <sz val="12"/>
      <color theme="1"/>
      <name val="Calibri"/>
      <family val="2"/>
      <scheme val="minor"/>
    </font>
    <font>
      <b val="true"/>
      <sz val="9"/>
      <color rgb="FFFFFFFF"/>
      <name val="宋体"/>
      <family val="2"/>
    </font>
    <font>
      <b val="true"/>
      <sz val="9"/>
      <color rgb="FFFFFFFF"/>
      <name val="Calibri"/>
      <family val="2"/>
    </font>
    <font>
      <b val="true"/>
      <sz val="9"/>
      <color rgb="FFF54A45"/>
      <name val="Calibri"/>
      <family val="2"/>
    </font>
    <font>
      <sz val="12"/>
      <color rgb="FF000000"/>
      <name val="等线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10"/>
      <color rgb="FF000000"/>
      <name val="等线"/>
      <family val="2"/>
    </font>
    <font>
      <sz val="10"/>
      <color rgb="FFF54A45"/>
      <name val="等线"/>
      <family val="2"/>
    </font>
    <font>
      <sz val="10"/>
      <color rgb="FF373C43"/>
      <name val="等线"/>
      <family val="2"/>
    </font>
    <font>
      <sz val="10"/>
      <color rgb="FFF54A45"/>
      <name val="Calibri"/>
      <family val="2"/>
    </font>
    <font>
      <b val="true"/>
      <sz val="9"/>
      <color rgb="FFFFFFFF"/>
      <name val="等线"/>
      <family val="2"/>
    </font>
    <font>
      <b val="true"/>
      <sz val="9"/>
      <color rgb="FFF54A45"/>
      <name val="等线"/>
      <family val="2"/>
    </font>
    <font>
      <sz val="9"/>
      <color rgb="FFFF0000"/>
      <name val="等线"/>
      <family val="2"/>
    </font>
    <font>
      <sz val="10"/>
      <color rgb="FF000000"/>
      <name val="Calibri"/>
      <family val="2"/>
      <scheme val="minor"/>
    </font>
    <font>
      <sz val="9"/>
      <color rgb="FF000000"/>
      <name val="等线"/>
      <family val="2"/>
    </font>
    <font>
      <sz val="9"/>
      <color rgb="FF333333"/>
      <name val="等线"/>
      <family val="2"/>
    </font>
    <font>
      <sz val="9"/>
      <color rgb="FFFFFFFF"/>
      <name val="宋体"/>
      <family val="2"/>
    </font>
    <font>
      <sz val="9"/>
      <color rgb="FFFFFFFF"/>
      <name val="等线"/>
      <family val="2"/>
    </font>
    <font>
      <sz val="9"/>
      <color rgb="FFF54A45"/>
      <name val="等线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6B"/>
        <bgColor/>
      </patternFill>
    </fill>
    <fill>
      <patternFill patternType="solid">
        <fgColor rgb="FFFFFFFF"/>
        <bgColor/>
      </patternFill>
    </fill>
    <fill>
      <patternFill patternType="solid">
        <fgColor rgb="FFFAF1D1"/>
        <bgColor/>
      </patternFill>
    </fill>
    <fill>
      <patternFill patternType="solid">
        <fgColor rgb="FFFFBA6B"/>
        <bgColor/>
      </patternFill>
    </fill>
    <fill>
      <patternFill patternType="solid">
        <fgColor rgb="FFFAF1D1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true" applyProtection="false" borderId="0" fillId="2" fontId="3" numFmtId="164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true" applyProtection="false" borderId="0" fillId="2" fontId="2" numFmtId="165" xfId="0">
      <alignment horizontal="center" vertical="center"/>
    </xf>
    <xf applyAlignment="true" applyBorder="false" applyFill="true" applyFont="true" applyNumberFormat="true" applyProtection="false" borderId="0" fillId="2" fontId="2" numFmtId="164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true" applyProtection="false" borderId="0" fillId="0" fontId="6" numFmtId="166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5" numFmtId="165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true" applyProtection="false" borderId="0" fillId="0" fontId="8" numFmtId="164" xfId="0">
      <alignment horizontal="center" vertical="center"/>
    </xf>
    <xf applyAlignment="true" applyBorder="false" applyFill="false" applyFont="true" applyNumberFormat="true" applyProtection="false" borderId="0" fillId="0" fontId="7" numFmtId="164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10" numFmtId="165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true" applyFont="true" applyNumberFormat="false" applyProtection="false" borderId="0" fillId="3" fontId="5" numFmtId="0" xfId="0">
      <alignment horizontal="center" vertical="center"/>
    </xf>
    <xf applyAlignment="true" applyBorder="false" applyFill="true" applyFont="true" applyNumberFormat="false" applyProtection="false" borderId="0" fillId="3" fontId="5" numFmtId="0" xfId="0">
      <alignment horizontal="center" vertical="center"/>
    </xf>
    <xf applyAlignment="true" applyBorder="false" applyFill="true" applyFont="true" applyNumberFormat="true" applyProtection="false" borderId="0" fillId="3" fontId="5" numFmtId="164" xfId="0">
      <alignment horizontal="center" vertical="center"/>
    </xf>
    <xf applyAlignment="true" applyBorder="false" applyFill="true" applyFont="true" applyNumberFormat="true" applyProtection="false" borderId="0" fillId="3" fontId="6" numFmtId="166" xfId="0">
      <alignment horizontal="center" vertical="center"/>
    </xf>
    <xf applyAlignment="true" applyBorder="false" applyFill="true" applyFont="true" applyNumberFormat="false" applyProtection="false" borderId="0" fillId="3" fontId="6" numFmtId="0" xfId="0">
      <alignment horizontal="center" vertical="center"/>
    </xf>
    <xf applyAlignment="true" applyBorder="false" applyFill="true" applyFont="true" applyNumberFormat="true" applyProtection="false" borderId="0" fillId="3" fontId="5" numFmtId="164" xfId="0">
      <alignment horizontal="center" vertical="center"/>
    </xf>
    <xf applyAlignment="true" applyBorder="false" applyFill="true" applyFont="true" applyNumberFormat="false" applyProtection="false" borderId="0" fillId="3" fontId="7" numFmtId="0" xfId="0">
      <alignment horizontal="center" vertical="center"/>
    </xf>
    <xf applyAlignment="true" applyBorder="false" applyFill="true" applyFont="true" applyNumberFormat="false" applyProtection="false" borderId="0" fillId="3" fontId="8" numFmtId="0" xfId="0">
      <alignment horizontal="center" vertical="center"/>
    </xf>
    <xf applyAlignment="true" applyBorder="false" applyFill="true" applyFont="true" applyNumberFormat="true" applyProtection="false" borderId="0" fillId="3" fontId="8" numFmtId="164" xfId="0">
      <alignment horizontal="center" vertical="center"/>
    </xf>
    <xf applyAlignment="true" applyBorder="false" applyFill="true" applyFont="true" applyNumberFormat="true" applyProtection="false" borderId="0" fillId="3" fontId="7" numFmtId="164" xfId="0">
      <alignment horizontal="center" vertical="center"/>
    </xf>
    <xf applyAlignment="true" applyBorder="false" applyFill="true" applyFont="true" applyNumberFormat="false" applyProtection="false" borderId="0" fillId="3" fontId="9" numFmtId="0" xfId="0">
      <alignment horizontal="center" vertical="center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true" applyProtection="false" borderId="0" fillId="4" fontId="5" numFmtId="164" xfId="0">
      <alignment horizontal="center" vertical="center"/>
    </xf>
    <xf applyAlignment="true" applyBorder="false" applyFill="true" applyFont="true" applyNumberFormat="true" applyProtection="false" borderId="0" fillId="4" fontId="5" numFmtId="165" xfId="0">
      <alignment horizontal="center" vertical="center"/>
    </xf>
    <xf applyAlignment="true" applyBorder="false" applyFill="true" applyFont="true" applyNumberFormat="true" applyProtection="false" borderId="0" fillId="4" fontId="10" numFmtId="165" xfId="0">
      <alignment horizontal="center" vertical="center"/>
    </xf>
    <xf applyAlignment="true" applyBorder="false" applyFill="true" applyFont="true" applyNumberFormat="false" applyProtection="false" borderId="0" fillId="4" fontId="7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1" numFmtId="0" xfId="0">
      <alignment horizontal="center" vertical="center"/>
    </xf>
    <xf applyAlignment="true" applyBorder="false" applyFill="true" applyFont="true" applyNumberFormat="false" applyProtection="false" borderId="1" fillId="2" fontId="11" numFmtId="0" xfId="0">
      <alignment horizontal="center" vertical="center"/>
    </xf>
    <xf applyAlignment="true" applyBorder="false" applyFill="true" applyFont="true" applyNumberFormat="true" applyProtection="false" borderId="1" fillId="2" fontId="12" numFmtId="164" xfId="0">
      <alignment horizontal="center" vertical="center"/>
    </xf>
    <xf applyAlignment="true" applyBorder="false" applyFill="true" applyFont="true" applyNumberFormat="true" applyProtection="false" borderId="3" fillId="2" fontId="12" numFmtId="168" xfId="0">
      <alignment horizontal="center" vertical="center"/>
    </xf>
    <xf applyAlignment="true" applyBorder="false" applyFill="true" applyFont="true" applyNumberFormat="true" applyProtection="false" borderId="1" fillId="2" fontId="12" numFmtId="168" xfId="0">
      <alignment horizontal="center" vertical="center"/>
    </xf>
    <xf applyAlignment="true" applyBorder="false" applyFill="true" applyFont="true" applyNumberFormat="true" applyProtection="false" borderId="1" fillId="2" fontId="11" numFmtId="165" xfId="0">
      <alignment horizontal="center" vertical="center"/>
    </xf>
    <xf applyAlignment="true" applyBorder="false" applyFill="true" applyFont="true" applyNumberFormat="false" applyProtection="false" borderId="1" fillId="2" fontId="12" numFmtId="0" xfId="0">
      <alignment horizontal="center" vertical="center"/>
    </xf>
    <xf applyAlignment="true" applyBorder="false" applyFill="true" applyFont="true" applyNumberFormat="false" applyProtection="false" borderId="1" fillId="2" fontId="11" numFmtId="0" xfId="0">
      <alignment horizontal="center" vertical="center" wrapText="true"/>
    </xf>
    <xf applyAlignment="true" applyBorder="false" applyFill="true" applyFont="true" applyNumberFormat="true" applyProtection="false" borderId="1" fillId="2" fontId="13" numFmtId="164" xfId="0">
      <alignment horizontal="center" vertical="center"/>
    </xf>
    <xf applyAlignment="true" applyBorder="false" applyFill="true" applyFont="true" applyNumberFormat="false" applyProtection="false" borderId="1" fillId="2" fontId="13" numFmtId="0" xfId="0">
      <alignment horizontal="center" vertical="center"/>
    </xf>
    <xf applyAlignment="true" applyBorder="false" applyFill="true" applyFont="true" applyNumberFormat="false" applyProtection="false" borderId="1" fillId="2" fontId="11" numFmtId="0" xfId="0">
      <alignment horizontal="center" vertical="center"/>
    </xf>
    <xf applyAlignment="true" applyBorder="false" applyFill="true" applyFont="true" applyNumberFormat="false" applyProtection="false" borderId="1" fillId="2" fontId="11" numFmtId="0" xfId="0">
      <alignment horizontal="center" vertical="center" wrapText="true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true" applyFont="true" applyNumberFormat="false" applyProtection="false" borderId="0" fillId="2" fontId="13" numFmtId="0" xfId="0">
      <alignment horizontal="center" vertical="center"/>
    </xf>
    <xf applyAlignment="true" applyBorder="false" applyFill="true" applyFont="true" applyNumberFormat="true" applyProtection="false" borderId="0" fillId="2" fontId="13" numFmtId="164" xfId="0">
      <alignment horizontal="center" vertical="center"/>
    </xf>
    <xf applyAlignment="true" applyBorder="false" applyFill="false" applyFont="true" applyNumberFormat="false" applyProtection="false" borderId="1" fillId="0" fontId="1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true" applyProtection="false" borderId="1" fillId="0" fontId="15" numFmtId="164" xfId="0">
      <alignment horizontal="center" vertical="center"/>
    </xf>
    <xf applyAlignment="true" applyBorder="false" applyFill="false" applyFont="true" applyNumberFormat="true" applyProtection="false" borderId="3" fillId="0" fontId="16" numFmtId="168" xfId="0">
      <alignment horizontal="center" vertical="center"/>
    </xf>
    <xf applyAlignment="true" applyBorder="false" applyFill="false" applyFont="true" applyNumberFormat="true" applyProtection="false" borderId="1" fillId="0" fontId="16" numFmtId="168" xfId="0">
      <alignment horizontal="center" vertical="center"/>
    </xf>
    <xf applyAlignment="true" applyBorder="false" applyFill="false" applyFont="true" applyNumberFormat="true" applyProtection="false" borderId="1" fillId="0" fontId="15" numFmtId="165" xfId="0">
      <alignment horizontal="center" vertical="center"/>
    </xf>
    <xf applyAlignment="true" applyBorder="false" applyFill="false" applyFont="true" applyNumberFormat="true" applyProtection="false" borderId="1" fillId="0" fontId="15" numFmtId="164" xfId="0">
      <alignment horizontal="center" vertical="center"/>
    </xf>
    <xf applyAlignment="true" applyBorder="false" applyFill="false" applyFont="true" applyNumberFormat="false" applyProtection="false" borderId="1" fillId="0" fontId="16" numFmtId="0" xfId="0">
      <alignment horizontal="center" vertical="center"/>
    </xf>
    <xf applyAlignment="true" applyBorder="false" applyFill="false" applyFont="true" applyNumberFormat="true" applyProtection="false" borderId="1" fillId="0" fontId="16" numFmtId="165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164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false" applyProtection="false" borderId="1" fillId="4" fontId="15" numFmtId="0" xfId="0">
      <alignment horizontal="center" vertical="center"/>
    </xf>
    <xf applyAlignment="true" applyBorder="false" applyFill="true" applyFont="true" applyNumberFormat="false" applyProtection="false" borderId="4" fillId="4" fontId="15" numFmtId="0" xfId="0">
      <alignment horizontal="center" vertical="center"/>
    </xf>
    <xf applyAlignment="true" applyBorder="false" applyFill="true" applyFont="true" applyNumberFormat="true" applyProtection="false" borderId="4" fillId="4" fontId="15" numFmtId="164" xfId="0">
      <alignment horizontal="center" vertical="center"/>
    </xf>
    <xf applyAlignment="true" applyBorder="false" applyFill="true" applyFont="true" applyNumberFormat="true" applyProtection="false" borderId="1" fillId="4" fontId="15" numFmtId="168" xfId="0">
      <alignment horizontal="center" vertical="center"/>
    </xf>
    <xf applyAlignment="true" applyBorder="false" applyFill="true" applyFont="true" applyNumberFormat="true" applyProtection="false" borderId="1" fillId="4" fontId="15" numFmtId="165" xfId="0">
      <alignment horizontal="center" vertical="center"/>
    </xf>
    <xf applyAlignment="true" applyBorder="false" applyFill="true" applyFont="true" applyNumberFormat="true" applyProtection="false" borderId="1" fillId="4" fontId="15" numFmtId="164" xfId="0">
      <alignment horizontal="center" vertical="center"/>
    </xf>
    <xf applyAlignment="true" applyBorder="false" applyFill="true" applyFont="true" applyNumberFormat="false" applyProtection="false" borderId="0" fillId="4" fontId="15" numFmtId="0" xfId="0">
      <alignment horizontal="center" vertical="center"/>
    </xf>
    <xf applyAlignment="true" applyBorder="false" applyFill="true" applyFont="true" applyNumberFormat="true" applyProtection="false" borderId="0" fillId="4" fontId="15" numFmtId="164" xfId="0">
      <alignment horizontal="center" vertical="center"/>
    </xf>
    <xf applyAlignment="true" applyBorder="false" applyFill="true" applyFont="true" applyNumberFormat="false" applyProtection="false" borderId="5" fillId="2" fontId="11" numFmtId="0" xfId="0">
      <alignment horizontal="center" vertical="center"/>
    </xf>
    <xf applyAlignment="true" applyBorder="false" applyFill="false" applyFont="true" applyNumberFormat="false" applyProtection="false" borderId="2" fillId="0" fontId="15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true" applyFont="true" applyNumberFormat="false" applyProtection="false" borderId="3" fillId="3" fontId="5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true" applyFont="true" applyNumberFormat="false" applyProtection="false" borderId="1" fillId="2" fontId="17" numFmtId="0" xfId="0">
      <alignment horizontal="center" vertical="center"/>
    </xf>
    <xf applyAlignment="true" applyBorder="false" applyFill="true" applyFont="true" applyNumberFormat="false" applyProtection="false" borderId="5" fillId="2" fontId="18" numFmtId="0" xfId="0">
      <alignment horizontal="center" vertical="center"/>
    </xf>
    <xf applyAlignment="true" applyBorder="false" applyFill="true" applyFont="true" applyNumberFormat="false" applyProtection="false" borderId="1" fillId="2" fontId="18" numFmtId="0" xfId="0">
      <alignment horizontal="center" vertical="center"/>
    </xf>
    <xf applyAlignment="true" applyBorder="false" applyFill="true" applyFont="true" applyNumberFormat="true" applyProtection="false" borderId="1" fillId="2" fontId="19" numFmtId="164" xfId="0">
      <alignment horizontal="center" vertical="center"/>
    </xf>
    <xf applyAlignment="true" applyBorder="false" applyFill="true" applyFont="true" applyNumberFormat="true" applyProtection="false" borderId="3" fillId="2" fontId="19" numFmtId="168" xfId="0">
      <alignment horizontal="center" vertical="center"/>
    </xf>
    <xf applyAlignment="true" applyBorder="false" applyFill="true" applyFont="true" applyNumberFormat="true" applyProtection="false" borderId="1" fillId="2" fontId="19" numFmtId="168" xfId="0">
      <alignment horizontal="center" vertical="center"/>
    </xf>
    <xf applyAlignment="true" applyBorder="false" applyFill="true" applyFont="true" applyNumberFormat="true" applyProtection="false" borderId="1" fillId="2" fontId="18" numFmtId="165" xfId="0">
      <alignment horizontal="center" vertical="center"/>
    </xf>
    <xf applyAlignment="true" applyBorder="false" applyFill="true" applyFont="true" applyNumberFormat="false" applyProtection="false" borderId="1" fillId="2" fontId="19" numFmtId="0" xfId="0">
      <alignment horizontal="center" vertical="center"/>
    </xf>
    <xf applyAlignment="true" applyBorder="false" applyFill="true" applyFont="true" applyNumberFormat="false" applyProtection="false" borderId="1" fillId="2" fontId="18" numFmtId="0" xfId="0">
      <alignment horizontal="center" vertical="center" wrapText="true"/>
    </xf>
    <xf applyAlignment="true" applyBorder="false" applyFill="true" applyFont="true" applyNumberFormat="false" applyProtection="false" borderId="1" fillId="2" fontId="18" numFmtId="0" xfId="0">
      <alignment horizontal="center" vertical="center"/>
    </xf>
    <xf applyAlignment="true" applyBorder="false" applyFill="true" applyFont="true" applyNumberFormat="false" applyProtection="false" borderId="1" fillId="2" fontId="18" numFmtId="0" xfId="0">
      <alignment horizontal="center" vertical="center" wrapText="true"/>
    </xf>
    <xf applyAlignment="true" applyBorder="false" applyFill="false" applyFont="true" applyNumberFormat="false" applyProtection="false" borderId="1" fillId="0" fontId="16" numFmtId="0" xfId="0">
      <alignment horizontal="center" vertical="center"/>
    </xf>
    <xf applyAlignment="true" applyBorder="false" applyFill="false" applyFont="true" applyNumberFormat="false" applyProtection="false" borderId="1" fillId="0" fontId="15" numFmtId="0" xfId="0">
      <alignment horizontal="center" vertical="center"/>
    </xf>
    <xf applyAlignment="true" applyBorder="false" applyFill="false" applyFont="true" applyNumberFormat="true" applyProtection="false" borderId="1" fillId="0" fontId="15" numFmtId="164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164" xfId="0">
      <alignment horizontal="center" vertical="center"/>
    </xf>
    <xf applyAlignment="true" applyBorder="false" applyFill="false" applyFont="true" applyNumberFormat="true" applyProtection="false" borderId="0" fillId="0" fontId="14" numFmtId="164" xfId="0">
      <alignment vertical="center"/>
    </xf>
    <xf applyAlignment="true" applyBorder="false" applyFill="false" applyFont="true" applyNumberFormat="true" applyProtection="false" borderId="0" fillId="0" fontId="14" numFmtId="165" xfId="0">
      <alignment vertical="center"/>
    </xf>
    <xf applyAlignment="true" applyBorder="false" applyFill="false" applyFont="true" applyNumberFormat="true" applyProtection="false" borderId="0" fillId="0" fontId="14" numFmtId="169" xfId="0">
      <alignment vertical="center"/>
    </xf>
    <xf applyAlignment="true" applyBorder="false" applyFill="false" applyFont="true" applyNumberFormat="true" applyProtection="false" borderId="0" fillId="0" fontId="14" numFmtId="164" xfId="0">
      <alignment vertical="center"/>
    </xf>
    <xf applyAlignment="true" applyBorder="false" applyFill="true" applyFont="true" applyNumberFormat="false" applyProtection="false" borderId="6" fillId="5" fontId="1" numFmtId="0" xfId="0">
      <alignment horizontal="center" vertical="center"/>
    </xf>
    <xf applyAlignment="true" applyBorder="false" applyFill="true" applyFont="true" applyNumberFormat="false" applyProtection="false" borderId="6" fillId="5" fontId="11" numFmtId="0" xfId="0">
      <alignment horizontal="center" vertical="center"/>
    </xf>
    <xf applyAlignment="true" applyBorder="false" applyFill="true" applyFont="true" applyNumberFormat="true" applyProtection="false" borderId="6" fillId="5" fontId="12" numFmtId="170" xfId="0">
      <alignment horizontal="center" vertical="center"/>
    </xf>
    <xf applyAlignment="true" applyBorder="false" applyFill="true" applyFont="true" applyNumberFormat="true" applyProtection="false" borderId="6" fillId="5" fontId="12" numFmtId="171" xfId="0">
      <alignment horizontal="center" vertical="center"/>
    </xf>
    <xf applyAlignment="true" applyBorder="false" applyFill="true" applyFont="true" applyNumberFormat="true" applyProtection="false" borderId="6" fillId="5" fontId="11" numFmtId="172" xfId="0">
      <alignment horizontal="center" vertical="center"/>
    </xf>
    <xf applyAlignment="true" applyBorder="false" applyFill="true" applyFont="true" applyNumberFormat="false" applyProtection="false" borderId="6" fillId="5" fontId="12" numFmtId="0" xfId="0">
      <alignment horizontal="center" vertical="center"/>
    </xf>
    <xf applyAlignment="true" applyBorder="false" applyFill="true" applyFont="true" applyNumberFormat="false" applyProtection="false" borderId="6" fillId="5" fontId="11" numFmtId="0" xfId="0">
      <alignment horizontal="center" vertical="center" wrapText="true"/>
    </xf>
    <xf applyAlignment="true" applyBorder="false" applyFill="true" applyFont="true" applyNumberFormat="true" applyProtection="false" borderId="6" fillId="5" fontId="13" numFmtId="170" xfId="0">
      <alignment horizontal="center" vertical="center"/>
    </xf>
    <xf applyAlignment="true" applyBorder="false" applyFill="true" applyFont="true" applyNumberFormat="false" applyProtection="false" borderId="6" fillId="5" fontId="13" numFmtId="0" xfId="0">
      <alignment horizontal="center" vertical="center"/>
    </xf>
    <xf applyAlignment="true" applyBorder="false" applyFill="true" applyFont="true" applyNumberFormat="false" applyProtection="false" borderId="6" fillId="5" fontId="11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true" applyFont="true" applyNumberFormat="false" applyProtection="false" borderId="0" fillId="5" fontId="13" numFmtId="0" xfId="0">
      <alignment horizontal="center" vertical="center"/>
    </xf>
    <xf applyAlignment="true" applyBorder="false" applyFill="true" applyFont="true" applyNumberFormat="true" applyProtection="false" borderId="0" fillId="5" fontId="13" numFmtId="170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center" vertical="center"/>
    </xf>
    <xf applyAlignment="true" applyBorder="false" applyFill="false" applyFont="true" applyNumberFormat="true" applyProtection="false" borderId="6" fillId="0" fontId="15" numFmtId="173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center" vertical="center"/>
    </xf>
    <xf applyAlignment="true" applyBorder="false" applyFill="false" applyFont="true" applyNumberFormat="true" applyProtection="false" borderId="6" fillId="0" fontId="15" numFmtId="170" xfId="0">
      <alignment horizontal="center" vertical="center"/>
    </xf>
    <xf applyAlignment="true" applyBorder="false" applyFill="false" applyFont="true" applyNumberFormat="true" applyProtection="false" borderId="6" fillId="0" fontId="16" numFmtId="171" xfId="0">
      <alignment horizontal="center" vertical="center"/>
    </xf>
    <xf applyAlignment="true" applyBorder="false" applyFill="false" applyFont="true" applyNumberFormat="true" applyProtection="false" borderId="6" fillId="0" fontId="15" numFmtId="172" xfId="0">
      <alignment horizontal="center" vertical="center"/>
    </xf>
    <xf applyAlignment="true" applyBorder="false" applyFill="false" applyFont="true" applyNumberFormat="true" applyProtection="false" borderId="6" fillId="0" fontId="15" numFmtId="170" xfId="0">
      <alignment horizontal="center" vertical="center"/>
    </xf>
    <xf applyAlignment="true" applyBorder="false" applyFill="false" applyFont="true" applyNumberFormat="false" applyProtection="false" borderId="6" fillId="0" fontId="16" numFmtId="0" xfId="0">
      <alignment horizontal="center" vertical="center"/>
    </xf>
    <xf applyAlignment="true" applyBorder="false" applyFill="false" applyFont="true" applyNumberFormat="true" applyProtection="false" borderId="6" fillId="0" fontId="16" numFmtId="172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170" xfId="0">
      <alignment horizontal="center" vertical="center"/>
    </xf>
    <xf applyAlignment="true" applyBorder="false" applyFill="false" applyFont="true" applyNumberFormat="true" applyProtection="false" borderId="6" fillId="0" fontId="16" numFmtId="171" xfId="0">
      <alignment horizontal="center" vertical="center"/>
    </xf>
    <xf applyAlignment="true" applyBorder="false" applyFill="false" applyFont="true" applyNumberFormat="false" applyProtection="false" borderId="6" fillId="0" fontId="16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15" numFmtId="170" xfId="0">
      <alignment horizontal="center" vertical="center"/>
    </xf>
    <xf applyAlignment="true" applyBorder="false" applyFill="true" applyFont="true" applyNumberFormat="false" applyProtection="false" borderId="6" fillId="6" fontId="15" numFmtId="0" xfId="0">
      <alignment horizontal="center" vertical="center"/>
    </xf>
    <xf applyAlignment="true" applyBorder="false" applyFill="true" applyFont="true" applyNumberFormat="true" applyProtection="false" borderId="6" fillId="6" fontId="15" numFmtId="170" xfId="0">
      <alignment horizontal="center" vertical="center"/>
    </xf>
    <xf applyAlignment="true" applyBorder="false" applyFill="true" applyFont="true" applyNumberFormat="true" applyProtection="false" borderId="6" fillId="6" fontId="15" numFmtId="171" xfId="0">
      <alignment horizontal="center" vertical="center"/>
    </xf>
    <xf applyAlignment="true" applyBorder="false" applyFill="true" applyFont="true" applyNumberFormat="true" applyProtection="false" borderId="6" fillId="6" fontId="15" numFmtId="172" xfId="0">
      <alignment horizontal="center" vertical="center"/>
    </xf>
    <xf applyAlignment="true" applyBorder="false" applyFill="true" applyFont="true" applyNumberFormat="false" applyProtection="false" borderId="0" fillId="6" fontId="15" numFmtId="0" xfId="0">
      <alignment horizontal="center" vertical="center"/>
    </xf>
    <xf applyAlignment="true" applyBorder="false" applyFill="true" applyFont="true" applyNumberFormat="true" applyProtection="false" borderId="0" fillId="6" fontId="15" numFmtId="17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horizontal="center" vertical="center"/>
    </xf>
    <xf applyAlignment="true" applyBorder="false" applyFill="false" applyFont="true" applyNumberFormat="true" applyProtection="false" borderId="0" fillId="0" fontId="14" numFmtId="170" xfId="0">
      <alignment horizontal="center" vertical="center"/>
    </xf>
    <xf applyAlignment="true" applyBorder="false" applyFill="false" applyFont="true" applyNumberFormat="true" applyProtection="false" borderId="0" fillId="0" fontId="14" numFmtId="171" xfId="0">
      <alignment horizontal="center" vertical="center"/>
    </xf>
    <xf applyAlignment="true" applyBorder="false" applyFill="false" applyFont="true" applyNumberFormat="true" applyProtection="false" borderId="0" fillId="0" fontId="14" numFmtId="172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horizontal="center" vertical="center"/>
    </xf>
    <xf applyAlignment="true" applyBorder="false" applyFill="false" applyFont="true" applyNumberFormat="true" applyProtection="false" borderId="0" fillId="0" fontId="14" numFmtId="170" xfId="0">
      <alignment horizontal="center" vertical="center"/>
    </xf>
    <xf applyAlignment="true" applyBorder="false" applyFill="false" applyFont="true" applyNumberFormat="true" applyProtection="false" borderId="0" fillId="0" fontId="14" numFmtId="171" xfId="0">
      <alignment horizontal="center" vertical="center"/>
    </xf>
    <xf applyAlignment="true" applyBorder="false" applyFill="false" applyFont="true" applyNumberFormat="true" applyProtection="false" borderId="0" fillId="0" fontId="14" numFmtId="172" xfId="0">
      <alignment horizontal="center" vertical="center"/>
    </xf>
    <xf applyAlignment="true" applyBorder="false" applyFill="false" applyFont="true" applyNumberFormat="true" applyProtection="false" borderId="0" fillId="0" fontId="14" numFmtId="17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7" min="27" style="0" width="14.704225352112676"/>
    <col collapsed="false" customWidth="true" hidden="false" max="28" min="28" style="0" width="11.774647887323944"/>
    <col collapsed="false" customWidth="true" hidden="false" max="32" min="32" style="0" width="14.028169014084508"/>
    <col collapsed="false" customWidth="true" hidden="false" max="1" min="1" style="0" width="11.211267605633802"/>
    <col collapsed="false" customWidth="true" hidden="false" max="11" min="11" style="0" width="11.211267605633802"/>
    <col collapsed="false" customWidth="true" hidden="false" max="23" min="23" style="0" width="11.211267605633802"/>
    <col collapsed="false" customWidth="true" hidden="false" max="26" min="26" style="0" width="15.24336379724130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4" t="s">
        <v>8</v>
      </c>
      <c r="I1" s="5" t="s">
        <v>9</v>
      </c>
      <c r="J1" s="6" t="s">
        <v>10</v>
      </c>
      <c r="K1" s="7" t="s">
        <v>11</v>
      </c>
      <c r="L1" s="4" t="s">
        <v>12</v>
      </c>
      <c r="M1" s="8" t="s">
        <v>13</v>
      </c>
      <c r="N1" s="2" t="s">
        <v>14</v>
      </c>
      <c r="O1" s="4" t="s">
        <v>15</v>
      </c>
      <c r="P1" s="8" t="s">
        <v>16</v>
      </c>
      <c r="Q1" s="2" t="s">
        <v>17</v>
      </c>
      <c r="R1" s="4" t="s">
        <v>18</v>
      </c>
      <c r="S1" s="8" t="s">
        <v>19</v>
      </c>
      <c r="T1" s="2" t="s">
        <v>20</v>
      </c>
      <c r="U1" s="2" t="s">
        <v>21</v>
      </c>
      <c r="V1" s="3" t="s">
        <v>22</v>
      </c>
      <c r="W1" s="9" t="s">
        <v>23</v>
      </c>
      <c r="X1" s="4" t="s">
        <v>24</v>
      </c>
      <c r="Y1" s="4" t="s">
        <v>25</v>
      </c>
      <c r="Z1" s="2" t="s">
        <v>26</v>
      </c>
      <c r="AA1" s="3" t="s">
        <v>27</v>
      </c>
      <c r="AB1" s="4" t="s">
        <v>28</v>
      </c>
      <c r="AC1" s="3" t="s">
        <v>29</v>
      </c>
      <c r="AD1" s="9" t="s">
        <v>30</v>
      </c>
      <c r="AE1" s="4" t="s">
        <v>31</v>
      </c>
      <c r="AF1" s="4" t="s">
        <v>32</v>
      </c>
    </row>
    <row r="2">
      <c r="A2" s="10" t="s">
        <v>33</v>
      </c>
      <c r="B2" s="11" t="s">
        <v>34</v>
      </c>
      <c r="C2" s="11" t="s">
        <v>35</v>
      </c>
      <c r="D2" s="12" t="s">
        <v>36</v>
      </c>
      <c r="E2" s="11" t="s">
        <v>37</v>
      </c>
      <c r="F2" s="13">
        <v>903.02</v>
      </c>
      <c r="G2" s="14">
        <v>81340</v>
      </c>
      <c r="H2" s="15">
        <v>120</v>
      </c>
      <c r="I2" s="16">
        <f t="shared" ref="I2:I7" si="84">H2/G2</f>
      </c>
      <c r="J2" s="17">
        <f t="shared" ref="J2:J7" si="57">F2/H2</f>
      </c>
      <c r="K2" s="13">
        <v>14</v>
      </c>
      <c r="L2" s="15">
        <v>17</v>
      </c>
      <c r="M2" s="16">
        <f t="shared" ref="M2:M7" si="23">L2/H2</f>
      </c>
      <c r="N2" s="13">
        <f t="shared" ref="N2:N7" si="120">F2/L2</f>
      </c>
      <c r="O2" s="15">
        <v>2</v>
      </c>
      <c r="P2" s="16">
        <f t="shared" ref="P2:P7" si="93">O2/H2</f>
      </c>
      <c r="Q2" s="13">
        <f t="shared" ref="Q2:Q7" si="66">F2/O2</f>
      </c>
      <c r="R2" s="15">
        <v>0</v>
      </c>
      <c r="S2" s="16">
        <f t="shared" ref="S2:S7" si="39">R2/O2</f>
      </c>
      <c r="T2" s="13">
        <f t="shared" ref="T2:T7" si="122">F2/R2</f>
      </c>
      <c r="U2" s="13">
        <f t="shared" ref="U2:U7" si="68">AC2/AB2</f>
      </c>
      <c r="V2" s="13">
        <v>0</v>
      </c>
      <c r="W2" s="13">
        <f t="shared" ref="W2:W7" si="41">AC2/(F2+500*AG2:AF2)</f>
      </c>
      <c r="X2" s="18">
        <v>2</v>
      </c>
      <c r="Y2" s="19">
        <v>0</v>
      </c>
      <c r="Z2" s="16">
        <f t="shared" ref="Z2:Z7" si="0">Y2/AB2</f>
      </c>
      <c r="AA2" s="20">
        <v>0</v>
      </c>
      <c r="AB2" s="18">
        <v>0</v>
      </c>
      <c r="AC2" s="21">
        <v>0</v>
      </c>
      <c r="AD2" s="13">
        <f t="shared" ref="AD2:AD7" si="97">AC2/F2</f>
      </c>
      <c r="AE2" s="22">
        <v>0</v>
      </c>
      <c r="AF2" s="23">
        <f t="shared" ref="AF2:AF7" si="95">AE2/X2</f>
      </c>
    </row>
    <row r="3">
      <c r="A3" s="24"/>
      <c r="B3" s="11" t="s">
        <v>38</v>
      </c>
      <c r="C3" s="11" t="s">
        <v>35</v>
      </c>
      <c r="D3" s="12" t="s">
        <v>36</v>
      </c>
      <c r="E3" s="11" t="s">
        <v>37</v>
      </c>
      <c r="F3" s="13">
        <v>3255.97</v>
      </c>
      <c r="G3" s="15">
        <v>239654</v>
      </c>
      <c r="H3" s="15">
        <v>387</v>
      </c>
      <c r="I3" s="16">
        <f t="shared" si="84"/>
      </c>
      <c r="J3" s="17">
        <f t="shared" si="57"/>
      </c>
      <c r="K3" s="13">
        <v>52</v>
      </c>
      <c r="L3" s="15">
        <v>28</v>
      </c>
      <c r="M3" s="16">
        <f t="shared" si="23"/>
      </c>
      <c r="N3" s="17">
        <f t="shared" si="120"/>
      </c>
      <c r="O3" s="15">
        <v>4</v>
      </c>
      <c r="P3" s="16">
        <f t="shared" si="93"/>
      </c>
      <c r="Q3" s="17">
        <f t="shared" si="66"/>
      </c>
      <c r="R3" s="15">
        <v>0</v>
      </c>
      <c r="S3" s="16">
        <f t="shared" si="39"/>
      </c>
      <c r="T3" s="17">
        <f t="shared" si="122"/>
      </c>
      <c r="U3" s="17">
        <f t="shared" si="68"/>
      </c>
      <c r="V3" s="13">
        <v>0</v>
      </c>
      <c r="W3" s="17">
        <f t="shared" si="41"/>
      </c>
      <c r="X3" s="18">
        <v>10</v>
      </c>
      <c r="Y3" s="19">
        <v>1</v>
      </c>
      <c r="Z3" s="16">
        <f t="shared" si="0"/>
      </c>
      <c r="AA3" s="20">
        <v>600</v>
      </c>
      <c r="AB3" s="18">
        <v>1</v>
      </c>
      <c r="AC3" s="21">
        <v>600</v>
      </c>
      <c r="AD3" s="17">
        <f t="shared" si="97"/>
      </c>
      <c r="AE3" s="22">
        <v>5</v>
      </c>
      <c r="AF3" s="23">
        <f t="shared" si="95"/>
      </c>
    </row>
    <row r="4">
      <c r="A4" s="24"/>
      <c r="B4" s="11" t="s">
        <v>39</v>
      </c>
      <c r="C4" s="25" t="s">
        <v>35</v>
      </c>
      <c r="D4" s="26" t="s">
        <v>36</v>
      </c>
      <c r="E4" s="25" t="s">
        <v>37</v>
      </c>
      <c r="F4" s="27">
        <v>1938.42</v>
      </c>
      <c r="G4" s="28">
        <v>139727</v>
      </c>
      <c r="H4" s="29">
        <v>182</v>
      </c>
      <c r="I4" s="16">
        <f t="shared" si="84"/>
      </c>
      <c r="J4" s="17">
        <f t="shared" si="57"/>
      </c>
      <c r="K4" s="13">
        <v>24</v>
      </c>
      <c r="L4" s="29">
        <v>29</v>
      </c>
      <c r="M4" s="16">
        <f t="shared" si="23"/>
      </c>
      <c r="N4" s="30">
        <f t="shared" si="120"/>
      </c>
      <c r="O4" s="29">
        <v>4</v>
      </c>
      <c r="P4" s="16">
        <f t="shared" si="93"/>
      </c>
      <c r="Q4" s="30">
        <f t="shared" si="66"/>
      </c>
      <c r="R4" s="29">
        <v>3</v>
      </c>
      <c r="S4" s="16">
        <f t="shared" si="39"/>
      </c>
      <c r="T4" s="30">
        <f t="shared" si="122"/>
      </c>
      <c r="U4" s="30">
        <f t="shared" si="68"/>
      </c>
      <c r="V4" s="27">
        <v>1735.2</v>
      </c>
      <c r="W4" s="30">
        <f t="shared" si="41"/>
      </c>
      <c r="X4" s="31">
        <v>6</v>
      </c>
      <c r="Y4" s="32">
        <v>0</v>
      </c>
      <c r="Z4" s="16">
        <f t="shared" si="0"/>
      </c>
      <c r="AA4" s="33">
        <v>0</v>
      </c>
      <c r="AB4" s="31">
        <v>3</v>
      </c>
      <c r="AC4" s="34">
        <v>1735.2</v>
      </c>
      <c r="AD4" s="30">
        <f t="shared" si="97"/>
      </c>
      <c r="AE4" s="35">
        <v>3</v>
      </c>
      <c r="AF4" s="23">
        <f t="shared" si="95"/>
      </c>
    </row>
    <row r="5">
      <c r="A5" s="24"/>
      <c r="B5" s="11" t="s">
        <v>40</v>
      </c>
      <c r="C5" s="11" t="s">
        <v>35</v>
      </c>
      <c r="D5" s="12" t="s">
        <v>36</v>
      </c>
      <c r="E5" s="11" t="s">
        <v>37</v>
      </c>
      <c r="F5" s="13">
        <v>799.01</v>
      </c>
      <c r="G5" s="15">
        <v>26195</v>
      </c>
      <c r="H5" s="15">
        <v>46</v>
      </c>
      <c r="I5" s="16">
        <f t="shared" si="84"/>
      </c>
      <c r="J5" s="17">
        <f t="shared" si="57"/>
      </c>
      <c r="K5" s="13">
        <v>7</v>
      </c>
      <c r="L5" s="15">
        <v>7</v>
      </c>
      <c r="M5" s="16">
        <f t="shared" si="23"/>
      </c>
      <c r="N5" s="17">
        <f t="shared" si="120"/>
      </c>
      <c r="O5" s="15">
        <v>1</v>
      </c>
      <c r="P5" s="16">
        <f t="shared" si="93"/>
      </c>
      <c r="Q5" s="17">
        <f t="shared" si="66"/>
      </c>
      <c r="R5" s="15">
        <v>0</v>
      </c>
      <c r="S5" s="16">
        <f t="shared" si="39"/>
      </c>
      <c r="T5" s="17">
        <f t="shared" si="122"/>
      </c>
      <c r="U5" s="17">
        <f t="shared" si="68"/>
      </c>
      <c r="V5" s="13">
        <v>0</v>
      </c>
      <c r="W5" s="17">
        <f t="shared" si="41"/>
      </c>
      <c r="X5" s="18">
        <v>1</v>
      </c>
      <c r="Y5" s="19">
        <v>0</v>
      </c>
      <c r="Z5" s="16">
        <f t="shared" si="0"/>
      </c>
      <c r="AA5" s="20">
        <v>0</v>
      </c>
      <c r="AB5" s="18">
        <v>0</v>
      </c>
      <c r="AC5" s="21">
        <v>0</v>
      </c>
      <c r="AD5" s="17">
        <f t="shared" si="97"/>
      </c>
      <c r="AE5" s="22">
        <v>0</v>
      </c>
      <c r="AF5" s="23">
        <f t="shared" si="95"/>
      </c>
    </row>
    <row r="6">
      <c r="A6" s="24"/>
      <c r="B6" s="36" t="s">
        <v>41</v>
      </c>
      <c r="C6" s="36"/>
      <c r="D6" s="36"/>
      <c r="E6" s="36"/>
      <c r="F6" s="37">
        <f>SUM(F2:F5)</f>
      </c>
      <c r="G6" s="36">
        <f>SUM(G2:G5)</f>
      </c>
      <c r="H6" s="36">
        <f>SUM(H2:H5)</f>
      </c>
      <c r="I6" s="38">
        <f t="shared" si="84"/>
      </c>
      <c r="J6" s="37">
        <f t="shared" si="57"/>
      </c>
      <c r="K6" s="36">
        <f>SUM(K2:K5)</f>
      </c>
      <c r="L6" s="36">
        <f>SUM(L2:L5)</f>
      </c>
      <c r="M6" s="38">
        <f t="shared" si="23"/>
      </c>
      <c r="N6" s="37">
        <f t="shared" si="120"/>
      </c>
      <c r="O6" s="36">
        <f>SUM(O2:O5)</f>
      </c>
      <c r="P6" s="38">
        <f t="shared" si="93"/>
      </c>
      <c r="Q6" s="37">
        <f t="shared" si="66"/>
      </c>
      <c r="R6" s="36">
        <f>SUM(R2:R5)</f>
      </c>
      <c r="S6" s="38">
        <f t="shared" si="39"/>
      </c>
      <c r="T6" s="37">
        <f t="shared" si="122"/>
      </c>
      <c r="U6" s="37">
        <f t="shared" si="68"/>
      </c>
      <c r="V6" s="37">
        <f>SUM(V2:V5)</f>
      </c>
      <c r="W6" s="37">
        <f t="shared" si="41"/>
      </c>
      <c r="X6" s="36">
        <f>SUM(X2:X5)</f>
      </c>
      <c r="Y6" s="36">
        <f>SUM(Y2:Y5)</f>
      </c>
      <c r="Z6" s="38">
        <f t="shared" si="0"/>
      </c>
      <c r="AA6" s="37">
        <f>SUM(AA2:AA5)</f>
      </c>
      <c r="AB6" s="36">
        <f>SUM(AB2:AB5)</f>
      </c>
      <c r="AC6" s="37">
        <f>SUM(AC2:AC5)</f>
      </c>
      <c r="AD6" s="37">
        <f t="shared" si="97"/>
      </c>
      <c r="AE6" s="36">
        <f>SUM(AE2:AE5)</f>
      </c>
      <c r="AF6" s="39">
        <f t="shared" si="95"/>
      </c>
    </row>
    <row r="7">
      <c r="A7" s="24"/>
      <c r="B7" s="40" t="s">
        <v>42</v>
      </c>
      <c r="C7" s="40"/>
      <c r="D7" s="40"/>
      <c r="E7" s="40"/>
      <c r="F7" s="37">
        <f>F6</f>
      </c>
      <c r="G7" s="36">
        <f>G6</f>
      </c>
      <c r="H7" s="36">
        <f>H6</f>
      </c>
      <c r="I7" s="38">
        <f t="shared" si="84"/>
      </c>
      <c r="J7" s="37">
        <f t="shared" si="57"/>
      </c>
      <c r="K7" s="36">
        <f>K6</f>
      </c>
      <c r="L7" s="36">
        <f>L6</f>
      </c>
      <c r="M7" s="38">
        <f t="shared" si="23"/>
      </c>
      <c r="N7" s="37">
        <f t="shared" si="120"/>
      </c>
      <c r="O7" s="36">
        <f>O6</f>
      </c>
      <c r="P7" s="38">
        <f t="shared" si="93"/>
      </c>
      <c r="Q7" s="37">
        <f t="shared" si="66"/>
      </c>
      <c r="R7" s="36">
        <f>R6</f>
      </c>
      <c r="S7" s="38">
        <f t="shared" si="39"/>
      </c>
      <c r="T7" s="37">
        <f t="shared" si="122"/>
      </c>
      <c r="U7" s="37">
        <f t="shared" si="68"/>
      </c>
      <c r="V7" s="37">
        <f>V6</f>
      </c>
      <c r="W7" s="37">
        <f t="shared" si="41"/>
      </c>
      <c r="X7" s="36">
        <f>X6</f>
      </c>
      <c r="Y7" s="36">
        <f>Y6</f>
      </c>
      <c r="Z7" s="38">
        <f t="shared" si="0"/>
      </c>
      <c r="AA7" s="37">
        <f>AA6</f>
      </c>
      <c r="AB7" s="36">
        <f>AB6</f>
      </c>
      <c r="AC7" s="37">
        <f>AC6</f>
      </c>
      <c r="AD7" s="37">
        <f t="shared" si="97"/>
      </c>
      <c r="AE7" s="36">
        <f>AE6</f>
      </c>
      <c r="AF7" s="39">
        <f t="shared" si="95"/>
      </c>
    </row>
    <row r="8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3" t="s">
        <v>6</v>
      </c>
      <c r="G8" s="4" t="s">
        <v>7</v>
      </c>
      <c r="H8" s="4" t="s">
        <v>8</v>
      </c>
      <c r="I8" s="5" t="s">
        <v>9</v>
      </c>
      <c r="J8" s="6" t="s">
        <v>10</v>
      </c>
      <c r="K8" s="7" t="s">
        <v>11</v>
      </c>
      <c r="L8" s="4" t="s">
        <v>12</v>
      </c>
      <c r="M8" s="8" t="s">
        <v>13</v>
      </c>
      <c r="N8" s="2" t="s">
        <v>14</v>
      </c>
      <c r="O8" s="4" t="s">
        <v>15</v>
      </c>
      <c r="P8" s="8" t="s">
        <v>16</v>
      </c>
      <c r="Q8" s="2" t="s">
        <v>17</v>
      </c>
      <c r="R8" s="4" t="s">
        <v>18</v>
      </c>
      <c r="S8" s="8" t="s">
        <v>19</v>
      </c>
      <c r="T8" s="2" t="s">
        <v>20</v>
      </c>
      <c r="U8" s="2" t="s">
        <v>21</v>
      </c>
      <c r="V8" s="3" t="s">
        <v>22</v>
      </c>
      <c r="W8" s="9" t="s">
        <v>23</v>
      </c>
      <c r="X8" s="4" t="s">
        <v>24</v>
      </c>
      <c r="Y8" s="4" t="s">
        <v>25</v>
      </c>
      <c r="Z8" s="2" t="s">
        <v>26</v>
      </c>
      <c r="AA8" s="3" t="s">
        <v>27</v>
      </c>
      <c r="AB8" s="4" t="s">
        <v>28</v>
      </c>
      <c r="AC8" s="3" t="s">
        <v>29</v>
      </c>
      <c r="AD8" s="9" t="s">
        <v>30</v>
      </c>
      <c r="AE8" s="4" t="s">
        <v>31</v>
      </c>
      <c r="AF8" s="4" t="s">
        <v>32</v>
      </c>
    </row>
    <row r="9">
      <c r="A9" s="10" t="s">
        <v>43</v>
      </c>
      <c r="B9" s="11" t="s">
        <v>34</v>
      </c>
      <c r="C9" s="11" t="s">
        <v>35</v>
      </c>
      <c r="D9" s="12" t="s">
        <v>36</v>
      </c>
      <c r="E9" s="11" t="s">
        <v>37</v>
      </c>
      <c r="F9" s="13">
        <v>247.58</v>
      </c>
      <c r="G9" s="14">
        <v>4206</v>
      </c>
      <c r="H9" s="15">
        <v>50</v>
      </c>
      <c r="I9" s="16">
        <f t="shared" ref="I9:I14" si="85">H9/G9</f>
      </c>
      <c r="J9" s="17">
        <f t="shared" ref="J9:J14" si="58">F9/H9</f>
      </c>
      <c r="K9" s="13">
        <v>6</v>
      </c>
      <c r="L9" s="15">
        <v>8</v>
      </c>
      <c r="M9" s="16">
        <f t="shared" ref="M9:M14" si="24">L9/H9</f>
      </c>
      <c r="N9" s="13">
        <f t="shared" ref="N9:N14" si="121">F9/L9</f>
      </c>
      <c r="O9" s="15">
        <v>1</v>
      </c>
      <c r="P9" s="16">
        <f t="shared" ref="P9:P14" si="94">O9/H9</f>
      </c>
      <c r="Q9" s="13">
        <f t="shared" ref="Q9:Q14" si="67">F9/O9</f>
      </c>
      <c r="R9" s="15">
        <v>0</v>
      </c>
      <c r="S9" s="16">
        <f t="shared" ref="S9:S14" si="40">R9/O9</f>
      </c>
      <c r="T9" s="13">
        <f t="shared" ref="T9:T14" si="123">F9/R9</f>
      </c>
      <c r="U9" s="13">
        <f t="shared" ref="U9:U14" si="69">AC9/AB9</f>
      </c>
      <c r="V9" s="13">
        <v>0</v>
      </c>
      <c r="W9" s="13">
        <f t="shared" ref="W9:W14" si="42">AC9/(F9+500*AG9:AF9)</f>
      </c>
      <c r="X9" s="18">
        <v>1</v>
      </c>
      <c r="Y9" s="19">
        <v>0</v>
      </c>
      <c r="Z9" s="16">
        <f t="shared" ref="Z9:Z14" si="1">Y9/AB9</f>
      </c>
      <c r="AA9" s="20">
        <v>0</v>
      </c>
      <c r="AB9" s="18">
        <v>0</v>
      </c>
      <c r="AC9" s="21">
        <v>0</v>
      </c>
      <c r="AD9" s="13">
        <f t="shared" ref="AD9:AD14" si="98">AC9/F9</f>
      </c>
      <c r="AE9" s="22">
        <v>1</v>
      </c>
      <c r="AF9" s="23">
        <f t="shared" ref="AF9:AF14" si="96">AE9/X9</f>
      </c>
    </row>
    <row r="10">
      <c r="A10" s="10"/>
      <c r="B10" s="11" t="s">
        <v>38</v>
      </c>
      <c r="C10" s="11" t="s">
        <v>35</v>
      </c>
      <c r="D10" s="12" t="s">
        <v>36</v>
      </c>
      <c r="E10" s="11" t="s">
        <v>37</v>
      </c>
      <c r="F10" s="13">
        <v>476.19</v>
      </c>
      <c r="G10" s="15">
        <v>5791</v>
      </c>
      <c r="H10" s="15">
        <v>52</v>
      </c>
      <c r="I10" s="16">
        <f t="shared" si="85"/>
      </c>
      <c r="J10" s="17">
        <f t="shared" si="58"/>
      </c>
      <c r="K10" s="13">
        <v>5</v>
      </c>
      <c r="L10" s="15">
        <v>14</v>
      </c>
      <c r="M10" s="16">
        <f t="shared" si="24"/>
      </c>
      <c r="N10" s="17">
        <f t="shared" si="121"/>
      </c>
      <c r="O10" s="15">
        <v>0</v>
      </c>
      <c r="P10" s="16">
        <f t="shared" si="94"/>
      </c>
      <c r="Q10" s="17">
        <f t="shared" si="67"/>
      </c>
      <c r="R10" s="15">
        <v>1</v>
      </c>
      <c r="S10" s="16">
        <f t="shared" si="40"/>
      </c>
      <c r="T10" s="17">
        <f t="shared" si="123"/>
      </c>
      <c r="U10" s="17">
        <f t="shared" si="69"/>
      </c>
      <c r="V10" s="13">
        <v>2071.2</v>
      </c>
      <c r="W10" s="17">
        <f t="shared" si="42"/>
      </c>
      <c r="X10" s="18">
        <v>4</v>
      </c>
      <c r="Y10" s="19">
        <v>0</v>
      </c>
      <c r="Z10" s="16">
        <f t="shared" si="1"/>
      </c>
      <c r="AA10" s="20">
        <v>0</v>
      </c>
      <c r="AB10" s="18">
        <v>1</v>
      </c>
      <c r="AC10" s="21">
        <v>2071.2</v>
      </c>
      <c r="AD10" s="17">
        <f t="shared" si="98"/>
      </c>
      <c r="AE10" s="22">
        <v>3</v>
      </c>
      <c r="AF10" s="23">
        <f t="shared" si="96"/>
      </c>
    </row>
    <row r="11">
      <c r="A11" s="10"/>
      <c r="B11" s="11" t="s">
        <v>39</v>
      </c>
      <c r="C11" s="25" t="s">
        <v>35</v>
      </c>
      <c r="D11" s="26" t="s">
        <v>36</v>
      </c>
      <c r="E11" s="25" t="s">
        <v>37</v>
      </c>
      <c r="F11" s="27">
        <v>378.07</v>
      </c>
      <c r="G11" s="28">
        <v>4628</v>
      </c>
      <c r="H11" s="29">
        <v>65</v>
      </c>
      <c r="I11" s="16">
        <f t="shared" si="85"/>
      </c>
      <c r="J11" s="17">
        <f t="shared" si="58"/>
      </c>
      <c r="K11" s="13">
        <v>7</v>
      </c>
      <c r="L11" s="29">
        <v>16</v>
      </c>
      <c r="M11" s="16">
        <f t="shared" si="24"/>
      </c>
      <c r="N11" s="30">
        <f t="shared" si="121"/>
      </c>
      <c r="O11" s="29">
        <v>0</v>
      </c>
      <c r="P11" s="16">
        <f t="shared" si="94"/>
      </c>
      <c r="Q11" s="30">
        <f t="shared" si="67"/>
      </c>
      <c r="R11" s="29">
        <v>0</v>
      </c>
      <c r="S11" s="16">
        <f t="shared" si="40"/>
      </c>
      <c r="T11" s="30">
        <f t="shared" si="123"/>
      </c>
      <c r="U11" s="30">
        <f t="shared" si="69"/>
      </c>
      <c r="V11" s="27">
        <v>0</v>
      </c>
      <c r="W11" s="30">
        <f t="shared" si="42"/>
      </c>
      <c r="X11" s="31">
        <v>1</v>
      </c>
      <c r="Y11" s="32">
        <v>1</v>
      </c>
      <c r="Z11" s="16">
        <f t="shared" si="1"/>
      </c>
      <c r="AA11" s="33">
        <v>1752</v>
      </c>
      <c r="AB11" s="31">
        <v>1</v>
      </c>
      <c r="AC11" s="34">
        <v>1752</v>
      </c>
      <c r="AD11" s="30">
        <f t="shared" si="98"/>
      </c>
      <c r="AE11" s="35">
        <v>1</v>
      </c>
      <c r="AF11" s="23">
        <f t="shared" si="96"/>
      </c>
    </row>
    <row r="12">
      <c r="A12" s="10"/>
      <c r="B12" s="11" t="s">
        <v>40</v>
      </c>
      <c r="C12" s="11" t="s">
        <v>35</v>
      </c>
      <c r="D12" s="12" t="s">
        <v>36</v>
      </c>
      <c r="E12" s="11" t="s">
        <v>37</v>
      </c>
      <c r="F12" s="13">
        <v>427</v>
      </c>
      <c r="G12" s="15">
        <v>8888</v>
      </c>
      <c r="H12" s="15">
        <v>72</v>
      </c>
      <c r="I12" s="16">
        <f t="shared" si="85"/>
      </c>
      <c r="J12" s="17">
        <f t="shared" si="58"/>
      </c>
      <c r="K12" s="13">
        <v>6</v>
      </c>
      <c r="L12" s="15">
        <v>10</v>
      </c>
      <c r="M12" s="16">
        <f t="shared" si="24"/>
      </c>
      <c r="N12" s="17">
        <f t="shared" si="121"/>
      </c>
      <c r="O12" s="15">
        <v>0</v>
      </c>
      <c r="P12" s="16">
        <f t="shared" si="94"/>
      </c>
      <c r="Q12" s="17">
        <f t="shared" si="67"/>
      </c>
      <c r="R12" s="15">
        <v>0</v>
      </c>
      <c r="S12" s="16">
        <f t="shared" si="40"/>
      </c>
      <c r="T12" s="17">
        <f t="shared" si="123"/>
      </c>
      <c r="U12" s="17">
        <f t="shared" si="69"/>
      </c>
      <c r="V12" s="13">
        <v>0</v>
      </c>
      <c r="W12" s="17">
        <f t="shared" si="42"/>
      </c>
      <c r="X12" s="18">
        <v>2</v>
      </c>
      <c r="Y12" s="19">
        <v>0</v>
      </c>
      <c r="Z12" s="16">
        <f t="shared" si="1"/>
      </c>
      <c r="AA12" s="20">
        <v>0</v>
      </c>
      <c r="AB12" s="18">
        <v>0</v>
      </c>
      <c r="AC12" s="21">
        <v>0</v>
      </c>
      <c r="AD12" s="17">
        <f t="shared" si="98"/>
      </c>
      <c r="AE12" s="22">
        <v>2</v>
      </c>
      <c r="AF12" s="23">
        <f t="shared" si="96"/>
      </c>
    </row>
    <row r="13">
      <c r="A13" s="10"/>
      <c r="B13" s="36" t="s">
        <v>41</v>
      </c>
      <c r="C13" s="36"/>
      <c r="D13" s="36"/>
      <c r="E13" s="36"/>
      <c r="F13" s="37">
        <f>SUM(F9:F12)</f>
      </c>
      <c r="G13" s="36">
        <f>SUM(G9:G12)</f>
      </c>
      <c r="H13" s="36">
        <f>SUM(H9:H12)</f>
      </c>
      <c r="I13" s="38">
        <f t="shared" si="85"/>
      </c>
      <c r="J13" s="37">
        <f t="shared" si="58"/>
      </c>
      <c r="K13" s="36">
        <f>SUM(K9:K12)</f>
      </c>
      <c r="L13" s="36">
        <f>SUM(L9:L12)</f>
      </c>
      <c r="M13" s="38">
        <f t="shared" si="24"/>
      </c>
      <c r="N13" s="37">
        <f t="shared" si="121"/>
      </c>
      <c r="O13" s="36">
        <f>SUM(O9:O12)</f>
      </c>
      <c r="P13" s="38">
        <f t="shared" si="94"/>
      </c>
      <c r="Q13" s="37">
        <f t="shared" si="67"/>
      </c>
      <c r="R13" s="36">
        <f>SUM(R9:R12)</f>
      </c>
      <c r="S13" s="38">
        <f t="shared" si="40"/>
      </c>
      <c r="T13" s="37">
        <f t="shared" si="123"/>
      </c>
      <c r="U13" s="37">
        <f t="shared" si="69"/>
      </c>
      <c r="V13" s="37">
        <f>SUM(V9:V12)</f>
      </c>
      <c r="W13" s="37">
        <f t="shared" si="42"/>
      </c>
      <c r="X13" s="36">
        <f>SUM(X9:X12)</f>
      </c>
      <c r="Y13" s="36">
        <f>SUM(Y9:Y12)</f>
      </c>
      <c r="Z13" s="38">
        <f t="shared" si="1"/>
      </c>
      <c r="AA13" s="37">
        <f>SUM(AA9:AA12)</f>
      </c>
      <c r="AB13" s="36">
        <f>SUM(AB9:AB12)</f>
      </c>
      <c r="AC13" s="37">
        <f>SUM(AC9:AC12)</f>
      </c>
      <c r="AD13" s="37">
        <f t="shared" si="98"/>
      </c>
      <c r="AE13" s="36">
        <f>SUM(AE9:AE12)</f>
      </c>
      <c r="AF13" s="39">
        <f t="shared" si="96"/>
      </c>
    </row>
    <row r="14">
      <c r="A14" s="10"/>
      <c r="B14" s="40" t="s">
        <v>42</v>
      </c>
      <c r="C14" s="40"/>
      <c r="D14" s="40"/>
      <c r="E14" s="40"/>
      <c r="F14" s="37">
        <f>F13</f>
      </c>
      <c r="G14" s="36">
        <f>G13</f>
      </c>
      <c r="H14" s="36">
        <f>H13</f>
      </c>
      <c r="I14" s="38">
        <f t="shared" si="85"/>
      </c>
      <c r="J14" s="37">
        <f t="shared" si="58"/>
      </c>
      <c r="K14" s="36">
        <f>K13</f>
      </c>
      <c r="L14" s="36">
        <f>L13</f>
      </c>
      <c r="M14" s="38">
        <f t="shared" si="24"/>
      </c>
      <c r="N14" s="37">
        <f t="shared" si="121"/>
      </c>
      <c r="O14" s="36">
        <f>O13</f>
      </c>
      <c r="P14" s="38">
        <f t="shared" si="94"/>
      </c>
      <c r="Q14" s="37">
        <f t="shared" si="67"/>
      </c>
      <c r="R14" s="36">
        <f>R13</f>
      </c>
      <c r="S14" s="38">
        <f t="shared" si="40"/>
      </c>
      <c r="T14" s="37">
        <f t="shared" si="123"/>
      </c>
      <c r="U14" s="37">
        <f t="shared" si="69"/>
      </c>
      <c r="V14" s="37">
        <f>V13</f>
      </c>
      <c r="W14" s="37">
        <f t="shared" si="42"/>
      </c>
      <c r="X14" s="36">
        <f>X13</f>
      </c>
      <c r="Y14" s="36">
        <f>Y13</f>
      </c>
      <c r="Z14" s="38">
        <f t="shared" si="1"/>
      </c>
      <c r="AA14" s="37">
        <f>AA13</f>
      </c>
      <c r="AB14" s="36">
        <f>AB13</f>
      </c>
      <c r="AC14" s="37">
        <f>AC13</f>
      </c>
      <c r="AD14" s="37">
        <f t="shared" si="98"/>
      </c>
      <c r="AE14" s="36">
        <f>AE13</f>
      </c>
      <c r="AF14" s="39">
        <f t="shared" si="96"/>
      </c>
    </row>
    <row r="15">
      <c r="A15" s="41" t="s">
        <v>1</v>
      </c>
      <c r="B15" s="42" t="s">
        <v>2</v>
      </c>
      <c r="C15" s="43" t="s">
        <v>3</v>
      </c>
      <c r="D15" s="43" t="s">
        <v>4</v>
      </c>
      <c r="E15" s="43" t="s">
        <v>5</v>
      </c>
      <c r="F15" s="44" t="s">
        <v>6</v>
      </c>
      <c r="G15" s="45" t="s">
        <v>7</v>
      </c>
      <c r="H15" s="46" t="s">
        <v>8</v>
      </c>
      <c r="I15" s="47" t="s">
        <v>9</v>
      </c>
      <c r="J15" s="43" t="s">
        <v>10</v>
      </c>
      <c r="K15" s="48" t="s">
        <v>12</v>
      </c>
      <c r="L15" s="49" t="s">
        <v>13</v>
      </c>
      <c r="M15" s="43" t="s">
        <v>14</v>
      </c>
      <c r="N15" s="48" t="s">
        <v>44</v>
      </c>
      <c r="O15" s="49" t="s">
        <v>16</v>
      </c>
      <c r="P15" s="43" t="s">
        <v>17</v>
      </c>
      <c r="Q15" s="48" t="s">
        <v>18</v>
      </c>
      <c r="R15" s="49" t="s">
        <v>19</v>
      </c>
      <c r="S15" s="43" t="s">
        <v>20</v>
      </c>
      <c r="T15" s="50" t="s">
        <v>22</v>
      </c>
      <c r="U15" s="43" t="s">
        <v>45</v>
      </c>
      <c r="V15" s="51" t="s">
        <v>46</v>
      </c>
      <c r="W15" s="50" t="s">
        <v>47</v>
      </c>
      <c r="X15" s="52" t="s">
        <v>48</v>
      </c>
      <c r="Y15" s="43" t="s">
        <v>49</v>
      </c>
      <c r="Z15" s="48" t="s">
        <v>50</v>
      </c>
      <c r="AA15" s="48" t="s">
        <v>51</v>
      </c>
      <c r="AB15" s="53" t="s">
        <v>52</v>
      </c>
      <c r="AC15" s="54"/>
      <c r="AD15" s="55" t="s">
        <v>53</v>
      </c>
      <c r="AE15" s="56" t="s">
        <v>54</v>
      </c>
    </row>
    <row r="16">
      <c r="A16" s="57" t="s">
        <v>55</v>
      </c>
      <c r="B16" s="11" t="s">
        <v>34</v>
      </c>
      <c r="C16" s="58" t="s">
        <v>35</v>
      </c>
      <c r="D16" s="59" t="s">
        <v>36</v>
      </c>
      <c r="E16" s="58" t="s">
        <v>37</v>
      </c>
      <c r="F16" s="60">
        <v>183.57</v>
      </c>
      <c r="G16" s="61">
        <v>2337</v>
      </c>
      <c r="H16" s="62">
        <v>32</v>
      </c>
      <c r="I16" s="63">
        <f t="shared" ref="I16:I20" si="86">H16/G16</f>
      </c>
      <c r="J16" s="64">
        <f t="shared" ref="J16:J20" si="59">F16/H16</f>
      </c>
      <c r="K16" s="65">
        <v>0</v>
      </c>
      <c r="L16" s="64">
        <f t="shared" ref="L16:L20" si="25">K16/H16</f>
      </c>
      <c r="M16" s="64">
        <f t="shared" ref="M16:M20" si="2">F16/K16</f>
      </c>
      <c r="N16" s="65">
        <v>0</v>
      </c>
      <c r="O16" s="64">
        <f t="shared" ref="O16:O20" si="99">N16/H16</f>
      </c>
      <c r="P16" s="64">
        <f t="shared" ref="P16:P20" si="70">F16/N16</f>
      </c>
      <c r="Q16" s="65">
        <f t="shared" ref="Q16:Q20" si="43">AD16-V16</f>
      </c>
      <c r="R16" s="66">
        <f t="shared" ref="R16:R20" si="32">Q16/N16</f>
      </c>
      <c r="S16" s="64">
        <f t="shared" ref="S16:S20" si="9">F16/Q16</f>
      </c>
      <c r="T16" s="64">
        <f t="shared" ref="T16:T19" si="106">AE16-W16</f>
      </c>
      <c r="U16" s="64">
        <f t="shared" ref="U16:U20" si="77">T16/F16</f>
      </c>
      <c r="V16" s="57">
        <v>0</v>
      </c>
      <c r="W16" s="60">
        <v>0</v>
      </c>
      <c r="X16" s="60">
        <f t="shared" ref="X16:X20" si="50">AE16/AD16</f>
      </c>
      <c r="Y16" s="64">
        <f t="shared" ref="Y16:Y20" si="16">(T16+W16)/F16</f>
      </c>
      <c r="Z16" s="57">
        <v>0</v>
      </c>
      <c r="AA16" s="57">
        <v>0</v>
      </c>
      <c r="AB16" s="63">
        <f t="shared" ref="AB16:AB19" si="113">Z16/AA16</f>
      </c>
      <c r="AC16" s="54"/>
      <c r="AD16" s="67">
        <v>0</v>
      </c>
      <c r="AE16" s="68">
        <v>0</v>
      </c>
    </row>
    <row r="17">
      <c r="A17" s="57"/>
      <c r="B17" s="11" t="s">
        <v>38</v>
      </c>
      <c r="C17" s="58" t="s">
        <v>35</v>
      </c>
      <c r="D17" s="59" t="s">
        <v>36</v>
      </c>
      <c r="E17" s="58" t="s">
        <v>37</v>
      </c>
      <c r="F17" s="60">
        <v>216.04</v>
      </c>
      <c r="G17" s="61">
        <v>3511</v>
      </c>
      <c r="H17" s="62">
        <v>31</v>
      </c>
      <c r="I17" s="63">
        <f t="shared" si="86"/>
      </c>
      <c r="J17" s="64">
        <f t="shared" si="59"/>
      </c>
      <c r="K17" s="65">
        <v>3</v>
      </c>
      <c r="L17" s="64">
        <f t="shared" si="25"/>
      </c>
      <c r="M17" s="64">
        <f t="shared" si="2"/>
      </c>
      <c r="N17" s="65">
        <v>0</v>
      </c>
      <c r="O17" s="64">
        <f t="shared" si="99"/>
      </c>
      <c r="P17" s="64">
        <f t="shared" si="70"/>
      </c>
      <c r="Q17" s="65">
        <f t="shared" si="43"/>
      </c>
      <c r="R17" s="66">
        <f t="shared" si="32"/>
      </c>
      <c r="S17" s="64">
        <f t="shared" si="9"/>
      </c>
      <c r="T17" s="64">
        <f t="shared" si="106"/>
      </c>
      <c r="U17" s="64">
        <f t="shared" si="77"/>
      </c>
      <c r="V17" s="57">
        <v>0</v>
      </c>
      <c r="W17" s="60">
        <v>0</v>
      </c>
      <c r="X17" s="60">
        <f t="shared" si="50"/>
      </c>
      <c r="Y17" s="64">
        <f t="shared" si="16"/>
      </c>
      <c r="Z17" s="57">
        <v>1</v>
      </c>
      <c r="AA17" s="57">
        <v>2</v>
      </c>
      <c r="AB17" s="63">
        <f t="shared" si="113"/>
      </c>
      <c r="AC17" s="54"/>
      <c r="AD17" s="67">
        <v>0</v>
      </c>
      <c r="AE17" s="68">
        <v>0</v>
      </c>
    </row>
    <row r="18">
      <c r="A18" s="57"/>
      <c r="B18" s="11" t="s">
        <v>39</v>
      </c>
      <c r="C18" s="69" t="s">
        <v>35</v>
      </c>
      <c r="D18" s="70" t="s">
        <v>36</v>
      </c>
      <c r="E18" s="69" t="s">
        <v>37</v>
      </c>
      <c r="F18" s="60">
        <v>208.83</v>
      </c>
      <c r="G18" s="61">
        <v>3451</v>
      </c>
      <c r="H18" s="62">
        <v>35</v>
      </c>
      <c r="I18" s="63">
        <f t="shared" si="86"/>
      </c>
      <c r="J18" s="64">
        <f t="shared" si="59"/>
      </c>
      <c r="K18" s="65">
        <v>6</v>
      </c>
      <c r="L18" s="64">
        <f t="shared" si="25"/>
      </c>
      <c r="M18" s="64">
        <f t="shared" si="2"/>
      </c>
      <c r="N18" s="65">
        <v>0</v>
      </c>
      <c r="O18" s="64">
        <f t="shared" si="99"/>
      </c>
      <c r="P18" s="64">
        <f t="shared" si="70"/>
      </c>
      <c r="Q18" s="65">
        <f t="shared" si="43"/>
      </c>
      <c r="R18" s="66">
        <f t="shared" si="32"/>
      </c>
      <c r="S18" s="64">
        <f t="shared" si="9"/>
      </c>
      <c r="T18" s="64">
        <f t="shared" si="106"/>
      </c>
      <c r="U18" s="64">
        <f t="shared" si="77"/>
      </c>
      <c r="V18" s="57">
        <v>0</v>
      </c>
      <c r="W18" s="60">
        <v>0</v>
      </c>
      <c r="X18" s="60">
        <f t="shared" si="50"/>
      </c>
      <c r="Y18" s="64">
        <f t="shared" si="16"/>
      </c>
      <c r="Z18" s="57">
        <v>0</v>
      </c>
      <c r="AA18" s="57">
        <v>3</v>
      </c>
      <c r="AB18" s="63">
        <f t="shared" si="113"/>
      </c>
      <c r="AC18" s="54"/>
      <c r="AD18" s="67">
        <v>0</v>
      </c>
      <c r="AE18" s="68">
        <v>0</v>
      </c>
    </row>
    <row r="19">
      <c r="A19" s="57"/>
      <c r="B19" s="11" t="s">
        <v>40</v>
      </c>
      <c r="C19" s="58" t="s">
        <v>35</v>
      </c>
      <c r="D19" s="59" t="s">
        <v>36</v>
      </c>
      <c r="E19" s="58" t="s">
        <v>37</v>
      </c>
      <c r="F19" s="60">
        <v>270.29</v>
      </c>
      <c r="G19" s="61">
        <v>5020</v>
      </c>
      <c r="H19" s="62">
        <v>51</v>
      </c>
      <c r="I19" s="63">
        <f t="shared" si="86"/>
      </c>
      <c r="J19" s="64">
        <f t="shared" si="59"/>
      </c>
      <c r="K19" s="65">
        <v>11</v>
      </c>
      <c r="L19" s="64">
        <f t="shared" si="25"/>
      </c>
      <c r="M19" s="64">
        <f t="shared" si="2"/>
      </c>
      <c r="N19" s="65">
        <v>3</v>
      </c>
      <c r="O19" s="64">
        <f t="shared" si="99"/>
      </c>
      <c r="P19" s="64">
        <f t="shared" si="70"/>
      </c>
      <c r="Q19" s="65">
        <f t="shared" si="43"/>
      </c>
      <c r="R19" s="66">
        <f t="shared" si="32"/>
      </c>
      <c r="S19" s="64">
        <f t="shared" si="9"/>
      </c>
      <c r="T19" s="64">
        <f t="shared" si="106"/>
      </c>
      <c r="U19" s="64">
        <f t="shared" si="77"/>
      </c>
      <c r="V19" s="57">
        <v>0</v>
      </c>
      <c r="W19" s="60">
        <v>0</v>
      </c>
      <c r="X19" s="60">
        <f t="shared" si="50"/>
      </c>
      <c r="Y19" s="64">
        <f t="shared" si="16"/>
      </c>
      <c r="Z19" s="57">
        <v>3</v>
      </c>
      <c r="AA19" s="57">
        <v>7</v>
      </c>
      <c r="AB19" s="63">
        <f t="shared" si="113"/>
      </c>
      <c r="AC19" s="54"/>
      <c r="AD19" s="67">
        <v>2</v>
      </c>
      <c r="AE19" s="68">
        <v>5623.2</v>
      </c>
    </row>
    <row r="20">
      <c r="A20" s="71" t="s">
        <v>41</v>
      </c>
      <c r="B20" s="71"/>
      <c r="C20" s="72"/>
      <c r="D20" s="72"/>
      <c r="E20" s="72"/>
      <c r="F20" s="73">
        <f>SUM(F16:F19)</f>
      </c>
      <c r="G20" s="74">
        <f>SUM(G16:G19)</f>
      </c>
      <c r="H20" s="74">
        <f>SUM(H16:H19)</f>
      </c>
      <c r="I20" s="75">
        <f t="shared" si="86"/>
      </c>
      <c r="J20" s="76">
        <f t="shared" si="59"/>
      </c>
      <c r="K20" s="71">
        <f>SUM(K16:K19)</f>
      </c>
      <c r="L20" s="76">
        <f t="shared" si="25"/>
      </c>
      <c r="M20" s="76">
        <f t="shared" si="2"/>
      </c>
      <c r="N20" s="71">
        <f>SUM(N16:N19)</f>
      </c>
      <c r="O20" s="76">
        <f t="shared" si="99"/>
      </c>
      <c r="P20" s="76">
        <f t="shared" si="70"/>
      </c>
      <c r="Q20" s="71">
        <f t="shared" si="43"/>
      </c>
      <c r="R20" s="75">
        <f t="shared" si="32"/>
      </c>
      <c r="S20" s="76">
        <f t="shared" si="9"/>
      </c>
      <c r="T20" s="76">
        <f>SUM(T16:T19)</f>
      </c>
      <c r="U20" s="76">
        <f t="shared" si="77"/>
      </c>
      <c r="V20" s="71">
        <f>SUM(V16:V19)</f>
      </c>
      <c r="W20" s="76">
        <f>SUM(W16:W19)</f>
      </c>
      <c r="X20" s="76">
        <f t="shared" si="50"/>
      </c>
      <c r="Y20" s="76">
        <f t="shared" si="16"/>
      </c>
      <c r="Z20" s="71">
        <f>SUM(Z16:Z19)</f>
      </c>
      <c r="AA20" s="71">
        <f>SUM(AA16:AA19)</f>
      </c>
      <c r="AB20" s="75">
        <v>0.3684210526315789</v>
      </c>
      <c r="AC20" s="54"/>
      <c r="AD20" s="77">
        <f>SUM(AD16:AD19)</f>
      </c>
      <c r="AE20" s="78">
        <f>SUM(AE16:AE19)</f>
      </c>
    </row>
    <row r="21">
      <c r="A21" s="41" t="s">
        <v>1</v>
      </c>
      <c r="B21" s="42" t="s">
        <v>2</v>
      </c>
      <c r="C21" s="43" t="s">
        <v>3</v>
      </c>
      <c r="D21" s="43" t="s">
        <v>4</v>
      </c>
      <c r="E21" s="43" t="s">
        <v>5</v>
      </c>
      <c r="F21" s="44" t="s">
        <v>6</v>
      </c>
      <c r="G21" s="45" t="s">
        <v>7</v>
      </c>
      <c r="H21" s="46" t="s">
        <v>8</v>
      </c>
      <c r="I21" s="47" t="s">
        <v>9</v>
      </c>
      <c r="J21" s="43" t="s">
        <v>10</v>
      </c>
      <c r="K21" s="48" t="s">
        <v>12</v>
      </c>
      <c r="L21" s="49" t="s">
        <v>13</v>
      </c>
      <c r="M21" s="43" t="s">
        <v>14</v>
      </c>
      <c r="N21" s="48" t="s">
        <v>44</v>
      </c>
      <c r="O21" s="49" t="s">
        <v>16</v>
      </c>
      <c r="P21" s="43" t="s">
        <v>17</v>
      </c>
      <c r="Q21" s="48" t="s">
        <v>18</v>
      </c>
      <c r="R21" s="49" t="s">
        <v>19</v>
      </c>
      <c r="S21" s="43" t="s">
        <v>20</v>
      </c>
      <c r="T21" s="50" t="s">
        <v>22</v>
      </c>
      <c r="U21" s="43" t="s">
        <v>45</v>
      </c>
      <c r="V21" s="51" t="s">
        <v>46</v>
      </c>
      <c r="W21" s="50" t="s">
        <v>47</v>
      </c>
      <c r="X21" s="52" t="s">
        <v>48</v>
      </c>
      <c r="Y21" s="43" t="s">
        <v>49</v>
      </c>
      <c r="Z21" s="48" t="s">
        <v>50</v>
      </c>
      <c r="AA21" s="48" t="s">
        <v>51</v>
      </c>
      <c r="AB21" s="53" t="s">
        <v>52</v>
      </c>
      <c r="AC21" s="54"/>
      <c r="AD21" s="55" t="s">
        <v>53</v>
      </c>
      <c r="AE21" s="56" t="s">
        <v>54</v>
      </c>
    </row>
    <row r="22">
      <c r="A22" s="57" t="s">
        <v>56</v>
      </c>
      <c r="B22" s="11" t="s">
        <v>34</v>
      </c>
      <c r="C22" s="58" t="s">
        <v>35</v>
      </c>
      <c r="D22" s="59" t="s">
        <v>36</v>
      </c>
      <c r="E22" s="58" t="s">
        <v>37</v>
      </c>
      <c r="F22" s="60">
        <v>393.15</v>
      </c>
      <c r="G22" s="61">
        <v>5398</v>
      </c>
      <c r="H22" s="62">
        <v>64</v>
      </c>
      <c r="I22" s="63">
        <f t="shared" ref="I22:I26" si="87">H22/G22</f>
      </c>
      <c r="J22" s="64">
        <f t="shared" ref="J22:J26" si="60">F22/H22</f>
      </c>
      <c r="K22" s="65">
        <v>14</v>
      </c>
      <c r="L22" s="64">
        <f t="shared" ref="L22:L26" si="26">K22/H22</f>
      </c>
      <c r="M22" s="64">
        <f t="shared" ref="M22:M26" si="3">F22/K22</f>
      </c>
      <c r="N22" s="65">
        <v>2</v>
      </c>
      <c r="O22" s="64">
        <f t="shared" ref="O22:O26" si="100">N22/H22</f>
      </c>
      <c r="P22" s="64">
        <f t="shared" ref="P22:P26" si="71">F22/N22</f>
      </c>
      <c r="Q22" s="65">
        <f t="shared" ref="Q22:Q26" si="44">AD22-V22</f>
      </c>
      <c r="R22" s="66">
        <f t="shared" ref="R22:R26" si="33">Q22/N22</f>
      </c>
      <c r="S22" s="64">
        <f t="shared" ref="S22:S26" si="10">F22/Q22</f>
      </c>
      <c r="T22" s="64">
        <f t="shared" ref="T22:T25" si="107">AE22-W22</f>
      </c>
      <c r="U22" s="64">
        <f t="shared" ref="U22:U26" si="78">T22/F22</f>
      </c>
      <c r="V22" s="65">
        <v>1</v>
      </c>
      <c r="W22" s="60">
        <v>2071.2</v>
      </c>
      <c r="X22" s="60">
        <f t="shared" ref="X22:X26" si="51">AE22/AD22</f>
      </c>
      <c r="Y22" s="64">
        <f t="shared" ref="Y22:Y26" si="17">(T22+W22)/F22</f>
      </c>
      <c r="Z22" s="57">
        <v>4</v>
      </c>
      <c r="AA22" s="57">
        <v>10</v>
      </c>
      <c r="AB22" s="63">
        <f t="shared" ref="AB22:AB26" si="114">Z22/AA22</f>
      </c>
      <c r="AC22" s="54"/>
      <c r="AD22" s="67">
        <v>1</v>
      </c>
      <c r="AE22" s="68">
        <v>2071.2</v>
      </c>
    </row>
    <row r="23">
      <c r="A23" s="57"/>
      <c r="B23" s="11" t="s">
        <v>38</v>
      </c>
      <c r="C23" s="58" t="s">
        <v>35</v>
      </c>
      <c r="D23" s="59" t="s">
        <v>36</v>
      </c>
      <c r="E23" s="58" t="s">
        <v>37</v>
      </c>
      <c r="F23" s="60">
        <v>591.48</v>
      </c>
      <c r="G23" s="61">
        <v>7266</v>
      </c>
      <c r="H23" s="62">
        <v>67</v>
      </c>
      <c r="I23" s="63">
        <f t="shared" si="87"/>
      </c>
      <c r="J23" s="64">
        <f t="shared" si="60"/>
      </c>
      <c r="K23" s="65">
        <v>11</v>
      </c>
      <c r="L23" s="64">
        <f t="shared" si="26"/>
      </c>
      <c r="M23" s="64">
        <f t="shared" si="3"/>
      </c>
      <c r="N23" s="65">
        <v>2</v>
      </c>
      <c r="O23" s="64">
        <f t="shared" si="100"/>
      </c>
      <c r="P23" s="64">
        <f t="shared" si="71"/>
      </c>
      <c r="Q23" s="65">
        <f t="shared" si="44"/>
      </c>
      <c r="R23" s="66">
        <f t="shared" si="33"/>
      </c>
      <c r="S23" s="64">
        <f t="shared" si="10"/>
      </c>
      <c r="T23" s="64">
        <f t="shared" si="107"/>
      </c>
      <c r="U23" s="64">
        <f t="shared" si="78"/>
      </c>
      <c r="V23" s="57">
        <v>0</v>
      </c>
      <c r="W23" s="60">
        <v>0</v>
      </c>
      <c r="X23" s="60">
        <f t="shared" si="51"/>
      </c>
      <c r="Y23" s="64">
        <f t="shared" si="17"/>
      </c>
      <c r="Z23" s="57">
        <v>3</v>
      </c>
      <c r="AA23" s="57">
        <v>9</v>
      </c>
      <c r="AB23" s="63">
        <f t="shared" si="114"/>
      </c>
      <c r="AC23" s="54"/>
      <c r="AD23" s="67">
        <v>0</v>
      </c>
      <c r="AE23" s="68">
        <v>0</v>
      </c>
    </row>
    <row r="24">
      <c r="A24" s="57"/>
      <c r="B24" s="11" t="s">
        <v>39</v>
      </c>
      <c r="C24" s="69" t="s">
        <v>35</v>
      </c>
      <c r="D24" s="70" t="s">
        <v>36</v>
      </c>
      <c r="E24" s="69" t="s">
        <v>37</v>
      </c>
      <c r="F24" s="60">
        <v>512.7</v>
      </c>
      <c r="G24" s="61">
        <v>5855</v>
      </c>
      <c r="H24" s="62">
        <v>66</v>
      </c>
      <c r="I24" s="63">
        <f t="shared" si="87"/>
      </c>
      <c r="J24" s="64">
        <f t="shared" si="60"/>
      </c>
      <c r="K24" s="65">
        <v>13</v>
      </c>
      <c r="L24" s="64">
        <f t="shared" si="26"/>
      </c>
      <c r="M24" s="64">
        <f t="shared" si="3"/>
      </c>
      <c r="N24" s="65">
        <v>1</v>
      </c>
      <c r="O24" s="64">
        <f t="shared" si="100"/>
      </c>
      <c r="P24" s="64">
        <f t="shared" si="71"/>
      </c>
      <c r="Q24" s="65">
        <f t="shared" si="44"/>
      </c>
      <c r="R24" s="66">
        <f t="shared" si="33"/>
      </c>
      <c r="S24" s="64">
        <f t="shared" si="10"/>
      </c>
      <c r="T24" s="64">
        <f t="shared" si="107"/>
      </c>
      <c r="U24" s="64">
        <f t="shared" si="78"/>
      </c>
      <c r="V24" s="57">
        <v>1</v>
      </c>
      <c r="W24" s="60">
        <v>600</v>
      </c>
      <c r="X24" s="60">
        <f t="shared" si="51"/>
      </c>
      <c r="Y24" s="64">
        <f t="shared" si="17"/>
      </c>
      <c r="Z24" s="57">
        <v>3</v>
      </c>
      <c r="AA24" s="57">
        <v>13</v>
      </c>
      <c r="AB24" s="63">
        <f t="shared" si="114"/>
      </c>
      <c r="AC24" s="54"/>
      <c r="AD24" s="67">
        <v>1</v>
      </c>
      <c r="AE24" s="68">
        <v>600</v>
      </c>
    </row>
    <row r="25">
      <c r="A25" s="57"/>
      <c r="B25" s="11" t="s">
        <v>40</v>
      </c>
      <c r="C25" s="58" t="s">
        <v>35</v>
      </c>
      <c r="D25" s="59" t="s">
        <v>36</v>
      </c>
      <c r="E25" s="58" t="s">
        <v>37</v>
      </c>
      <c r="F25" s="60">
        <v>343.35</v>
      </c>
      <c r="G25" s="61">
        <v>8837</v>
      </c>
      <c r="H25" s="62">
        <v>61</v>
      </c>
      <c r="I25" s="63">
        <f t="shared" si="87"/>
      </c>
      <c r="J25" s="64">
        <f t="shared" si="60"/>
      </c>
      <c r="K25" s="65">
        <v>13</v>
      </c>
      <c r="L25" s="64">
        <f t="shared" si="26"/>
      </c>
      <c r="M25" s="64">
        <f t="shared" si="3"/>
      </c>
      <c r="N25" s="65">
        <v>0</v>
      </c>
      <c r="O25" s="64">
        <f t="shared" si="100"/>
      </c>
      <c r="P25" s="64">
        <f t="shared" si="71"/>
      </c>
      <c r="Q25" s="65">
        <f t="shared" si="44"/>
      </c>
      <c r="R25" s="66">
        <f t="shared" si="33"/>
      </c>
      <c r="S25" s="64">
        <f t="shared" si="10"/>
      </c>
      <c r="T25" s="64">
        <f t="shared" si="107"/>
      </c>
      <c r="U25" s="64">
        <f t="shared" si="78"/>
      </c>
      <c r="V25" s="57">
        <v>0</v>
      </c>
      <c r="W25" s="60">
        <v>0</v>
      </c>
      <c r="X25" s="60">
        <f t="shared" si="51"/>
      </c>
      <c r="Y25" s="64">
        <f t="shared" si="17"/>
      </c>
      <c r="Z25" s="57">
        <v>1</v>
      </c>
      <c r="AA25" s="57">
        <v>9</v>
      </c>
      <c r="AB25" s="63">
        <f t="shared" si="114"/>
      </c>
      <c r="AC25" s="54"/>
      <c r="AD25" s="67">
        <v>0</v>
      </c>
      <c r="AE25" s="68">
        <v>0</v>
      </c>
    </row>
    <row r="26">
      <c r="A26" s="71" t="s">
        <v>41</v>
      </c>
      <c r="B26" s="71"/>
      <c r="C26" s="71"/>
      <c r="D26" s="71"/>
      <c r="E26" s="71"/>
      <c r="F26" s="73">
        <f>SUM(F22:F25)</f>
      </c>
      <c r="G26" s="74">
        <f>SUM(G22:G25)</f>
      </c>
      <c r="H26" s="74">
        <f>SUM(H22:H25)</f>
      </c>
      <c r="I26" s="75">
        <f t="shared" si="87"/>
      </c>
      <c r="J26" s="76">
        <f t="shared" si="60"/>
      </c>
      <c r="K26" s="71">
        <f>SUM(K22:K25)</f>
      </c>
      <c r="L26" s="76">
        <f t="shared" si="26"/>
      </c>
      <c r="M26" s="76">
        <f t="shared" si="3"/>
      </c>
      <c r="N26" s="71">
        <f>SUM(N22:N25)</f>
      </c>
      <c r="O26" s="76">
        <f t="shared" si="100"/>
      </c>
      <c r="P26" s="76">
        <f t="shared" si="71"/>
      </c>
      <c r="Q26" s="71">
        <f t="shared" si="44"/>
      </c>
      <c r="R26" s="75">
        <f t="shared" si="33"/>
      </c>
      <c r="S26" s="76">
        <f t="shared" si="10"/>
      </c>
      <c r="T26" s="76">
        <f>SUM(T22:T25)</f>
      </c>
      <c r="U26" s="76">
        <f t="shared" si="78"/>
      </c>
      <c r="V26" s="71">
        <f>SUM(V22:V25)</f>
      </c>
      <c r="W26" s="76">
        <f>SUM(W22:W25)</f>
      </c>
      <c r="X26" s="76">
        <f t="shared" si="51"/>
      </c>
      <c r="Y26" s="76">
        <f t="shared" si="17"/>
      </c>
      <c r="Z26" s="71">
        <f>SUM(Z22:Z25)</f>
      </c>
      <c r="AA26" s="71">
        <f>SUM(AA22:AA25)</f>
      </c>
      <c r="AB26" s="75">
        <f t="shared" si="114"/>
      </c>
      <c r="AC26" s="54"/>
      <c r="AD26" s="77">
        <f>SUM(AD22:AD25)</f>
      </c>
      <c r="AE26" s="78">
        <f>SUM(AE22:AE25)</f>
      </c>
    </row>
    <row r="27">
      <c r="A27" s="41" t="s">
        <v>1</v>
      </c>
      <c r="B27" s="79" t="s">
        <v>2</v>
      </c>
      <c r="C27" s="43" t="s">
        <v>3</v>
      </c>
      <c r="D27" s="43" t="s">
        <v>4</v>
      </c>
      <c r="E27" s="43" t="s">
        <v>5</v>
      </c>
      <c r="F27" s="44" t="s">
        <v>6</v>
      </c>
      <c r="G27" s="45" t="s">
        <v>7</v>
      </c>
      <c r="H27" s="46" t="s">
        <v>8</v>
      </c>
      <c r="I27" s="47" t="s">
        <v>9</v>
      </c>
      <c r="J27" s="43" t="s">
        <v>10</v>
      </c>
      <c r="K27" s="48" t="s">
        <v>12</v>
      </c>
      <c r="L27" s="49" t="s">
        <v>13</v>
      </c>
      <c r="M27" s="43" t="s">
        <v>14</v>
      </c>
      <c r="N27" s="48" t="s">
        <v>44</v>
      </c>
      <c r="O27" s="49" t="s">
        <v>16</v>
      </c>
      <c r="P27" s="43" t="s">
        <v>17</v>
      </c>
      <c r="Q27" s="48" t="s">
        <v>18</v>
      </c>
      <c r="R27" s="49" t="s">
        <v>19</v>
      </c>
      <c r="S27" s="43" t="s">
        <v>20</v>
      </c>
      <c r="T27" s="50" t="s">
        <v>22</v>
      </c>
      <c r="U27" s="43" t="s">
        <v>45</v>
      </c>
      <c r="V27" s="51" t="s">
        <v>46</v>
      </c>
      <c r="W27" s="50" t="s">
        <v>47</v>
      </c>
      <c r="X27" s="52" t="s">
        <v>48</v>
      </c>
      <c r="Y27" s="43" t="s">
        <v>49</v>
      </c>
      <c r="Z27" s="48" t="s">
        <v>50</v>
      </c>
      <c r="AA27" s="48" t="s">
        <v>51</v>
      </c>
      <c r="AB27" s="53" t="s">
        <v>52</v>
      </c>
      <c r="AC27" s="54"/>
      <c r="AD27" s="55" t="s">
        <v>53</v>
      </c>
      <c r="AE27" s="56" t="s">
        <v>54</v>
      </c>
    </row>
    <row r="28">
      <c r="A28" s="80" t="s">
        <v>57</v>
      </c>
      <c r="B28" s="58" t="s">
        <v>34</v>
      </c>
      <c r="C28" s="81" t="s">
        <v>35</v>
      </c>
      <c r="D28" s="59" t="s">
        <v>36</v>
      </c>
      <c r="E28" s="58" t="s">
        <v>37</v>
      </c>
      <c r="F28" s="60">
        <v>170.08</v>
      </c>
      <c r="G28" s="61">
        <v>2958</v>
      </c>
      <c r="H28" s="62">
        <v>31</v>
      </c>
      <c r="I28" s="63">
        <f t="shared" ref="I28:I32" si="88">H28/G28</f>
      </c>
      <c r="J28" s="64">
        <f t="shared" ref="J28:J32" si="61">F28/H28</f>
      </c>
      <c r="K28" s="65">
        <v>5</v>
      </c>
      <c r="L28" s="64">
        <f t="shared" ref="L28:L32" si="27">K28/H28</f>
      </c>
      <c r="M28" s="64">
        <f t="shared" ref="M28:M32" si="4">F28/K28</f>
      </c>
      <c r="N28" s="65">
        <v>2</v>
      </c>
      <c r="O28" s="64">
        <f t="shared" ref="O28:O32" si="101">N28/H28</f>
      </c>
      <c r="P28" s="64">
        <f t="shared" ref="P28:P32" si="72">F28/N28</f>
      </c>
      <c r="Q28" s="65">
        <f t="shared" ref="Q28:Q32" si="45">AD28-V28</f>
      </c>
      <c r="R28" s="66">
        <f t="shared" ref="R28:R32" si="34">Q28/N28</f>
      </c>
      <c r="S28" s="64">
        <f t="shared" ref="S28:S32" si="11">F28/Q28</f>
      </c>
      <c r="T28" s="64">
        <f t="shared" ref="T28:T31" si="108">AE28-W28</f>
      </c>
      <c r="U28" s="64">
        <f t="shared" ref="U28:U32" si="79">T28/F28</f>
      </c>
      <c r="V28" s="65">
        <v>0</v>
      </c>
      <c r="W28" s="60">
        <v>0</v>
      </c>
      <c r="X28" s="60">
        <f t="shared" ref="X28:X32" si="52">AE28/AD28</f>
      </c>
      <c r="Y28" s="64">
        <f t="shared" ref="Y28:Y32" si="18">(T28+W28)/F28</f>
      </c>
      <c r="Z28" s="57">
        <v>1</v>
      </c>
      <c r="AA28" s="57">
        <v>4</v>
      </c>
      <c r="AB28" s="63">
        <f t="shared" ref="AB28:AB32" si="115">Z28/AA28</f>
      </c>
      <c r="AC28" s="54"/>
      <c r="AD28" s="67">
        <v>0</v>
      </c>
      <c r="AE28" s="68">
        <v>0</v>
      </c>
    </row>
    <row r="29">
      <c r="A29" s="80"/>
      <c r="B29" s="58" t="s">
        <v>38</v>
      </c>
      <c r="C29" s="81" t="s">
        <v>35</v>
      </c>
      <c r="D29" s="59" t="s">
        <v>36</v>
      </c>
      <c r="E29" s="58" t="s">
        <v>37</v>
      </c>
      <c r="F29" s="60">
        <v>221.76</v>
      </c>
      <c r="G29" s="61">
        <v>3235</v>
      </c>
      <c r="H29" s="62">
        <v>58</v>
      </c>
      <c r="I29" s="63">
        <f t="shared" si="88"/>
      </c>
      <c r="J29" s="64">
        <f t="shared" si="61"/>
      </c>
      <c r="K29" s="65">
        <v>20</v>
      </c>
      <c r="L29" s="64">
        <f t="shared" si="27"/>
      </c>
      <c r="M29" s="64">
        <f t="shared" si="4"/>
      </c>
      <c r="N29" s="65">
        <v>1</v>
      </c>
      <c r="O29" s="64">
        <f t="shared" si="101"/>
      </c>
      <c r="P29" s="64">
        <f t="shared" si="72"/>
      </c>
      <c r="Q29" s="65">
        <f t="shared" si="45"/>
      </c>
      <c r="R29" s="66">
        <f t="shared" si="34"/>
      </c>
      <c r="S29" s="64">
        <f t="shared" si="11"/>
      </c>
      <c r="T29" s="64">
        <f t="shared" si="108"/>
      </c>
      <c r="U29" s="64">
        <f t="shared" si="79"/>
      </c>
      <c r="V29" s="57">
        <v>0</v>
      </c>
      <c r="W29" s="60">
        <v>0</v>
      </c>
      <c r="X29" s="60">
        <f t="shared" si="52"/>
      </c>
      <c r="Y29" s="64">
        <f t="shared" si="18"/>
      </c>
      <c r="Z29" s="57">
        <v>1</v>
      </c>
      <c r="AA29" s="57">
        <v>14</v>
      </c>
      <c r="AB29" s="63">
        <f t="shared" si="115"/>
      </c>
      <c r="AC29" s="54"/>
      <c r="AD29" s="67">
        <v>0</v>
      </c>
      <c r="AE29" s="68">
        <v>0</v>
      </c>
    </row>
    <row r="30">
      <c r="A30" s="80"/>
      <c r="B30" s="58" t="s">
        <v>39</v>
      </c>
      <c r="C30" s="82" t="s">
        <v>35</v>
      </c>
      <c r="D30" s="70" t="s">
        <v>36</v>
      </c>
      <c r="E30" s="69" t="s">
        <v>37</v>
      </c>
      <c r="F30" s="60">
        <v>531.47</v>
      </c>
      <c r="G30" s="61">
        <v>7406</v>
      </c>
      <c r="H30" s="62">
        <v>65</v>
      </c>
      <c r="I30" s="63">
        <f t="shared" si="88"/>
      </c>
      <c r="J30" s="64">
        <f t="shared" si="61"/>
      </c>
      <c r="K30" s="65">
        <v>12</v>
      </c>
      <c r="L30" s="64">
        <f t="shared" si="27"/>
      </c>
      <c r="M30" s="64">
        <f t="shared" si="4"/>
      </c>
      <c r="N30" s="65">
        <v>3</v>
      </c>
      <c r="O30" s="64">
        <f t="shared" si="101"/>
      </c>
      <c r="P30" s="64">
        <f t="shared" si="72"/>
      </c>
      <c r="Q30" s="65">
        <f t="shared" si="45"/>
      </c>
      <c r="R30" s="66">
        <f t="shared" si="34"/>
      </c>
      <c r="S30" s="64">
        <f t="shared" si="11"/>
      </c>
      <c r="T30" s="64">
        <f t="shared" si="108"/>
      </c>
      <c r="U30" s="64">
        <f t="shared" si="79"/>
      </c>
      <c r="V30" s="57">
        <v>1</v>
      </c>
      <c r="W30" s="60">
        <v>2071.2</v>
      </c>
      <c r="X30" s="60">
        <f t="shared" si="52"/>
      </c>
      <c r="Y30" s="64">
        <f t="shared" si="18"/>
      </c>
      <c r="Z30" s="57">
        <v>6</v>
      </c>
      <c r="AA30" s="57">
        <v>8</v>
      </c>
      <c r="AB30" s="63">
        <f t="shared" si="115"/>
      </c>
      <c r="AC30" s="54"/>
      <c r="AD30" s="67">
        <v>3</v>
      </c>
      <c r="AE30" s="68">
        <v>4039</v>
      </c>
    </row>
    <row r="31">
      <c r="A31" s="80"/>
      <c r="B31" s="58" t="s">
        <v>40</v>
      </c>
      <c r="C31" s="81" t="s">
        <v>35</v>
      </c>
      <c r="D31" s="59" t="s">
        <v>36</v>
      </c>
      <c r="E31" s="58" t="s">
        <v>37</v>
      </c>
      <c r="F31" s="60">
        <v>558.65</v>
      </c>
      <c r="G31" s="61">
        <v>9384</v>
      </c>
      <c r="H31" s="62">
        <v>82</v>
      </c>
      <c r="I31" s="63">
        <f t="shared" si="88"/>
      </c>
      <c r="J31" s="64">
        <f t="shared" si="61"/>
      </c>
      <c r="K31" s="65">
        <v>15</v>
      </c>
      <c r="L31" s="64">
        <f t="shared" si="27"/>
      </c>
      <c r="M31" s="64">
        <f t="shared" si="4"/>
      </c>
      <c r="N31" s="65">
        <v>3</v>
      </c>
      <c r="O31" s="64">
        <f t="shared" si="101"/>
      </c>
      <c r="P31" s="64">
        <f t="shared" si="72"/>
      </c>
      <c r="Q31" s="65">
        <f t="shared" si="45"/>
      </c>
      <c r="R31" s="66">
        <f t="shared" si="34"/>
      </c>
      <c r="S31" s="64">
        <f t="shared" si="11"/>
      </c>
      <c r="T31" s="64">
        <f t="shared" si="108"/>
      </c>
      <c r="U31" s="64">
        <f t="shared" si="79"/>
      </c>
      <c r="V31" s="57">
        <v>1</v>
      </c>
      <c r="W31" s="60">
        <v>1567.2</v>
      </c>
      <c r="X31" s="60">
        <f t="shared" si="52"/>
      </c>
      <c r="Y31" s="64">
        <f t="shared" si="18"/>
      </c>
      <c r="Z31" s="57">
        <v>6</v>
      </c>
      <c r="AA31" s="57">
        <v>10</v>
      </c>
      <c r="AB31" s="63">
        <f t="shared" si="115"/>
      </c>
      <c r="AC31" s="54"/>
      <c r="AD31" s="67">
        <v>1</v>
      </c>
      <c r="AE31" s="68">
        <v>1567.2</v>
      </c>
    </row>
    <row r="32">
      <c r="A32" s="71" t="s">
        <v>41</v>
      </c>
      <c r="B32" s="72"/>
      <c r="C32" s="71"/>
      <c r="D32" s="71"/>
      <c r="E32" s="71"/>
      <c r="F32" s="73">
        <f>SUM(F28:F31)</f>
      </c>
      <c r="G32" s="74">
        <f>SUM(G28:G31)</f>
      </c>
      <c r="H32" s="74">
        <f>SUM(H28:H31)</f>
      </c>
      <c r="I32" s="75">
        <f t="shared" si="88"/>
      </c>
      <c r="J32" s="76">
        <f t="shared" si="61"/>
      </c>
      <c r="K32" s="71">
        <f>SUM(K28:K31)</f>
      </c>
      <c r="L32" s="76">
        <f t="shared" si="27"/>
      </c>
      <c r="M32" s="76">
        <f t="shared" si="4"/>
      </c>
      <c r="N32" s="71">
        <f>SUM(N28:N31)</f>
      </c>
      <c r="O32" s="76">
        <f t="shared" si="101"/>
      </c>
      <c r="P32" s="76">
        <f t="shared" si="72"/>
      </c>
      <c r="Q32" s="71">
        <f t="shared" si="45"/>
      </c>
      <c r="R32" s="75">
        <f t="shared" si="34"/>
      </c>
      <c r="S32" s="76">
        <f t="shared" si="11"/>
      </c>
      <c r="T32" s="76">
        <f>SUM(T28:T31)</f>
      </c>
      <c r="U32" s="76">
        <f t="shared" si="79"/>
      </c>
      <c r="V32" s="71">
        <f>SUM(V28:V31)</f>
      </c>
      <c r="W32" s="76">
        <f>SUM(W28:W31)</f>
      </c>
      <c r="X32" s="76">
        <f t="shared" si="52"/>
      </c>
      <c r="Y32" s="76">
        <f t="shared" si="18"/>
      </c>
      <c r="Z32" s="71">
        <f>SUM(Z28:Z31)</f>
      </c>
      <c r="AA32" s="71">
        <f>SUM(AA28:AA31)</f>
      </c>
      <c r="AB32" s="75">
        <f t="shared" si="115"/>
      </c>
      <c r="AC32" s="54"/>
      <c r="AD32" s="77">
        <f>SUM(AD28:AD31)</f>
      </c>
      <c r="AE32" s="78">
        <f>SUM(AE28:AE31)</f>
      </c>
    </row>
    <row r="33">
      <c r="A33" s="41" t="s">
        <v>1</v>
      </c>
      <c r="B33" s="79" t="s">
        <v>2</v>
      </c>
      <c r="C33" s="43" t="s">
        <v>3</v>
      </c>
      <c r="D33" s="43" t="s">
        <v>4</v>
      </c>
      <c r="E33" s="43" t="s">
        <v>5</v>
      </c>
      <c r="F33" s="44" t="s">
        <v>6</v>
      </c>
      <c r="G33" s="45" t="s">
        <v>7</v>
      </c>
      <c r="H33" s="46" t="s">
        <v>8</v>
      </c>
      <c r="I33" s="47" t="s">
        <v>9</v>
      </c>
      <c r="J33" s="43" t="s">
        <v>10</v>
      </c>
      <c r="K33" s="48" t="s">
        <v>12</v>
      </c>
      <c r="L33" s="49" t="s">
        <v>13</v>
      </c>
      <c r="M33" s="43" t="s">
        <v>14</v>
      </c>
      <c r="N33" s="48" t="s">
        <v>44</v>
      </c>
      <c r="O33" s="49" t="s">
        <v>16</v>
      </c>
      <c r="P33" s="43" t="s">
        <v>17</v>
      </c>
      <c r="Q33" s="48" t="s">
        <v>18</v>
      </c>
      <c r="R33" s="49" t="s">
        <v>19</v>
      </c>
      <c r="S33" s="43" t="s">
        <v>20</v>
      </c>
      <c r="T33" s="50" t="s">
        <v>22</v>
      </c>
      <c r="U33" s="43" t="s">
        <v>45</v>
      </c>
      <c r="V33" s="51" t="s">
        <v>46</v>
      </c>
      <c r="W33" s="50" t="s">
        <v>47</v>
      </c>
      <c r="X33" s="52" t="s">
        <v>48</v>
      </c>
      <c r="Y33" s="43" t="s">
        <v>49</v>
      </c>
      <c r="Z33" s="48" t="s">
        <v>50</v>
      </c>
      <c r="AA33" s="48" t="s">
        <v>51</v>
      </c>
      <c r="AB33" s="53" t="s">
        <v>52</v>
      </c>
      <c r="AC33" s="54"/>
      <c r="AD33" s="55" t="s">
        <v>53</v>
      </c>
      <c r="AE33" s="56" t="s">
        <v>54</v>
      </c>
    </row>
    <row r="34">
      <c r="A34" s="80" t="s">
        <v>58</v>
      </c>
      <c r="B34" s="58" t="s">
        <v>34</v>
      </c>
      <c r="C34" s="81" t="s">
        <v>35</v>
      </c>
      <c r="D34" s="59" t="s">
        <v>36</v>
      </c>
      <c r="E34" s="58" t="s">
        <v>37</v>
      </c>
      <c r="F34" s="60">
        <v>243.33</v>
      </c>
      <c r="G34" s="61">
        <v>3817</v>
      </c>
      <c r="H34" s="62">
        <v>45</v>
      </c>
      <c r="I34" s="63">
        <f t="shared" ref="I34:I39" si="89">H34/G34</f>
      </c>
      <c r="J34" s="64">
        <f t="shared" ref="J34:J39" si="62">F34/H34</f>
      </c>
      <c r="K34" s="65">
        <v>5</v>
      </c>
      <c r="L34" s="64">
        <f t="shared" ref="L34:L39" si="28">K34/H34</f>
      </c>
      <c r="M34" s="64">
        <f t="shared" ref="M34:M39" si="5">F34/K34</f>
      </c>
      <c r="N34" s="65">
        <v>0</v>
      </c>
      <c r="O34" s="64">
        <f t="shared" ref="O34:O39" si="102">N34/H34</f>
      </c>
      <c r="P34" s="64">
        <f t="shared" ref="P34:P39" si="73">F34/N34</f>
      </c>
      <c r="Q34" s="65">
        <f t="shared" ref="Q34:Q38" si="46">AD34-V34</f>
      </c>
      <c r="R34" s="66">
        <f t="shared" ref="R34:R39" si="35">Q34/N34</f>
      </c>
      <c r="S34" s="64">
        <f t="shared" ref="S34:S39" si="12">F34/Q34</f>
      </c>
      <c r="T34" s="64">
        <f t="shared" ref="T34:T38" si="109">AE34-W34</f>
      </c>
      <c r="U34" s="64">
        <f t="shared" ref="U34:U39" si="80">T34/F34</f>
      </c>
      <c r="V34" s="65">
        <v>0</v>
      </c>
      <c r="W34" s="60">
        <v>0</v>
      </c>
      <c r="X34" s="60">
        <f t="shared" ref="X34:X39" si="53">AE34/AD34</f>
      </c>
      <c r="Y34" s="64">
        <f t="shared" ref="Y34:Y39" si="19">(T34+W34)/F34</f>
      </c>
      <c r="Z34" s="57">
        <v>0</v>
      </c>
      <c r="AA34" s="57">
        <v>5</v>
      </c>
      <c r="AB34" s="63">
        <f t="shared" ref="AB34:AB39" si="116">Z34/AA34</f>
      </c>
      <c r="AC34" s="54"/>
      <c r="AD34" s="67">
        <v>0</v>
      </c>
      <c r="AE34" s="68">
        <v>0</v>
      </c>
    </row>
    <row r="35">
      <c r="A35" s="80"/>
      <c r="B35" s="58" t="s">
        <v>38</v>
      </c>
      <c r="C35" s="81" t="s">
        <v>35</v>
      </c>
      <c r="D35" s="59" t="s">
        <v>36</v>
      </c>
      <c r="E35" s="58" t="s">
        <v>37</v>
      </c>
      <c r="F35" s="60">
        <v>586.38</v>
      </c>
      <c r="G35" s="61">
        <v>10429</v>
      </c>
      <c r="H35" s="62">
        <v>100</v>
      </c>
      <c r="I35" s="63">
        <f t="shared" si="89"/>
      </c>
      <c r="J35" s="64">
        <f t="shared" si="62"/>
      </c>
      <c r="K35" s="65">
        <v>22</v>
      </c>
      <c r="L35" s="64">
        <f t="shared" si="28"/>
      </c>
      <c r="M35" s="64">
        <f t="shared" si="5"/>
      </c>
      <c r="N35" s="65">
        <v>3</v>
      </c>
      <c r="O35" s="64">
        <f t="shared" si="102"/>
      </c>
      <c r="P35" s="64">
        <f t="shared" si="73"/>
      </c>
      <c r="Q35" s="65">
        <f t="shared" si="46"/>
      </c>
      <c r="R35" s="66">
        <f t="shared" si="35"/>
      </c>
      <c r="S35" s="64">
        <f t="shared" si="12"/>
      </c>
      <c r="T35" s="64">
        <f t="shared" si="109"/>
      </c>
      <c r="U35" s="64">
        <f t="shared" si="80"/>
      </c>
      <c r="V35" s="57">
        <v>0</v>
      </c>
      <c r="W35" s="60">
        <v>0</v>
      </c>
      <c r="X35" s="60">
        <f t="shared" si="53"/>
      </c>
      <c r="Y35" s="64">
        <f t="shared" si="19"/>
      </c>
      <c r="Z35" s="57">
        <v>6</v>
      </c>
      <c r="AA35" s="57">
        <v>16</v>
      </c>
      <c r="AB35" s="63">
        <f t="shared" si="116"/>
      </c>
      <c r="AC35" s="54"/>
      <c r="AD35" s="67">
        <v>0</v>
      </c>
      <c r="AE35" s="68">
        <v>0</v>
      </c>
    </row>
    <row r="36">
      <c r="A36" s="80"/>
      <c r="B36" s="58" t="s">
        <v>39</v>
      </c>
      <c r="C36" s="82" t="s">
        <v>35</v>
      </c>
      <c r="D36" s="70" t="s">
        <v>36</v>
      </c>
      <c r="E36" s="69" t="s">
        <v>37</v>
      </c>
      <c r="F36" s="60">
        <v>707.36</v>
      </c>
      <c r="G36" s="61">
        <v>11454</v>
      </c>
      <c r="H36" s="62">
        <v>95</v>
      </c>
      <c r="I36" s="63">
        <f t="shared" si="89"/>
      </c>
      <c r="J36" s="64">
        <f t="shared" si="62"/>
      </c>
      <c r="K36" s="65">
        <v>35</v>
      </c>
      <c r="L36" s="64">
        <f t="shared" si="28"/>
      </c>
      <c r="M36" s="64">
        <f t="shared" si="5"/>
      </c>
      <c r="N36" s="65">
        <v>2</v>
      </c>
      <c r="O36" s="64">
        <f t="shared" si="102"/>
      </c>
      <c r="P36" s="64">
        <f t="shared" si="73"/>
      </c>
      <c r="Q36" s="65">
        <f t="shared" si="46"/>
      </c>
      <c r="R36" s="66">
        <f t="shared" si="35"/>
      </c>
      <c r="S36" s="64">
        <f t="shared" si="12"/>
      </c>
      <c r="T36" s="64">
        <f t="shared" si="109"/>
      </c>
      <c r="U36" s="64">
        <f t="shared" si="80"/>
      </c>
      <c r="V36" s="57">
        <v>0</v>
      </c>
      <c r="W36" s="60">
        <v>0</v>
      </c>
      <c r="X36" s="60">
        <f t="shared" si="53"/>
      </c>
      <c r="Y36" s="64">
        <f t="shared" si="19"/>
      </c>
      <c r="Z36" s="57">
        <v>4</v>
      </c>
      <c r="AA36" s="57">
        <v>23</v>
      </c>
      <c r="AB36" s="63">
        <f t="shared" si="116"/>
      </c>
      <c r="AC36" s="54"/>
      <c r="AD36" s="67">
        <v>1</v>
      </c>
      <c r="AE36" s="68">
        <v>3056</v>
      </c>
    </row>
    <row r="37">
      <c r="A37" s="80"/>
      <c r="B37" s="58" t="s">
        <v>40</v>
      </c>
      <c r="C37" s="81" t="s">
        <v>35</v>
      </c>
      <c r="D37" s="59" t="s">
        <v>36</v>
      </c>
      <c r="E37" s="58" t="s">
        <v>37</v>
      </c>
      <c r="F37" s="60">
        <v>882.25</v>
      </c>
      <c r="G37" s="61">
        <v>18587</v>
      </c>
      <c r="H37" s="62">
        <v>115</v>
      </c>
      <c r="I37" s="63">
        <f t="shared" si="89"/>
      </c>
      <c r="J37" s="64">
        <f t="shared" si="62"/>
      </c>
      <c r="K37" s="65">
        <v>32</v>
      </c>
      <c r="L37" s="64">
        <f t="shared" si="28"/>
      </c>
      <c r="M37" s="64">
        <f t="shared" si="5"/>
      </c>
      <c r="N37" s="65">
        <v>2</v>
      </c>
      <c r="O37" s="64">
        <f t="shared" si="102"/>
      </c>
      <c r="P37" s="64">
        <f t="shared" si="73"/>
      </c>
      <c r="Q37" s="65">
        <f t="shared" si="46"/>
      </c>
      <c r="R37" s="66">
        <f t="shared" si="35"/>
      </c>
      <c r="S37" s="64">
        <f t="shared" si="12"/>
      </c>
      <c r="T37" s="64">
        <f t="shared" si="109"/>
      </c>
      <c r="U37" s="64">
        <f t="shared" si="80"/>
      </c>
      <c r="V37" s="57">
        <v>2</v>
      </c>
      <c r="W37" s="60">
        <v>2144.4</v>
      </c>
      <c r="X37" s="60">
        <f t="shared" si="53"/>
      </c>
      <c r="Y37" s="64">
        <f t="shared" si="19"/>
      </c>
      <c r="Z37" s="57">
        <v>6</v>
      </c>
      <c r="AA37" s="57">
        <v>20</v>
      </c>
      <c r="AB37" s="63">
        <f t="shared" si="116"/>
      </c>
      <c r="AC37" s="54"/>
      <c r="AD37" s="67">
        <v>3</v>
      </c>
      <c r="AE37" s="68">
        <v>3615.6</v>
      </c>
    </row>
    <row customHeight="true" ht="16.071428571428573" r="38">
      <c r="A38" s="80"/>
      <c r="B38" s="58" t="s">
        <v>59</v>
      </c>
      <c r="C38" s="81" t="s">
        <v>35</v>
      </c>
      <c r="D38" s="59" t="s">
        <v>36</v>
      </c>
      <c r="E38" s="58" t="s">
        <v>37</v>
      </c>
      <c r="F38" s="60">
        <v>755.98</v>
      </c>
      <c r="G38" s="61">
        <v>17187</v>
      </c>
      <c r="H38" s="62">
        <v>92</v>
      </c>
      <c r="I38" s="63">
        <f t="shared" si="89"/>
      </c>
      <c r="J38" s="64">
        <f t="shared" si="62"/>
      </c>
      <c r="K38" s="65">
        <v>10</v>
      </c>
      <c r="L38" s="64">
        <f t="shared" si="28"/>
      </c>
      <c r="M38" s="64">
        <f t="shared" si="5"/>
      </c>
      <c r="N38" s="65">
        <v>2</v>
      </c>
      <c r="O38" s="64">
        <f t="shared" si="102"/>
      </c>
      <c r="P38" s="64">
        <f t="shared" si="73"/>
      </c>
      <c r="Q38" s="65">
        <f t="shared" si="46"/>
      </c>
      <c r="R38" s="66">
        <f t="shared" si="35"/>
      </c>
      <c r="S38" s="64">
        <f t="shared" si="12"/>
      </c>
      <c r="T38" s="64">
        <f t="shared" si="109"/>
      </c>
      <c r="U38" s="64">
        <f t="shared" si="80"/>
      </c>
      <c r="V38" s="57">
        <v>0</v>
      </c>
      <c r="W38" s="60">
        <v>0</v>
      </c>
      <c r="X38" s="60">
        <f t="shared" si="53"/>
      </c>
      <c r="Y38" s="64">
        <f t="shared" si="19"/>
      </c>
      <c r="Z38" s="57">
        <v>4</v>
      </c>
      <c r="AA38" s="57">
        <v>8</v>
      </c>
      <c r="AB38" s="63">
        <f t="shared" si="116"/>
      </c>
      <c r="AC38" s="54"/>
      <c r="AD38" s="67">
        <v>0</v>
      </c>
      <c r="AE38" s="68">
        <v>0</v>
      </c>
    </row>
    <row r="39">
      <c r="A39" s="71" t="s">
        <v>41</v>
      </c>
      <c r="B39" s="71"/>
      <c r="C39" s="71"/>
      <c r="D39" s="71"/>
      <c r="E39" s="71"/>
      <c r="F39" s="73">
        <f>SUM(F34:F38)</f>
      </c>
      <c r="G39" s="73">
        <f>SUM(G34:G38)</f>
      </c>
      <c r="H39" s="73">
        <f>SUM(H34:H38)</f>
      </c>
      <c r="I39" s="75">
        <f t="shared" si="89"/>
      </c>
      <c r="J39" s="76">
        <f t="shared" si="62"/>
      </c>
      <c r="K39" s="73">
        <f>SUM(K34:K38)</f>
      </c>
      <c r="L39" s="76">
        <f t="shared" si="28"/>
      </c>
      <c r="M39" s="76">
        <f t="shared" si="5"/>
      </c>
      <c r="N39" s="73">
        <f>SUM(N34:N38)</f>
      </c>
      <c r="O39" s="76">
        <f t="shared" si="102"/>
      </c>
      <c r="P39" s="76">
        <f t="shared" si="73"/>
      </c>
      <c r="Q39" s="73">
        <f>SUM(Q34:Q38)</f>
      </c>
      <c r="R39" s="75">
        <f t="shared" si="35"/>
      </c>
      <c r="S39" s="76">
        <f t="shared" si="12"/>
      </c>
      <c r="T39" s="73">
        <f>SUM(T34:T38)</f>
      </c>
      <c r="U39" s="76">
        <f t="shared" si="80"/>
      </c>
      <c r="V39" s="73">
        <f>SUM(V34:V38)</f>
      </c>
      <c r="W39" s="73">
        <f>SUM(W34:W38)</f>
      </c>
      <c r="X39" s="76">
        <f t="shared" si="53"/>
      </c>
      <c r="Y39" s="76">
        <f t="shared" si="19"/>
      </c>
      <c r="Z39" s="73">
        <f>SUM(Z34:Z38)</f>
      </c>
      <c r="AA39" s="73">
        <f>SUM(AA34:AA38)</f>
      </c>
      <c r="AB39" s="75">
        <f t="shared" si="116"/>
      </c>
      <c r="AC39" s="54"/>
      <c r="AD39" s="73">
        <f>SUM(AD34:AD38)</f>
      </c>
      <c r="AE39" s="73">
        <f>SUM(AE34:AE38)</f>
      </c>
    </row>
    <row r="40">
      <c r="A40" s="41" t="s">
        <v>1</v>
      </c>
      <c r="B40" s="79" t="s">
        <v>2</v>
      </c>
      <c r="C40" s="43" t="s">
        <v>3</v>
      </c>
      <c r="D40" s="43" t="s">
        <v>4</v>
      </c>
      <c r="E40" s="43" t="s">
        <v>5</v>
      </c>
      <c r="F40" s="44" t="s">
        <v>6</v>
      </c>
      <c r="G40" s="45" t="s">
        <v>7</v>
      </c>
      <c r="H40" s="46" t="s">
        <v>8</v>
      </c>
      <c r="I40" s="47" t="s">
        <v>9</v>
      </c>
      <c r="J40" s="43" t="s">
        <v>10</v>
      </c>
      <c r="K40" s="48" t="s">
        <v>12</v>
      </c>
      <c r="L40" s="49" t="s">
        <v>13</v>
      </c>
      <c r="M40" s="43" t="s">
        <v>14</v>
      </c>
      <c r="N40" s="48" t="s">
        <v>44</v>
      </c>
      <c r="O40" s="49" t="s">
        <v>16</v>
      </c>
      <c r="P40" s="43" t="s">
        <v>17</v>
      </c>
      <c r="Q40" s="48" t="s">
        <v>18</v>
      </c>
      <c r="R40" s="49" t="s">
        <v>19</v>
      </c>
      <c r="S40" s="43" t="s">
        <v>20</v>
      </c>
      <c r="T40" s="50" t="s">
        <v>22</v>
      </c>
      <c r="U40" s="43" t="s">
        <v>45</v>
      </c>
      <c r="V40" s="51" t="s">
        <v>46</v>
      </c>
      <c r="W40" s="50" t="s">
        <v>47</v>
      </c>
      <c r="X40" s="52" t="s">
        <v>48</v>
      </c>
      <c r="Y40" s="43" t="s">
        <v>49</v>
      </c>
      <c r="Z40" s="48" t="s">
        <v>50</v>
      </c>
      <c r="AA40" s="48" t="s">
        <v>51</v>
      </c>
      <c r="AB40" s="53" t="s">
        <v>52</v>
      </c>
      <c r="AC40" s="54"/>
      <c r="AD40" s="55" t="s">
        <v>53</v>
      </c>
      <c r="AE40" s="56" t="s">
        <v>54</v>
      </c>
    </row>
    <row r="41">
      <c r="A41" s="80" t="s">
        <v>60</v>
      </c>
      <c r="B41" s="58" t="s">
        <v>61</v>
      </c>
      <c r="C41" s="81" t="s">
        <v>35</v>
      </c>
      <c r="D41" s="59" t="s">
        <v>36</v>
      </c>
      <c r="E41" s="58" t="s">
        <v>37</v>
      </c>
      <c r="F41" s="60">
        <v>138.66</v>
      </c>
      <c r="G41" s="61">
        <v>1789</v>
      </c>
      <c r="H41" s="62">
        <v>19</v>
      </c>
      <c r="I41" s="63">
        <f t="shared" ref="I41:I46" si="90">H41/G41</f>
      </c>
      <c r="J41" s="64">
        <f t="shared" ref="J41:J46" si="63">F41/H41</f>
      </c>
      <c r="K41" s="65">
        <v>3</v>
      </c>
      <c r="L41" s="64">
        <f t="shared" ref="L41:L46" si="29">K41/H41</f>
      </c>
      <c r="M41" s="64">
        <f t="shared" ref="M41:M46" si="6">F41/K41</f>
      </c>
      <c r="N41" s="65">
        <v>1</v>
      </c>
      <c r="O41" s="64">
        <f t="shared" ref="O41:O46" si="103">N41/H41</f>
      </c>
      <c r="P41" s="64">
        <f t="shared" ref="P41:P46" si="74">F41/N41</f>
      </c>
      <c r="Q41" s="65">
        <f t="shared" ref="Q41:Q45" si="47">AD41-V41</f>
      </c>
      <c r="R41" s="66">
        <f t="shared" ref="R41:R46" si="36">Q41/N41</f>
      </c>
      <c r="S41" s="64">
        <f t="shared" ref="S41:S46" si="13">F41/Q41</f>
      </c>
      <c r="T41" s="64">
        <f t="shared" ref="T41:T45" si="110">AE41-W41</f>
      </c>
      <c r="U41" s="64">
        <f t="shared" ref="U41:U46" si="81">T41/F41</f>
      </c>
      <c r="V41" s="65">
        <v>0</v>
      </c>
      <c r="W41" s="60">
        <v>0</v>
      </c>
      <c r="X41" s="60">
        <f t="shared" ref="X41:X46" si="54">AE41/AD41</f>
      </c>
      <c r="Y41" s="64">
        <f t="shared" ref="Y41:Y46" si="20">(T41+W41)/F41</f>
      </c>
      <c r="Z41" s="57">
        <v>0</v>
      </c>
      <c r="AA41" s="57">
        <v>1</v>
      </c>
      <c r="AB41" s="63">
        <f t="shared" ref="AB41:AB46" si="117">Z41/AA41</f>
      </c>
      <c r="AC41" s="54"/>
      <c r="AD41" s="67">
        <v>0</v>
      </c>
      <c r="AE41" s="68">
        <v>0</v>
      </c>
    </row>
    <row r="42">
      <c r="A42" s="80"/>
      <c r="B42" s="58" t="s">
        <v>34</v>
      </c>
      <c r="C42" s="81" t="s">
        <v>35</v>
      </c>
      <c r="D42" s="59" t="s">
        <v>36</v>
      </c>
      <c r="E42" s="58" t="s">
        <v>37</v>
      </c>
      <c r="F42" s="60">
        <v>324.72</v>
      </c>
      <c r="G42" s="61">
        <v>3194</v>
      </c>
      <c r="H42" s="62">
        <v>36</v>
      </c>
      <c r="I42" s="63">
        <f t="shared" si="90"/>
      </c>
      <c r="J42" s="64">
        <f t="shared" si="63"/>
      </c>
      <c r="K42" s="65">
        <v>15</v>
      </c>
      <c r="L42" s="64">
        <f t="shared" si="29"/>
      </c>
      <c r="M42" s="64">
        <f t="shared" si="6"/>
      </c>
      <c r="N42" s="65">
        <v>2</v>
      </c>
      <c r="O42" s="64">
        <f t="shared" si="103"/>
      </c>
      <c r="P42" s="64">
        <f t="shared" si="74"/>
      </c>
      <c r="Q42" s="65">
        <f t="shared" si="47"/>
      </c>
      <c r="R42" s="66">
        <f t="shared" si="36"/>
      </c>
      <c r="S42" s="64">
        <f t="shared" si="13"/>
      </c>
      <c r="T42" s="64">
        <f t="shared" si="110"/>
      </c>
      <c r="U42" s="64">
        <f t="shared" si="81"/>
      </c>
      <c r="V42" s="57">
        <v>0</v>
      </c>
      <c r="W42" s="60">
        <v>0</v>
      </c>
      <c r="X42" s="60">
        <f t="shared" si="54"/>
      </c>
      <c r="Y42" s="64">
        <f t="shared" si="20"/>
      </c>
      <c r="Z42" s="57">
        <v>4</v>
      </c>
      <c r="AA42" s="57">
        <v>9</v>
      </c>
      <c r="AB42" s="63">
        <f t="shared" si="117"/>
      </c>
      <c r="AC42" s="54"/>
      <c r="AD42" s="67">
        <v>1</v>
      </c>
      <c r="AE42" s="68">
        <v>1452</v>
      </c>
    </row>
    <row r="43">
      <c r="A43" s="80"/>
      <c r="B43" s="58" t="s">
        <v>38</v>
      </c>
      <c r="C43" s="82" t="s">
        <v>35</v>
      </c>
      <c r="D43" s="70" t="s">
        <v>36</v>
      </c>
      <c r="E43" s="69" t="s">
        <v>37</v>
      </c>
      <c r="F43" s="60">
        <v>379.61</v>
      </c>
      <c r="G43" s="61">
        <v>3541</v>
      </c>
      <c r="H43" s="62">
        <v>48</v>
      </c>
      <c r="I43" s="63">
        <f t="shared" si="90"/>
      </c>
      <c r="J43" s="64">
        <f t="shared" si="63"/>
      </c>
      <c r="K43" s="65">
        <v>15</v>
      </c>
      <c r="L43" s="64">
        <f t="shared" si="29"/>
      </c>
      <c r="M43" s="64">
        <f t="shared" si="6"/>
      </c>
      <c r="N43" s="65">
        <v>2</v>
      </c>
      <c r="O43" s="64">
        <f t="shared" si="103"/>
      </c>
      <c r="P43" s="64">
        <f t="shared" si="74"/>
      </c>
      <c r="Q43" s="65">
        <f t="shared" si="47"/>
      </c>
      <c r="R43" s="66">
        <f t="shared" si="36"/>
      </c>
      <c r="S43" s="64">
        <f t="shared" si="13"/>
      </c>
      <c r="T43" s="64">
        <f t="shared" si="110"/>
      </c>
      <c r="U43" s="64">
        <f t="shared" si="81"/>
      </c>
      <c r="V43" s="57">
        <v>0</v>
      </c>
      <c r="W43" s="60">
        <v>0</v>
      </c>
      <c r="X43" s="60">
        <f t="shared" si="54"/>
      </c>
      <c r="Y43" s="64">
        <f t="shared" si="20"/>
      </c>
      <c r="Z43" s="57">
        <v>3</v>
      </c>
      <c r="AA43" s="57">
        <v>8</v>
      </c>
      <c r="AB43" s="63">
        <f t="shared" si="117"/>
      </c>
      <c r="AC43" s="54"/>
      <c r="AD43" s="67">
        <v>1</v>
      </c>
      <c r="AE43" s="68">
        <v>620.4</v>
      </c>
    </row>
    <row r="44">
      <c r="A44" s="80"/>
      <c r="B44" s="58" t="s">
        <v>39</v>
      </c>
      <c r="C44" s="81" t="s">
        <v>35</v>
      </c>
      <c r="D44" s="59" t="s">
        <v>36</v>
      </c>
      <c r="E44" s="58" t="s">
        <v>37</v>
      </c>
      <c r="F44" s="60">
        <v>582.99</v>
      </c>
      <c r="G44" s="61">
        <v>6441</v>
      </c>
      <c r="H44" s="62">
        <v>90</v>
      </c>
      <c r="I44" s="63">
        <f t="shared" si="90"/>
      </c>
      <c r="J44" s="64">
        <f t="shared" si="63"/>
      </c>
      <c r="K44" s="65">
        <v>14</v>
      </c>
      <c r="L44" s="64">
        <f t="shared" si="29"/>
      </c>
      <c r="M44" s="64">
        <f t="shared" si="6"/>
      </c>
      <c r="N44" s="65">
        <v>2</v>
      </c>
      <c r="O44" s="64">
        <f t="shared" si="103"/>
      </c>
      <c r="P44" s="64">
        <f t="shared" si="74"/>
      </c>
      <c r="Q44" s="65">
        <f t="shared" si="47"/>
      </c>
      <c r="R44" s="66">
        <f t="shared" si="36"/>
      </c>
      <c r="S44" s="64">
        <f t="shared" si="13"/>
      </c>
      <c r="T44" s="64">
        <f t="shared" si="110"/>
      </c>
      <c r="U44" s="64">
        <f t="shared" si="81"/>
      </c>
      <c r="V44" s="57">
        <v>1</v>
      </c>
      <c r="W44" s="60">
        <v>2071.2</v>
      </c>
      <c r="X44" s="60">
        <f t="shared" si="54"/>
      </c>
      <c r="Y44" s="64">
        <f t="shared" si="20"/>
      </c>
      <c r="Z44" s="57">
        <v>6</v>
      </c>
      <c r="AA44" s="57">
        <v>13</v>
      </c>
      <c r="AB44" s="63">
        <f t="shared" si="117"/>
      </c>
      <c r="AC44" s="54"/>
      <c r="AD44" s="67">
        <v>3</v>
      </c>
      <c r="AE44" s="68">
        <v>5018.4</v>
      </c>
      <c r="AF44" s="83"/>
    </row>
    <row r="45">
      <c r="A45" s="80"/>
      <c r="B45" s="58" t="s">
        <v>62</v>
      </c>
      <c r="C45" s="81" t="s">
        <v>35</v>
      </c>
      <c r="D45" s="59" t="s">
        <v>36</v>
      </c>
      <c r="E45" s="58" t="s">
        <v>37</v>
      </c>
      <c r="F45" s="60">
        <v>723.18</v>
      </c>
      <c r="G45" s="61">
        <v>8717</v>
      </c>
      <c r="H45" s="62">
        <v>96</v>
      </c>
      <c r="I45" s="63">
        <f t="shared" si="90"/>
      </c>
      <c r="J45" s="64">
        <f t="shared" si="63"/>
      </c>
      <c r="K45" s="65">
        <v>12</v>
      </c>
      <c r="L45" s="64">
        <f t="shared" si="29"/>
      </c>
      <c r="M45" s="64">
        <f t="shared" si="6"/>
      </c>
      <c r="N45" s="65">
        <v>3</v>
      </c>
      <c r="O45" s="64">
        <f t="shared" si="103"/>
      </c>
      <c r="P45" s="64">
        <f t="shared" si="74"/>
      </c>
      <c r="Q45" s="65">
        <f t="shared" si="47"/>
      </c>
      <c r="R45" s="66">
        <f t="shared" si="36"/>
      </c>
      <c r="S45" s="64">
        <f t="shared" si="13"/>
      </c>
      <c r="T45" s="64">
        <f t="shared" si="110"/>
      </c>
      <c r="U45" s="64">
        <f t="shared" si="81"/>
      </c>
      <c r="V45" s="57">
        <v>3</v>
      </c>
      <c r="W45" s="60">
        <v>6060</v>
      </c>
      <c r="X45" s="60">
        <f t="shared" si="54"/>
      </c>
      <c r="Y45" s="64">
        <f t="shared" si="20"/>
      </c>
      <c r="Z45" s="57">
        <v>4</v>
      </c>
      <c r="AA45" s="57">
        <v>7</v>
      </c>
      <c r="AB45" s="63">
        <f t="shared" si="117"/>
      </c>
      <c r="AC45" s="54"/>
      <c r="AD45" s="67">
        <v>4</v>
      </c>
      <c r="AE45" s="68">
        <v>7812</v>
      </c>
      <c r="AF45" s="83"/>
    </row>
    <row r="46">
      <c r="A46" s="71" t="s">
        <v>41</v>
      </c>
      <c r="B46" s="71"/>
      <c r="C46" s="71"/>
      <c r="D46" s="71"/>
      <c r="E46" s="71"/>
      <c r="F46" s="73">
        <f>SUM(F41:F45)</f>
      </c>
      <c r="G46" s="73">
        <f>SUM(G41:G45)</f>
      </c>
      <c r="H46" s="73">
        <f>SUM(H41:H45)</f>
      </c>
      <c r="I46" s="75">
        <f t="shared" si="90"/>
      </c>
      <c r="J46" s="76">
        <f t="shared" si="63"/>
      </c>
      <c r="K46" s="73">
        <f>SUM(K41:K45)</f>
      </c>
      <c r="L46" s="76">
        <f t="shared" si="29"/>
      </c>
      <c r="M46" s="76">
        <f t="shared" si="6"/>
      </c>
      <c r="N46" s="73">
        <f>SUM(N41:N45)</f>
      </c>
      <c r="O46" s="76">
        <f t="shared" si="103"/>
      </c>
      <c r="P46" s="76">
        <f t="shared" si="74"/>
      </c>
      <c r="Q46" s="73">
        <f>SUM(Q41:Q45)</f>
      </c>
      <c r="R46" s="75">
        <f t="shared" si="36"/>
      </c>
      <c r="S46" s="76">
        <f t="shared" si="13"/>
      </c>
      <c r="T46" s="73">
        <f>SUM(T41:T45)</f>
      </c>
      <c r="U46" s="76">
        <f t="shared" si="81"/>
      </c>
      <c r="V46" s="73">
        <f>SUM(V41:V45)</f>
      </c>
      <c r="W46" s="73">
        <f>SUM(W41:W45)</f>
      </c>
      <c r="X46" s="76">
        <f t="shared" si="54"/>
      </c>
      <c r="Y46" s="76">
        <f t="shared" si="20"/>
      </c>
      <c r="Z46" s="73">
        <f>SUM(Z41:Z45)</f>
      </c>
      <c r="AA46" s="73">
        <f>SUM(AA41:AA45)</f>
      </c>
      <c r="AB46" s="75">
        <f t="shared" si="117"/>
      </c>
      <c r="AC46" s="54"/>
      <c r="AD46" s="73">
        <f>SUM(AD41:AD45)</f>
      </c>
      <c r="AE46" s="73">
        <f>SUM(AE41:AE45)</f>
      </c>
    </row>
    <row r="47">
      <c r="A47" s="41" t="s">
        <v>1</v>
      </c>
      <c r="B47" s="79" t="s">
        <v>2</v>
      </c>
      <c r="C47" s="43" t="s">
        <v>3</v>
      </c>
      <c r="D47" s="43" t="s">
        <v>4</v>
      </c>
      <c r="E47" s="43" t="s">
        <v>5</v>
      </c>
      <c r="F47" s="44" t="s">
        <v>6</v>
      </c>
      <c r="G47" s="45" t="s">
        <v>7</v>
      </c>
      <c r="H47" s="46" t="s">
        <v>8</v>
      </c>
      <c r="I47" s="47" t="s">
        <v>9</v>
      </c>
      <c r="J47" s="43" t="s">
        <v>10</v>
      </c>
      <c r="K47" s="48" t="s">
        <v>12</v>
      </c>
      <c r="L47" s="49" t="s">
        <v>13</v>
      </c>
      <c r="M47" s="43" t="s">
        <v>14</v>
      </c>
      <c r="N47" s="48" t="s">
        <v>44</v>
      </c>
      <c r="O47" s="49" t="s">
        <v>16</v>
      </c>
      <c r="P47" s="43" t="s">
        <v>17</v>
      </c>
      <c r="Q47" s="48" t="s">
        <v>18</v>
      </c>
      <c r="R47" s="49" t="s">
        <v>19</v>
      </c>
      <c r="S47" s="43" t="s">
        <v>20</v>
      </c>
      <c r="T47" s="50" t="s">
        <v>22</v>
      </c>
      <c r="U47" s="43" t="s">
        <v>45</v>
      </c>
      <c r="V47" s="51" t="s">
        <v>46</v>
      </c>
      <c r="W47" s="50" t="s">
        <v>47</v>
      </c>
      <c r="X47" s="52" t="s">
        <v>48</v>
      </c>
      <c r="Y47" s="43" t="s">
        <v>49</v>
      </c>
      <c r="Z47" s="48" t="s">
        <v>50</v>
      </c>
      <c r="AA47" s="48" t="s">
        <v>51</v>
      </c>
      <c r="AB47" s="53" t="s">
        <v>52</v>
      </c>
      <c r="AC47" s="54"/>
      <c r="AD47" s="55" t="s">
        <v>53</v>
      </c>
      <c r="AE47" s="56" t="s">
        <v>54</v>
      </c>
    </row>
    <row r="48">
      <c r="A48" s="80" t="s">
        <v>63</v>
      </c>
      <c r="B48" s="58" t="s">
        <v>61</v>
      </c>
      <c r="C48" s="81" t="s">
        <v>35</v>
      </c>
      <c r="D48" s="59" t="s">
        <v>36</v>
      </c>
      <c r="E48" s="58" t="s">
        <v>37</v>
      </c>
      <c r="F48" s="60">
        <v>1523.4</v>
      </c>
      <c r="G48" s="61">
        <v>51971</v>
      </c>
      <c r="H48" s="62">
        <v>128</v>
      </c>
      <c r="I48" s="63">
        <f t="shared" ref="I48:I53" si="91">H48/G48</f>
      </c>
      <c r="J48" s="64">
        <f t="shared" ref="J48:J53" si="64">F48/H48</f>
      </c>
      <c r="K48" s="65">
        <v>14</v>
      </c>
      <c r="L48" s="64">
        <f t="shared" ref="L48:L53" si="30">K48/H48</f>
      </c>
      <c r="M48" s="64">
        <f t="shared" ref="M48:M53" si="7">F48/K48</f>
      </c>
      <c r="N48" s="65">
        <v>0</v>
      </c>
      <c r="O48" s="64">
        <f t="shared" ref="O48:O53" si="104">N48/H48</f>
      </c>
      <c r="P48" s="64">
        <f t="shared" ref="P48:P53" si="75">F48/N48</f>
      </c>
      <c r="Q48" s="65">
        <f t="shared" ref="Q48:Q52" si="48">AD48-V48</f>
      </c>
      <c r="R48" s="66">
        <f t="shared" ref="R48:R53" si="37">Q48/N48</f>
      </c>
      <c r="S48" s="64">
        <f t="shared" ref="S48:S53" si="14">F48/Q48</f>
      </c>
      <c r="T48" s="64">
        <f t="shared" ref="T48:T52" si="111">AE48-W48</f>
      </c>
      <c r="U48" s="64">
        <f t="shared" ref="U48:U53" si="82">T48/F48</f>
      </c>
      <c r="V48" s="65">
        <v>0</v>
      </c>
      <c r="W48" s="60">
        <v>0</v>
      </c>
      <c r="X48" s="60">
        <f t="shared" ref="X48:X53" si="55">AE48/AD48</f>
      </c>
      <c r="Y48" s="64">
        <f t="shared" ref="Y48:Y53" si="21">(T48+W48)/F48</f>
      </c>
      <c r="Z48" s="57">
        <v>2</v>
      </c>
      <c r="AA48" s="57">
        <v>12</v>
      </c>
      <c r="AB48" s="63">
        <f t="shared" ref="AB48:AB53" si="118">Z48/AA48</f>
      </c>
      <c r="AC48" s="54"/>
      <c r="AD48" s="67">
        <v>0</v>
      </c>
      <c r="AE48" s="68">
        <v>0</v>
      </c>
    </row>
    <row r="49">
      <c r="A49" s="80"/>
      <c r="B49" s="58" t="s">
        <v>34</v>
      </c>
      <c r="C49" s="81" t="s">
        <v>35</v>
      </c>
      <c r="D49" s="59" t="s">
        <v>36</v>
      </c>
      <c r="E49" s="58" t="s">
        <v>37</v>
      </c>
      <c r="F49" s="60">
        <v>1219.16</v>
      </c>
      <c r="G49" s="61">
        <v>38542</v>
      </c>
      <c r="H49" s="62">
        <v>153</v>
      </c>
      <c r="I49" s="63">
        <f t="shared" si="91"/>
      </c>
      <c r="J49" s="64">
        <f t="shared" si="64"/>
      </c>
      <c r="K49" s="65">
        <v>29</v>
      </c>
      <c r="L49" s="64">
        <f t="shared" si="30"/>
      </c>
      <c r="M49" s="64">
        <f t="shared" si="7"/>
      </c>
      <c r="N49" s="65">
        <v>4</v>
      </c>
      <c r="O49" s="64">
        <f t="shared" si="104"/>
      </c>
      <c r="P49" s="64">
        <f t="shared" si="75"/>
      </c>
      <c r="Q49" s="65">
        <f t="shared" si="48"/>
      </c>
      <c r="R49" s="66">
        <f t="shared" si="37"/>
      </c>
      <c r="S49" s="64">
        <f t="shared" si="14"/>
      </c>
      <c r="T49" s="64">
        <f t="shared" si="111"/>
      </c>
      <c r="U49" s="64">
        <f t="shared" si="82"/>
      </c>
      <c r="V49" s="57">
        <v>0</v>
      </c>
      <c r="W49" s="60">
        <v>0</v>
      </c>
      <c r="X49" s="60">
        <f t="shared" si="55"/>
      </c>
      <c r="Y49" s="64">
        <f t="shared" si="21"/>
      </c>
      <c r="Z49" s="57">
        <v>6</v>
      </c>
      <c r="AA49" s="57">
        <v>16</v>
      </c>
      <c r="AB49" s="63">
        <f t="shared" si="118"/>
      </c>
      <c r="AC49" s="54"/>
      <c r="AD49" s="67">
        <v>1</v>
      </c>
      <c r="AE49" s="68">
        <v>1345.2</v>
      </c>
    </row>
    <row r="50">
      <c r="A50" s="80"/>
      <c r="B50" s="58" t="s">
        <v>38</v>
      </c>
      <c r="C50" s="82" t="s">
        <v>35</v>
      </c>
      <c r="D50" s="70" t="s">
        <v>36</v>
      </c>
      <c r="E50" s="69" t="s">
        <v>37</v>
      </c>
      <c r="F50" s="60">
        <v>1367.5</v>
      </c>
      <c r="G50" s="61">
        <v>44597</v>
      </c>
      <c r="H50" s="62">
        <v>200</v>
      </c>
      <c r="I50" s="63">
        <f t="shared" si="91"/>
      </c>
      <c r="J50" s="64">
        <f t="shared" si="64"/>
      </c>
      <c r="K50" s="65">
        <v>17</v>
      </c>
      <c r="L50" s="64">
        <f t="shared" si="30"/>
      </c>
      <c r="M50" s="64">
        <f t="shared" si="7"/>
      </c>
      <c r="N50" s="65">
        <v>1</v>
      </c>
      <c r="O50" s="64">
        <f t="shared" si="104"/>
      </c>
      <c r="P50" s="64">
        <f t="shared" si="75"/>
      </c>
      <c r="Q50" s="65">
        <f t="shared" si="48"/>
      </c>
      <c r="R50" s="66">
        <f t="shared" si="37"/>
      </c>
      <c r="S50" s="64">
        <f t="shared" si="14"/>
      </c>
      <c r="T50" s="64">
        <f t="shared" si="111"/>
      </c>
      <c r="U50" s="64">
        <f t="shared" si="82"/>
      </c>
      <c r="V50" s="57">
        <v>0</v>
      </c>
      <c r="W50" s="60">
        <v>0</v>
      </c>
      <c r="X50" s="60">
        <f t="shared" si="55"/>
      </c>
      <c r="Y50" s="64">
        <f t="shared" si="21"/>
      </c>
      <c r="Z50" s="57">
        <v>3</v>
      </c>
      <c r="AA50" s="57">
        <v>10</v>
      </c>
      <c r="AB50" s="63">
        <f t="shared" si="118"/>
      </c>
      <c r="AC50" s="54"/>
      <c r="AD50" s="67">
        <v>0</v>
      </c>
      <c r="AE50" s="68">
        <v>0</v>
      </c>
    </row>
    <row r="51">
      <c r="A51" s="80"/>
      <c r="B51" s="58" t="s">
        <v>39</v>
      </c>
      <c r="C51" s="81" t="s">
        <v>35</v>
      </c>
      <c r="D51" s="59" t="s">
        <v>36</v>
      </c>
      <c r="E51" s="58" t="s">
        <v>37</v>
      </c>
      <c r="F51" s="60">
        <v>1649.66</v>
      </c>
      <c r="G51" s="61">
        <v>46468</v>
      </c>
      <c r="H51" s="62">
        <v>284</v>
      </c>
      <c r="I51" s="63">
        <f t="shared" si="91"/>
      </c>
      <c r="J51" s="64">
        <f t="shared" si="64"/>
      </c>
      <c r="K51" s="65">
        <v>16</v>
      </c>
      <c r="L51" s="64">
        <f t="shared" si="30"/>
      </c>
      <c r="M51" s="64">
        <f t="shared" si="7"/>
      </c>
      <c r="N51" s="65">
        <v>2</v>
      </c>
      <c r="O51" s="64">
        <f t="shared" si="104"/>
      </c>
      <c r="P51" s="64">
        <f t="shared" si="75"/>
      </c>
      <c r="Q51" s="65">
        <f t="shared" si="48"/>
      </c>
      <c r="R51" s="66">
        <f t="shared" si="37"/>
      </c>
      <c r="S51" s="64">
        <f t="shared" si="14"/>
      </c>
      <c r="T51" s="64">
        <f t="shared" si="111"/>
      </c>
      <c r="U51" s="64">
        <f t="shared" si="82"/>
      </c>
      <c r="V51" s="57">
        <v>0</v>
      </c>
      <c r="W51" s="60">
        <v>0</v>
      </c>
      <c r="X51" s="60">
        <f t="shared" si="55"/>
      </c>
      <c r="Y51" s="64">
        <f t="shared" si="21"/>
      </c>
      <c r="Z51" s="57">
        <v>5</v>
      </c>
      <c r="AA51" s="57">
        <v>13</v>
      </c>
      <c r="AB51" s="63">
        <f t="shared" si="118"/>
      </c>
      <c r="AC51" s="54"/>
      <c r="AD51" s="67">
        <v>0</v>
      </c>
      <c r="AE51" s="68">
        <v>0</v>
      </c>
    </row>
    <row r="52">
      <c r="A52" s="80"/>
      <c r="B52" s="58" t="s">
        <v>62</v>
      </c>
      <c r="C52" s="81" t="s">
        <v>35</v>
      </c>
      <c r="D52" s="59" t="s">
        <v>36</v>
      </c>
      <c r="E52" s="58" t="s">
        <v>37</v>
      </c>
      <c r="F52" s="60">
        <v>604.54</v>
      </c>
      <c r="G52" s="61">
        <v>23300</v>
      </c>
      <c r="H52" s="62">
        <v>107</v>
      </c>
      <c r="I52" s="63">
        <f t="shared" si="91"/>
      </c>
      <c r="J52" s="64">
        <f t="shared" si="64"/>
      </c>
      <c r="K52" s="65">
        <v>18</v>
      </c>
      <c r="L52" s="64">
        <f t="shared" si="30"/>
      </c>
      <c r="M52" s="64">
        <f t="shared" si="7"/>
      </c>
      <c r="N52" s="65">
        <v>4</v>
      </c>
      <c r="O52" s="64">
        <f t="shared" si="104"/>
      </c>
      <c r="P52" s="64">
        <f t="shared" si="75"/>
      </c>
      <c r="Q52" s="65">
        <f t="shared" si="48"/>
      </c>
      <c r="R52" s="66">
        <f t="shared" si="37"/>
      </c>
      <c r="S52" s="64">
        <f t="shared" si="14"/>
      </c>
      <c r="T52" s="64">
        <f t="shared" si="111"/>
      </c>
      <c r="U52" s="64">
        <f t="shared" si="82"/>
      </c>
      <c r="V52" s="57">
        <v>0</v>
      </c>
      <c r="W52" s="60">
        <v>0</v>
      </c>
      <c r="X52" s="60">
        <f t="shared" si="55"/>
      </c>
      <c r="Y52" s="64">
        <f t="shared" si="21"/>
      </c>
      <c r="Z52" s="57">
        <v>8</v>
      </c>
      <c r="AA52" s="57">
        <v>9</v>
      </c>
      <c r="AB52" s="63">
        <f t="shared" si="118"/>
      </c>
      <c r="AC52" s="54"/>
      <c r="AD52" s="67">
        <v>7</v>
      </c>
      <c r="AE52" s="68">
        <v>10513.2</v>
      </c>
    </row>
    <row r="53">
      <c r="A53" s="71" t="s">
        <v>41</v>
      </c>
      <c r="B53" s="71"/>
      <c r="C53" s="71"/>
      <c r="D53" s="71"/>
      <c r="E53" s="71"/>
      <c r="F53" s="73">
        <f>SUM(F48:F52)</f>
      </c>
      <c r="G53" s="73">
        <f>SUM(G48:G52)</f>
      </c>
      <c r="H53" s="73">
        <f>SUM(H48:H52)</f>
      </c>
      <c r="I53" s="75">
        <f t="shared" si="91"/>
      </c>
      <c r="J53" s="76">
        <f t="shared" si="64"/>
      </c>
      <c r="K53" s="73">
        <f>SUM(K48:K52)</f>
      </c>
      <c r="L53" s="76">
        <f t="shared" si="30"/>
      </c>
      <c r="M53" s="76">
        <f t="shared" si="7"/>
      </c>
      <c r="N53" s="73">
        <f>SUM(N48:N52)</f>
      </c>
      <c r="O53" s="76">
        <f t="shared" si="104"/>
      </c>
      <c r="P53" s="76">
        <f t="shared" si="75"/>
      </c>
      <c r="Q53" s="73">
        <f>SUM(Q48:Q52)</f>
      </c>
      <c r="R53" s="75">
        <f t="shared" si="37"/>
      </c>
      <c r="S53" s="76">
        <f t="shared" si="14"/>
      </c>
      <c r="T53" s="73">
        <f>SUM(T48:T52)</f>
      </c>
      <c r="U53" s="76">
        <f t="shared" si="82"/>
      </c>
      <c r="V53" s="73">
        <f>SUM(V48:V52)</f>
      </c>
      <c r="W53" s="73">
        <f>SUM(W48:W52)</f>
      </c>
      <c r="X53" s="76">
        <f t="shared" si="55"/>
      </c>
      <c r="Y53" s="76">
        <f t="shared" si="21"/>
      </c>
      <c r="Z53" s="73">
        <f>SUM(Z48:Z52)</f>
      </c>
      <c r="AA53" s="73">
        <f>SUM(AA48:AA52)</f>
      </c>
      <c r="AB53" s="75">
        <f t="shared" si="118"/>
      </c>
      <c r="AC53" s="54"/>
      <c r="AD53" s="73">
        <f>SUM(AD48:AD52)</f>
      </c>
      <c r="AE53" s="73">
        <f>SUM(AE48:AE52)</f>
      </c>
    </row>
    <row r="54">
      <c r="A54" s="84" t="s">
        <v>1</v>
      </c>
      <c r="B54" s="85" t="s">
        <v>2</v>
      </c>
      <c r="C54" s="86" t="s">
        <v>3</v>
      </c>
      <c r="D54" s="86" t="s">
        <v>4</v>
      </c>
      <c r="E54" s="86" t="s">
        <v>5</v>
      </c>
      <c r="F54" s="87" t="s">
        <v>6</v>
      </c>
      <c r="G54" s="88" t="s">
        <v>7</v>
      </c>
      <c r="H54" s="89" t="s">
        <v>8</v>
      </c>
      <c r="I54" s="90" t="s">
        <v>9</v>
      </c>
      <c r="J54" s="86" t="s">
        <v>10</v>
      </c>
      <c r="K54" s="91" t="s">
        <v>12</v>
      </c>
      <c r="L54" s="92" t="s">
        <v>13</v>
      </c>
      <c r="M54" s="86" t="s">
        <v>14</v>
      </c>
      <c r="N54" s="91" t="s">
        <v>44</v>
      </c>
      <c r="O54" s="92" t="s">
        <v>16</v>
      </c>
      <c r="P54" s="86" t="s">
        <v>17</v>
      </c>
      <c r="Q54" s="91" t="s">
        <v>18</v>
      </c>
      <c r="R54" s="92" t="s">
        <v>19</v>
      </c>
      <c r="S54" s="86" t="s">
        <v>20</v>
      </c>
      <c r="T54" s="50" t="s">
        <v>22</v>
      </c>
      <c r="U54" s="86" t="s">
        <v>45</v>
      </c>
      <c r="V54" s="51" t="s">
        <v>46</v>
      </c>
      <c r="W54" s="50" t="s">
        <v>47</v>
      </c>
      <c r="X54" s="93" t="s">
        <v>48</v>
      </c>
      <c r="Y54" s="86" t="s">
        <v>49</v>
      </c>
      <c r="Z54" s="91" t="s">
        <v>50</v>
      </c>
      <c r="AA54" s="91" t="s">
        <v>51</v>
      </c>
      <c r="AB54" s="94" t="s">
        <v>52</v>
      </c>
      <c r="AD54" s="55" t="s">
        <v>53</v>
      </c>
      <c r="AE54" s="56" t="s">
        <v>54</v>
      </c>
    </row>
    <row r="55">
      <c r="A55" s="80" t="s">
        <v>64</v>
      </c>
      <c r="B55" s="58" t="s">
        <v>61</v>
      </c>
      <c r="C55" s="81" t="s">
        <v>35</v>
      </c>
      <c r="D55" s="59" t="s">
        <v>36</v>
      </c>
      <c r="E55" s="58" t="s">
        <v>37</v>
      </c>
      <c r="F55" s="60">
        <v>1033.19</v>
      </c>
      <c r="G55" s="61">
        <v>60617</v>
      </c>
      <c r="H55" s="62">
        <v>131</v>
      </c>
      <c r="I55" s="63">
        <f t="shared" ref="I55:I60" si="92">H55/G55</f>
      </c>
      <c r="J55" s="64">
        <f t="shared" ref="J55:J60" si="65">F55/H55</f>
      </c>
      <c r="K55" s="65">
        <v>13</v>
      </c>
      <c r="L55" s="64">
        <f t="shared" ref="L55:L60" si="31">K55/H55</f>
      </c>
      <c r="M55" s="64">
        <f t="shared" ref="M55:M60" si="8">F55/K55</f>
      </c>
      <c r="N55" s="65">
        <v>0</v>
      </c>
      <c r="O55" s="64">
        <f t="shared" ref="O55:O60" si="105">N55/H55</f>
      </c>
      <c r="P55" s="64">
        <f t="shared" ref="P55:P60" si="76">F55/N55</f>
      </c>
      <c r="Q55" s="65">
        <f t="shared" ref="Q55:Q59" si="49">AD55-V55</f>
      </c>
      <c r="R55" s="66">
        <f t="shared" ref="R55:R60" si="38">Q55/N55</f>
      </c>
      <c r="S55" s="64">
        <f t="shared" ref="S55:S60" si="15">F55/Q55</f>
      </c>
      <c r="T55" s="64">
        <f t="shared" ref="T55:T59" si="112">AE55-W55</f>
      </c>
      <c r="U55" s="64">
        <f t="shared" ref="U55:U60" si="83">T55/F55</f>
      </c>
      <c r="V55" s="65">
        <v>0</v>
      </c>
      <c r="W55" s="60">
        <v>0</v>
      </c>
      <c r="X55" s="60">
        <f t="shared" ref="X55:X60" si="56">AE55/AD55</f>
      </c>
      <c r="Y55" s="64">
        <f t="shared" ref="Y55:Y60" si="22">(T55+W55)/F55</f>
      </c>
      <c r="Z55" s="57">
        <v>0</v>
      </c>
      <c r="AA55" s="57">
        <v>10</v>
      </c>
      <c r="AB55" s="63">
        <f t="shared" ref="AB55:AB60" si="119">Z55/AA55</f>
      </c>
      <c r="AD55" s="67">
        <v>0</v>
      </c>
      <c r="AE55" s="68">
        <v>0</v>
      </c>
    </row>
    <row r="56">
      <c r="A56" s="80"/>
      <c r="B56" s="58" t="s">
        <v>34</v>
      </c>
      <c r="C56" s="81" t="s">
        <v>35</v>
      </c>
      <c r="D56" s="59" t="s">
        <v>36</v>
      </c>
      <c r="E56" s="58" t="s">
        <v>37</v>
      </c>
      <c r="F56" s="60">
        <v>1622.49</v>
      </c>
      <c r="G56" s="61">
        <v>94053</v>
      </c>
      <c r="H56" s="62">
        <v>136</v>
      </c>
      <c r="I56" s="63">
        <f t="shared" si="92"/>
      </c>
      <c r="J56" s="64">
        <f t="shared" si="65"/>
      </c>
      <c r="K56" s="65">
        <v>23</v>
      </c>
      <c r="L56" s="64">
        <f t="shared" si="31"/>
      </c>
      <c r="M56" s="64">
        <f t="shared" si="8"/>
      </c>
      <c r="N56" s="65">
        <v>2</v>
      </c>
      <c r="O56" s="64">
        <f t="shared" si="105"/>
      </c>
      <c r="P56" s="64">
        <f t="shared" si="76"/>
      </c>
      <c r="Q56" s="65">
        <f t="shared" si="49"/>
      </c>
      <c r="R56" s="66">
        <f t="shared" si="38"/>
      </c>
      <c r="S56" s="64">
        <f t="shared" si="15"/>
      </c>
      <c r="T56" s="64">
        <f t="shared" si="112"/>
      </c>
      <c r="U56" s="64">
        <f t="shared" si="83"/>
      </c>
      <c r="V56" s="57">
        <v>1</v>
      </c>
      <c r="W56" s="60">
        <v>2467.2</v>
      </c>
      <c r="X56" s="60">
        <f t="shared" si="56"/>
      </c>
      <c r="Y56" s="64">
        <f t="shared" si="22"/>
      </c>
      <c r="Z56" s="57">
        <v>4</v>
      </c>
      <c r="AA56" s="57">
        <v>16</v>
      </c>
      <c r="AB56" s="63">
        <f t="shared" si="119"/>
      </c>
      <c r="AD56" s="67">
        <v>2</v>
      </c>
      <c r="AE56" s="68">
        <v>4615.2</v>
      </c>
    </row>
    <row r="57">
      <c r="A57" s="80"/>
      <c r="B57" s="58" t="s">
        <v>38</v>
      </c>
      <c r="C57" s="82" t="s">
        <v>35</v>
      </c>
      <c r="D57" s="70" t="s">
        <v>36</v>
      </c>
      <c r="E57" s="69" t="s">
        <v>37</v>
      </c>
      <c r="F57" s="60">
        <v>2660.09</v>
      </c>
      <c r="G57" s="61">
        <v>152788</v>
      </c>
      <c r="H57" s="62">
        <v>278</v>
      </c>
      <c r="I57" s="63">
        <f t="shared" si="92"/>
      </c>
      <c r="J57" s="64">
        <f t="shared" si="65"/>
      </c>
      <c r="K57" s="65">
        <v>19</v>
      </c>
      <c r="L57" s="64">
        <f t="shared" si="31"/>
      </c>
      <c r="M57" s="64">
        <f t="shared" si="8"/>
      </c>
      <c r="N57" s="65">
        <v>0</v>
      </c>
      <c r="O57" s="64">
        <f t="shared" si="105"/>
      </c>
      <c r="P57" s="64">
        <f t="shared" si="76"/>
      </c>
      <c r="Q57" s="65">
        <f t="shared" si="49"/>
      </c>
      <c r="R57" s="66">
        <f t="shared" si="38"/>
      </c>
      <c r="S57" s="64">
        <f t="shared" si="15"/>
      </c>
      <c r="T57" s="64">
        <f t="shared" si="112"/>
      </c>
      <c r="U57" s="64">
        <f t="shared" si="83"/>
      </c>
      <c r="V57" s="57">
        <v>0</v>
      </c>
      <c r="W57" s="60">
        <v>0</v>
      </c>
      <c r="X57" s="60">
        <f t="shared" si="56"/>
      </c>
      <c r="Y57" s="64">
        <f t="shared" si="22"/>
      </c>
      <c r="Z57" s="57">
        <v>2</v>
      </c>
      <c r="AA57" s="57">
        <v>15</v>
      </c>
      <c r="AB57" s="63">
        <f t="shared" si="119"/>
      </c>
      <c r="AD57" s="67">
        <v>0</v>
      </c>
      <c r="AE57" s="68">
        <v>0</v>
      </c>
    </row>
    <row r="58">
      <c r="A58" s="80"/>
      <c r="B58" s="58" t="s">
        <v>39</v>
      </c>
      <c r="C58" s="81" t="s">
        <v>35</v>
      </c>
      <c r="D58" s="59" t="s">
        <v>36</v>
      </c>
      <c r="E58" s="58" t="s">
        <v>37</v>
      </c>
      <c r="F58" s="60">
        <v>1279.02</v>
      </c>
      <c r="G58" s="61">
        <v>69105</v>
      </c>
      <c r="H58" s="62">
        <v>144</v>
      </c>
      <c r="I58" s="63">
        <f t="shared" si="92"/>
      </c>
      <c r="J58" s="64">
        <f t="shared" si="65"/>
      </c>
      <c r="K58" s="65">
        <v>9</v>
      </c>
      <c r="L58" s="64">
        <f t="shared" si="31"/>
      </c>
      <c r="M58" s="64">
        <f t="shared" si="8"/>
      </c>
      <c r="N58" s="65">
        <v>0</v>
      </c>
      <c r="O58" s="64">
        <f t="shared" si="105"/>
      </c>
      <c r="P58" s="64">
        <f t="shared" si="76"/>
      </c>
      <c r="Q58" s="65">
        <f t="shared" si="49"/>
      </c>
      <c r="R58" s="66">
        <f t="shared" si="38"/>
      </c>
      <c r="S58" s="64">
        <f t="shared" si="15"/>
      </c>
      <c r="T58" s="64">
        <f t="shared" si="112"/>
      </c>
      <c r="U58" s="64">
        <f t="shared" si="83"/>
      </c>
      <c r="V58" s="57">
        <v>2</v>
      </c>
      <c r="W58" s="60">
        <v>1050.6</v>
      </c>
      <c r="X58" s="60">
        <f t="shared" si="56"/>
      </c>
      <c r="Y58" s="64">
        <f t="shared" si="22"/>
      </c>
      <c r="Z58" s="57">
        <v>4</v>
      </c>
      <c r="AA58" s="57">
        <v>8</v>
      </c>
      <c r="AB58" s="63">
        <f t="shared" si="119"/>
      </c>
      <c r="AD58" s="67">
        <v>3</v>
      </c>
      <c r="AE58" s="68">
        <v>2888.4000000000005</v>
      </c>
    </row>
    <row r="59">
      <c r="A59" s="80"/>
      <c r="B59" s="58" t="s">
        <v>62</v>
      </c>
      <c r="C59" s="81" t="s">
        <v>35</v>
      </c>
      <c r="D59" s="59" t="s">
        <v>36</v>
      </c>
      <c r="E59" s="58" t="s">
        <v>37</v>
      </c>
      <c r="F59" s="60">
        <v>768.77</v>
      </c>
      <c r="G59" s="61">
        <v>67769</v>
      </c>
      <c r="H59" s="62">
        <v>99</v>
      </c>
      <c r="I59" s="63">
        <f t="shared" si="92"/>
      </c>
      <c r="J59" s="64">
        <f t="shared" si="65"/>
      </c>
      <c r="K59" s="95">
        <v>10</v>
      </c>
      <c r="L59" s="64">
        <f t="shared" si="31"/>
      </c>
      <c r="M59" s="64">
        <f t="shared" si="8"/>
      </c>
      <c r="N59" s="95">
        <v>0</v>
      </c>
      <c r="O59" s="64">
        <f t="shared" si="105"/>
      </c>
      <c r="P59" s="64">
        <f t="shared" si="76"/>
      </c>
      <c r="Q59" s="65">
        <f t="shared" si="49"/>
      </c>
      <c r="R59" s="66">
        <f t="shared" si="38"/>
      </c>
      <c r="S59" s="64">
        <f t="shared" si="15"/>
      </c>
      <c r="T59" s="64">
        <f t="shared" si="112"/>
      </c>
      <c r="U59" s="64">
        <f t="shared" si="83"/>
      </c>
      <c r="V59" s="96">
        <v>0</v>
      </c>
      <c r="W59" s="97">
        <v>0</v>
      </c>
      <c r="X59" s="60">
        <f t="shared" si="56"/>
      </c>
      <c r="Y59" s="64">
        <f t="shared" si="22"/>
      </c>
      <c r="Z59" s="96">
        <v>3</v>
      </c>
      <c r="AA59" s="96">
        <v>10</v>
      </c>
      <c r="AB59" s="63">
        <f t="shared" si="119"/>
      </c>
      <c r="AD59" s="98">
        <v>0</v>
      </c>
      <c r="AE59" s="99">
        <v>0</v>
      </c>
    </row>
    <row r="60">
      <c r="A60" s="71" t="s">
        <v>41</v>
      </c>
      <c r="B60" s="71"/>
      <c r="C60" s="71"/>
      <c r="D60" s="71"/>
      <c r="E60" s="71"/>
      <c r="F60" s="73">
        <f>SUM(F55:F59)</f>
      </c>
      <c r="G60" s="73">
        <f>SUM(G55:G59)</f>
      </c>
      <c r="H60" s="73">
        <f>SUM(H55:H59)</f>
      </c>
      <c r="I60" s="75">
        <f t="shared" si="92"/>
      </c>
      <c r="J60" s="76">
        <f t="shared" si="65"/>
      </c>
      <c r="K60" s="73">
        <f>SUM(K55:K59)</f>
      </c>
      <c r="L60" s="76">
        <f t="shared" si="31"/>
      </c>
      <c r="M60" s="76">
        <f t="shared" si="8"/>
      </c>
      <c r="N60" s="73">
        <f>SUM(N55:N59)</f>
      </c>
      <c r="O60" s="76">
        <f t="shared" si="105"/>
      </c>
      <c r="P60" s="76">
        <f t="shared" si="76"/>
      </c>
      <c r="Q60" s="73">
        <f>SUM(Q55:Q59)</f>
      </c>
      <c r="R60" s="75">
        <f t="shared" si="38"/>
      </c>
      <c r="S60" s="76">
        <f t="shared" si="15"/>
      </c>
      <c r="T60" s="73">
        <f>SUM(T55:T59)</f>
      </c>
      <c r="U60" s="76">
        <f t="shared" si="83"/>
      </c>
      <c r="V60" s="73">
        <f>SUM(V55:V59)</f>
      </c>
      <c r="W60" s="73">
        <f>SUM(W55:W59)</f>
      </c>
      <c r="X60" s="76">
        <f t="shared" si="56"/>
      </c>
      <c r="Y60" s="76">
        <f t="shared" si="22"/>
      </c>
      <c r="Z60" s="73">
        <f>SUM(Z55:Z59)</f>
      </c>
      <c r="AA60" s="73">
        <f>SUM(AA55:AA59)</f>
      </c>
      <c r="AB60" s="75">
        <f t="shared" si="119"/>
      </c>
      <c r="AD60" s="73">
        <f>SUM(AD55:AD59)</f>
      </c>
      <c r="AE60" s="73">
        <f>SUM(AE55:AE59)</f>
      </c>
    </row>
    <row r="61">
      <c r="F61" s="100"/>
      <c r="I61" s="101"/>
      <c r="J61" s="100"/>
      <c r="K61" s="100"/>
      <c r="V61" s="100"/>
      <c r="AA61" s="100"/>
      <c r="AC61" s="100"/>
      <c r="AE61">
        <v>2888.4000000000005</v>
      </c>
    </row>
    <row r="62">
      <c r="F62" s="100"/>
      <c r="I62" s="101"/>
      <c r="J62" s="100"/>
      <c r="K62" s="100"/>
      <c r="V62" s="100"/>
      <c r="W62" s="83"/>
      <c r="X62" s="83"/>
      <c r="AA62" s="100"/>
      <c r="AC62" s="100"/>
      <c r="AE62" s="83">
        <v>7503.6</v>
      </c>
    </row>
    <row r="63">
      <c r="C63" s="83"/>
      <c r="D63" s="102"/>
      <c r="F63" s="100"/>
      <c r="I63" s="101"/>
      <c r="J63" s="100"/>
      <c r="K63" s="100"/>
      <c r="V63" s="100"/>
      <c r="W63" s="83">
        <v>3408</v>
      </c>
      <c r="AA63" s="100"/>
      <c r="AC63" s="100"/>
    </row>
    <row r="64">
      <c r="C64" s="102"/>
      <c r="D64" s="83"/>
      <c r="E64" s="83"/>
      <c r="F64" s="103"/>
      <c r="I64" s="101"/>
      <c r="J64" s="100"/>
      <c r="K64" s="100"/>
      <c r="V64" s="100"/>
      <c r="W64" s="83">
        <v>2652</v>
      </c>
      <c r="AA64" s="100"/>
      <c r="AC64" s="100"/>
    </row>
    <row r="65">
      <c r="F65" s="100"/>
      <c r="I65" s="101"/>
      <c r="J65" s="100"/>
      <c r="K65" s="100"/>
      <c r="V65" s="100"/>
      <c r="W65">
        <f>W63+W64</f>
      </c>
      <c r="AA65" s="100"/>
      <c r="AC65" s="100"/>
    </row>
    <row r="66">
      <c r="C66" s="83"/>
      <c r="F66" s="100"/>
      <c r="I66" s="101"/>
      <c r="J66" s="100"/>
      <c r="K66" s="100"/>
      <c r="V66" s="100"/>
      <c r="AA66" s="100"/>
      <c r="AC66" s="100"/>
    </row>
    <row r="67">
      <c r="F67" s="100"/>
      <c r="I67" s="101"/>
      <c r="J67" s="100"/>
      <c r="K67" s="100"/>
      <c r="V67" s="100"/>
      <c r="AA67" s="100"/>
      <c r="AC67" s="100"/>
    </row>
    <row r="68">
      <c r="F68" s="100"/>
      <c r="I68" s="101"/>
      <c r="J68" s="100"/>
      <c r="K68" s="100"/>
      <c r="V68" s="100"/>
      <c r="AA68" s="100"/>
      <c r="AC68" s="100"/>
    </row>
    <row r="69">
      <c r="F69" s="100"/>
      <c r="I69" s="101"/>
      <c r="J69" s="100"/>
      <c r="K69" s="100"/>
      <c r="V69" s="100"/>
      <c r="AA69" s="100"/>
      <c r="AC69" s="100"/>
    </row>
    <row r="70">
      <c r="F70" s="100"/>
      <c r="I70" s="101"/>
      <c r="J70" s="100"/>
      <c r="K70" s="100"/>
      <c r="V70" s="100"/>
      <c r="AA70" s="100"/>
      <c r="AC70" s="100"/>
    </row>
    <row r="71">
      <c r="F71" s="100"/>
      <c r="I71" s="101"/>
      <c r="J71" s="100"/>
      <c r="K71" s="100"/>
      <c r="V71" s="100"/>
      <c r="AA71" s="100"/>
      <c r="AC71" s="100"/>
    </row>
    <row r="72">
      <c r="F72" s="100"/>
      <c r="I72" s="101"/>
      <c r="J72" s="100"/>
      <c r="K72" s="100"/>
      <c r="V72" s="100"/>
      <c r="AA72" s="100"/>
      <c r="AC72" s="100"/>
    </row>
    <row r="73">
      <c r="F73" s="100"/>
      <c r="I73" s="101"/>
      <c r="J73" s="100"/>
      <c r="K73" s="100"/>
      <c r="V73" s="100"/>
      <c r="AA73" s="100"/>
      <c r="AC73" s="100"/>
    </row>
    <row r="74">
      <c r="F74" s="100"/>
      <c r="I74" s="101"/>
      <c r="J74" s="100"/>
      <c r="K74" s="100"/>
      <c r="V74" s="100"/>
      <c r="AA74" s="100"/>
      <c r="AC74" s="100"/>
    </row>
    <row r="75">
      <c r="F75" s="100"/>
      <c r="I75" s="101"/>
      <c r="J75" s="100"/>
      <c r="K75" s="100"/>
      <c r="V75" s="100"/>
      <c r="AA75" s="100"/>
      <c r="AC75" s="100"/>
    </row>
    <row r="76">
      <c r="F76" s="100"/>
      <c r="I76" s="101"/>
      <c r="J76" s="100"/>
      <c r="K76" s="100"/>
      <c r="V76" s="100"/>
      <c r="AA76" s="100"/>
      <c r="AC76" s="100"/>
    </row>
    <row r="77">
      <c r="F77" s="100"/>
      <c r="I77" s="101"/>
      <c r="J77" s="100"/>
      <c r="K77" s="100"/>
      <c r="V77" s="100"/>
      <c r="AA77" s="100"/>
      <c r="AC77" s="100"/>
    </row>
    <row r="78">
      <c r="F78" s="100"/>
      <c r="I78" s="101"/>
      <c r="J78" s="100"/>
      <c r="K78" s="100"/>
      <c r="V78" s="100"/>
      <c r="AA78" s="100"/>
      <c r="AC78" s="100"/>
    </row>
    <row r="79">
      <c r="F79" s="100"/>
      <c r="I79" s="101"/>
      <c r="J79" s="100"/>
      <c r="K79" s="100"/>
      <c r="V79" s="100"/>
      <c r="AA79" s="100"/>
      <c r="AC79" s="100"/>
    </row>
    <row r="80">
      <c r="F80" s="100"/>
      <c r="I80" s="101"/>
      <c r="J80" s="100"/>
      <c r="K80" s="100"/>
      <c r="V80" s="100"/>
      <c r="AA80" s="100"/>
      <c r="AC80" s="100"/>
    </row>
    <row r="81">
      <c r="F81" s="100"/>
      <c r="I81" s="101"/>
      <c r="J81" s="100"/>
      <c r="K81" s="100"/>
      <c r="V81" s="100"/>
      <c r="AA81" s="100"/>
      <c r="AC81" s="100"/>
    </row>
    <row r="82">
      <c r="F82" s="100"/>
      <c r="I82" s="101"/>
      <c r="J82" s="100"/>
      <c r="K82" s="100"/>
      <c r="V82" s="100"/>
      <c r="AA82" s="100"/>
      <c r="AC82" s="100"/>
    </row>
    <row r="83">
      <c r="F83" s="100"/>
      <c r="I83" s="101"/>
      <c r="J83" s="100"/>
      <c r="K83" s="100"/>
      <c r="V83" s="100"/>
      <c r="AA83" s="100"/>
      <c r="AC83" s="100"/>
    </row>
    <row r="84">
      <c r="F84" s="100"/>
      <c r="I84" s="101"/>
      <c r="J84" s="100"/>
      <c r="K84" s="100"/>
      <c r="V84" s="100"/>
      <c r="AA84" s="100"/>
      <c r="AC84" s="100"/>
    </row>
    <row r="85">
      <c r="F85" s="100"/>
      <c r="I85" s="101"/>
      <c r="J85" s="100"/>
      <c r="K85" s="100"/>
      <c r="V85" s="100"/>
      <c r="AA85" s="100"/>
      <c r="AC85" s="100"/>
    </row>
    <row r="86">
      <c r="F86" s="100"/>
      <c r="I86" s="101"/>
      <c r="J86" s="100"/>
      <c r="K86" s="100"/>
      <c r="V86" s="100"/>
      <c r="AA86" s="100"/>
      <c r="AC86" s="100"/>
    </row>
    <row r="87">
      <c r="F87" s="100"/>
      <c r="I87" s="101"/>
      <c r="J87" s="100"/>
      <c r="K87" s="100"/>
      <c r="V87" s="100"/>
      <c r="AA87" s="100"/>
      <c r="AC87" s="100"/>
    </row>
    <row r="88">
      <c r="F88" s="100"/>
      <c r="I88" s="101"/>
      <c r="J88" s="100"/>
      <c r="K88" s="100"/>
      <c r="V88" s="100"/>
      <c r="AA88" s="100"/>
      <c r="AC88" s="100"/>
    </row>
    <row r="89">
      <c r="F89" s="100"/>
      <c r="I89" s="101"/>
      <c r="J89" s="100"/>
      <c r="K89" s="100"/>
      <c r="V89" s="100"/>
      <c r="AA89" s="100"/>
      <c r="AC89" s="100"/>
    </row>
    <row r="90">
      <c r="F90" s="100"/>
      <c r="I90" s="101"/>
      <c r="J90" s="100"/>
      <c r="K90" s="100"/>
      <c r="V90" s="100"/>
      <c r="AA90" s="100"/>
      <c r="AC90" s="100"/>
    </row>
    <row r="91">
      <c r="F91" s="100"/>
      <c r="I91" s="101"/>
      <c r="J91" s="100"/>
      <c r="K91" s="100"/>
      <c r="V91" s="100"/>
      <c r="AA91" s="100"/>
      <c r="AC91" s="100"/>
    </row>
    <row r="92">
      <c r="F92" s="100"/>
      <c r="I92" s="101"/>
      <c r="J92" s="100"/>
      <c r="K92" s="100"/>
      <c r="V92" s="100"/>
      <c r="AA92" s="100"/>
      <c r="AC92" s="100"/>
    </row>
    <row r="93">
      <c r="F93" s="100"/>
      <c r="I93" s="101"/>
      <c r="J93" s="100"/>
      <c r="K93" s="100"/>
      <c r="V93" s="100"/>
      <c r="AA93" s="100"/>
      <c r="AC93" s="100"/>
    </row>
    <row r="94">
      <c r="F94" s="100"/>
      <c r="I94" s="101"/>
      <c r="J94" s="100"/>
      <c r="K94" s="100"/>
      <c r="V94" s="100"/>
      <c r="AA94" s="100"/>
      <c r="AC94" s="100"/>
    </row>
    <row r="95">
      <c r="F95" s="100"/>
      <c r="I95" s="101"/>
      <c r="J95" s="100"/>
      <c r="K95" s="100"/>
      <c r="V95" s="100"/>
      <c r="AA95" s="100"/>
      <c r="AC95" s="100"/>
    </row>
    <row r="96">
      <c r="F96" s="100"/>
      <c r="I96" s="101"/>
      <c r="J96" s="100"/>
      <c r="K96" s="100"/>
      <c r="V96" s="100"/>
      <c r="AA96" s="100"/>
      <c r="AC96" s="100"/>
    </row>
    <row r="97">
      <c r="F97" s="100"/>
      <c r="I97" s="101"/>
      <c r="J97" s="100"/>
      <c r="K97" s="100"/>
      <c r="V97" s="100"/>
      <c r="AA97" s="100"/>
      <c r="AC97" s="100"/>
    </row>
    <row r="98">
      <c r="F98" s="100"/>
      <c r="I98" s="101"/>
      <c r="J98" s="100"/>
      <c r="K98" s="100"/>
      <c r="V98" s="100"/>
      <c r="AA98" s="100"/>
      <c r="AC98" s="100"/>
    </row>
    <row r="99">
      <c r="F99" s="100"/>
      <c r="I99" s="101"/>
      <c r="J99" s="100"/>
      <c r="K99" s="100"/>
      <c r="V99" s="100"/>
      <c r="AA99" s="100"/>
      <c r="AC99" s="100"/>
    </row>
    <row r="100">
      <c r="F100" s="100"/>
      <c r="I100" s="101"/>
      <c r="J100" s="100"/>
      <c r="K100" s="100"/>
      <c r="V100" s="100"/>
      <c r="AA100" s="100"/>
      <c r="AC100" s="100"/>
    </row>
    <row r="101">
      <c r="F101" s="100"/>
      <c r="I101" s="101"/>
      <c r="J101" s="100"/>
      <c r="K101" s="100"/>
      <c r="V101" s="100"/>
      <c r="AA101" s="100"/>
      <c r="AC101" s="100"/>
    </row>
    <row r="102">
      <c r="F102" s="100"/>
      <c r="I102" s="101"/>
      <c r="J102" s="100"/>
      <c r="K102" s="100"/>
      <c r="V102" s="100"/>
      <c r="AA102" s="100"/>
      <c r="AC102" s="100"/>
    </row>
    <row r="103">
      <c r="F103" s="100"/>
      <c r="I103" s="101"/>
      <c r="J103" s="100"/>
      <c r="K103" s="100"/>
      <c r="V103" s="100"/>
      <c r="AA103" s="100"/>
      <c r="AC103" s="100"/>
    </row>
    <row r="104">
      <c r="F104" s="100"/>
      <c r="I104" s="101"/>
      <c r="J104" s="100"/>
      <c r="K104" s="100"/>
      <c r="V104" s="100"/>
      <c r="AA104" s="100"/>
      <c r="AC104" s="100"/>
    </row>
    <row r="105">
      <c r="F105" s="100"/>
      <c r="I105" s="101"/>
      <c r="J105" s="100"/>
      <c r="K105" s="100"/>
      <c r="V105" s="100"/>
      <c r="AA105" s="100"/>
      <c r="AC105" s="100"/>
    </row>
    <row r="106">
      <c r="F106" s="100"/>
      <c r="I106" s="101"/>
      <c r="J106" s="100"/>
      <c r="K106" s="100"/>
      <c r="V106" s="100"/>
      <c r="AA106" s="100"/>
      <c r="AC106" s="100"/>
    </row>
    <row r="107">
      <c r="F107" s="100"/>
      <c r="I107" s="101"/>
      <c r="J107" s="100"/>
      <c r="K107" s="100"/>
      <c r="V107" s="100"/>
      <c r="AA107" s="100"/>
      <c r="AC107" s="100"/>
    </row>
    <row r="108">
      <c r="F108" s="100"/>
      <c r="I108" s="101"/>
      <c r="J108" s="100"/>
      <c r="K108" s="100"/>
      <c r="V108" s="100"/>
      <c r="AA108" s="100"/>
      <c r="AC108" s="100"/>
    </row>
    <row r="109">
      <c r="F109" s="100"/>
      <c r="I109" s="101"/>
      <c r="J109" s="100"/>
      <c r="K109" s="100"/>
      <c r="V109" s="100"/>
      <c r="AA109" s="100"/>
      <c r="AC109" s="100"/>
    </row>
    <row r="110">
      <c r="F110" s="100"/>
      <c r="I110" s="101"/>
      <c r="J110" s="100"/>
      <c r="K110" s="100"/>
      <c r="V110" s="100"/>
      <c r="AA110" s="100"/>
      <c r="AC110" s="100"/>
    </row>
    <row r="111">
      <c r="F111" s="100"/>
      <c r="I111" s="101"/>
      <c r="J111" s="100"/>
      <c r="K111" s="100"/>
      <c r="V111" s="100"/>
      <c r="AA111" s="100"/>
      <c r="AC111" s="100"/>
    </row>
    <row r="112">
      <c r="F112" s="100"/>
      <c r="I112" s="101"/>
      <c r="J112" s="100"/>
      <c r="K112" s="100"/>
      <c r="V112" s="100"/>
      <c r="AA112" s="100"/>
      <c r="AC112" s="100"/>
    </row>
    <row r="113">
      <c r="F113" s="100"/>
      <c r="I113" s="101"/>
      <c r="J113" s="100"/>
      <c r="K113" s="100"/>
      <c r="V113" s="100"/>
      <c r="AA113" s="100"/>
      <c r="AC113" s="100"/>
    </row>
    <row r="114">
      <c r="F114" s="100"/>
      <c r="I114" s="101"/>
      <c r="J114" s="100"/>
      <c r="K114" s="100"/>
      <c r="V114" s="100"/>
      <c r="AA114" s="100"/>
      <c r="AC114" s="100"/>
    </row>
    <row r="115">
      <c r="F115" s="100"/>
      <c r="I115" s="101"/>
      <c r="J115" s="100"/>
      <c r="K115" s="100"/>
      <c r="V115" s="100"/>
      <c r="AA115" s="100"/>
      <c r="AC115" s="100"/>
    </row>
    <row r="116">
      <c r="F116" s="100"/>
      <c r="I116" s="101"/>
      <c r="J116" s="100"/>
      <c r="K116" s="100"/>
      <c r="V116" s="100"/>
      <c r="AA116" s="100"/>
      <c r="AC116" s="100"/>
    </row>
    <row r="117">
      <c r="F117" s="100"/>
      <c r="I117" s="101"/>
      <c r="J117" s="100"/>
      <c r="K117" s="100"/>
      <c r="V117" s="100"/>
      <c r="AA117" s="100"/>
      <c r="AC117" s="100"/>
    </row>
    <row r="118">
      <c r="F118" s="100"/>
      <c r="I118" s="101"/>
      <c r="J118" s="100"/>
      <c r="K118" s="100"/>
      <c r="V118" s="100"/>
      <c r="AA118" s="100"/>
      <c r="AC118" s="100"/>
    </row>
    <row r="119">
      <c r="F119" s="100"/>
      <c r="I119" s="101"/>
      <c r="J119" s="100"/>
      <c r="K119" s="100"/>
      <c r="V119" s="100"/>
      <c r="AA119" s="100"/>
      <c r="AC119" s="100"/>
    </row>
    <row r="120">
      <c r="F120" s="100"/>
      <c r="I120" s="101"/>
      <c r="J120" s="100"/>
      <c r="K120" s="100"/>
      <c r="V120" s="100"/>
      <c r="AA120" s="100"/>
      <c r="AC120" s="100"/>
    </row>
    <row r="121">
      <c r="F121" s="100"/>
      <c r="I121" s="101"/>
      <c r="J121" s="100"/>
      <c r="K121" s="100"/>
      <c r="V121" s="100"/>
      <c r="AA121" s="100"/>
      <c r="AC121" s="100"/>
    </row>
    <row r="122">
      <c r="F122" s="100"/>
      <c r="I122" s="101"/>
      <c r="J122" s="100"/>
      <c r="K122" s="100"/>
      <c r="V122" s="100"/>
      <c r="AA122" s="100"/>
      <c r="AC122" s="100"/>
    </row>
    <row r="123">
      <c r="F123" s="100"/>
      <c r="I123" s="101"/>
      <c r="J123" s="100"/>
      <c r="K123" s="100"/>
      <c r="V123" s="100"/>
      <c r="AA123" s="100"/>
      <c r="AC123" s="100"/>
    </row>
    <row r="124">
      <c r="F124" s="100"/>
      <c r="I124" s="101"/>
      <c r="J124" s="100"/>
      <c r="K124" s="100"/>
      <c r="V124" s="100"/>
      <c r="AA124" s="100"/>
      <c r="AC124" s="100"/>
    </row>
    <row r="125">
      <c r="F125" s="100"/>
      <c r="I125" s="101"/>
      <c r="J125" s="100"/>
      <c r="K125" s="100"/>
      <c r="V125" s="100"/>
      <c r="AA125" s="100"/>
      <c r="AC125" s="100"/>
    </row>
    <row r="126">
      <c r="F126" s="100"/>
      <c r="I126" s="101"/>
      <c r="J126" s="100"/>
      <c r="K126" s="100"/>
      <c r="V126" s="100"/>
      <c r="AA126" s="100"/>
      <c r="AC126" s="100"/>
    </row>
    <row r="127">
      <c r="F127" s="100"/>
      <c r="I127" s="101"/>
      <c r="J127" s="100"/>
      <c r="K127" s="100"/>
      <c r="V127" s="100"/>
      <c r="AA127" s="100"/>
      <c r="AC127" s="100"/>
    </row>
    <row r="128">
      <c r="F128" s="100"/>
      <c r="I128" s="101"/>
      <c r="J128" s="100"/>
      <c r="K128" s="100"/>
      <c r="V128" s="100"/>
      <c r="AA128" s="100"/>
      <c r="AC128" s="100"/>
    </row>
    <row r="129">
      <c r="F129" s="100"/>
      <c r="I129" s="101"/>
      <c r="J129" s="100"/>
      <c r="K129" s="100"/>
      <c r="V129" s="100"/>
      <c r="AA129" s="100"/>
      <c r="AC129" s="100"/>
    </row>
    <row r="130">
      <c r="F130" s="100"/>
      <c r="I130" s="101"/>
      <c r="J130" s="100"/>
      <c r="K130" s="100"/>
      <c r="V130" s="100"/>
      <c r="AA130" s="100"/>
      <c r="AC130" s="100"/>
    </row>
    <row r="131">
      <c r="F131" s="100"/>
      <c r="I131" s="101"/>
      <c r="J131" s="100"/>
      <c r="K131" s="100"/>
      <c r="V131" s="100"/>
      <c r="AA131" s="100"/>
      <c r="AC131" s="100"/>
    </row>
    <row r="132">
      <c r="F132" s="100"/>
      <c r="I132" s="101"/>
      <c r="J132" s="100"/>
      <c r="K132" s="100"/>
      <c r="V132" s="100"/>
      <c r="AA132" s="100"/>
      <c r="AC132" s="100"/>
    </row>
    <row r="133">
      <c r="F133" s="100"/>
      <c r="I133" s="101"/>
      <c r="J133" s="100"/>
      <c r="K133" s="100"/>
      <c r="V133" s="100"/>
      <c r="AA133" s="100"/>
      <c r="AC133" s="100"/>
    </row>
    <row r="134">
      <c r="F134" s="100"/>
      <c r="I134" s="101"/>
      <c r="J134" s="100"/>
      <c r="K134" s="100"/>
      <c r="V134" s="100"/>
      <c r="AA134" s="100"/>
      <c r="AC134" s="100"/>
    </row>
    <row r="135">
      <c r="F135" s="100"/>
      <c r="I135" s="101"/>
      <c r="J135" s="100"/>
      <c r="K135" s="100"/>
      <c r="V135" s="100"/>
      <c r="AA135" s="100"/>
      <c r="AC135" s="100"/>
    </row>
    <row r="136">
      <c r="F136" s="100"/>
      <c r="I136" s="101"/>
      <c r="J136" s="100"/>
      <c r="K136" s="100"/>
      <c r="V136" s="100"/>
      <c r="AA136" s="100"/>
      <c r="AC136" s="100"/>
    </row>
    <row r="137">
      <c r="F137" s="100"/>
      <c r="I137" s="101"/>
      <c r="J137" s="100"/>
      <c r="K137" s="100"/>
      <c r="V137" s="100"/>
      <c r="AA137" s="100"/>
      <c r="AC137" s="100"/>
    </row>
    <row r="138">
      <c r="F138" s="100"/>
      <c r="I138" s="101"/>
      <c r="J138" s="100"/>
      <c r="K138" s="100"/>
      <c r="V138" s="100"/>
      <c r="AA138" s="100"/>
      <c r="AC138" s="100"/>
    </row>
    <row r="139">
      <c r="F139" s="100"/>
      <c r="I139" s="101"/>
      <c r="J139" s="100"/>
      <c r="K139" s="100"/>
      <c r="V139" s="100"/>
      <c r="AA139" s="100"/>
      <c r="AC139" s="100"/>
    </row>
    <row r="140">
      <c r="F140" s="100"/>
      <c r="I140" s="101"/>
      <c r="J140" s="100"/>
      <c r="K140" s="100"/>
      <c r="V140" s="100"/>
      <c r="AA140" s="100"/>
      <c r="AC140" s="100"/>
    </row>
    <row r="141">
      <c r="F141" s="100"/>
      <c r="I141" s="101"/>
      <c r="J141" s="100"/>
      <c r="K141" s="100"/>
      <c r="V141" s="100"/>
      <c r="AA141" s="100"/>
      <c r="AC141" s="100"/>
    </row>
    <row r="142">
      <c r="F142" s="100"/>
      <c r="I142" s="101"/>
      <c r="J142" s="100"/>
      <c r="K142" s="100"/>
      <c r="V142" s="100"/>
      <c r="AA142" s="100"/>
      <c r="AC142" s="100"/>
    </row>
    <row r="143">
      <c r="F143" s="100"/>
      <c r="I143" s="101"/>
      <c r="J143" s="100"/>
      <c r="K143" s="100"/>
      <c r="V143" s="100"/>
      <c r="AA143" s="100"/>
      <c r="AC143" s="100"/>
    </row>
    <row r="144">
      <c r="F144" s="100"/>
      <c r="I144" s="101"/>
      <c r="J144" s="100"/>
      <c r="K144" s="100"/>
      <c r="V144" s="100"/>
      <c r="AA144" s="100"/>
      <c r="AC144" s="100"/>
    </row>
    <row r="145">
      <c r="F145" s="100"/>
      <c r="I145" s="101"/>
      <c r="J145" s="100"/>
      <c r="K145" s="100"/>
      <c r="V145" s="100"/>
      <c r="AA145" s="100"/>
      <c r="AC145" s="100"/>
    </row>
    <row r="146">
      <c r="F146" s="100"/>
      <c r="I146" s="101"/>
      <c r="J146" s="100"/>
      <c r="K146" s="100"/>
      <c r="V146" s="100"/>
      <c r="AA146" s="100"/>
      <c r="AC146" s="100"/>
    </row>
    <row r="147">
      <c r="F147" s="100"/>
      <c r="I147" s="101"/>
      <c r="J147" s="100"/>
      <c r="K147" s="100"/>
      <c r="V147" s="100"/>
      <c r="AA147" s="100"/>
      <c r="AC147" s="100"/>
    </row>
    <row r="148">
      <c r="F148" s="100"/>
      <c r="I148" s="101"/>
      <c r="J148" s="100"/>
      <c r="K148" s="100"/>
      <c r="V148" s="100"/>
      <c r="AA148" s="100"/>
      <c r="AC148" s="100"/>
    </row>
    <row r="149">
      <c r="F149" s="100"/>
      <c r="I149" s="101"/>
      <c r="J149" s="100"/>
      <c r="K149" s="100"/>
      <c r="V149" s="100"/>
      <c r="AA149" s="100"/>
      <c r="AC149" s="100"/>
    </row>
    <row r="150">
      <c r="F150" s="100"/>
      <c r="I150" s="101"/>
      <c r="J150" s="100"/>
      <c r="K150" s="100"/>
      <c r="V150" s="100"/>
      <c r="AA150" s="100"/>
      <c r="AC150" s="100"/>
    </row>
    <row r="151">
      <c r="F151" s="100"/>
      <c r="I151" s="101"/>
      <c r="J151" s="100"/>
      <c r="K151" s="100"/>
      <c r="V151" s="100"/>
      <c r="AA151" s="100"/>
      <c r="AC151" s="100"/>
    </row>
    <row r="152">
      <c r="F152" s="100"/>
      <c r="I152" s="101"/>
      <c r="J152" s="100"/>
      <c r="K152" s="100"/>
      <c r="V152" s="100"/>
      <c r="AA152" s="100"/>
      <c r="AC152" s="100"/>
    </row>
    <row r="153">
      <c r="F153" s="100"/>
      <c r="I153" s="101"/>
      <c r="J153" s="100"/>
      <c r="K153" s="100"/>
      <c r="V153" s="100"/>
      <c r="AA153" s="100"/>
      <c r="AC153" s="100"/>
    </row>
    <row r="154">
      <c r="F154" s="100"/>
      <c r="I154" s="101"/>
      <c r="J154" s="100"/>
      <c r="K154" s="100"/>
      <c r="V154" s="100"/>
      <c r="AA154" s="100"/>
      <c r="AC154" s="100"/>
    </row>
    <row r="155">
      <c r="F155" s="100"/>
      <c r="I155" s="101"/>
      <c r="J155" s="100"/>
      <c r="K155" s="100"/>
      <c r="V155" s="100"/>
      <c r="AA155" s="100"/>
      <c r="AC155" s="100"/>
    </row>
    <row r="156">
      <c r="F156" s="100"/>
      <c r="I156" s="101"/>
      <c r="J156" s="100"/>
      <c r="K156" s="100"/>
      <c r="V156" s="100"/>
      <c r="AA156" s="100"/>
      <c r="AC156" s="100"/>
    </row>
    <row r="157">
      <c r="F157" s="100"/>
      <c r="I157" s="101"/>
      <c r="J157" s="100"/>
      <c r="K157" s="100"/>
      <c r="V157" s="100"/>
      <c r="AA157" s="100"/>
      <c r="AC157" s="100"/>
    </row>
    <row r="158">
      <c r="F158" s="100"/>
      <c r="I158" s="101"/>
      <c r="J158" s="100"/>
      <c r="K158" s="100"/>
      <c r="V158" s="100"/>
      <c r="AA158" s="100"/>
      <c r="AC158" s="100"/>
    </row>
    <row r="159">
      <c r="F159" s="100"/>
      <c r="I159" s="101"/>
      <c r="J159" s="100"/>
      <c r="K159" s="100"/>
      <c r="V159" s="100"/>
      <c r="AA159" s="100"/>
      <c r="AC159" s="100"/>
    </row>
    <row r="160">
      <c r="F160" s="100"/>
      <c r="I160" s="101"/>
      <c r="J160" s="100"/>
      <c r="K160" s="100"/>
      <c r="V160" s="100"/>
      <c r="AA160" s="100"/>
      <c r="AC160" s="100"/>
    </row>
    <row r="161">
      <c r="F161" s="100"/>
      <c r="I161" s="101"/>
      <c r="J161" s="100"/>
      <c r="K161" s="100"/>
      <c r="V161" s="100"/>
      <c r="AA161" s="100"/>
      <c r="AC161" s="100"/>
    </row>
    <row r="162">
      <c r="F162" s="100"/>
      <c r="I162" s="101"/>
      <c r="J162" s="100"/>
      <c r="K162" s="100"/>
      <c r="V162" s="100"/>
      <c r="AA162" s="100"/>
      <c r="AC162" s="100"/>
    </row>
    <row r="163">
      <c r="F163" s="100"/>
      <c r="I163" s="101"/>
      <c r="J163" s="100"/>
      <c r="K163" s="100"/>
      <c r="V163" s="100"/>
      <c r="AA163" s="100"/>
      <c r="AC163" s="100"/>
    </row>
    <row r="164">
      <c r="F164" s="100"/>
      <c r="I164" s="101"/>
      <c r="J164" s="100"/>
      <c r="K164" s="100"/>
      <c r="V164" s="100"/>
      <c r="AA164" s="100"/>
      <c r="AC164" s="100"/>
    </row>
    <row r="165">
      <c r="F165" s="100"/>
      <c r="I165" s="101"/>
      <c r="J165" s="100"/>
      <c r="K165" s="100"/>
      <c r="V165" s="100"/>
      <c r="AA165" s="100"/>
      <c r="AC165" s="100"/>
    </row>
    <row r="166">
      <c r="F166" s="100"/>
      <c r="I166" s="101"/>
      <c r="J166" s="100"/>
      <c r="K166" s="100"/>
      <c r="V166" s="100"/>
      <c r="AA166" s="100"/>
      <c r="AC166" s="100"/>
    </row>
    <row r="167">
      <c r="F167" s="100"/>
      <c r="I167" s="101"/>
      <c r="J167" s="100"/>
      <c r="K167" s="100"/>
      <c r="V167" s="100"/>
      <c r="AA167" s="100"/>
      <c r="AC167" s="100"/>
    </row>
    <row r="168">
      <c r="F168" s="100"/>
      <c r="I168" s="101"/>
      <c r="J168" s="100"/>
      <c r="K168" s="100"/>
      <c r="V168" s="100"/>
      <c r="AA168" s="100"/>
      <c r="AC168" s="100"/>
    </row>
    <row r="169">
      <c r="F169" s="100"/>
      <c r="I169" s="101"/>
      <c r="J169" s="100"/>
      <c r="K169" s="100"/>
      <c r="V169" s="100"/>
      <c r="AA169" s="100"/>
      <c r="AC169" s="100"/>
    </row>
    <row r="170">
      <c r="F170" s="100"/>
      <c r="I170" s="101"/>
      <c r="J170" s="100"/>
      <c r="K170" s="100"/>
      <c r="V170" s="100"/>
      <c r="AA170" s="100"/>
      <c r="AC170" s="100"/>
    </row>
    <row r="171">
      <c r="F171" s="100"/>
      <c r="I171" s="101"/>
      <c r="J171" s="100"/>
      <c r="K171" s="100"/>
      <c r="V171" s="100"/>
      <c r="AA171" s="100"/>
      <c r="AC171" s="100"/>
    </row>
    <row r="172">
      <c r="F172" s="100"/>
      <c r="I172" s="101"/>
      <c r="J172" s="100"/>
      <c r="K172" s="100"/>
      <c r="V172" s="100"/>
      <c r="AA172" s="100"/>
      <c r="AC172" s="100"/>
    </row>
    <row r="173">
      <c r="F173" s="100"/>
      <c r="I173" s="101"/>
      <c r="J173" s="100"/>
      <c r="K173" s="100"/>
      <c r="V173" s="100"/>
      <c r="AA173" s="100"/>
      <c r="AC173" s="100"/>
    </row>
    <row r="174">
      <c r="F174" s="100"/>
      <c r="I174" s="101"/>
      <c r="J174" s="100"/>
      <c r="K174" s="100"/>
      <c r="V174" s="100"/>
      <c r="AA174" s="100"/>
      <c r="AC174" s="100"/>
    </row>
    <row r="175">
      <c r="F175" s="100"/>
      <c r="I175" s="101"/>
      <c r="J175" s="100"/>
      <c r="K175" s="100"/>
      <c r="V175" s="100"/>
      <c r="AA175" s="100"/>
      <c r="AC175" s="100"/>
    </row>
    <row r="176">
      <c r="F176" s="100"/>
      <c r="I176" s="101"/>
      <c r="J176" s="100"/>
      <c r="K176" s="100"/>
      <c r="V176" s="100"/>
      <c r="AA176" s="100"/>
      <c r="AC176" s="100"/>
    </row>
    <row r="177">
      <c r="F177" s="100"/>
      <c r="I177" s="101"/>
      <c r="J177" s="100"/>
      <c r="K177" s="100"/>
      <c r="V177" s="100"/>
      <c r="AA177" s="100"/>
      <c r="AC177" s="100"/>
    </row>
    <row r="178">
      <c r="F178" s="100"/>
      <c r="I178" s="101"/>
      <c r="J178" s="100"/>
      <c r="K178" s="100"/>
      <c r="V178" s="100"/>
      <c r="AA178" s="100"/>
      <c r="AC178" s="100"/>
    </row>
    <row r="179">
      <c r="F179" s="100"/>
      <c r="I179" s="101"/>
      <c r="J179" s="100"/>
      <c r="K179" s="100"/>
      <c r="V179" s="100"/>
      <c r="AA179" s="100"/>
      <c r="AC179" s="100"/>
    </row>
    <row r="180">
      <c r="F180" s="100"/>
      <c r="I180" s="101"/>
      <c r="J180" s="100"/>
      <c r="K180" s="100"/>
      <c r="V180" s="100"/>
      <c r="AA180" s="100"/>
      <c r="AC180" s="100"/>
    </row>
    <row r="181">
      <c r="F181" s="100"/>
      <c r="I181" s="101"/>
      <c r="J181" s="100"/>
      <c r="K181" s="100"/>
      <c r="V181" s="100"/>
      <c r="AA181" s="100"/>
      <c r="AC181" s="100"/>
    </row>
    <row r="182">
      <c r="F182" s="100"/>
      <c r="I182" s="101"/>
      <c r="J182" s="100"/>
      <c r="K182" s="100"/>
      <c r="V182" s="100"/>
      <c r="AA182" s="100"/>
      <c r="AC182" s="100"/>
    </row>
    <row r="183">
      <c r="F183" s="100"/>
      <c r="I183" s="101"/>
      <c r="J183" s="100"/>
      <c r="K183" s="100"/>
      <c r="V183" s="100"/>
      <c r="AA183" s="100"/>
      <c r="AC183" s="100"/>
    </row>
    <row r="184">
      <c r="F184" s="100"/>
      <c r="I184" s="101"/>
      <c r="J184" s="100"/>
      <c r="K184" s="100"/>
      <c r="V184" s="100"/>
      <c r="AA184" s="100"/>
      <c r="AC184" s="100"/>
    </row>
    <row r="185">
      <c r="F185" s="100"/>
      <c r="I185" s="101"/>
      <c r="J185" s="100"/>
      <c r="K185" s="100"/>
      <c r="V185" s="100"/>
      <c r="AA185" s="100"/>
      <c r="AC185" s="100"/>
    </row>
    <row r="186">
      <c r="F186" s="100"/>
      <c r="I186" s="101"/>
      <c r="J186" s="100"/>
      <c r="K186" s="100"/>
      <c r="V186" s="100"/>
      <c r="AA186" s="100"/>
      <c r="AC186" s="100"/>
    </row>
  </sheetData>
  <mergeCells>
    <mergeCell ref="A16:A19"/>
    <mergeCell ref="A20:E20"/>
    <mergeCell ref="A9:A14"/>
    <mergeCell ref="B14:E14"/>
    <mergeCell ref="B13:E13"/>
    <mergeCell ref="A2:A7"/>
    <mergeCell ref="B7:E7"/>
    <mergeCell ref="B6:E6"/>
    <mergeCell ref="A22:A25"/>
    <mergeCell ref="A26:E26"/>
    <mergeCell ref="A28:A31"/>
    <mergeCell ref="A32:E32"/>
    <mergeCell ref="A39:E39"/>
    <mergeCell ref="A34:A38"/>
    <mergeCell ref="A46:E46"/>
    <mergeCell ref="A41:A45"/>
    <mergeCell ref="A53:E53"/>
    <mergeCell ref="A48:A52"/>
    <mergeCell ref="A55:A59"/>
    <mergeCell ref="A60:E6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6" min="26" style="0" width="13.915492957746478"/>
    <col collapsed="false" customWidth="true" hidden="false" max="27" min="27" style="0" width="13.80281690140845"/>
    <col collapsed="false" customWidth="true" hidden="false" max="29" min="29" style="0" width="11.211267605633802"/>
    <col collapsed="false" customWidth="true" hidden="false" max="30" min="30" style="0" width="11.211267605633802"/>
    <col collapsed="false" customWidth="true" hidden="false" max="31" min="31" style="0" width="11.211267605633802"/>
    <col collapsed="false" customWidth="true" hidden="false" max="1" min="1" style="0" width="11.211267605633802"/>
    <col collapsed="false" customWidth="true" hidden="false" max="22" min="22" style="0" width="11.211267605633802"/>
  </cols>
  <sheetData>
    <row r="1">
      <c r="A1" s="104" t="s">
        <v>65</v>
      </c>
      <c r="B1" s="105" t="s">
        <v>66</v>
      </c>
      <c r="C1" s="105" t="s">
        <v>67</v>
      </c>
      <c r="D1" s="105" t="s">
        <v>68</v>
      </c>
      <c r="E1" s="105" t="s">
        <v>69</v>
      </c>
      <c r="F1" s="106" t="s">
        <v>70</v>
      </c>
      <c r="G1" s="107" t="s">
        <v>71</v>
      </c>
      <c r="H1" s="107" t="s">
        <v>72</v>
      </c>
      <c r="I1" s="108" t="s">
        <v>73</v>
      </c>
      <c r="J1" s="105" t="s">
        <v>74</v>
      </c>
      <c r="K1" s="109" t="s">
        <v>75</v>
      </c>
      <c r="L1" s="110" t="s">
        <v>76</v>
      </c>
      <c r="M1" s="105" t="s">
        <v>77</v>
      </c>
      <c r="N1" s="109" t="s">
        <v>78</v>
      </c>
      <c r="O1" s="110" t="s">
        <v>79</v>
      </c>
      <c r="P1" s="105" t="s">
        <v>80</v>
      </c>
      <c r="Q1" s="109" t="s">
        <v>81</v>
      </c>
      <c r="R1" s="110" t="s">
        <v>82</v>
      </c>
      <c r="S1" s="105" t="s">
        <v>83</v>
      </c>
      <c r="T1" s="111" t="s">
        <v>84</v>
      </c>
      <c r="U1" s="105" t="s">
        <v>85</v>
      </c>
      <c r="V1" s="112" t="s">
        <v>86</v>
      </c>
      <c r="W1" s="111" t="s">
        <v>87</v>
      </c>
      <c r="X1" s="113" t="s">
        <v>88</v>
      </c>
      <c r="Y1" s="105" t="s">
        <v>89</v>
      </c>
      <c r="Z1" s="109" t="s">
        <v>90</v>
      </c>
      <c r="AA1" s="109" t="s">
        <v>91</v>
      </c>
      <c r="AB1" s="110" t="s">
        <v>92</v>
      </c>
      <c r="AC1" s="114"/>
      <c r="AD1" s="115" t="s">
        <v>93</v>
      </c>
      <c r="AE1" s="116" t="s">
        <v>94</v>
      </c>
    </row>
    <row r="2">
      <c r="A2" s="117" t="s">
        <v>95</v>
      </c>
      <c r="B2" s="118">
        <v>0.3333333333333333</v>
      </c>
      <c r="C2" s="119"/>
      <c r="D2" s="119"/>
      <c r="E2" s="119"/>
      <c r="F2" s="120"/>
      <c r="G2" s="121"/>
      <c r="H2" s="121"/>
      <c r="I2" s="122">
        <f t="shared" ref="I2:I6" si="3">H2/G2</f>
      </c>
      <c r="J2" s="123">
        <f t="shared" ref="J2:J6" si="10">F2/H2</f>
      </c>
      <c r="K2" s="124"/>
      <c r="L2" s="123">
        <f t="shared" ref="L2:L6" si="5">K2/H2</f>
      </c>
      <c r="M2" s="123">
        <f t="shared" ref="M2:M6" si="11">F2/K2</f>
      </c>
      <c r="N2" s="124"/>
      <c r="O2" s="123">
        <f t="shared" ref="O2:O6" si="7">N2/H2</f>
      </c>
      <c r="P2" s="123">
        <f t="shared" ref="P2:P6" si="12">F2/N2</f>
      </c>
      <c r="Q2" s="124"/>
      <c r="R2" s="125">
        <f t="shared" ref="R2:R6" si="6">Q2/N2</f>
      </c>
      <c r="S2" s="123">
        <f t="shared" ref="S2:S6" si="0">F2/Q2</f>
      </c>
      <c r="T2" s="123">
        <f t="shared" ref="T2:T5" si="8">AE2-W2</f>
      </c>
      <c r="U2" s="123">
        <f t="shared" ref="U2:U6" si="1">T2/F2</f>
      </c>
      <c r="V2" s="117"/>
      <c r="W2" s="120"/>
      <c r="X2" s="120">
        <f t="shared" ref="X2:X6" si="9">AE2/AD2</f>
      </c>
      <c r="Y2" s="123">
        <f t="shared" ref="Y2:Y6" si="2">(T2+W2)/F2</f>
      </c>
      <c r="Z2" s="117"/>
      <c r="AA2" s="117"/>
      <c r="AB2" s="122">
        <f t="shared" ref="AB2:AB6" si="4">AA2/Z2</f>
      </c>
      <c r="AC2" s="114"/>
      <c r="AD2" s="126"/>
      <c r="AE2" s="127"/>
    </row>
    <row r="3">
      <c r="A3" s="117"/>
      <c r="B3" s="118">
        <v>0.375</v>
      </c>
      <c r="C3" s="119"/>
      <c r="D3" s="119"/>
      <c r="E3" s="119"/>
      <c r="F3" s="123"/>
      <c r="G3" s="128"/>
      <c r="H3" s="128"/>
      <c r="I3" s="122">
        <f t="shared" si="3"/>
      </c>
      <c r="J3" s="123">
        <f t="shared" si="10"/>
      </c>
      <c r="K3" s="129"/>
      <c r="L3" s="123">
        <f t="shared" si="5"/>
      </c>
      <c r="M3" s="123">
        <f t="shared" si="11"/>
      </c>
      <c r="N3" s="129"/>
      <c r="O3" s="123">
        <f t="shared" si="7"/>
      </c>
      <c r="P3" s="123">
        <f t="shared" si="12"/>
      </c>
      <c r="Q3" s="124"/>
      <c r="R3" s="125">
        <f t="shared" si="6"/>
      </c>
      <c r="S3" s="123">
        <f t="shared" si="0"/>
      </c>
      <c r="T3" s="123">
        <f t="shared" si="8"/>
      </c>
      <c r="U3" s="123">
        <f t="shared" si="1"/>
      </c>
      <c r="V3" s="119"/>
      <c r="W3" s="123"/>
      <c r="X3" s="120">
        <f t="shared" si="9"/>
      </c>
      <c r="Y3" s="123">
        <f t="shared" si="2"/>
      </c>
      <c r="Z3" s="119"/>
      <c r="AA3" s="119"/>
      <c r="AB3" s="122">
        <f t="shared" si="4"/>
      </c>
      <c r="AC3" s="114"/>
      <c r="AD3" s="130"/>
      <c r="AE3" s="131"/>
    </row>
    <row r="4">
      <c r="A4" s="117"/>
      <c r="B4" s="118">
        <v>0.4166666666666667</v>
      </c>
      <c r="C4" s="119"/>
      <c r="D4" s="119"/>
      <c r="E4" s="119"/>
      <c r="F4" s="123"/>
      <c r="G4" s="128"/>
      <c r="H4" s="128"/>
      <c r="I4" s="122">
        <f t="shared" si="3"/>
      </c>
      <c r="J4" s="123">
        <f t="shared" si="10"/>
      </c>
      <c r="K4" s="129"/>
      <c r="L4" s="123">
        <f t="shared" si="5"/>
      </c>
      <c r="M4" s="123">
        <f t="shared" si="11"/>
      </c>
      <c r="N4" s="129"/>
      <c r="O4" s="123">
        <f t="shared" si="7"/>
      </c>
      <c r="P4" s="123">
        <f t="shared" si="12"/>
      </c>
      <c r="Q4" s="124"/>
      <c r="R4" s="125">
        <f t="shared" si="6"/>
      </c>
      <c r="S4" s="123">
        <f t="shared" si="0"/>
      </c>
      <c r="T4" s="123">
        <f t="shared" si="8"/>
      </c>
      <c r="U4" s="123">
        <f t="shared" si="1"/>
      </c>
      <c r="V4" s="119"/>
      <c r="W4" s="123"/>
      <c r="X4" s="120">
        <f t="shared" si="9"/>
      </c>
      <c r="Y4" s="123">
        <f t="shared" si="2"/>
      </c>
      <c r="Z4" s="119"/>
      <c r="AA4" s="119"/>
      <c r="AB4" s="122">
        <f t="shared" si="4"/>
      </c>
      <c r="AC4" s="114"/>
      <c r="AD4" s="130"/>
      <c r="AE4" s="131"/>
    </row>
    <row r="5">
      <c r="A5" s="117"/>
      <c r="B5" s="118">
        <v>0.4583333333333333</v>
      </c>
      <c r="C5" s="119"/>
      <c r="D5" s="119"/>
      <c r="E5" s="119"/>
      <c r="F5" s="123"/>
      <c r="G5" s="128"/>
      <c r="H5" s="128"/>
      <c r="I5" s="122">
        <f t="shared" si="3"/>
      </c>
      <c r="J5" s="123">
        <f t="shared" si="10"/>
      </c>
      <c r="K5" s="129"/>
      <c r="L5" s="123">
        <f t="shared" si="5"/>
      </c>
      <c r="M5" s="123">
        <f t="shared" si="11"/>
      </c>
      <c r="N5" s="129"/>
      <c r="O5" s="123">
        <f t="shared" si="7"/>
      </c>
      <c r="P5" s="123">
        <f t="shared" si="12"/>
      </c>
      <c r="Q5" s="124"/>
      <c r="R5" s="125">
        <f t="shared" si="6"/>
      </c>
      <c r="S5" s="123">
        <f t="shared" si="0"/>
      </c>
      <c r="T5" s="123">
        <f t="shared" si="8"/>
      </c>
      <c r="U5" s="123">
        <f t="shared" si="1"/>
      </c>
      <c r="V5" s="119"/>
      <c r="W5" s="123"/>
      <c r="X5" s="120">
        <f t="shared" si="9"/>
      </c>
      <c r="Y5" s="123">
        <f t="shared" si="2"/>
      </c>
      <c r="Z5" s="119"/>
      <c r="AA5" s="119"/>
      <c r="AB5" s="122">
        <f t="shared" si="4"/>
      </c>
      <c r="AC5" s="114"/>
      <c r="AD5" s="130"/>
      <c r="AE5" s="131"/>
    </row>
    <row r="6">
      <c r="A6" s="132" t="s">
        <v>96</v>
      </c>
      <c r="B6" s="132"/>
      <c r="C6" s="132"/>
      <c r="D6" s="132"/>
      <c r="E6" s="132"/>
      <c r="F6" s="133">
        <f>SUM(F2:F5)</f>
      </c>
      <c r="G6" s="134">
        <f>SUM(G2:G5)</f>
      </c>
      <c r="H6" s="134">
        <f>SUM(H2:H5)</f>
      </c>
      <c r="I6" s="135">
        <f t="shared" si="3"/>
      </c>
      <c r="J6" s="133">
        <f t="shared" si="10"/>
      </c>
      <c r="K6" s="132">
        <f>SUM(K2:K5)</f>
      </c>
      <c r="L6" s="133">
        <f t="shared" si="5"/>
      </c>
      <c r="M6" s="133">
        <f t="shared" si="11"/>
      </c>
      <c r="N6" s="132">
        <f>SUM(N2:N5)</f>
      </c>
      <c r="O6" s="133">
        <f t="shared" si="7"/>
      </c>
      <c r="P6" s="133">
        <f t="shared" si="12"/>
      </c>
      <c r="Q6" s="132">
        <f>AD6-V6</f>
      </c>
      <c r="R6" s="135">
        <f t="shared" si="6"/>
      </c>
      <c r="S6" s="133">
        <f t="shared" si="0"/>
      </c>
      <c r="T6" s="133">
        <f>SUM(T2:T5)</f>
      </c>
      <c r="U6" s="133">
        <f t="shared" si="1"/>
      </c>
      <c r="V6" s="132">
        <f>SUM(V2:V5)</f>
      </c>
      <c r="W6" s="133">
        <f>SUM(W2:W5)</f>
      </c>
      <c r="X6" s="133">
        <f t="shared" si="9"/>
      </c>
      <c r="Y6" s="133">
        <f t="shared" si="2"/>
      </c>
      <c r="Z6" s="132">
        <f>SUM(Z2:Z5)</f>
      </c>
      <c r="AA6" s="132">
        <f>SUM(AA2:AA5)</f>
      </c>
      <c r="AB6" s="135">
        <f t="shared" si="4"/>
      </c>
      <c r="AC6" s="114"/>
      <c r="AD6" s="136">
        <f>SUM(AD2:AD5)</f>
      </c>
      <c r="AE6" s="137">
        <f>SUM(AE2:AE5)</f>
      </c>
    </row>
    <row r="7">
      <c r="A7" s="138"/>
      <c r="B7" s="138"/>
      <c r="C7" s="138"/>
      <c r="D7" s="138"/>
      <c r="E7" s="138"/>
      <c r="F7" s="139"/>
      <c r="G7" s="140"/>
      <c r="H7" s="140"/>
      <c r="I7" s="141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9"/>
      <c r="U7" s="138"/>
      <c r="V7" s="138"/>
      <c r="W7" s="139"/>
      <c r="X7" s="138"/>
      <c r="Y7" s="138"/>
      <c r="Z7" s="138"/>
      <c r="AA7" s="138"/>
      <c r="AB7" s="138"/>
      <c r="AC7" s="142"/>
      <c r="AD7" s="142"/>
      <c r="AE7" s="142"/>
    </row>
    <row r="8">
      <c r="A8" s="142"/>
      <c r="B8" s="142"/>
      <c r="C8" s="142"/>
      <c r="D8" s="142"/>
      <c r="E8" s="142"/>
      <c r="F8" s="143"/>
      <c r="G8" s="144"/>
      <c r="H8" s="144"/>
      <c r="I8" s="145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3"/>
      <c r="U8" s="142"/>
      <c r="V8" s="138"/>
      <c r="W8" s="143"/>
      <c r="X8" s="142"/>
      <c r="Y8" s="142"/>
      <c r="Z8" s="142"/>
      <c r="AA8" s="142"/>
      <c r="AB8" s="142"/>
      <c r="AC8" s="142"/>
      <c r="AD8" s="142"/>
      <c r="AE8" s="142"/>
    </row>
    <row r="9">
      <c r="A9" s="142"/>
      <c r="B9" s="142"/>
      <c r="C9" s="142"/>
      <c r="D9" s="142"/>
      <c r="E9" s="142"/>
      <c r="F9" s="143"/>
      <c r="G9" s="144"/>
      <c r="H9" s="144"/>
      <c r="I9" s="145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3"/>
      <c r="U9" s="142"/>
      <c r="V9" s="138"/>
      <c r="W9" s="143"/>
      <c r="X9" s="142"/>
      <c r="Y9" s="142"/>
      <c r="Z9" s="142"/>
      <c r="AA9" s="142"/>
      <c r="AB9" s="142"/>
      <c r="AC9" s="142"/>
      <c r="AD9" s="142"/>
      <c r="AE9" s="142"/>
    </row>
    <row r="10">
      <c r="A10" s="142"/>
      <c r="B10" s="142"/>
      <c r="C10" s="142"/>
      <c r="D10" s="142"/>
      <c r="E10" s="142"/>
      <c r="F10" s="143"/>
      <c r="G10" s="144"/>
      <c r="H10" s="144"/>
      <c r="I10" s="145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3"/>
      <c r="U10" s="142"/>
      <c r="V10" s="138"/>
      <c r="W10" s="143"/>
      <c r="X10" s="142"/>
      <c r="Y10" s="142"/>
      <c r="Z10" s="142"/>
      <c r="AA10" s="142"/>
      <c r="AB10" s="142"/>
      <c r="AC10" s="142"/>
      <c r="AD10" s="142"/>
      <c r="AE10" s="142"/>
    </row>
    <row r="11">
      <c r="A11" s="142"/>
      <c r="B11" s="142"/>
      <c r="C11" s="142"/>
      <c r="D11" s="142"/>
      <c r="E11" s="142"/>
      <c r="F11" s="143"/>
      <c r="G11" s="144"/>
      <c r="H11" s="144"/>
      <c r="I11" s="145"/>
      <c r="J11" s="142"/>
      <c r="T11" s="146"/>
      <c r="W11" s="146"/>
      <c r="AA11" s="142"/>
      <c r="AB11" s="142"/>
      <c r="AC11" s="142"/>
      <c r="AD11" s="142"/>
      <c r="AE11" s="142"/>
    </row>
    <row r="12">
      <c r="A12" s="142"/>
      <c r="B12" s="142"/>
      <c r="C12" s="142"/>
      <c r="D12" s="142"/>
      <c r="E12" s="142"/>
      <c r="F12" s="143"/>
      <c r="G12" s="144"/>
      <c r="H12" s="144"/>
      <c r="I12" s="145"/>
      <c r="J12" s="142"/>
      <c r="T12" s="146"/>
      <c r="W12" s="146"/>
      <c r="AA12" s="142"/>
      <c r="AB12" s="142"/>
      <c r="AC12" s="142"/>
      <c r="AD12" s="142"/>
      <c r="AE12" s="142"/>
    </row>
    <row r="13">
      <c r="A13" s="142"/>
      <c r="B13" s="142"/>
      <c r="C13" s="142"/>
      <c r="D13" s="142"/>
      <c r="E13" s="142"/>
      <c r="F13" s="143"/>
      <c r="G13" s="144"/>
      <c r="H13" s="144"/>
      <c r="I13" s="145"/>
      <c r="J13" s="142"/>
      <c r="T13" s="146"/>
      <c r="W13" s="146"/>
      <c r="AA13" s="142"/>
      <c r="AB13" s="142"/>
      <c r="AC13" s="142"/>
      <c r="AD13" s="142"/>
      <c r="AE13" s="142"/>
    </row>
    <row r="14">
      <c r="A14" s="142"/>
      <c r="B14" s="142"/>
      <c r="C14" s="142"/>
      <c r="D14" s="142"/>
      <c r="E14" s="142"/>
      <c r="F14" s="143"/>
      <c r="G14" s="144"/>
      <c r="H14" s="144"/>
      <c r="I14" s="145"/>
      <c r="J14" s="142"/>
      <c r="T14" s="146"/>
      <c r="W14" s="146"/>
      <c r="AA14" s="142"/>
      <c r="AB14" s="142"/>
      <c r="AC14" s="142"/>
      <c r="AD14" s="142"/>
      <c r="AE14" s="142"/>
    </row>
    <row r="15">
      <c r="A15" s="142"/>
      <c r="B15" s="142"/>
      <c r="C15" s="142"/>
      <c r="D15" s="142"/>
      <c r="E15" s="142"/>
      <c r="F15" s="143"/>
      <c r="G15" s="144"/>
      <c r="H15" s="144"/>
      <c r="I15" s="145"/>
      <c r="J15" s="142"/>
      <c r="T15" s="146"/>
      <c r="W15" s="146"/>
      <c r="AA15" s="142"/>
      <c r="AB15" s="142"/>
      <c r="AC15" s="142"/>
      <c r="AD15" s="142"/>
      <c r="AE15" s="142"/>
    </row>
    <row r="16">
      <c r="A16" s="142"/>
      <c r="B16" s="142"/>
      <c r="C16" s="142"/>
      <c r="D16" s="142"/>
      <c r="E16" s="142"/>
      <c r="F16" s="143"/>
      <c r="G16" s="144"/>
      <c r="H16" s="144"/>
      <c r="I16" s="145"/>
      <c r="J16" s="142"/>
      <c r="T16" s="146"/>
      <c r="W16" s="146"/>
      <c r="AA16" s="142"/>
      <c r="AB16" s="142"/>
      <c r="AC16" s="142"/>
      <c r="AD16" s="142"/>
      <c r="AE16" s="142"/>
    </row>
    <row r="17">
      <c r="A17" s="142"/>
      <c r="B17" s="142"/>
      <c r="C17" s="142"/>
      <c r="D17" s="142"/>
      <c r="E17" s="142"/>
      <c r="F17" s="143"/>
      <c r="G17" s="144"/>
      <c r="H17" s="144"/>
      <c r="I17" s="145"/>
      <c r="J17" s="142"/>
      <c r="T17" s="146"/>
      <c r="W17" s="146"/>
      <c r="AA17" s="142"/>
      <c r="AB17" s="142"/>
      <c r="AC17" s="142"/>
      <c r="AD17" s="142"/>
      <c r="AE17" s="142"/>
    </row>
    <row r="18">
      <c r="A18" s="142"/>
      <c r="B18" s="142"/>
      <c r="C18" s="142"/>
      <c r="D18" s="142"/>
      <c r="E18" s="142"/>
      <c r="F18" s="143"/>
      <c r="G18" s="144"/>
      <c r="H18" s="144"/>
      <c r="I18" s="145"/>
      <c r="J18" s="142"/>
      <c r="T18" s="146"/>
      <c r="W18" s="146"/>
      <c r="AA18" s="142"/>
      <c r="AB18" s="142"/>
      <c r="AC18" s="142"/>
      <c r="AD18" s="142"/>
      <c r="AE18" s="142"/>
    </row>
    <row r="19">
      <c r="A19" s="142"/>
      <c r="B19" s="142"/>
      <c r="C19" s="142"/>
      <c r="D19" s="142"/>
      <c r="E19" s="142"/>
      <c r="F19" s="143"/>
      <c r="G19" s="144"/>
      <c r="H19" s="144"/>
      <c r="I19" s="145"/>
      <c r="J19" s="142"/>
      <c r="T19" s="146"/>
      <c r="W19" s="146"/>
      <c r="AA19" s="142"/>
      <c r="AB19" s="142"/>
      <c r="AC19" s="142"/>
      <c r="AD19" s="142"/>
      <c r="AE19" s="142"/>
    </row>
    <row r="20">
      <c r="A20" s="142"/>
      <c r="B20" s="142"/>
      <c r="C20" s="142"/>
      <c r="D20" s="142"/>
      <c r="E20" s="142"/>
      <c r="F20" s="143"/>
      <c r="G20" s="144"/>
      <c r="H20" s="144"/>
      <c r="I20" s="145"/>
      <c r="J20" s="142"/>
      <c r="T20" s="146"/>
      <c r="W20" s="146"/>
      <c r="AA20" s="142"/>
      <c r="AB20" s="142"/>
      <c r="AC20" s="142"/>
      <c r="AD20" s="142"/>
      <c r="AE20" s="142"/>
    </row>
    <row r="21">
      <c r="A21" s="142"/>
      <c r="B21" s="142"/>
      <c r="C21" s="142"/>
      <c r="D21" s="142"/>
      <c r="E21" s="142"/>
      <c r="F21" s="143"/>
      <c r="G21" s="144"/>
      <c r="H21" s="144"/>
      <c r="I21" s="145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3"/>
      <c r="U21" s="142"/>
      <c r="V21" s="138"/>
      <c r="W21" s="143"/>
      <c r="X21" s="142"/>
      <c r="Y21" s="142"/>
      <c r="Z21" s="142"/>
      <c r="AA21" s="142"/>
      <c r="AB21" s="142"/>
      <c r="AC21" s="142"/>
      <c r="AD21" s="142"/>
      <c r="AE21" s="142"/>
    </row>
    <row r="22">
      <c r="A22" s="142"/>
      <c r="B22" s="142"/>
      <c r="C22" s="142"/>
      <c r="D22" s="142"/>
      <c r="E22" s="142"/>
      <c r="F22" s="143"/>
      <c r="G22" s="144"/>
      <c r="H22" s="144"/>
      <c r="I22" s="145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42"/>
      <c r="V22" s="138"/>
      <c r="W22" s="143"/>
      <c r="X22" s="142"/>
      <c r="Y22" s="142"/>
      <c r="Z22" s="142"/>
      <c r="AA22" s="142"/>
      <c r="AB22" s="142"/>
      <c r="AC22" s="142"/>
      <c r="AD22" s="142"/>
      <c r="AE22" s="142"/>
    </row>
    <row r="23">
      <c r="A23" s="142"/>
      <c r="B23" s="142"/>
      <c r="C23" s="142"/>
      <c r="D23" s="142"/>
      <c r="E23" s="142"/>
      <c r="F23" s="143"/>
      <c r="G23" s="144"/>
      <c r="H23" s="144"/>
      <c r="I23" s="145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3"/>
      <c r="U23" s="142"/>
      <c r="V23" s="138"/>
      <c r="W23" s="143"/>
      <c r="X23" s="142"/>
      <c r="Y23" s="142"/>
      <c r="Z23" s="142"/>
      <c r="AA23" s="142"/>
      <c r="AB23" s="142"/>
      <c r="AC23" s="142"/>
      <c r="AD23" s="142"/>
      <c r="AE23" s="142"/>
    </row>
    <row r="24">
      <c r="A24" s="142"/>
      <c r="B24" s="142"/>
      <c r="C24" s="142"/>
      <c r="D24" s="142"/>
      <c r="E24" s="142"/>
      <c r="F24" s="143"/>
      <c r="G24" s="144"/>
      <c r="H24" s="144"/>
      <c r="I24" s="145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142"/>
      <c r="V24" s="138"/>
      <c r="W24" s="143"/>
      <c r="X24" s="142"/>
      <c r="Y24" s="142"/>
      <c r="Z24" s="142"/>
      <c r="AA24" s="142"/>
      <c r="AB24" s="142"/>
      <c r="AC24" s="142"/>
      <c r="AD24" s="142"/>
      <c r="AE24" s="142"/>
    </row>
    <row r="25">
      <c r="A25" s="142"/>
      <c r="B25" s="142"/>
      <c r="C25" s="142"/>
      <c r="D25" s="142"/>
      <c r="E25" s="142"/>
      <c r="F25" s="143"/>
      <c r="G25" s="144"/>
      <c r="H25" s="144"/>
      <c r="I25" s="145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3"/>
      <c r="U25" s="142"/>
      <c r="V25" s="138"/>
      <c r="W25" s="143"/>
      <c r="X25" s="142"/>
      <c r="Y25" s="142"/>
      <c r="Z25" s="142"/>
      <c r="AA25" s="142"/>
      <c r="AB25" s="142"/>
      <c r="AC25" s="142"/>
      <c r="AD25" s="142"/>
      <c r="AE25" s="142"/>
    </row>
    <row r="26">
      <c r="A26" s="142"/>
      <c r="B26" s="142"/>
      <c r="C26" s="142"/>
      <c r="D26" s="142"/>
      <c r="E26" s="142"/>
      <c r="F26" s="143"/>
      <c r="G26" s="144"/>
      <c r="H26" s="144"/>
      <c r="I26" s="145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3"/>
      <c r="U26" s="142"/>
      <c r="V26" s="138"/>
      <c r="W26" s="143"/>
      <c r="X26" s="142"/>
      <c r="Y26" s="142"/>
      <c r="Z26" s="142"/>
      <c r="AA26" s="142"/>
      <c r="AB26" s="142"/>
      <c r="AC26" s="142"/>
      <c r="AD26" s="142"/>
      <c r="AE26" s="142"/>
    </row>
    <row r="27">
      <c r="A27" s="142"/>
      <c r="B27" s="142"/>
      <c r="C27" s="142"/>
      <c r="D27" s="142"/>
      <c r="E27" s="142"/>
      <c r="F27" s="143"/>
      <c r="G27" s="144"/>
      <c r="H27" s="144"/>
      <c r="I27" s="145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3"/>
      <c r="U27" s="142"/>
      <c r="V27" s="138"/>
      <c r="W27" s="143"/>
      <c r="X27" s="142"/>
      <c r="Y27" s="142"/>
      <c r="Z27" s="142"/>
      <c r="AA27" s="142"/>
      <c r="AB27" s="142"/>
      <c r="AC27" s="142"/>
      <c r="AD27" s="142"/>
      <c r="AE27" s="142"/>
    </row>
    <row r="28">
      <c r="A28" s="142"/>
      <c r="B28" s="142"/>
      <c r="C28" s="142"/>
      <c r="D28" s="142"/>
      <c r="E28" s="142"/>
      <c r="F28" s="143"/>
      <c r="G28" s="144"/>
      <c r="H28" s="144"/>
      <c r="I28" s="145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3"/>
      <c r="U28" s="142"/>
      <c r="V28" s="138"/>
      <c r="W28" s="143"/>
      <c r="X28" s="142"/>
      <c r="Y28" s="142"/>
      <c r="Z28" s="142"/>
      <c r="AA28" s="142"/>
      <c r="AB28" s="142"/>
      <c r="AC28" s="142"/>
      <c r="AD28" s="142"/>
      <c r="AE28" s="142"/>
    </row>
    <row r="29">
      <c r="A29" s="142"/>
      <c r="B29" s="142"/>
      <c r="C29" s="142"/>
      <c r="D29" s="142"/>
      <c r="E29" s="142"/>
      <c r="F29" s="143"/>
      <c r="G29" s="144"/>
      <c r="H29" s="144"/>
      <c r="I29" s="145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3"/>
      <c r="U29" s="142"/>
      <c r="V29" s="138"/>
      <c r="W29" s="143"/>
      <c r="X29" s="142"/>
      <c r="Y29" s="142"/>
      <c r="Z29" s="142"/>
      <c r="AA29" s="142"/>
      <c r="AB29" s="142"/>
      <c r="AC29" s="142"/>
      <c r="AD29" s="142"/>
      <c r="AE29" s="142"/>
    </row>
    <row r="30">
      <c r="A30" s="142"/>
      <c r="B30" s="142"/>
      <c r="C30" s="142"/>
      <c r="D30" s="142"/>
      <c r="E30" s="142"/>
      <c r="F30" s="143"/>
      <c r="G30" s="144"/>
      <c r="H30" s="144"/>
      <c r="I30" s="145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3"/>
      <c r="U30" s="142"/>
      <c r="V30" s="138"/>
      <c r="W30" s="143"/>
      <c r="X30" s="142"/>
      <c r="Y30" s="142"/>
      <c r="Z30" s="142"/>
      <c r="AA30" s="142"/>
      <c r="AB30" s="142"/>
      <c r="AC30" s="142"/>
      <c r="AD30" s="142"/>
      <c r="AE30" s="142"/>
    </row>
    <row r="31">
      <c r="A31" s="142"/>
      <c r="B31" s="142"/>
      <c r="C31" s="142"/>
      <c r="D31" s="142"/>
      <c r="E31" s="142"/>
      <c r="F31" s="143"/>
      <c r="G31" s="144"/>
      <c r="H31" s="144"/>
      <c r="I31" s="145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3"/>
      <c r="U31" s="142"/>
      <c r="V31" s="138"/>
      <c r="W31" s="143"/>
      <c r="X31" s="142"/>
      <c r="Y31" s="142"/>
      <c r="Z31" s="142"/>
      <c r="AA31" s="142"/>
      <c r="AB31" s="142"/>
      <c r="AC31" s="142"/>
      <c r="AD31" s="142"/>
      <c r="AE31" s="142"/>
    </row>
    <row r="32">
      <c r="A32" s="142"/>
      <c r="B32" s="142"/>
      <c r="C32" s="142"/>
      <c r="D32" s="142"/>
      <c r="E32" s="142"/>
      <c r="F32" s="143"/>
      <c r="G32" s="144"/>
      <c r="H32" s="144"/>
      <c r="I32" s="145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3"/>
      <c r="U32" s="142"/>
      <c r="V32" s="138"/>
      <c r="W32" s="143"/>
      <c r="X32" s="142"/>
      <c r="Y32" s="142"/>
      <c r="Z32" s="142"/>
      <c r="AA32" s="142"/>
      <c r="AB32" s="142"/>
      <c r="AC32" s="142"/>
      <c r="AD32" s="142"/>
      <c r="AE32" s="142"/>
    </row>
    <row r="33">
      <c r="A33" s="142"/>
      <c r="B33" s="142"/>
      <c r="C33" s="142"/>
      <c r="D33" s="142"/>
      <c r="E33" s="142"/>
      <c r="F33" s="143"/>
      <c r="G33" s="144"/>
      <c r="H33" s="144"/>
      <c r="I33" s="145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3"/>
      <c r="U33" s="142"/>
      <c r="V33" s="138"/>
      <c r="W33" s="143"/>
      <c r="X33" s="142"/>
      <c r="Y33" s="142"/>
      <c r="Z33" s="142"/>
      <c r="AA33" s="142"/>
      <c r="AB33" s="142"/>
      <c r="AC33" s="142"/>
      <c r="AD33" s="142"/>
      <c r="AE33" s="142"/>
    </row>
    <row r="34">
      <c r="A34" s="142"/>
      <c r="B34" s="142"/>
      <c r="C34" s="142"/>
      <c r="D34" s="142"/>
      <c r="E34" s="142"/>
      <c r="F34" s="143"/>
      <c r="G34" s="144"/>
      <c r="H34" s="144"/>
      <c r="I34" s="145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3"/>
      <c r="U34" s="142"/>
      <c r="V34" s="138"/>
      <c r="W34" s="143"/>
      <c r="X34" s="142"/>
      <c r="Y34" s="142"/>
      <c r="Z34" s="142"/>
      <c r="AA34" s="142"/>
      <c r="AB34" s="142"/>
      <c r="AC34" s="142"/>
      <c r="AD34" s="142"/>
      <c r="AE34" s="142"/>
    </row>
    <row r="35">
      <c r="A35" s="142"/>
      <c r="B35" s="142"/>
      <c r="C35" s="142"/>
      <c r="D35" s="142"/>
      <c r="E35" s="142"/>
      <c r="F35" s="143"/>
      <c r="G35" s="144"/>
      <c r="H35" s="144"/>
      <c r="I35" s="145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3"/>
      <c r="U35" s="142"/>
      <c r="V35" s="138"/>
      <c r="W35" s="143"/>
      <c r="X35" s="142"/>
      <c r="Y35" s="142"/>
      <c r="Z35" s="142"/>
      <c r="AA35" s="142"/>
      <c r="AB35" s="142"/>
      <c r="AC35" s="142"/>
      <c r="AD35" s="142"/>
      <c r="AE35" s="142"/>
    </row>
    <row r="36">
      <c r="A36" s="142"/>
      <c r="B36" s="142"/>
      <c r="C36" s="142"/>
      <c r="D36" s="142"/>
      <c r="E36" s="142"/>
      <c r="F36" s="143"/>
      <c r="G36" s="144"/>
      <c r="H36" s="144"/>
      <c r="I36" s="145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42"/>
      <c r="V36" s="138"/>
      <c r="W36" s="143"/>
      <c r="X36" s="142"/>
      <c r="Y36" s="142"/>
      <c r="Z36" s="142"/>
      <c r="AA36" s="142"/>
      <c r="AB36" s="142"/>
      <c r="AC36" s="142"/>
      <c r="AD36" s="142"/>
      <c r="AE36" s="142"/>
    </row>
    <row r="37">
      <c r="A37" s="142"/>
      <c r="B37" s="142"/>
      <c r="C37" s="142"/>
      <c r="D37" s="142"/>
      <c r="E37" s="142"/>
      <c r="F37" s="143"/>
      <c r="G37" s="144"/>
      <c r="H37" s="144"/>
      <c r="I37" s="145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42"/>
      <c r="V37" s="138"/>
      <c r="W37" s="143"/>
      <c r="X37" s="142"/>
      <c r="Y37" s="142"/>
      <c r="Z37" s="142"/>
      <c r="AA37" s="142"/>
      <c r="AB37" s="142"/>
      <c r="AC37" s="142"/>
      <c r="AD37" s="142"/>
      <c r="AE37" s="142"/>
    </row>
    <row r="38">
      <c r="A38" s="142"/>
      <c r="B38" s="142"/>
      <c r="C38" s="142"/>
      <c r="D38" s="142"/>
      <c r="E38" s="142"/>
      <c r="F38" s="143"/>
      <c r="G38" s="144"/>
      <c r="H38" s="144"/>
      <c r="I38" s="145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3"/>
      <c r="U38" s="142"/>
      <c r="V38" s="138"/>
      <c r="W38" s="143"/>
      <c r="X38" s="142"/>
      <c r="Y38" s="142"/>
      <c r="Z38" s="142"/>
      <c r="AA38" s="142"/>
      <c r="AB38" s="142"/>
      <c r="AC38" s="142"/>
      <c r="AD38" s="142"/>
      <c r="AE38" s="142"/>
    </row>
    <row r="39">
      <c r="A39" s="142"/>
      <c r="B39" s="142"/>
      <c r="C39" s="142"/>
      <c r="D39" s="142"/>
      <c r="E39" s="142"/>
      <c r="F39" s="143"/>
      <c r="G39" s="144"/>
      <c r="H39" s="144"/>
      <c r="I39" s="145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42"/>
      <c r="V39" s="138"/>
      <c r="W39" s="143"/>
      <c r="X39" s="142"/>
      <c r="Y39" s="142"/>
      <c r="Z39" s="142"/>
      <c r="AA39" s="142"/>
      <c r="AB39" s="142"/>
      <c r="AC39" s="142"/>
      <c r="AD39" s="142"/>
      <c r="AE39" s="142"/>
    </row>
    <row r="40">
      <c r="A40" s="142"/>
      <c r="B40" s="142"/>
      <c r="C40" s="142"/>
      <c r="D40" s="142"/>
      <c r="E40" s="142"/>
      <c r="F40" s="143"/>
      <c r="G40" s="144"/>
      <c r="H40" s="144"/>
      <c r="I40" s="145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42"/>
      <c r="V40" s="138"/>
      <c r="W40" s="143"/>
      <c r="X40" s="142"/>
      <c r="Y40" s="142"/>
      <c r="Z40" s="142"/>
      <c r="AA40" s="142"/>
      <c r="AB40" s="142"/>
      <c r="AC40" s="142"/>
      <c r="AD40" s="142"/>
      <c r="AE40" s="142"/>
    </row>
    <row r="41">
      <c r="A41" s="142"/>
      <c r="B41" s="142"/>
      <c r="C41" s="142"/>
      <c r="D41" s="142"/>
      <c r="E41" s="142"/>
      <c r="F41" s="143"/>
      <c r="G41" s="144"/>
      <c r="H41" s="144"/>
      <c r="I41" s="145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3"/>
      <c r="U41" s="142"/>
      <c r="V41" s="138"/>
      <c r="W41" s="143"/>
      <c r="X41" s="142"/>
      <c r="Y41" s="142"/>
      <c r="Z41" s="142"/>
      <c r="AA41" s="142"/>
      <c r="AB41" s="142"/>
      <c r="AC41" s="142"/>
      <c r="AD41" s="142"/>
      <c r="AE41" s="142"/>
    </row>
    <row r="42">
      <c r="A42" s="142"/>
      <c r="B42" s="142"/>
      <c r="C42" s="142"/>
      <c r="D42" s="142"/>
      <c r="E42" s="142"/>
      <c r="F42" s="143"/>
      <c r="G42" s="144"/>
      <c r="H42" s="144"/>
      <c r="I42" s="145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42"/>
      <c r="V42" s="138"/>
      <c r="W42" s="143"/>
      <c r="X42" s="142"/>
      <c r="Y42" s="142"/>
      <c r="Z42" s="142"/>
      <c r="AA42" s="142"/>
      <c r="AB42" s="142"/>
      <c r="AC42" s="142"/>
      <c r="AD42" s="142"/>
      <c r="AE42" s="142"/>
    </row>
    <row r="43">
      <c r="A43" s="142"/>
      <c r="B43" s="142"/>
      <c r="C43" s="142"/>
      <c r="D43" s="142"/>
      <c r="E43" s="142"/>
      <c r="F43" s="143"/>
      <c r="G43" s="144"/>
      <c r="H43" s="144"/>
      <c r="I43" s="145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3"/>
      <c r="U43" s="142"/>
      <c r="V43" s="138"/>
      <c r="W43" s="143"/>
      <c r="X43" s="142"/>
      <c r="Y43" s="142"/>
      <c r="Z43" s="142"/>
      <c r="AA43" s="142"/>
      <c r="AB43" s="142"/>
      <c r="AC43" s="142"/>
      <c r="AD43" s="142"/>
      <c r="AE43" s="142"/>
    </row>
    <row r="44">
      <c r="A44" s="142"/>
      <c r="B44" s="142"/>
      <c r="C44" s="142"/>
      <c r="D44" s="142"/>
      <c r="E44" s="142"/>
      <c r="F44" s="143"/>
      <c r="G44" s="144"/>
      <c r="H44" s="144"/>
      <c r="I44" s="145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3"/>
      <c r="U44" s="142"/>
      <c r="V44" s="138"/>
      <c r="W44" s="143"/>
      <c r="X44" s="142"/>
      <c r="Y44" s="142"/>
      <c r="Z44" s="142"/>
      <c r="AA44" s="142"/>
      <c r="AB44" s="142"/>
      <c r="AC44" s="142"/>
      <c r="AD44" s="142"/>
      <c r="AE44" s="142"/>
    </row>
    <row r="45">
      <c r="A45" s="142"/>
      <c r="B45" s="142"/>
      <c r="C45" s="142"/>
      <c r="D45" s="142"/>
      <c r="E45" s="142"/>
      <c r="F45" s="143"/>
      <c r="G45" s="144"/>
      <c r="H45" s="144"/>
      <c r="I45" s="145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142"/>
      <c r="V45" s="138"/>
      <c r="W45" s="143"/>
      <c r="X45" s="142"/>
      <c r="Y45" s="142"/>
      <c r="Z45" s="142"/>
      <c r="AA45" s="142"/>
      <c r="AB45" s="142"/>
      <c r="AC45" s="142"/>
      <c r="AD45" s="142"/>
      <c r="AE45" s="142"/>
    </row>
    <row r="46">
      <c r="A46" s="142"/>
      <c r="B46" s="142"/>
      <c r="C46" s="142"/>
      <c r="D46" s="142"/>
      <c r="E46" s="142"/>
      <c r="F46" s="143"/>
      <c r="G46" s="144"/>
      <c r="H46" s="144"/>
      <c r="I46" s="145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3"/>
      <c r="U46" s="142"/>
      <c r="V46" s="138"/>
      <c r="W46" s="143"/>
      <c r="X46" s="142"/>
      <c r="Y46" s="142"/>
      <c r="Z46" s="142"/>
      <c r="AA46" s="142"/>
      <c r="AB46" s="142"/>
      <c r="AC46" s="142"/>
      <c r="AD46" s="142"/>
      <c r="AE46" s="142"/>
    </row>
    <row r="47">
      <c r="A47" s="142"/>
      <c r="B47" s="142"/>
      <c r="C47" s="142"/>
      <c r="D47" s="142"/>
      <c r="E47" s="142"/>
      <c r="F47" s="143"/>
      <c r="G47" s="144"/>
      <c r="H47" s="144"/>
      <c r="I47" s="145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3"/>
      <c r="U47" s="142"/>
      <c r="V47" s="138"/>
      <c r="W47" s="143"/>
      <c r="X47" s="142"/>
      <c r="Y47" s="142"/>
      <c r="Z47" s="142"/>
      <c r="AA47" s="142"/>
      <c r="AB47" s="142"/>
      <c r="AC47" s="142"/>
      <c r="AD47" s="142"/>
      <c r="AE47" s="142"/>
    </row>
    <row r="48">
      <c r="A48" s="142"/>
      <c r="B48" s="142"/>
      <c r="C48" s="142"/>
      <c r="D48" s="142"/>
      <c r="E48" s="142"/>
      <c r="F48" s="143"/>
      <c r="G48" s="144"/>
      <c r="H48" s="144"/>
      <c r="I48" s="145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42"/>
      <c r="V48" s="138"/>
      <c r="W48" s="143"/>
      <c r="X48" s="142"/>
      <c r="Y48" s="142"/>
      <c r="Z48" s="142"/>
      <c r="AA48" s="142"/>
      <c r="AB48" s="142"/>
      <c r="AC48" s="142"/>
      <c r="AD48" s="142"/>
      <c r="AE48" s="142"/>
    </row>
    <row r="49">
      <c r="A49" s="142"/>
      <c r="B49" s="142"/>
      <c r="C49" s="142"/>
      <c r="D49" s="142"/>
      <c r="E49" s="142"/>
      <c r="F49" s="143"/>
      <c r="G49" s="144"/>
      <c r="H49" s="144"/>
      <c r="I49" s="145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3"/>
      <c r="U49" s="142"/>
      <c r="V49" s="138"/>
      <c r="W49" s="143"/>
      <c r="X49" s="142"/>
      <c r="Y49" s="142"/>
      <c r="Z49" s="142"/>
      <c r="AA49" s="142"/>
      <c r="AB49" s="142"/>
      <c r="AC49" s="142"/>
      <c r="AD49" s="142"/>
      <c r="AE49" s="142"/>
    </row>
    <row r="50">
      <c r="A50" s="142"/>
      <c r="B50" s="142"/>
      <c r="C50" s="142"/>
      <c r="D50" s="142"/>
      <c r="E50" s="142"/>
      <c r="F50" s="143"/>
      <c r="G50" s="144"/>
      <c r="H50" s="144"/>
      <c r="I50" s="145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42"/>
      <c r="V50" s="138"/>
      <c r="W50" s="143"/>
      <c r="X50" s="142"/>
      <c r="Y50" s="142"/>
      <c r="Z50" s="142"/>
      <c r="AA50" s="142"/>
      <c r="AB50" s="142"/>
      <c r="AC50" s="142"/>
      <c r="AD50" s="142"/>
      <c r="AE50" s="142"/>
    </row>
    <row r="51">
      <c r="A51" s="142"/>
      <c r="B51" s="142"/>
      <c r="C51" s="142"/>
      <c r="D51" s="142"/>
      <c r="E51" s="142"/>
      <c r="F51" s="143"/>
      <c r="G51" s="144"/>
      <c r="H51" s="144"/>
      <c r="I51" s="145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3"/>
      <c r="U51" s="142"/>
      <c r="V51" s="138"/>
      <c r="W51" s="143"/>
      <c r="X51" s="142"/>
      <c r="Y51" s="142"/>
      <c r="Z51" s="142"/>
      <c r="AA51" s="142"/>
      <c r="AB51" s="142"/>
      <c r="AC51" s="142"/>
      <c r="AD51" s="142"/>
      <c r="AE51" s="142"/>
    </row>
    <row r="52">
      <c r="A52" s="142"/>
      <c r="B52" s="142"/>
      <c r="C52" s="142"/>
      <c r="D52" s="142"/>
      <c r="E52" s="142"/>
      <c r="F52" s="143"/>
      <c r="G52" s="144"/>
      <c r="H52" s="144"/>
      <c r="I52" s="145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42"/>
      <c r="V52" s="138"/>
      <c r="W52" s="143"/>
      <c r="X52" s="142"/>
      <c r="Y52" s="142"/>
      <c r="Z52" s="142"/>
      <c r="AA52" s="142"/>
      <c r="AB52" s="142"/>
      <c r="AC52" s="142"/>
      <c r="AD52" s="142"/>
      <c r="AE52" s="142"/>
    </row>
    <row r="53">
      <c r="A53" s="142"/>
      <c r="B53" s="142"/>
      <c r="C53" s="142"/>
      <c r="D53" s="142"/>
      <c r="E53" s="142"/>
      <c r="F53" s="143"/>
      <c r="G53" s="144"/>
      <c r="H53" s="144"/>
      <c r="I53" s="145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42"/>
      <c r="V53" s="138"/>
      <c r="W53" s="143"/>
      <c r="X53" s="142"/>
      <c r="Y53" s="142"/>
      <c r="Z53" s="142"/>
      <c r="AA53" s="142"/>
      <c r="AB53" s="142"/>
      <c r="AC53" s="142"/>
      <c r="AD53" s="142"/>
      <c r="AE53" s="142"/>
    </row>
    <row r="54">
      <c r="A54" s="142"/>
      <c r="B54" s="142"/>
      <c r="C54" s="142"/>
      <c r="D54" s="142"/>
      <c r="E54" s="142"/>
      <c r="F54" s="143"/>
      <c r="G54" s="144"/>
      <c r="H54" s="144"/>
      <c r="I54" s="145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3"/>
      <c r="U54" s="142"/>
      <c r="V54" s="138"/>
      <c r="W54" s="143"/>
      <c r="X54" s="142"/>
      <c r="Y54" s="142"/>
      <c r="Z54" s="142"/>
      <c r="AA54" s="142"/>
      <c r="AB54" s="142"/>
      <c r="AC54" s="142"/>
      <c r="AD54" s="142"/>
      <c r="AE54" s="142"/>
    </row>
    <row r="55">
      <c r="A55" s="142"/>
      <c r="B55" s="142"/>
      <c r="C55" s="142"/>
      <c r="D55" s="142"/>
      <c r="E55" s="142"/>
      <c r="F55" s="143"/>
      <c r="G55" s="144"/>
      <c r="H55" s="144"/>
      <c r="I55" s="145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3"/>
      <c r="U55" s="142"/>
      <c r="V55" s="138"/>
      <c r="W55" s="143"/>
      <c r="X55" s="142"/>
      <c r="Y55" s="142"/>
      <c r="Z55" s="142"/>
      <c r="AA55" s="142"/>
      <c r="AB55" s="142"/>
      <c r="AC55" s="142"/>
      <c r="AD55" s="142"/>
      <c r="AE55" s="142"/>
    </row>
    <row r="56">
      <c r="A56" s="142"/>
      <c r="B56" s="142"/>
      <c r="C56" s="142"/>
      <c r="D56" s="142"/>
      <c r="E56" s="142"/>
      <c r="F56" s="143"/>
      <c r="G56" s="144"/>
      <c r="H56" s="144"/>
      <c r="I56" s="145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3"/>
      <c r="U56" s="142"/>
      <c r="V56" s="138"/>
      <c r="W56" s="143"/>
      <c r="X56" s="142"/>
      <c r="Y56" s="142"/>
      <c r="Z56" s="142"/>
      <c r="AA56" s="142"/>
      <c r="AB56" s="142"/>
      <c r="AC56" s="142"/>
      <c r="AD56" s="142"/>
      <c r="AE56" s="142"/>
    </row>
    <row r="57">
      <c r="A57" s="142"/>
      <c r="B57" s="142"/>
      <c r="C57" s="142"/>
      <c r="D57" s="142"/>
      <c r="E57" s="142"/>
      <c r="F57" s="143"/>
      <c r="G57" s="144"/>
      <c r="H57" s="144"/>
      <c r="I57" s="145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3"/>
      <c r="U57" s="142"/>
      <c r="V57" s="138"/>
      <c r="W57" s="143"/>
      <c r="X57" s="142"/>
      <c r="Y57" s="142"/>
      <c r="Z57" s="142"/>
      <c r="AA57" s="142"/>
      <c r="AB57" s="142"/>
      <c r="AC57" s="142"/>
      <c r="AD57" s="142"/>
      <c r="AE57" s="142"/>
    </row>
    <row r="58">
      <c r="A58" s="142"/>
      <c r="B58" s="142"/>
      <c r="C58" s="142"/>
      <c r="D58" s="142"/>
      <c r="E58" s="142"/>
      <c r="F58" s="143"/>
      <c r="G58" s="144"/>
      <c r="H58" s="144"/>
      <c r="I58" s="145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3"/>
      <c r="U58" s="142"/>
      <c r="V58" s="138"/>
      <c r="W58" s="143"/>
      <c r="X58" s="142"/>
      <c r="Y58" s="142"/>
      <c r="Z58" s="142"/>
      <c r="AA58" s="142"/>
      <c r="AB58" s="142"/>
      <c r="AC58" s="142"/>
      <c r="AD58" s="142"/>
      <c r="AE58" s="142"/>
    </row>
    <row r="59">
      <c r="A59" s="142"/>
      <c r="B59" s="142"/>
      <c r="C59" s="142"/>
      <c r="D59" s="142"/>
      <c r="E59" s="142"/>
      <c r="F59" s="143"/>
      <c r="G59" s="144"/>
      <c r="H59" s="144"/>
      <c r="I59" s="145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3"/>
      <c r="U59" s="142"/>
      <c r="V59" s="138"/>
      <c r="W59" s="143"/>
      <c r="X59" s="142"/>
      <c r="Y59" s="142"/>
      <c r="Z59" s="142"/>
      <c r="AA59" s="142"/>
      <c r="AB59" s="142"/>
      <c r="AC59" s="142"/>
      <c r="AD59" s="142"/>
      <c r="AE59" s="142"/>
    </row>
    <row r="60">
      <c r="A60" s="142"/>
      <c r="B60" s="142"/>
      <c r="C60" s="142"/>
      <c r="D60" s="142"/>
      <c r="E60" s="142"/>
      <c r="F60" s="143"/>
      <c r="G60" s="144"/>
      <c r="H60" s="144"/>
      <c r="I60" s="145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3"/>
      <c r="U60" s="142"/>
      <c r="V60" s="138"/>
      <c r="W60" s="143"/>
      <c r="X60" s="142"/>
      <c r="Y60" s="142"/>
      <c r="Z60" s="142"/>
      <c r="AA60" s="142"/>
      <c r="AB60" s="142"/>
      <c r="AC60" s="142"/>
      <c r="AD60" s="142"/>
      <c r="AE60" s="142"/>
    </row>
    <row r="61">
      <c r="A61" s="142"/>
      <c r="B61" s="142"/>
      <c r="C61" s="142"/>
      <c r="D61" s="142"/>
      <c r="E61" s="142"/>
      <c r="F61" s="143"/>
      <c r="G61" s="144"/>
      <c r="H61" s="144"/>
      <c r="I61" s="145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3"/>
      <c r="U61" s="142"/>
      <c r="V61" s="138"/>
      <c r="W61" s="143"/>
      <c r="X61" s="142"/>
      <c r="Y61" s="142"/>
      <c r="Z61" s="142"/>
      <c r="AA61" s="142"/>
      <c r="AB61" s="142"/>
      <c r="AC61" s="142"/>
      <c r="AD61" s="142"/>
      <c r="AE61" s="142"/>
    </row>
    <row r="62">
      <c r="A62" s="142"/>
      <c r="B62" s="142"/>
      <c r="C62" s="142"/>
      <c r="D62" s="142"/>
      <c r="E62" s="142"/>
      <c r="F62" s="143"/>
      <c r="G62" s="144"/>
      <c r="H62" s="144"/>
      <c r="I62" s="145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3"/>
      <c r="U62" s="142"/>
      <c r="V62" s="138"/>
      <c r="W62" s="143"/>
      <c r="X62" s="142"/>
      <c r="Y62" s="142"/>
      <c r="Z62" s="142"/>
      <c r="AA62" s="142"/>
      <c r="AB62" s="142"/>
      <c r="AC62" s="142"/>
      <c r="AD62" s="142"/>
      <c r="AE62" s="142"/>
    </row>
    <row r="63">
      <c r="A63" s="142"/>
      <c r="B63" s="142"/>
      <c r="C63" s="142"/>
      <c r="D63" s="142"/>
      <c r="E63" s="142"/>
      <c r="F63" s="143"/>
      <c r="G63" s="144"/>
      <c r="H63" s="144"/>
      <c r="I63" s="145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42"/>
      <c r="V63" s="138"/>
      <c r="W63" s="143"/>
      <c r="X63" s="142"/>
      <c r="Y63" s="142"/>
      <c r="Z63" s="142"/>
      <c r="AA63" s="142"/>
      <c r="AB63" s="142"/>
      <c r="AC63" s="142"/>
      <c r="AD63" s="142"/>
      <c r="AE63" s="142"/>
    </row>
    <row r="64">
      <c r="A64" s="142"/>
      <c r="B64" s="142"/>
      <c r="C64" s="142"/>
      <c r="D64" s="142"/>
      <c r="E64" s="142"/>
      <c r="F64" s="143"/>
      <c r="G64" s="144"/>
      <c r="H64" s="144"/>
      <c r="I64" s="145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3"/>
      <c r="U64" s="142"/>
      <c r="V64" s="138"/>
      <c r="W64" s="143"/>
      <c r="X64" s="142"/>
      <c r="Y64" s="142"/>
      <c r="Z64" s="142"/>
      <c r="AA64" s="142"/>
      <c r="AB64" s="142"/>
      <c r="AC64" s="142"/>
      <c r="AD64" s="142"/>
      <c r="AE64" s="142"/>
    </row>
    <row r="65">
      <c r="A65" s="142"/>
      <c r="B65" s="142"/>
      <c r="C65" s="142"/>
      <c r="D65" s="142"/>
      <c r="E65" s="142"/>
      <c r="F65" s="143"/>
      <c r="G65" s="144"/>
      <c r="H65" s="144"/>
      <c r="I65" s="145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3"/>
      <c r="U65" s="142"/>
      <c r="V65" s="138"/>
      <c r="W65" s="143"/>
      <c r="X65" s="142"/>
      <c r="Y65" s="142"/>
      <c r="Z65" s="142"/>
      <c r="AA65" s="142"/>
      <c r="AB65" s="142"/>
      <c r="AC65" s="142"/>
      <c r="AD65" s="142"/>
      <c r="AE65" s="142"/>
    </row>
    <row r="66">
      <c r="A66" s="142"/>
      <c r="B66" s="142"/>
      <c r="C66" s="142"/>
      <c r="D66" s="142"/>
      <c r="E66" s="142"/>
      <c r="F66" s="143"/>
      <c r="G66" s="144"/>
      <c r="H66" s="144"/>
      <c r="I66" s="145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3"/>
      <c r="U66" s="142"/>
      <c r="V66" s="138"/>
      <c r="W66" s="143"/>
      <c r="X66" s="142"/>
      <c r="Y66" s="142"/>
      <c r="Z66" s="142"/>
      <c r="AA66" s="142"/>
      <c r="AB66" s="142"/>
      <c r="AC66" s="142"/>
      <c r="AD66" s="142"/>
      <c r="AE66" s="142"/>
    </row>
    <row r="67">
      <c r="A67" s="142"/>
      <c r="B67" s="142"/>
      <c r="C67" s="142"/>
      <c r="D67" s="142"/>
      <c r="E67" s="142"/>
      <c r="F67" s="143"/>
      <c r="G67" s="144"/>
      <c r="H67" s="144"/>
      <c r="I67" s="145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3"/>
      <c r="U67" s="142"/>
      <c r="V67" s="138"/>
      <c r="W67" s="143"/>
      <c r="X67" s="142"/>
      <c r="Y67" s="142"/>
      <c r="Z67" s="142"/>
      <c r="AA67" s="142"/>
      <c r="AB67" s="142"/>
      <c r="AC67" s="142"/>
      <c r="AD67" s="142"/>
      <c r="AE67" s="142"/>
    </row>
    <row r="68">
      <c r="A68" s="142"/>
      <c r="B68" s="142"/>
      <c r="C68" s="142"/>
      <c r="D68" s="142"/>
      <c r="E68" s="142"/>
      <c r="F68" s="143"/>
      <c r="G68" s="144"/>
      <c r="H68" s="144"/>
      <c r="I68" s="145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42"/>
      <c r="V68" s="138"/>
      <c r="W68" s="143"/>
      <c r="X68" s="142"/>
      <c r="Y68" s="142"/>
      <c r="Z68" s="142"/>
      <c r="AA68" s="142"/>
      <c r="AB68" s="142"/>
      <c r="AC68" s="142"/>
      <c r="AD68" s="142"/>
      <c r="AE68" s="142"/>
    </row>
    <row r="69">
      <c r="A69" s="142"/>
      <c r="B69" s="142"/>
      <c r="C69" s="142"/>
      <c r="D69" s="142"/>
      <c r="E69" s="142"/>
      <c r="F69" s="143"/>
      <c r="G69" s="144"/>
      <c r="H69" s="144"/>
      <c r="I69" s="145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3"/>
      <c r="U69" s="142"/>
      <c r="V69" s="138"/>
      <c r="W69" s="143"/>
      <c r="X69" s="142"/>
      <c r="Y69" s="142"/>
      <c r="Z69" s="142"/>
      <c r="AA69" s="142"/>
      <c r="AB69" s="142"/>
      <c r="AC69" s="142"/>
      <c r="AD69" s="142"/>
      <c r="AE69" s="142"/>
    </row>
    <row r="70">
      <c r="A70" s="142"/>
      <c r="B70" s="142"/>
      <c r="C70" s="142"/>
      <c r="D70" s="142"/>
      <c r="E70" s="142"/>
      <c r="F70" s="143"/>
      <c r="G70" s="144"/>
      <c r="H70" s="144"/>
      <c r="I70" s="145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3"/>
      <c r="U70" s="142"/>
      <c r="V70" s="138"/>
      <c r="W70" s="143"/>
      <c r="X70" s="142"/>
      <c r="Y70" s="142"/>
      <c r="Z70" s="142"/>
      <c r="AA70" s="142"/>
      <c r="AB70" s="142"/>
      <c r="AC70" s="142"/>
      <c r="AD70" s="142"/>
      <c r="AE70" s="142"/>
    </row>
    <row r="71">
      <c r="A71" s="142"/>
      <c r="B71" s="142"/>
      <c r="C71" s="142"/>
      <c r="D71" s="142"/>
      <c r="E71" s="142"/>
      <c r="F71" s="143"/>
      <c r="G71" s="144"/>
      <c r="H71" s="144"/>
      <c r="I71" s="145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3"/>
      <c r="U71" s="142"/>
      <c r="V71" s="138"/>
      <c r="W71" s="143"/>
      <c r="X71" s="142"/>
      <c r="Y71" s="142"/>
      <c r="Z71" s="142"/>
      <c r="AA71" s="142"/>
      <c r="AB71" s="142"/>
      <c r="AC71" s="142"/>
      <c r="AD71" s="142"/>
      <c r="AE71" s="142"/>
    </row>
    <row r="72">
      <c r="A72" s="142"/>
      <c r="B72" s="142"/>
      <c r="C72" s="142"/>
      <c r="D72" s="142"/>
      <c r="E72" s="142"/>
      <c r="F72" s="143"/>
      <c r="G72" s="144"/>
      <c r="H72" s="144"/>
      <c r="I72" s="145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3"/>
      <c r="U72" s="142"/>
      <c r="V72" s="138"/>
      <c r="W72" s="143"/>
      <c r="X72" s="142"/>
      <c r="Y72" s="142"/>
      <c r="Z72" s="142"/>
      <c r="AA72" s="142"/>
      <c r="AB72" s="142"/>
      <c r="AC72" s="142"/>
      <c r="AD72" s="142"/>
      <c r="AE72" s="142"/>
    </row>
    <row r="73">
      <c r="A73" s="142"/>
      <c r="B73" s="142"/>
      <c r="C73" s="142"/>
      <c r="D73" s="142"/>
      <c r="E73" s="142"/>
      <c r="F73" s="143"/>
      <c r="G73" s="144"/>
      <c r="H73" s="144"/>
      <c r="I73" s="145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3"/>
      <c r="U73" s="142"/>
      <c r="V73" s="138"/>
      <c r="W73" s="143"/>
      <c r="X73" s="142"/>
      <c r="Y73" s="142"/>
      <c r="Z73" s="142"/>
      <c r="AA73" s="142"/>
      <c r="AB73" s="142"/>
      <c r="AC73" s="142"/>
      <c r="AD73" s="142"/>
      <c r="AE73" s="142"/>
    </row>
    <row r="74">
      <c r="A74" s="142"/>
      <c r="B74" s="142"/>
      <c r="C74" s="142"/>
      <c r="D74" s="142"/>
      <c r="E74" s="142"/>
      <c r="F74" s="143"/>
      <c r="G74" s="144"/>
      <c r="H74" s="144"/>
      <c r="I74" s="145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3"/>
      <c r="U74" s="142"/>
      <c r="V74" s="138"/>
      <c r="W74" s="143"/>
      <c r="X74" s="142"/>
      <c r="Y74" s="142"/>
      <c r="Z74" s="142"/>
      <c r="AA74" s="142"/>
      <c r="AB74" s="142"/>
      <c r="AC74" s="142"/>
      <c r="AD74" s="142"/>
      <c r="AE74" s="142"/>
    </row>
    <row r="75">
      <c r="A75" s="142"/>
      <c r="B75" s="142"/>
      <c r="C75" s="142"/>
      <c r="D75" s="142"/>
      <c r="E75" s="142"/>
      <c r="F75" s="143"/>
      <c r="G75" s="144"/>
      <c r="H75" s="144"/>
      <c r="I75" s="145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3"/>
      <c r="U75" s="142"/>
      <c r="V75" s="138"/>
      <c r="W75" s="143"/>
      <c r="X75" s="142"/>
      <c r="Y75" s="142"/>
      <c r="Z75" s="142"/>
      <c r="AA75" s="142"/>
      <c r="AB75" s="142"/>
      <c r="AC75" s="142"/>
      <c r="AD75" s="142"/>
      <c r="AE75" s="142"/>
    </row>
    <row r="76">
      <c r="A76" s="142"/>
      <c r="B76" s="142"/>
      <c r="C76" s="142"/>
      <c r="D76" s="142"/>
      <c r="E76" s="142"/>
      <c r="F76" s="143"/>
      <c r="G76" s="144"/>
      <c r="H76" s="144"/>
      <c r="I76" s="145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3"/>
      <c r="U76" s="142"/>
      <c r="V76" s="138"/>
      <c r="W76" s="143"/>
      <c r="X76" s="142"/>
      <c r="Y76" s="142"/>
      <c r="Z76" s="142"/>
      <c r="AA76" s="142"/>
      <c r="AB76" s="142"/>
      <c r="AC76" s="142"/>
      <c r="AD76" s="142"/>
      <c r="AE76" s="142"/>
    </row>
    <row r="77">
      <c r="A77" s="142"/>
      <c r="B77" s="142"/>
      <c r="C77" s="142"/>
      <c r="D77" s="142"/>
      <c r="E77" s="142"/>
      <c r="F77" s="143"/>
      <c r="G77" s="144"/>
      <c r="H77" s="144"/>
      <c r="I77" s="145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3"/>
      <c r="U77" s="142"/>
      <c r="V77" s="138"/>
      <c r="W77" s="143"/>
      <c r="X77" s="142"/>
      <c r="Y77" s="142"/>
      <c r="Z77" s="142"/>
      <c r="AA77" s="142"/>
      <c r="AB77" s="142"/>
      <c r="AC77" s="142"/>
      <c r="AD77" s="142"/>
      <c r="AE77" s="142"/>
    </row>
    <row r="78">
      <c r="A78" s="142"/>
      <c r="B78" s="142"/>
      <c r="C78" s="142"/>
      <c r="D78" s="142"/>
      <c r="E78" s="142"/>
      <c r="F78" s="143"/>
      <c r="G78" s="144"/>
      <c r="H78" s="144"/>
      <c r="I78" s="145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3"/>
      <c r="U78" s="142"/>
      <c r="V78" s="138"/>
      <c r="W78" s="143"/>
      <c r="X78" s="142"/>
      <c r="Y78" s="142"/>
      <c r="Z78" s="142"/>
      <c r="AA78" s="142"/>
      <c r="AB78" s="142"/>
      <c r="AC78" s="142"/>
      <c r="AD78" s="142"/>
      <c r="AE78" s="142"/>
    </row>
    <row r="79">
      <c r="A79" s="142"/>
      <c r="B79" s="142"/>
      <c r="C79" s="142"/>
      <c r="D79" s="142"/>
      <c r="E79" s="142"/>
      <c r="F79" s="143"/>
      <c r="G79" s="144"/>
      <c r="H79" s="144"/>
      <c r="I79" s="145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3"/>
      <c r="U79" s="142"/>
      <c r="V79" s="138"/>
      <c r="W79" s="143"/>
      <c r="X79" s="142"/>
      <c r="Y79" s="142"/>
      <c r="Z79" s="142"/>
      <c r="AA79" s="142"/>
      <c r="AB79" s="142"/>
      <c r="AC79" s="142"/>
      <c r="AD79" s="142"/>
      <c r="AE79" s="142"/>
    </row>
    <row r="80">
      <c r="A80" s="142"/>
      <c r="B80" s="142"/>
      <c r="C80" s="142"/>
      <c r="D80" s="142"/>
      <c r="E80" s="142"/>
      <c r="F80" s="143"/>
      <c r="G80" s="144"/>
      <c r="H80" s="144"/>
      <c r="I80" s="145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3"/>
      <c r="U80" s="142"/>
      <c r="V80" s="138"/>
      <c r="W80" s="143"/>
      <c r="X80" s="142"/>
      <c r="Y80" s="142"/>
      <c r="Z80" s="142"/>
      <c r="AA80" s="142"/>
      <c r="AB80" s="142"/>
      <c r="AC80" s="142"/>
      <c r="AD80" s="142"/>
      <c r="AE80" s="142"/>
    </row>
    <row r="81">
      <c r="A81" s="142"/>
      <c r="B81" s="142"/>
      <c r="C81" s="142"/>
      <c r="D81" s="142"/>
      <c r="E81" s="142"/>
      <c r="F81" s="143"/>
      <c r="G81" s="144"/>
      <c r="H81" s="144"/>
      <c r="I81" s="145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3"/>
      <c r="U81" s="142"/>
      <c r="V81" s="138"/>
      <c r="W81" s="143"/>
      <c r="X81" s="142"/>
      <c r="Y81" s="142"/>
      <c r="Z81" s="142"/>
      <c r="AA81" s="142"/>
      <c r="AB81" s="142"/>
      <c r="AC81" s="142"/>
      <c r="AD81" s="142"/>
      <c r="AE81" s="142"/>
    </row>
    <row r="82">
      <c r="A82" s="142"/>
      <c r="B82" s="142"/>
      <c r="C82" s="142"/>
      <c r="D82" s="142"/>
      <c r="E82" s="142"/>
      <c r="F82" s="143"/>
      <c r="G82" s="144"/>
      <c r="H82" s="144"/>
      <c r="I82" s="145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3"/>
      <c r="U82" s="142"/>
      <c r="V82" s="138"/>
      <c r="W82" s="143"/>
      <c r="X82" s="142"/>
      <c r="Y82" s="142"/>
      <c r="Z82" s="142"/>
      <c r="AA82" s="142"/>
      <c r="AB82" s="142"/>
      <c r="AC82" s="142"/>
      <c r="AD82" s="142"/>
      <c r="AE82" s="142"/>
    </row>
    <row r="83">
      <c r="A83" s="142"/>
      <c r="B83" s="142"/>
      <c r="C83" s="142"/>
      <c r="D83" s="142"/>
      <c r="E83" s="142"/>
      <c r="F83" s="143"/>
      <c r="G83" s="144"/>
      <c r="H83" s="144"/>
      <c r="I83" s="145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U83" s="142"/>
      <c r="V83" s="138"/>
      <c r="W83" s="143"/>
      <c r="X83" s="142"/>
      <c r="Y83" s="142"/>
      <c r="Z83" s="142"/>
      <c r="AA83" s="142"/>
      <c r="AB83" s="142"/>
      <c r="AC83" s="142"/>
      <c r="AD83" s="142"/>
      <c r="AE83" s="142"/>
    </row>
    <row r="84">
      <c r="A84" s="142"/>
      <c r="B84" s="142"/>
      <c r="C84" s="142"/>
      <c r="D84" s="142"/>
      <c r="E84" s="142"/>
      <c r="F84" s="143"/>
      <c r="G84" s="144"/>
      <c r="H84" s="144"/>
      <c r="I84" s="145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3"/>
      <c r="U84" s="142"/>
      <c r="V84" s="138"/>
      <c r="W84" s="143"/>
      <c r="X84" s="142"/>
      <c r="Y84" s="142"/>
      <c r="Z84" s="142"/>
      <c r="AA84" s="142"/>
      <c r="AB84" s="142"/>
      <c r="AC84" s="142"/>
      <c r="AD84" s="142"/>
      <c r="AE84" s="142"/>
    </row>
    <row r="85">
      <c r="A85" s="142"/>
      <c r="B85" s="142"/>
      <c r="C85" s="142"/>
      <c r="D85" s="142"/>
      <c r="E85" s="142"/>
      <c r="F85" s="143"/>
      <c r="G85" s="144"/>
      <c r="H85" s="144"/>
      <c r="I85" s="145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3"/>
      <c r="U85" s="142"/>
      <c r="V85" s="138"/>
      <c r="W85" s="143"/>
      <c r="X85" s="142"/>
      <c r="Y85" s="142"/>
      <c r="Z85" s="142"/>
      <c r="AA85" s="142"/>
      <c r="AB85" s="142"/>
      <c r="AC85" s="142"/>
      <c r="AD85" s="142"/>
      <c r="AE85" s="142"/>
    </row>
    <row r="86">
      <c r="A86" s="142"/>
      <c r="B86" s="142"/>
      <c r="C86" s="142"/>
      <c r="D86" s="142"/>
      <c r="E86" s="142"/>
      <c r="F86" s="143"/>
      <c r="G86" s="144"/>
      <c r="H86" s="144"/>
      <c r="I86" s="145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3"/>
      <c r="U86" s="142"/>
      <c r="V86" s="138"/>
      <c r="W86" s="143"/>
      <c r="X86" s="142"/>
      <c r="Y86" s="142"/>
      <c r="Z86" s="142"/>
      <c r="AA86" s="142"/>
      <c r="AB86" s="142"/>
      <c r="AC86" s="142"/>
      <c r="AD86" s="142"/>
      <c r="AE86" s="142"/>
    </row>
    <row r="87">
      <c r="A87" s="142"/>
      <c r="B87" s="142"/>
      <c r="C87" s="142"/>
      <c r="D87" s="142"/>
      <c r="E87" s="142"/>
      <c r="F87" s="143"/>
      <c r="G87" s="144"/>
      <c r="H87" s="144"/>
      <c r="I87" s="145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3"/>
      <c r="U87" s="142"/>
      <c r="V87" s="138"/>
      <c r="W87" s="143"/>
      <c r="X87" s="142"/>
      <c r="Y87" s="142"/>
      <c r="Z87" s="142"/>
      <c r="AA87" s="142"/>
      <c r="AB87" s="142"/>
      <c r="AC87" s="142"/>
      <c r="AD87" s="142"/>
      <c r="AE87" s="142"/>
    </row>
    <row r="88">
      <c r="A88" s="142"/>
      <c r="B88" s="142"/>
      <c r="C88" s="142"/>
      <c r="D88" s="142"/>
      <c r="E88" s="142"/>
      <c r="F88" s="143"/>
      <c r="G88" s="144"/>
      <c r="H88" s="144"/>
      <c r="I88" s="145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3"/>
      <c r="U88" s="142"/>
      <c r="V88" s="138"/>
      <c r="W88" s="143"/>
      <c r="X88" s="142"/>
      <c r="Y88" s="142"/>
      <c r="Z88" s="142"/>
      <c r="AA88" s="142"/>
      <c r="AB88" s="142"/>
      <c r="AC88" s="142"/>
      <c r="AD88" s="142"/>
      <c r="AE88" s="142"/>
    </row>
    <row r="89">
      <c r="A89" s="142"/>
      <c r="B89" s="142"/>
      <c r="C89" s="142"/>
      <c r="D89" s="142"/>
      <c r="E89" s="142"/>
      <c r="F89" s="143"/>
      <c r="G89" s="144"/>
      <c r="H89" s="144"/>
      <c r="I89" s="145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3"/>
      <c r="U89" s="142"/>
      <c r="V89" s="138"/>
      <c r="W89" s="143"/>
      <c r="X89" s="142"/>
      <c r="Y89" s="142"/>
      <c r="Z89" s="142"/>
      <c r="AA89" s="142"/>
      <c r="AB89" s="142"/>
      <c r="AC89" s="142"/>
      <c r="AD89" s="142"/>
      <c r="AE89" s="142"/>
    </row>
    <row r="90">
      <c r="A90" s="142"/>
      <c r="B90" s="142"/>
      <c r="C90" s="142"/>
      <c r="D90" s="142"/>
      <c r="E90" s="142"/>
      <c r="F90" s="143"/>
      <c r="G90" s="144"/>
      <c r="H90" s="144"/>
      <c r="I90" s="145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3"/>
      <c r="U90" s="142"/>
      <c r="V90" s="138"/>
      <c r="W90" s="143"/>
      <c r="X90" s="142"/>
      <c r="Y90" s="142"/>
      <c r="Z90" s="142"/>
      <c r="AA90" s="142"/>
      <c r="AB90" s="142"/>
      <c r="AC90" s="142"/>
      <c r="AD90" s="142"/>
      <c r="AE90" s="142"/>
    </row>
    <row r="91">
      <c r="A91" s="142"/>
      <c r="B91" s="142"/>
      <c r="C91" s="142"/>
      <c r="D91" s="142"/>
      <c r="E91" s="142"/>
      <c r="F91" s="143"/>
      <c r="G91" s="144"/>
      <c r="H91" s="144"/>
      <c r="I91" s="145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3"/>
      <c r="U91" s="142"/>
      <c r="V91" s="138"/>
      <c r="W91" s="143"/>
      <c r="X91" s="142"/>
      <c r="Y91" s="142"/>
      <c r="Z91" s="142"/>
      <c r="AA91" s="142"/>
      <c r="AB91" s="142"/>
      <c r="AC91" s="142"/>
      <c r="AD91" s="142"/>
      <c r="AE91" s="142"/>
    </row>
    <row r="92">
      <c r="A92" s="142"/>
      <c r="B92" s="142"/>
      <c r="C92" s="142"/>
      <c r="D92" s="142"/>
      <c r="E92" s="142"/>
      <c r="F92" s="143"/>
      <c r="G92" s="144"/>
      <c r="H92" s="144"/>
      <c r="I92" s="145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3"/>
      <c r="U92" s="142"/>
      <c r="V92" s="138"/>
      <c r="W92" s="143"/>
      <c r="X92" s="142"/>
      <c r="Y92" s="142"/>
      <c r="Z92" s="142"/>
      <c r="AA92" s="142"/>
      <c r="AB92" s="142"/>
      <c r="AC92" s="142"/>
      <c r="AD92" s="142"/>
      <c r="AE92" s="142"/>
    </row>
    <row r="93">
      <c r="A93" s="142"/>
      <c r="B93" s="142"/>
      <c r="C93" s="142"/>
      <c r="D93" s="142"/>
      <c r="E93" s="142"/>
      <c r="F93" s="143"/>
      <c r="G93" s="144"/>
      <c r="H93" s="144"/>
      <c r="I93" s="145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3"/>
      <c r="U93" s="142"/>
      <c r="V93" s="138"/>
      <c r="W93" s="143"/>
      <c r="X93" s="142"/>
      <c r="Y93" s="142"/>
      <c r="Z93" s="142"/>
      <c r="AA93" s="142"/>
      <c r="AB93" s="142"/>
      <c r="AC93" s="142"/>
      <c r="AD93" s="142"/>
      <c r="AE93" s="142"/>
    </row>
    <row r="94">
      <c r="A94" s="142"/>
      <c r="B94" s="142"/>
      <c r="C94" s="142"/>
      <c r="D94" s="142"/>
      <c r="E94" s="142"/>
      <c r="F94" s="143"/>
      <c r="G94" s="144"/>
      <c r="H94" s="144"/>
      <c r="I94" s="145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3"/>
      <c r="U94" s="142"/>
      <c r="V94" s="138"/>
      <c r="W94" s="143"/>
      <c r="X94" s="142"/>
      <c r="Y94" s="142"/>
      <c r="Z94" s="142"/>
      <c r="AA94" s="142"/>
      <c r="AB94" s="142"/>
      <c r="AC94" s="142"/>
      <c r="AD94" s="142"/>
      <c r="AE94" s="142"/>
    </row>
    <row r="95">
      <c r="A95" s="142"/>
      <c r="B95" s="142"/>
      <c r="C95" s="142"/>
      <c r="D95" s="142"/>
      <c r="E95" s="142"/>
      <c r="F95" s="143"/>
      <c r="G95" s="144"/>
      <c r="H95" s="144"/>
      <c r="I95" s="145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3"/>
      <c r="U95" s="142"/>
      <c r="V95" s="138"/>
      <c r="W95" s="143"/>
      <c r="X95" s="142"/>
      <c r="Y95" s="142"/>
      <c r="Z95" s="142"/>
      <c r="AA95" s="142"/>
      <c r="AB95" s="142"/>
      <c r="AC95" s="142"/>
      <c r="AD95" s="142"/>
      <c r="AE95" s="142"/>
    </row>
    <row r="96">
      <c r="A96" s="142"/>
      <c r="B96" s="142"/>
      <c r="C96" s="142"/>
      <c r="D96" s="142"/>
      <c r="E96" s="142"/>
      <c r="F96" s="143"/>
      <c r="G96" s="144"/>
      <c r="H96" s="144"/>
      <c r="I96" s="145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3"/>
      <c r="U96" s="142"/>
      <c r="V96" s="138"/>
      <c r="W96" s="143"/>
      <c r="X96" s="142"/>
      <c r="Y96" s="142"/>
      <c r="Z96" s="142"/>
      <c r="AA96" s="142"/>
      <c r="AB96" s="142"/>
      <c r="AC96" s="142"/>
      <c r="AD96" s="142"/>
      <c r="AE96" s="142"/>
    </row>
    <row r="97">
      <c r="A97" s="142"/>
      <c r="B97" s="142"/>
      <c r="C97" s="142"/>
      <c r="D97" s="142"/>
      <c r="E97" s="142"/>
      <c r="F97" s="143"/>
      <c r="G97" s="144"/>
      <c r="H97" s="144"/>
      <c r="I97" s="145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3"/>
      <c r="U97" s="142"/>
      <c r="V97" s="138"/>
      <c r="W97" s="143"/>
      <c r="X97" s="142"/>
      <c r="Y97" s="142"/>
      <c r="Z97" s="142"/>
      <c r="AA97" s="142"/>
      <c r="AB97" s="142"/>
      <c r="AC97" s="142"/>
      <c r="AD97" s="142"/>
      <c r="AE97" s="142"/>
    </row>
    <row r="98">
      <c r="A98" s="142"/>
      <c r="B98" s="142"/>
      <c r="C98" s="142"/>
      <c r="D98" s="142"/>
      <c r="E98" s="142"/>
      <c r="F98" s="143"/>
      <c r="G98" s="144"/>
      <c r="H98" s="144"/>
      <c r="I98" s="145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3"/>
      <c r="U98" s="142"/>
      <c r="V98" s="138"/>
      <c r="W98" s="143"/>
      <c r="X98" s="142"/>
      <c r="Y98" s="142"/>
      <c r="Z98" s="142"/>
      <c r="AA98" s="142"/>
      <c r="AB98" s="142"/>
      <c r="AC98" s="142"/>
      <c r="AD98" s="142"/>
      <c r="AE98" s="142"/>
    </row>
    <row r="99">
      <c r="A99" s="142"/>
      <c r="B99" s="142"/>
      <c r="C99" s="142"/>
      <c r="D99" s="142"/>
      <c r="E99" s="142"/>
      <c r="F99" s="143"/>
      <c r="G99" s="144"/>
      <c r="H99" s="144"/>
      <c r="I99" s="145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3"/>
      <c r="U99" s="142"/>
      <c r="V99" s="138"/>
      <c r="W99" s="143"/>
      <c r="X99" s="142"/>
      <c r="Y99" s="142"/>
      <c r="Z99" s="142"/>
      <c r="AA99" s="142"/>
      <c r="AB99" s="142"/>
      <c r="AC99" s="142"/>
      <c r="AD99" s="142"/>
      <c r="AE99" s="142"/>
    </row>
    <row r="100">
      <c r="A100" s="142"/>
      <c r="B100" s="142"/>
      <c r="C100" s="142"/>
      <c r="D100" s="142"/>
      <c r="E100" s="142"/>
      <c r="F100" s="143"/>
      <c r="G100" s="144"/>
      <c r="H100" s="144"/>
      <c r="I100" s="145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3"/>
      <c r="U100" s="142"/>
      <c r="V100" s="138"/>
      <c r="W100" s="143"/>
      <c r="X100" s="142"/>
      <c r="Y100" s="142"/>
      <c r="Z100" s="142"/>
      <c r="AA100" s="142"/>
      <c r="AB100" s="142"/>
      <c r="AC100" s="142"/>
      <c r="AD100" s="142"/>
      <c r="AE100" s="142"/>
    </row>
    <row r="101">
      <c r="A101" s="142"/>
      <c r="B101" s="142"/>
      <c r="C101" s="142"/>
      <c r="D101" s="142"/>
      <c r="E101" s="142"/>
      <c r="F101" s="143"/>
      <c r="G101" s="144"/>
      <c r="H101" s="144"/>
      <c r="I101" s="145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3"/>
      <c r="U101" s="142"/>
      <c r="V101" s="138"/>
      <c r="W101" s="143"/>
      <c r="X101" s="142"/>
      <c r="Y101" s="142"/>
      <c r="Z101" s="142"/>
      <c r="AA101" s="142"/>
      <c r="AB101" s="142"/>
      <c r="AC101" s="142"/>
      <c r="AD101" s="142"/>
      <c r="AE101" s="142"/>
    </row>
    <row r="102">
      <c r="A102" s="142"/>
      <c r="B102" s="142"/>
      <c r="C102" s="142"/>
      <c r="D102" s="142"/>
      <c r="E102" s="142"/>
      <c r="F102" s="143"/>
      <c r="G102" s="144"/>
      <c r="H102" s="144"/>
      <c r="I102" s="145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3"/>
      <c r="U102" s="142"/>
      <c r="V102" s="138"/>
      <c r="W102" s="143"/>
      <c r="X102" s="142"/>
      <c r="Y102" s="142"/>
      <c r="Z102" s="142"/>
      <c r="AA102" s="142"/>
      <c r="AB102" s="142"/>
      <c r="AC102" s="142"/>
      <c r="AD102" s="142"/>
      <c r="AE102" s="142"/>
    </row>
    <row r="103">
      <c r="A103" s="142"/>
      <c r="B103" s="142"/>
      <c r="C103" s="142"/>
      <c r="D103" s="142"/>
      <c r="E103" s="142"/>
      <c r="F103" s="143"/>
      <c r="G103" s="144"/>
      <c r="H103" s="144"/>
      <c r="I103" s="145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3"/>
      <c r="U103" s="142"/>
      <c r="V103" s="138"/>
      <c r="W103" s="143"/>
      <c r="X103" s="142"/>
      <c r="Y103" s="142"/>
      <c r="Z103" s="142"/>
      <c r="AA103" s="142"/>
      <c r="AB103" s="142"/>
      <c r="AC103" s="142"/>
      <c r="AD103" s="142"/>
      <c r="AE103" s="142"/>
    </row>
    <row r="104">
      <c r="A104" s="142"/>
      <c r="B104" s="142"/>
      <c r="C104" s="142"/>
      <c r="D104" s="142"/>
      <c r="E104" s="142"/>
      <c r="F104" s="143"/>
      <c r="G104" s="144"/>
      <c r="H104" s="144"/>
      <c r="I104" s="145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3"/>
      <c r="U104" s="142"/>
      <c r="V104" s="138"/>
      <c r="W104" s="143"/>
      <c r="X104" s="142"/>
      <c r="Y104" s="142"/>
      <c r="Z104" s="142"/>
      <c r="AA104" s="142"/>
      <c r="AB104" s="142"/>
      <c r="AC104" s="142"/>
      <c r="AD104" s="142"/>
      <c r="AE104" s="142"/>
    </row>
    <row r="105">
      <c r="A105" s="142"/>
      <c r="B105" s="142"/>
      <c r="C105" s="142"/>
      <c r="D105" s="142"/>
      <c r="E105" s="142"/>
      <c r="F105" s="143"/>
      <c r="G105" s="144"/>
      <c r="H105" s="144"/>
      <c r="I105" s="145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3"/>
      <c r="U105" s="142"/>
      <c r="V105" s="138"/>
      <c r="W105" s="143"/>
      <c r="X105" s="142"/>
      <c r="Y105" s="142"/>
      <c r="Z105" s="142"/>
      <c r="AA105" s="142"/>
      <c r="AB105" s="142"/>
      <c r="AC105" s="142"/>
      <c r="AD105" s="142"/>
      <c r="AE105" s="142"/>
    </row>
    <row r="106">
      <c r="A106" s="142"/>
      <c r="B106" s="142"/>
      <c r="C106" s="142"/>
      <c r="D106" s="142"/>
      <c r="E106" s="142"/>
      <c r="F106" s="143"/>
      <c r="G106" s="144"/>
      <c r="H106" s="144"/>
      <c r="I106" s="145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3"/>
      <c r="U106" s="142"/>
      <c r="V106" s="138"/>
      <c r="W106" s="143"/>
      <c r="X106" s="142"/>
      <c r="Y106" s="142"/>
      <c r="Z106" s="142"/>
      <c r="AA106" s="142"/>
      <c r="AB106" s="142"/>
      <c r="AC106" s="142"/>
      <c r="AD106" s="142"/>
      <c r="AE106" s="142"/>
    </row>
    <row r="107">
      <c r="A107" s="142"/>
      <c r="B107" s="142"/>
      <c r="C107" s="142"/>
      <c r="D107" s="142"/>
      <c r="E107" s="142"/>
      <c r="F107" s="143"/>
      <c r="G107" s="144"/>
      <c r="H107" s="144"/>
      <c r="I107" s="145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3"/>
      <c r="U107" s="142"/>
      <c r="V107" s="138"/>
      <c r="W107" s="143"/>
      <c r="X107" s="142"/>
      <c r="Y107" s="142"/>
      <c r="Z107" s="142"/>
      <c r="AA107" s="142"/>
      <c r="AB107" s="142"/>
      <c r="AC107" s="142"/>
      <c r="AD107" s="142"/>
      <c r="AE107" s="142"/>
    </row>
    <row r="108">
      <c r="A108" s="142"/>
      <c r="B108" s="142"/>
      <c r="C108" s="142"/>
      <c r="D108" s="142"/>
      <c r="E108" s="142"/>
      <c r="F108" s="143"/>
      <c r="G108" s="144"/>
      <c r="H108" s="144"/>
      <c r="I108" s="145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3"/>
      <c r="U108" s="142"/>
      <c r="V108" s="138"/>
      <c r="W108" s="143"/>
      <c r="X108" s="142"/>
      <c r="Y108" s="142"/>
      <c r="Z108" s="142"/>
      <c r="AA108" s="142"/>
      <c r="AB108" s="142"/>
      <c r="AC108" s="142"/>
      <c r="AD108" s="142"/>
      <c r="AE108" s="142"/>
    </row>
    <row r="109">
      <c r="A109" s="142"/>
      <c r="B109" s="142"/>
      <c r="C109" s="142"/>
      <c r="D109" s="142"/>
      <c r="E109" s="142"/>
      <c r="F109" s="143"/>
      <c r="G109" s="144"/>
      <c r="H109" s="144"/>
      <c r="I109" s="145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3"/>
      <c r="U109" s="142"/>
      <c r="V109" s="138"/>
      <c r="W109" s="143"/>
      <c r="X109" s="142"/>
      <c r="Y109" s="142"/>
      <c r="Z109" s="142"/>
      <c r="AA109" s="142"/>
      <c r="AB109" s="142"/>
      <c r="AC109" s="142"/>
      <c r="AD109" s="142"/>
      <c r="AE109" s="142"/>
    </row>
    <row r="110">
      <c r="A110" s="142"/>
      <c r="B110" s="142"/>
      <c r="C110" s="142"/>
      <c r="D110" s="142"/>
      <c r="E110" s="142"/>
      <c r="F110" s="143"/>
      <c r="G110" s="144"/>
      <c r="H110" s="144"/>
      <c r="I110" s="145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3"/>
      <c r="U110" s="142"/>
      <c r="V110" s="138"/>
      <c r="W110" s="143"/>
      <c r="X110" s="142"/>
      <c r="Y110" s="142"/>
      <c r="Z110" s="142"/>
      <c r="AA110" s="142"/>
      <c r="AB110" s="142"/>
      <c r="AC110" s="142"/>
      <c r="AD110" s="142"/>
      <c r="AE110" s="142"/>
    </row>
    <row r="111">
      <c r="A111" s="142"/>
      <c r="B111" s="142"/>
      <c r="C111" s="142"/>
      <c r="D111" s="142"/>
      <c r="E111" s="142"/>
      <c r="F111" s="143"/>
      <c r="G111" s="144"/>
      <c r="H111" s="144"/>
      <c r="I111" s="145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3"/>
      <c r="U111" s="142"/>
      <c r="V111" s="138"/>
      <c r="W111" s="143"/>
      <c r="X111" s="142"/>
      <c r="Y111" s="142"/>
      <c r="Z111" s="142"/>
      <c r="AA111" s="142"/>
      <c r="AB111" s="142"/>
      <c r="AC111" s="142"/>
      <c r="AD111" s="142"/>
      <c r="AE111" s="142"/>
    </row>
    <row r="112">
      <c r="A112" s="142"/>
      <c r="B112" s="142"/>
      <c r="C112" s="142"/>
      <c r="D112" s="142"/>
      <c r="E112" s="142"/>
      <c r="F112" s="143"/>
      <c r="G112" s="144"/>
      <c r="H112" s="144"/>
      <c r="I112" s="145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3"/>
      <c r="U112" s="142"/>
      <c r="V112" s="138"/>
      <c r="W112" s="143"/>
      <c r="X112" s="142"/>
      <c r="Y112" s="142"/>
      <c r="Z112" s="142"/>
      <c r="AA112" s="142"/>
      <c r="AB112" s="142"/>
      <c r="AC112" s="142"/>
      <c r="AD112" s="142"/>
      <c r="AE112" s="142"/>
    </row>
    <row r="113">
      <c r="A113" s="142"/>
      <c r="B113" s="142"/>
      <c r="C113" s="142"/>
      <c r="D113" s="142"/>
      <c r="E113" s="142"/>
      <c r="F113" s="143"/>
      <c r="G113" s="144"/>
      <c r="H113" s="144"/>
      <c r="I113" s="145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3"/>
      <c r="U113" s="142"/>
      <c r="V113" s="138"/>
      <c r="W113" s="143"/>
      <c r="X113" s="142"/>
      <c r="Y113" s="142"/>
      <c r="Z113" s="142"/>
      <c r="AA113" s="142"/>
      <c r="AB113" s="142"/>
      <c r="AC113" s="142"/>
      <c r="AD113" s="142"/>
      <c r="AE113" s="142"/>
    </row>
    <row r="114">
      <c r="A114" s="142"/>
      <c r="B114" s="142"/>
      <c r="C114" s="142"/>
      <c r="D114" s="142"/>
      <c r="E114" s="142"/>
      <c r="F114" s="143"/>
      <c r="G114" s="144"/>
      <c r="H114" s="144"/>
      <c r="I114" s="145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3"/>
      <c r="U114" s="142"/>
      <c r="V114" s="138"/>
      <c r="W114" s="143"/>
      <c r="X114" s="142"/>
      <c r="Y114" s="142"/>
      <c r="Z114" s="142"/>
      <c r="AA114" s="142"/>
      <c r="AB114" s="142"/>
      <c r="AC114" s="142"/>
      <c r="AD114" s="142"/>
      <c r="AE114" s="142"/>
    </row>
    <row r="115">
      <c r="A115" s="142"/>
      <c r="B115" s="142"/>
      <c r="C115" s="142"/>
      <c r="D115" s="142"/>
      <c r="E115" s="142"/>
      <c r="F115" s="143"/>
      <c r="G115" s="144"/>
      <c r="H115" s="144"/>
      <c r="I115" s="145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3"/>
      <c r="U115" s="142"/>
      <c r="V115" s="138"/>
      <c r="W115" s="143"/>
      <c r="X115" s="142"/>
      <c r="Y115" s="142"/>
      <c r="Z115" s="142"/>
      <c r="AA115" s="142"/>
      <c r="AB115" s="142"/>
      <c r="AC115" s="142"/>
      <c r="AD115" s="142"/>
      <c r="AE115" s="142"/>
    </row>
    <row r="116">
      <c r="A116" s="142"/>
      <c r="B116" s="142"/>
      <c r="C116" s="142"/>
      <c r="D116" s="142"/>
      <c r="E116" s="142"/>
      <c r="F116" s="143"/>
      <c r="G116" s="144"/>
      <c r="H116" s="144"/>
      <c r="I116" s="145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3"/>
      <c r="U116" s="142"/>
      <c r="V116" s="138"/>
      <c r="W116" s="143"/>
      <c r="X116" s="142"/>
      <c r="Y116" s="142"/>
      <c r="Z116" s="142"/>
      <c r="AA116" s="142"/>
      <c r="AB116" s="142"/>
      <c r="AC116" s="142"/>
      <c r="AD116" s="142"/>
      <c r="AE116" s="142"/>
    </row>
    <row r="117">
      <c r="A117" s="142"/>
      <c r="B117" s="142"/>
      <c r="C117" s="142"/>
      <c r="D117" s="142"/>
      <c r="E117" s="142"/>
      <c r="F117" s="143"/>
      <c r="G117" s="144"/>
      <c r="H117" s="144"/>
      <c r="I117" s="145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3"/>
      <c r="U117" s="142"/>
      <c r="V117" s="138"/>
      <c r="W117" s="143"/>
      <c r="X117" s="142"/>
      <c r="Y117" s="142"/>
      <c r="Z117" s="142"/>
      <c r="AA117" s="142"/>
      <c r="AB117" s="142"/>
      <c r="AC117" s="142"/>
      <c r="AD117" s="142"/>
      <c r="AE117" s="142"/>
    </row>
    <row r="118">
      <c r="A118" s="142"/>
      <c r="B118" s="142"/>
      <c r="C118" s="142"/>
      <c r="D118" s="142"/>
      <c r="E118" s="142"/>
      <c r="F118" s="143"/>
      <c r="G118" s="144"/>
      <c r="H118" s="144"/>
      <c r="I118" s="145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3"/>
      <c r="U118" s="142"/>
      <c r="V118" s="138"/>
      <c r="W118" s="143"/>
      <c r="X118" s="142"/>
      <c r="Y118" s="142"/>
      <c r="Z118" s="142"/>
      <c r="AA118" s="142"/>
      <c r="AB118" s="142"/>
      <c r="AC118" s="142"/>
      <c r="AD118" s="142"/>
      <c r="AE118" s="142"/>
    </row>
    <row r="119">
      <c r="A119" s="142"/>
      <c r="B119" s="142"/>
      <c r="C119" s="142"/>
      <c r="D119" s="142"/>
      <c r="E119" s="142"/>
      <c r="F119" s="143"/>
      <c r="G119" s="144"/>
      <c r="H119" s="144"/>
      <c r="I119" s="145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3"/>
      <c r="U119" s="142"/>
      <c r="V119" s="138"/>
      <c r="W119" s="143"/>
      <c r="X119" s="142"/>
      <c r="Y119" s="142"/>
      <c r="Z119" s="142"/>
      <c r="AA119" s="142"/>
      <c r="AB119" s="142"/>
      <c r="AC119" s="142"/>
      <c r="AD119" s="142"/>
      <c r="AE119" s="142"/>
    </row>
    <row r="120">
      <c r="A120" s="142"/>
      <c r="B120" s="142"/>
      <c r="C120" s="142"/>
      <c r="D120" s="142"/>
      <c r="E120" s="142"/>
      <c r="F120" s="143"/>
      <c r="G120" s="144"/>
      <c r="H120" s="144"/>
      <c r="I120" s="145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3"/>
      <c r="U120" s="142"/>
      <c r="V120" s="138"/>
      <c r="W120" s="143"/>
      <c r="X120" s="142"/>
      <c r="Y120" s="142"/>
      <c r="Z120" s="142"/>
      <c r="AA120" s="142"/>
      <c r="AB120" s="142"/>
      <c r="AC120" s="142"/>
      <c r="AD120" s="142"/>
      <c r="AE120" s="142"/>
    </row>
    <row r="121">
      <c r="A121" s="142"/>
      <c r="B121" s="142"/>
      <c r="C121" s="142"/>
      <c r="D121" s="142"/>
      <c r="E121" s="142"/>
      <c r="F121" s="143"/>
      <c r="G121" s="144"/>
      <c r="H121" s="144"/>
      <c r="I121" s="145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3"/>
      <c r="U121" s="142"/>
      <c r="V121" s="138"/>
      <c r="W121" s="143"/>
      <c r="X121" s="142"/>
      <c r="Y121" s="142"/>
      <c r="Z121" s="142"/>
      <c r="AA121" s="142"/>
      <c r="AB121" s="142"/>
      <c r="AC121" s="142"/>
      <c r="AD121" s="142"/>
      <c r="AE121" s="142"/>
    </row>
    <row r="122">
      <c r="A122" s="142"/>
      <c r="B122" s="142"/>
      <c r="C122" s="142"/>
      <c r="D122" s="142"/>
      <c r="E122" s="142"/>
      <c r="F122" s="143"/>
      <c r="G122" s="144"/>
      <c r="H122" s="144"/>
      <c r="I122" s="145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3"/>
      <c r="U122" s="142"/>
      <c r="V122" s="138"/>
      <c r="W122" s="143"/>
      <c r="X122" s="142"/>
      <c r="Y122" s="142"/>
      <c r="Z122" s="142"/>
      <c r="AA122" s="142"/>
      <c r="AB122" s="142"/>
      <c r="AC122" s="142"/>
      <c r="AD122" s="142"/>
      <c r="AE122" s="142"/>
    </row>
    <row r="123">
      <c r="A123" s="142"/>
      <c r="B123" s="142"/>
      <c r="C123" s="142"/>
      <c r="D123" s="142"/>
      <c r="E123" s="142"/>
      <c r="F123" s="143"/>
      <c r="G123" s="144"/>
      <c r="H123" s="144"/>
      <c r="I123" s="145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3"/>
      <c r="U123" s="142"/>
      <c r="V123" s="138"/>
      <c r="W123" s="143"/>
      <c r="X123" s="142"/>
      <c r="Y123" s="142"/>
      <c r="Z123" s="142"/>
      <c r="AA123" s="142"/>
      <c r="AB123" s="142"/>
      <c r="AC123" s="142"/>
      <c r="AD123" s="142"/>
      <c r="AE123" s="142"/>
    </row>
    <row r="124">
      <c r="A124" s="142"/>
      <c r="B124" s="142"/>
      <c r="C124" s="142"/>
      <c r="D124" s="142"/>
      <c r="E124" s="142"/>
      <c r="F124" s="143"/>
      <c r="G124" s="144"/>
      <c r="H124" s="144"/>
      <c r="I124" s="145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3"/>
      <c r="U124" s="142"/>
      <c r="V124" s="138"/>
      <c r="W124" s="143"/>
      <c r="X124" s="142"/>
      <c r="Y124" s="142"/>
      <c r="Z124" s="142"/>
      <c r="AA124" s="142"/>
      <c r="AB124" s="142"/>
      <c r="AC124" s="142"/>
      <c r="AD124" s="142"/>
      <c r="AE124" s="142"/>
    </row>
    <row r="125">
      <c r="A125" s="142"/>
      <c r="B125" s="142"/>
      <c r="C125" s="142"/>
      <c r="D125" s="142"/>
      <c r="E125" s="142"/>
      <c r="F125" s="143"/>
      <c r="G125" s="144"/>
      <c r="H125" s="144"/>
      <c r="I125" s="145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3"/>
      <c r="U125" s="142"/>
      <c r="V125" s="138"/>
      <c r="W125" s="143"/>
      <c r="X125" s="142"/>
      <c r="Y125" s="142"/>
      <c r="Z125" s="142"/>
      <c r="AA125" s="142"/>
      <c r="AB125" s="142"/>
      <c r="AC125" s="142"/>
      <c r="AD125" s="142"/>
      <c r="AE125" s="142"/>
    </row>
    <row r="126">
      <c r="A126" s="142"/>
      <c r="B126" s="142"/>
      <c r="C126" s="142"/>
      <c r="D126" s="142"/>
      <c r="E126" s="142"/>
      <c r="F126" s="143"/>
      <c r="G126" s="144"/>
      <c r="H126" s="144"/>
      <c r="I126" s="145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3"/>
      <c r="U126" s="142"/>
      <c r="V126" s="138"/>
      <c r="W126" s="143"/>
      <c r="X126" s="142"/>
      <c r="Y126" s="142"/>
      <c r="Z126" s="142"/>
      <c r="AA126" s="142"/>
      <c r="AB126" s="142"/>
      <c r="AC126" s="142"/>
      <c r="AD126" s="142"/>
      <c r="AE126" s="142"/>
    </row>
    <row r="127">
      <c r="A127" s="142"/>
      <c r="B127" s="142"/>
      <c r="C127" s="142"/>
      <c r="D127" s="142"/>
      <c r="E127" s="142"/>
      <c r="F127" s="143"/>
      <c r="G127" s="144"/>
      <c r="H127" s="144"/>
      <c r="I127" s="145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3"/>
      <c r="U127" s="142"/>
      <c r="V127" s="138"/>
      <c r="W127" s="143"/>
      <c r="X127" s="142"/>
      <c r="Y127" s="142"/>
      <c r="Z127" s="142"/>
      <c r="AA127" s="142"/>
      <c r="AB127" s="142"/>
      <c r="AC127" s="142"/>
      <c r="AD127" s="142"/>
      <c r="AE127" s="142"/>
    </row>
    <row r="128">
      <c r="A128" s="142"/>
      <c r="B128" s="142"/>
      <c r="C128" s="142"/>
      <c r="D128" s="142"/>
      <c r="E128" s="142"/>
      <c r="F128" s="143"/>
      <c r="G128" s="144"/>
      <c r="H128" s="144"/>
      <c r="I128" s="145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3"/>
      <c r="U128" s="142"/>
      <c r="V128" s="138"/>
      <c r="W128" s="143"/>
      <c r="X128" s="142"/>
      <c r="Y128" s="142"/>
      <c r="Z128" s="142"/>
      <c r="AA128" s="142"/>
      <c r="AB128" s="142"/>
      <c r="AC128" s="142"/>
      <c r="AD128" s="142"/>
      <c r="AE128" s="142"/>
    </row>
    <row r="129">
      <c r="A129" s="142"/>
      <c r="B129" s="142"/>
      <c r="C129" s="142"/>
      <c r="D129" s="142"/>
      <c r="E129" s="142"/>
      <c r="F129" s="143"/>
      <c r="G129" s="144"/>
      <c r="H129" s="144"/>
      <c r="I129" s="145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3"/>
      <c r="U129" s="142"/>
      <c r="V129" s="138"/>
      <c r="W129" s="143"/>
      <c r="X129" s="142"/>
      <c r="Y129" s="142"/>
      <c r="Z129" s="142"/>
      <c r="AA129" s="142"/>
      <c r="AB129" s="142"/>
      <c r="AC129" s="142"/>
      <c r="AD129" s="142"/>
      <c r="AE129" s="142"/>
    </row>
    <row r="130">
      <c r="A130" s="142"/>
      <c r="B130" s="142"/>
      <c r="C130" s="142"/>
      <c r="D130" s="142"/>
      <c r="E130" s="142"/>
      <c r="F130" s="143"/>
      <c r="G130" s="144"/>
      <c r="H130" s="144"/>
      <c r="I130" s="145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3"/>
      <c r="U130" s="142"/>
      <c r="V130" s="138"/>
      <c r="W130" s="143"/>
      <c r="X130" s="142"/>
      <c r="Y130" s="142"/>
      <c r="Z130" s="142"/>
      <c r="AA130" s="142"/>
      <c r="AB130" s="142"/>
      <c r="AC130" s="142"/>
      <c r="AD130" s="142"/>
      <c r="AE130" s="142"/>
    </row>
    <row r="131">
      <c r="A131" s="142"/>
      <c r="B131" s="142"/>
      <c r="C131" s="142"/>
      <c r="D131" s="142"/>
      <c r="E131" s="142"/>
      <c r="F131" s="143"/>
      <c r="G131" s="144"/>
      <c r="H131" s="144"/>
      <c r="I131" s="145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3"/>
      <c r="U131" s="142"/>
      <c r="V131" s="138"/>
      <c r="W131" s="143"/>
      <c r="X131" s="142"/>
      <c r="Y131" s="142"/>
      <c r="Z131" s="142"/>
      <c r="AA131" s="142"/>
      <c r="AB131" s="142"/>
      <c r="AC131" s="142"/>
      <c r="AD131" s="142"/>
      <c r="AE131" s="142"/>
    </row>
    <row r="132">
      <c r="A132" s="142"/>
      <c r="B132" s="142"/>
      <c r="C132" s="142"/>
      <c r="D132" s="142"/>
      <c r="E132" s="142"/>
      <c r="F132" s="143"/>
      <c r="G132" s="144"/>
      <c r="H132" s="144"/>
      <c r="I132" s="145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3"/>
      <c r="U132" s="142"/>
      <c r="V132" s="138"/>
      <c r="W132" s="143"/>
      <c r="X132" s="142"/>
      <c r="Y132" s="142"/>
      <c r="Z132" s="142"/>
      <c r="AA132" s="142"/>
      <c r="AB132" s="142"/>
      <c r="AC132" s="142"/>
      <c r="AD132" s="142"/>
      <c r="AE132" s="142"/>
    </row>
    <row r="133">
      <c r="A133" s="142"/>
      <c r="B133" s="142"/>
      <c r="C133" s="142"/>
      <c r="D133" s="142"/>
      <c r="E133" s="142"/>
      <c r="F133" s="143"/>
      <c r="G133" s="144"/>
      <c r="H133" s="144"/>
      <c r="I133" s="145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3"/>
      <c r="U133" s="142"/>
      <c r="V133" s="138"/>
      <c r="W133" s="143"/>
      <c r="X133" s="142"/>
      <c r="Y133" s="142"/>
      <c r="Z133" s="142"/>
      <c r="AA133" s="142"/>
      <c r="AB133" s="142"/>
      <c r="AC133" s="142"/>
      <c r="AD133" s="142"/>
      <c r="AE133" s="142"/>
    </row>
    <row r="134">
      <c r="A134" s="142"/>
      <c r="B134" s="142"/>
      <c r="C134" s="142"/>
      <c r="D134" s="142"/>
      <c r="E134" s="142"/>
      <c r="F134" s="143"/>
      <c r="G134" s="144"/>
      <c r="H134" s="144"/>
      <c r="I134" s="145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3"/>
      <c r="U134" s="142"/>
      <c r="V134" s="138"/>
      <c r="W134" s="143"/>
      <c r="X134" s="142"/>
      <c r="Y134" s="142"/>
      <c r="Z134" s="142"/>
      <c r="AA134" s="142"/>
      <c r="AB134" s="142"/>
      <c r="AC134" s="142"/>
      <c r="AD134" s="142"/>
      <c r="AE134" s="142"/>
    </row>
    <row r="135">
      <c r="A135" s="142"/>
      <c r="B135" s="142"/>
      <c r="C135" s="142"/>
      <c r="D135" s="142"/>
      <c r="E135" s="142"/>
      <c r="F135" s="143"/>
      <c r="G135" s="144"/>
      <c r="H135" s="144"/>
      <c r="I135" s="145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3"/>
      <c r="U135" s="142"/>
      <c r="V135" s="138"/>
      <c r="W135" s="143"/>
      <c r="X135" s="142"/>
      <c r="Y135" s="142"/>
      <c r="Z135" s="142"/>
      <c r="AA135" s="142"/>
      <c r="AB135" s="142"/>
      <c r="AC135" s="142"/>
      <c r="AD135" s="142"/>
      <c r="AE135" s="142"/>
    </row>
    <row r="136">
      <c r="A136" s="142"/>
      <c r="B136" s="142"/>
      <c r="C136" s="142"/>
      <c r="D136" s="142"/>
      <c r="E136" s="142"/>
      <c r="F136" s="143"/>
      <c r="G136" s="144"/>
      <c r="H136" s="144"/>
      <c r="I136" s="145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3"/>
      <c r="U136" s="142"/>
      <c r="V136" s="138"/>
      <c r="W136" s="143"/>
      <c r="X136" s="142"/>
      <c r="Y136" s="142"/>
      <c r="Z136" s="142"/>
      <c r="AA136" s="142"/>
      <c r="AB136" s="142"/>
      <c r="AC136" s="142"/>
      <c r="AD136" s="142"/>
      <c r="AE136" s="142"/>
    </row>
    <row r="137">
      <c r="A137" s="142"/>
      <c r="B137" s="142"/>
      <c r="C137" s="142"/>
      <c r="D137" s="142"/>
      <c r="E137" s="142"/>
      <c r="F137" s="143"/>
      <c r="G137" s="144"/>
      <c r="H137" s="144"/>
      <c r="I137" s="145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3"/>
      <c r="U137" s="142"/>
      <c r="V137" s="138"/>
      <c r="W137" s="143"/>
      <c r="X137" s="142"/>
      <c r="Y137" s="142"/>
      <c r="Z137" s="142"/>
      <c r="AA137" s="142"/>
      <c r="AB137" s="142"/>
      <c r="AC137" s="142"/>
      <c r="AD137" s="142"/>
      <c r="AE137" s="142"/>
    </row>
    <row r="138">
      <c r="A138" s="142"/>
      <c r="B138" s="142"/>
      <c r="C138" s="142"/>
      <c r="D138" s="142"/>
      <c r="E138" s="142"/>
      <c r="F138" s="143"/>
      <c r="G138" s="144"/>
      <c r="H138" s="144"/>
      <c r="I138" s="145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3"/>
      <c r="U138" s="142"/>
      <c r="V138" s="138"/>
      <c r="W138" s="143"/>
      <c r="X138" s="142"/>
      <c r="Y138" s="142"/>
      <c r="Z138" s="142"/>
      <c r="AA138" s="142"/>
      <c r="AB138" s="142"/>
      <c r="AC138" s="142"/>
      <c r="AD138" s="142"/>
      <c r="AE138" s="142"/>
    </row>
    <row r="139">
      <c r="A139" s="142"/>
      <c r="B139" s="142"/>
      <c r="C139" s="142"/>
      <c r="D139" s="142"/>
      <c r="E139" s="142"/>
      <c r="F139" s="143"/>
      <c r="G139" s="144"/>
      <c r="H139" s="144"/>
      <c r="I139" s="145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3"/>
      <c r="U139" s="142"/>
      <c r="V139" s="138"/>
      <c r="W139" s="143"/>
      <c r="X139" s="142"/>
      <c r="Y139" s="142"/>
      <c r="Z139" s="142"/>
      <c r="AA139" s="142"/>
      <c r="AB139" s="142"/>
      <c r="AC139" s="142"/>
      <c r="AD139" s="142"/>
      <c r="AE139" s="142"/>
    </row>
    <row r="140">
      <c r="A140" s="142"/>
      <c r="B140" s="142"/>
      <c r="C140" s="142"/>
      <c r="D140" s="142"/>
      <c r="E140" s="142"/>
      <c r="F140" s="143"/>
      <c r="G140" s="144"/>
      <c r="H140" s="144"/>
      <c r="I140" s="145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3"/>
      <c r="U140" s="142"/>
      <c r="V140" s="138"/>
      <c r="W140" s="143"/>
      <c r="X140" s="142"/>
      <c r="Y140" s="142"/>
      <c r="Z140" s="142"/>
      <c r="AA140" s="142"/>
      <c r="AB140" s="142"/>
      <c r="AC140" s="142"/>
      <c r="AD140" s="142"/>
      <c r="AE140" s="142"/>
    </row>
    <row r="141">
      <c r="A141" s="142"/>
      <c r="B141" s="142"/>
      <c r="C141" s="142"/>
      <c r="D141" s="142"/>
      <c r="E141" s="142"/>
      <c r="F141" s="143"/>
      <c r="G141" s="144"/>
      <c r="H141" s="144"/>
      <c r="I141" s="145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3"/>
      <c r="U141" s="142"/>
      <c r="V141" s="138"/>
      <c r="W141" s="143"/>
      <c r="X141" s="142"/>
      <c r="Y141" s="142"/>
      <c r="Z141" s="142"/>
      <c r="AA141" s="142"/>
      <c r="AB141" s="142"/>
      <c r="AC141" s="142"/>
      <c r="AD141" s="142"/>
      <c r="AE141" s="142"/>
    </row>
    <row r="142">
      <c r="A142" s="142"/>
      <c r="B142" s="142"/>
      <c r="C142" s="142"/>
      <c r="D142" s="142"/>
      <c r="E142" s="142"/>
      <c r="F142" s="143"/>
      <c r="G142" s="144"/>
      <c r="H142" s="144"/>
      <c r="I142" s="145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3"/>
      <c r="U142" s="142"/>
      <c r="V142" s="138"/>
      <c r="W142" s="143"/>
      <c r="X142" s="142"/>
      <c r="Y142" s="142"/>
      <c r="Z142" s="142"/>
      <c r="AA142" s="142"/>
      <c r="AB142" s="142"/>
      <c r="AC142" s="142"/>
      <c r="AD142" s="142"/>
      <c r="AE142" s="142"/>
    </row>
    <row r="143">
      <c r="A143" s="142"/>
      <c r="B143" s="142"/>
      <c r="C143" s="142"/>
      <c r="D143" s="142"/>
      <c r="E143" s="142"/>
      <c r="F143" s="143"/>
      <c r="G143" s="144"/>
      <c r="H143" s="144"/>
      <c r="I143" s="145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3"/>
      <c r="U143" s="142"/>
      <c r="V143" s="138"/>
      <c r="W143" s="143"/>
      <c r="X143" s="142"/>
      <c r="Y143" s="142"/>
      <c r="Z143" s="142"/>
      <c r="AA143" s="142"/>
      <c r="AB143" s="142"/>
      <c r="AC143" s="142"/>
      <c r="AD143" s="142"/>
      <c r="AE143" s="142"/>
    </row>
    <row r="144">
      <c r="A144" s="142"/>
      <c r="B144" s="142"/>
      <c r="C144" s="142"/>
      <c r="D144" s="142"/>
      <c r="E144" s="142"/>
      <c r="F144" s="143"/>
      <c r="G144" s="144"/>
      <c r="H144" s="144"/>
      <c r="I144" s="145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3"/>
      <c r="U144" s="142"/>
      <c r="V144" s="138"/>
      <c r="W144" s="143"/>
      <c r="X144" s="142"/>
      <c r="Y144" s="142"/>
      <c r="Z144" s="142"/>
      <c r="AA144" s="142"/>
      <c r="AB144" s="142"/>
      <c r="AC144" s="142"/>
      <c r="AD144" s="142"/>
      <c r="AE144" s="142"/>
    </row>
    <row r="145">
      <c r="A145" s="142"/>
      <c r="B145" s="142"/>
      <c r="C145" s="142"/>
      <c r="D145" s="142"/>
      <c r="E145" s="142"/>
      <c r="F145" s="143"/>
      <c r="G145" s="144"/>
      <c r="H145" s="144"/>
      <c r="I145" s="145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3"/>
      <c r="U145" s="142"/>
      <c r="V145" s="138"/>
      <c r="W145" s="143"/>
      <c r="X145" s="142"/>
      <c r="Y145" s="142"/>
      <c r="Z145" s="142"/>
      <c r="AA145" s="142"/>
      <c r="AB145" s="142"/>
      <c r="AC145" s="142"/>
      <c r="AD145" s="142"/>
      <c r="AE145" s="142"/>
    </row>
    <row r="146">
      <c r="A146" s="142"/>
      <c r="B146" s="142"/>
      <c r="C146" s="142"/>
      <c r="D146" s="142"/>
      <c r="E146" s="142"/>
      <c r="F146" s="143"/>
      <c r="G146" s="144"/>
      <c r="H146" s="144"/>
      <c r="I146" s="145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3"/>
      <c r="U146" s="142"/>
      <c r="V146" s="138"/>
      <c r="W146" s="143"/>
      <c r="X146" s="142"/>
      <c r="Y146" s="142"/>
      <c r="Z146" s="142"/>
      <c r="AA146" s="142"/>
      <c r="AB146" s="142"/>
      <c r="AC146" s="142"/>
      <c r="AD146" s="142"/>
      <c r="AE146" s="142"/>
    </row>
    <row r="147">
      <c r="A147" s="142"/>
      <c r="B147" s="142"/>
      <c r="C147" s="142"/>
      <c r="D147" s="142"/>
      <c r="E147" s="142"/>
      <c r="F147" s="143"/>
      <c r="G147" s="144"/>
      <c r="H147" s="144"/>
      <c r="I147" s="145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3"/>
      <c r="U147" s="142"/>
      <c r="V147" s="138"/>
      <c r="W147" s="143"/>
      <c r="X147" s="142"/>
      <c r="Y147" s="142"/>
      <c r="Z147" s="142"/>
      <c r="AA147" s="142"/>
      <c r="AB147" s="142"/>
      <c r="AC147" s="142"/>
      <c r="AD147" s="142"/>
      <c r="AE147" s="142"/>
    </row>
    <row r="148">
      <c r="A148" s="142"/>
      <c r="B148" s="142"/>
      <c r="C148" s="142"/>
      <c r="D148" s="142"/>
      <c r="E148" s="142"/>
      <c r="F148" s="143"/>
      <c r="G148" s="144"/>
      <c r="H148" s="144"/>
      <c r="I148" s="145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3"/>
      <c r="U148" s="142"/>
      <c r="V148" s="138"/>
      <c r="W148" s="143"/>
      <c r="X148" s="142"/>
      <c r="Y148" s="142"/>
      <c r="Z148" s="142"/>
      <c r="AA148" s="142"/>
      <c r="AB148" s="142"/>
      <c r="AC148" s="142"/>
      <c r="AD148" s="142"/>
      <c r="AE148" s="142"/>
    </row>
    <row r="149">
      <c r="A149" s="142"/>
      <c r="B149" s="142"/>
      <c r="C149" s="142"/>
      <c r="D149" s="142"/>
      <c r="E149" s="142"/>
      <c r="F149" s="143"/>
      <c r="G149" s="144"/>
      <c r="H149" s="144"/>
      <c r="I149" s="145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3"/>
      <c r="U149" s="142"/>
      <c r="V149" s="138"/>
      <c r="W149" s="143"/>
      <c r="X149" s="142"/>
      <c r="Y149" s="142"/>
      <c r="Z149" s="142"/>
      <c r="AA149" s="142"/>
      <c r="AB149" s="142"/>
      <c r="AC149" s="142"/>
      <c r="AD149" s="142"/>
      <c r="AE149" s="142"/>
    </row>
    <row r="150">
      <c r="A150" s="142"/>
      <c r="B150" s="142"/>
      <c r="C150" s="142"/>
      <c r="D150" s="142"/>
      <c r="E150" s="142"/>
      <c r="F150" s="143"/>
      <c r="G150" s="144"/>
      <c r="H150" s="144"/>
      <c r="I150" s="145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3"/>
      <c r="U150" s="142"/>
      <c r="V150" s="138"/>
      <c r="W150" s="143"/>
      <c r="X150" s="142"/>
      <c r="Y150" s="142"/>
      <c r="Z150" s="142"/>
      <c r="AA150" s="142"/>
      <c r="AB150" s="142"/>
      <c r="AC150" s="142"/>
      <c r="AD150" s="142"/>
      <c r="AE150" s="142"/>
    </row>
    <row r="151">
      <c r="A151" s="142"/>
      <c r="B151" s="142"/>
      <c r="C151" s="142"/>
      <c r="D151" s="142"/>
      <c r="E151" s="142"/>
      <c r="F151" s="143"/>
      <c r="G151" s="144"/>
      <c r="H151" s="144"/>
      <c r="I151" s="145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3"/>
      <c r="U151" s="142"/>
      <c r="V151" s="138"/>
      <c r="W151" s="143"/>
      <c r="X151" s="142"/>
      <c r="Y151" s="142"/>
      <c r="Z151" s="142"/>
      <c r="AA151" s="142"/>
      <c r="AB151" s="142"/>
      <c r="AC151" s="142"/>
      <c r="AD151" s="142"/>
      <c r="AE151" s="142"/>
    </row>
    <row r="152">
      <c r="A152" s="142"/>
      <c r="B152" s="142"/>
      <c r="C152" s="142"/>
      <c r="D152" s="142"/>
      <c r="E152" s="142"/>
      <c r="F152" s="143"/>
      <c r="G152" s="144"/>
      <c r="H152" s="144"/>
      <c r="I152" s="145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3"/>
      <c r="U152" s="142"/>
      <c r="V152" s="138"/>
      <c r="W152" s="143"/>
      <c r="X152" s="142"/>
      <c r="Y152" s="142"/>
      <c r="Z152" s="142"/>
      <c r="AA152" s="142"/>
      <c r="AB152" s="142"/>
      <c r="AC152" s="142"/>
      <c r="AD152" s="142"/>
      <c r="AE152" s="142"/>
    </row>
    <row r="153">
      <c r="A153" s="142"/>
      <c r="B153" s="142"/>
      <c r="C153" s="142"/>
      <c r="D153" s="142"/>
      <c r="E153" s="142"/>
      <c r="F153" s="143"/>
      <c r="G153" s="144"/>
      <c r="H153" s="144"/>
      <c r="I153" s="145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3"/>
      <c r="U153" s="142"/>
      <c r="V153" s="138"/>
      <c r="W153" s="143"/>
      <c r="X153" s="142"/>
      <c r="Y153" s="142"/>
      <c r="Z153" s="142"/>
      <c r="AA153" s="142"/>
      <c r="AB153" s="142"/>
      <c r="AC153" s="142"/>
      <c r="AD153" s="142"/>
      <c r="AE153" s="142"/>
    </row>
    <row r="154">
      <c r="A154" s="142"/>
      <c r="B154" s="142"/>
      <c r="C154" s="142"/>
      <c r="D154" s="142"/>
      <c r="E154" s="142"/>
      <c r="F154" s="143"/>
      <c r="G154" s="144"/>
      <c r="H154" s="144"/>
      <c r="I154" s="145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3"/>
      <c r="U154" s="142"/>
      <c r="V154" s="138"/>
      <c r="W154" s="143"/>
      <c r="X154" s="142"/>
      <c r="Y154" s="142"/>
      <c r="Z154" s="142"/>
      <c r="AA154" s="142"/>
      <c r="AB154" s="142"/>
      <c r="AC154" s="142"/>
      <c r="AD154" s="142"/>
      <c r="AE154" s="142"/>
    </row>
    <row r="155">
      <c r="A155" s="142"/>
      <c r="B155" s="142"/>
      <c r="C155" s="142"/>
      <c r="D155" s="142"/>
      <c r="E155" s="142"/>
      <c r="F155" s="143"/>
      <c r="G155" s="144"/>
      <c r="H155" s="144"/>
      <c r="I155" s="145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3"/>
      <c r="U155" s="142"/>
      <c r="V155" s="138"/>
      <c r="W155" s="143"/>
      <c r="X155" s="142"/>
      <c r="Y155" s="142"/>
      <c r="Z155" s="142"/>
      <c r="AA155" s="142"/>
      <c r="AB155" s="142"/>
      <c r="AC155" s="142"/>
      <c r="AD155" s="142"/>
      <c r="AE155" s="142"/>
    </row>
    <row r="156">
      <c r="A156" s="142"/>
      <c r="B156" s="142"/>
      <c r="C156" s="142"/>
      <c r="D156" s="142"/>
      <c r="E156" s="142"/>
      <c r="F156" s="143"/>
      <c r="G156" s="144"/>
      <c r="H156" s="144"/>
      <c r="I156" s="145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3"/>
      <c r="U156" s="142"/>
      <c r="V156" s="138"/>
      <c r="W156" s="143"/>
      <c r="X156" s="142"/>
      <c r="Y156" s="142"/>
      <c r="Z156" s="142"/>
      <c r="AA156" s="142"/>
      <c r="AB156" s="142"/>
      <c r="AC156" s="142"/>
      <c r="AD156" s="142"/>
      <c r="AE156" s="142"/>
    </row>
    <row r="157">
      <c r="A157" s="142"/>
      <c r="B157" s="142"/>
      <c r="C157" s="142"/>
      <c r="D157" s="142"/>
      <c r="E157" s="142"/>
      <c r="F157" s="143"/>
      <c r="G157" s="144"/>
      <c r="H157" s="144"/>
      <c r="I157" s="145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3"/>
      <c r="U157" s="142"/>
      <c r="V157" s="138"/>
      <c r="W157" s="143"/>
      <c r="X157" s="142"/>
      <c r="Y157" s="142"/>
      <c r="Z157" s="142"/>
      <c r="AA157" s="142"/>
      <c r="AB157" s="142"/>
      <c r="AC157" s="142"/>
      <c r="AD157" s="142"/>
      <c r="AE157" s="142"/>
    </row>
    <row r="158">
      <c r="A158" s="142"/>
      <c r="B158" s="142"/>
      <c r="C158" s="142"/>
      <c r="D158" s="142"/>
      <c r="E158" s="142"/>
      <c r="F158" s="143"/>
      <c r="G158" s="144"/>
      <c r="H158" s="144"/>
      <c r="I158" s="145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3"/>
      <c r="U158" s="142"/>
      <c r="V158" s="138"/>
      <c r="W158" s="143"/>
      <c r="X158" s="142"/>
      <c r="Y158" s="142"/>
      <c r="Z158" s="142"/>
      <c r="AA158" s="142"/>
      <c r="AB158" s="142"/>
      <c r="AC158" s="142"/>
      <c r="AD158" s="142"/>
      <c r="AE158" s="142"/>
    </row>
    <row r="159">
      <c r="A159" s="142"/>
      <c r="B159" s="142"/>
      <c r="C159" s="142"/>
      <c r="D159" s="142"/>
      <c r="E159" s="142"/>
      <c r="F159" s="143"/>
      <c r="G159" s="144"/>
      <c r="H159" s="144"/>
      <c r="I159" s="145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3"/>
      <c r="U159" s="142"/>
      <c r="V159" s="138"/>
      <c r="W159" s="143"/>
      <c r="X159" s="142"/>
      <c r="Y159" s="142"/>
      <c r="Z159" s="142"/>
      <c r="AA159" s="142"/>
      <c r="AB159" s="142"/>
      <c r="AC159" s="142"/>
      <c r="AD159" s="142"/>
      <c r="AE159" s="142"/>
    </row>
    <row r="160">
      <c r="A160" s="142"/>
      <c r="B160" s="142"/>
      <c r="C160" s="142"/>
      <c r="D160" s="142"/>
      <c r="E160" s="142"/>
      <c r="F160" s="143"/>
      <c r="G160" s="144"/>
      <c r="H160" s="144"/>
      <c r="I160" s="145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3"/>
      <c r="U160" s="142"/>
      <c r="V160" s="138"/>
      <c r="W160" s="143"/>
      <c r="X160" s="142"/>
      <c r="Y160" s="142"/>
      <c r="Z160" s="142"/>
      <c r="AA160" s="142"/>
      <c r="AB160" s="142"/>
      <c r="AC160" s="142"/>
      <c r="AD160" s="142"/>
      <c r="AE160" s="142"/>
    </row>
    <row r="161">
      <c r="A161" s="142"/>
      <c r="B161" s="142"/>
      <c r="C161" s="142"/>
      <c r="D161" s="142"/>
      <c r="E161" s="142"/>
      <c r="F161" s="143"/>
      <c r="G161" s="144"/>
      <c r="H161" s="144"/>
      <c r="I161" s="145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3"/>
      <c r="U161" s="142"/>
      <c r="V161" s="138"/>
      <c r="W161" s="143"/>
      <c r="X161" s="142"/>
      <c r="Y161" s="142"/>
      <c r="Z161" s="142"/>
      <c r="AA161" s="142"/>
      <c r="AB161" s="142"/>
      <c r="AC161" s="142"/>
      <c r="AD161" s="142"/>
      <c r="AE161" s="142"/>
    </row>
    <row r="162">
      <c r="A162" s="142"/>
      <c r="B162" s="142"/>
      <c r="C162" s="142"/>
      <c r="D162" s="142"/>
      <c r="E162" s="142"/>
      <c r="F162" s="143"/>
      <c r="G162" s="144"/>
      <c r="H162" s="144"/>
      <c r="I162" s="145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3"/>
      <c r="U162" s="142"/>
      <c r="V162" s="138"/>
      <c r="W162" s="143"/>
      <c r="X162" s="142"/>
      <c r="Y162" s="142"/>
      <c r="Z162" s="142"/>
      <c r="AA162" s="142"/>
      <c r="AB162" s="142"/>
      <c r="AC162" s="142"/>
      <c r="AD162" s="142"/>
      <c r="AE162" s="142"/>
    </row>
    <row r="163">
      <c r="A163" s="142"/>
      <c r="B163" s="142"/>
      <c r="C163" s="142"/>
      <c r="D163" s="142"/>
      <c r="E163" s="142"/>
      <c r="F163" s="143"/>
      <c r="G163" s="144"/>
      <c r="H163" s="144"/>
      <c r="I163" s="145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3"/>
      <c r="U163" s="142"/>
      <c r="V163" s="138"/>
      <c r="W163" s="143"/>
      <c r="X163" s="142"/>
      <c r="Y163" s="142"/>
      <c r="Z163" s="142"/>
      <c r="AA163" s="142"/>
      <c r="AB163" s="142"/>
      <c r="AC163" s="142"/>
      <c r="AD163" s="142"/>
      <c r="AE163" s="142"/>
    </row>
    <row r="164">
      <c r="A164" s="142"/>
      <c r="B164" s="142"/>
      <c r="C164" s="142"/>
      <c r="D164" s="142"/>
      <c r="E164" s="142"/>
      <c r="F164" s="143"/>
      <c r="G164" s="144"/>
      <c r="H164" s="144"/>
      <c r="I164" s="145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3"/>
      <c r="U164" s="142"/>
      <c r="V164" s="138"/>
      <c r="W164" s="143"/>
      <c r="X164" s="142"/>
      <c r="Y164" s="142"/>
      <c r="Z164" s="142"/>
      <c r="AA164" s="142"/>
      <c r="AB164" s="142"/>
      <c r="AC164" s="142"/>
      <c r="AD164" s="142"/>
      <c r="AE164" s="142"/>
    </row>
    <row r="165">
      <c r="A165" s="142"/>
      <c r="B165" s="142"/>
      <c r="C165" s="142"/>
      <c r="D165" s="142"/>
      <c r="E165" s="142"/>
      <c r="F165" s="143"/>
      <c r="G165" s="144"/>
      <c r="H165" s="144"/>
      <c r="I165" s="145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3"/>
      <c r="U165" s="142"/>
      <c r="V165" s="138"/>
      <c r="W165" s="143"/>
      <c r="X165" s="142"/>
      <c r="Y165" s="142"/>
      <c r="Z165" s="142"/>
      <c r="AA165" s="142"/>
      <c r="AB165" s="142"/>
      <c r="AC165" s="142"/>
      <c r="AD165" s="142"/>
      <c r="AE165" s="142"/>
    </row>
    <row r="166">
      <c r="A166" s="142"/>
      <c r="B166" s="142"/>
      <c r="C166" s="142"/>
      <c r="D166" s="142"/>
      <c r="E166" s="142"/>
      <c r="F166" s="143"/>
      <c r="G166" s="144"/>
      <c r="H166" s="144"/>
      <c r="I166" s="145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3"/>
      <c r="U166" s="142"/>
      <c r="V166" s="138"/>
      <c r="W166" s="143"/>
      <c r="X166" s="142"/>
      <c r="Y166" s="142"/>
      <c r="Z166" s="142"/>
      <c r="AA166" s="142"/>
      <c r="AB166" s="142"/>
      <c r="AC166" s="142"/>
      <c r="AD166" s="142"/>
      <c r="AE166" s="142"/>
    </row>
    <row r="167">
      <c r="A167" s="142"/>
      <c r="B167" s="142"/>
      <c r="C167" s="142"/>
      <c r="D167" s="142"/>
      <c r="E167" s="142"/>
      <c r="F167" s="143"/>
      <c r="G167" s="144"/>
      <c r="H167" s="144"/>
      <c r="I167" s="145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3"/>
      <c r="U167" s="142"/>
      <c r="V167" s="138"/>
      <c r="W167" s="143"/>
      <c r="X167" s="142"/>
      <c r="Y167" s="142"/>
      <c r="Z167" s="142"/>
      <c r="AA167" s="142"/>
      <c r="AB167" s="142"/>
      <c r="AC167" s="142"/>
      <c r="AD167" s="142"/>
      <c r="AE167" s="142"/>
    </row>
    <row r="168">
      <c r="A168" s="142"/>
      <c r="B168" s="142"/>
      <c r="C168" s="142"/>
      <c r="D168" s="142"/>
      <c r="E168" s="142"/>
      <c r="F168" s="143"/>
      <c r="G168" s="144"/>
      <c r="H168" s="144"/>
      <c r="I168" s="145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3"/>
      <c r="U168" s="142"/>
      <c r="V168" s="138"/>
      <c r="W168" s="143"/>
      <c r="X168" s="142"/>
      <c r="Y168" s="142"/>
      <c r="Z168" s="142"/>
      <c r="AA168" s="142"/>
      <c r="AB168" s="142"/>
      <c r="AC168" s="142"/>
      <c r="AD168" s="142"/>
      <c r="AE168" s="142"/>
    </row>
    <row r="169">
      <c r="A169" s="142"/>
      <c r="B169" s="142"/>
      <c r="C169" s="142"/>
      <c r="D169" s="142"/>
      <c r="E169" s="142"/>
      <c r="F169" s="143"/>
      <c r="G169" s="144"/>
      <c r="H169" s="144"/>
      <c r="I169" s="145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3"/>
      <c r="U169" s="142"/>
      <c r="V169" s="138"/>
      <c r="W169" s="143"/>
      <c r="X169" s="142"/>
      <c r="Y169" s="142"/>
      <c r="Z169" s="142"/>
      <c r="AA169" s="142"/>
      <c r="AB169" s="142"/>
      <c r="AC169" s="142"/>
      <c r="AD169" s="142"/>
      <c r="AE169" s="142"/>
    </row>
    <row r="170">
      <c r="A170" s="142"/>
      <c r="B170" s="142"/>
      <c r="C170" s="142"/>
      <c r="D170" s="142"/>
      <c r="E170" s="142"/>
      <c r="F170" s="143"/>
      <c r="G170" s="144"/>
      <c r="H170" s="144"/>
      <c r="I170" s="145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3"/>
      <c r="U170" s="142"/>
      <c r="V170" s="138"/>
      <c r="W170" s="143"/>
      <c r="X170" s="142"/>
      <c r="Y170" s="142"/>
      <c r="Z170" s="142"/>
      <c r="AA170" s="142"/>
      <c r="AB170" s="142"/>
      <c r="AC170" s="142"/>
      <c r="AD170" s="142"/>
      <c r="AE170" s="142"/>
    </row>
    <row r="171">
      <c r="A171" s="142"/>
      <c r="B171" s="142"/>
      <c r="C171" s="142"/>
      <c r="D171" s="142"/>
      <c r="E171" s="142"/>
      <c r="F171" s="143"/>
      <c r="G171" s="144"/>
      <c r="H171" s="144"/>
      <c r="I171" s="145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3"/>
      <c r="U171" s="142"/>
      <c r="V171" s="138"/>
      <c r="W171" s="143"/>
      <c r="X171" s="142"/>
      <c r="Y171" s="142"/>
      <c r="Z171" s="142"/>
      <c r="AA171" s="142"/>
      <c r="AB171" s="142"/>
      <c r="AC171" s="142"/>
      <c r="AD171" s="142"/>
      <c r="AE171" s="142"/>
    </row>
    <row r="172">
      <c r="A172" s="142"/>
      <c r="B172" s="142"/>
      <c r="C172" s="142"/>
      <c r="D172" s="142"/>
      <c r="E172" s="142"/>
      <c r="F172" s="143"/>
      <c r="G172" s="144"/>
      <c r="H172" s="144"/>
      <c r="I172" s="145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3"/>
      <c r="U172" s="142"/>
      <c r="V172" s="138"/>
      <c r="W172" s="143"/>
      <c r="X172" s="142"/>
      <c r="Y172" s="142"/>
      <c r="Z172" s="142"/>
      <c r="AA172" s="142"/>
      <c r="AB172" s="142"/>
      <c r="AC172" s="142"/>
      <c r="AD172" s="142"/>
      <c r="AE172" s="142"/>
    </row>
    <row r="173">
      <c r="A173" s="142"/>
      <c r="B173" s="142"/>
      <c r="C173" s="142"/>
      <c r="D173" s="142"/>
      <c r="E173" s="142"/>
      <c r="F173" s="143"/>
      <c r="G173" s="144"/>
      <c r="H173" s="144"/>
      <c r="I173" s="145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3"/>
      <c r="U173" s="142"/>
      <c r="V173" s="138"/>
      <c r="W173" s="143"/>
      <c r="X173" s="142"/>
      <c r="Y173" s="142"/>
      <c r="Z173" s="142"/>
      <c r="AA173" s="142"/>
      <c r="AB173" s="142"/>
      <c r="AC173" s="142"/>
      <c r="AD173" s="142"/>
      <c r="AE173" s="142"/>
    </row>
    <row r="174">
      <c r="A174" s="142"/>
      <c r="B174" s="142"/>
      <c r="C174" s="142"/>
      <c r="D174" s="142"/>
      <c r="E174" s="142"/>
      <c r="F174" s="143"/>
      <c r="G174" s="144"/>
      <c r="H174" s="144"/>
      <c r="I174" s="145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3"/>
      <c r="U174" s="142"/>
      <c r="V174" s="138"/>
      <c r="W174" s="143"/>
      <c r="X174" s="142"/>
      <c r="Y174" s="142"/>
      <c r="Z174" s="142"/>
      <c r="AA174" s="142"/>
      <c r="AB174" s="142"/>
      <c r="AC174" s="142"/>
      <c r="AD174" s="142"/>
      <c r="AE174" s="142"/>
    </row>
    <row r="175">
      <c r="A175" s="142"/>
      <c r="B175" s="142"/>
      <c r="C175" s="142"/>
      <c r="D175" s="142"/>
      <c r="E175" s="142"/>
      <c r="F175" s="143"/>
      <c r="G175" s="144"/>
      <c r="H175" s="144"/>
      <c r="I175" s="145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3"/>
      <c r="U175" s="142"/>
      <c r="V175" s="138"/>
      <c r="W175" s="143"/>
      <c r="X175" s="142"/>
      <c r="Y175" s="142"/>
      <c r="Z175" s="142"/>
      <c r="AA175" s="142"/>
      <c r="AB175" s="142"/>
      <c r="AC175" s="142"/>
      <c r="AD175" s="142"/>
      <c r="AE175" s="142"/>
    </row>
    <row r="176">
      <c r="A176" s="142"/>
      <c r="B176" s="142"/>
      <c r="C176" s="142"/>
      <c r="D176" s="142"/>
      <c r="E176" s="142"/>
      <c r="F176" s="143"/>
      <c r="G176" s="144"/>
      <c r="H176" s="144"/>
      <c r="I176" s="145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3"/>
      <c r="U176" s="142"/>
      <c r="V176" s="138"/>
      <c r="W176" s="143"/>
      <c r="X176" s="142"/>
      <c r="Y176" s="142"/>
      <c r="Z176" s="142"/>
      <c r="AA176" s="142"/>
      <c r="AB176" s="142"/>
      <c r="AC176" s="142"/>
      <c r="AD176" s="142"/>
      <c r="AE176" s="142"/>
    </row>
    <row r="177">
      <c r="A177" s="142"/>
      <c r="B177" s="142"/>
      <c r="C177" s="142"/>
      <c r="D177" s="142"/>
      <c r="E177" s="142"/>
      <c r="F177" s="143"/>
      <c r="G177" s="144"/>
      <c r="H177" s="144"/>
      <c r="I177" s="145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3"/>
      <c r="U177" s="142"/>
      <c r="V177" s="138"/>
      <c r="W177" s="143"/>
      <c r="X177" s="142"/>
      <c r="Y177" s="142"/>
      <c r="Z177" s="142"/>
      <c r="AA177" s="142"/>
      <c r="AB177" s="142"/>
      <c r="AC177" s="142"/>
      <c r="AD177" s="142"/>
      <c r="AE177" s="142"/>
    </row>
    <row r="178">
      <c r="A178" s="142"/>
      <c r="B178" s="142"/>
      <c r="C178" s="142"/>
      <c r="D178" s="142"/>
      <c r="E178" s="142"/>
      <c r="F178" s="143"/>
      <c r="G178" s="144"/>
      <c r="H178" s="144"/>
      <c r="I178" s="145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3"/>
      <c r="U178" s="142"/>
      <c r="V178" s="138"/>
      <c r="W178" s="143"/>
      <c r="X178" s="142"/>
      <c r="Y178" s="142"/>
      <c r="Z178" s="142"/>
      <c r="AA178" s="142"/>
      <c r="AB178" s="142"/>
      <c r="AC178" s="142"/>
      <c r="AD178" s="142"/>
      <c r="AE178" s="142"/>
    </row>
    <row r="179">
      <c r="A179" s="142"/>
      <c r="B179" s="142"/>
      <c r="C179" s="142"/>
      <c r="D179" s="142"/>
      <c r="E179" s="142"/>
      <c r="F179" s="143"/>
      <c r="G179" s="144"/>
      <c r="H179" s="144"/>
      <c r="I179" s="145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3"/>
      <c r="U179" s="142"/>
      <c r="V179" s="138"/>
      <c r="W179" s="143"/>
      <c r="X179" s="142"/>
      <c r="Y179" s="142"/>
      <c r="Z179" s="142"/>
      <c r="AA179" s="142"/>
      <c r="AB179" s="142"/>
      <c r="AC179" s="142"/>
      <c r="AD179" s="142"/>
      <c r="AE179" s="142"/>
    </row>
    <row r="180">
      <c r="A180" s="142"/>
      <c r="B180" s="142"/>
      <c r="C180" s="142"/>
      <c r="D180" s="142"/>
      <c r="E180" s="142"/>
      <c r="F180" s="143"/>
      <c r="G180" s="144"/>
      <c r="H180" s="144"/>
      <c r="I180" s="145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3"/>
      <c r="U180" s="142"/>
      <c r="V180" s="138"/>
      <c r="W180" s="143"/>
      <c r="X180" s="142"/>
      <c r="Y180" s="142"/>
      <c r="Z180" s="142"/>
      <c r="AA180" s="142"/>
      <c r="AB180" s="142"/>
      <c r="AC180" s="142"/>
      <c r="AD180" s="142"/>
      <c r="AE180" s="142"/>
    </row>
    <row r="181">
      <c r="A181" s="142"/>
      <c r="B181" s="142"/>
      <c r="C181" s="142"/>
      <c r="D181" s="142"/>
      <c r="E181" s="142"/>
      <c r="F181" s="143"/>
      <c r="G181" s="144"/>
      <c r="H181" s="144"/>
      <c r="I181" s="145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3"/>
      <c r="U181" s="142"/>
      <c r="V181" s="138"/>
      <c r="W181" s="143"/>
      <c r="X181" s="142"/>
      <c r="Y181" s="142"/>
      <c r="Z181" s="142"/>
      <c r="AA181" s="142"/>
      <c r="AB181" s="142"/>
      <c r="AC181" s="142"/>
      <c r="AD181" s="142"/>
      <c r="AE181" s="142"/>
    </row>
    <row r="182">
      <c r="A182" s="142"/>
      <c r="B182" s="142"/>
      <c r="C182" s="142"/>
      <c r="D182" s="142"/>
      <c r="E182" s="142"/>
      <c r="F182" s="143"/>
      <c r="G182" s="144"/>
      <c r="H182" s="144"/>
      <c r="I182" s="145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3"/>
      <c r="U182" s="142"/>
      <c r="V182" s="138"/>
      <c r="W182" s="143"/>
      <c r="X182" s="142"/>
      <c r="Y182" s="142"/>
      <c r="Z182" s="142"/>
      <c r="AA182" s="142"/>
      <c r="AB182" s="142"/>
      <c r="AC182" s="142"/>
      <c r="AD182" s="142"/>
      <c r="AE182" s="142"/>
    </row>
    <row r="183">
      <c r="A183" s="142"/>
      <c r="B183" s="142"/>
      <c r="C183" s="142"/>
      <c r="D183" s="142"/>
      <c r="E183" s="142"/>
      <c r="F183" s="143"/>
      <c r="G183" s="144"/>
      <c r="H183" s="144"/>
      <c r="I183" s="145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3"/>
      <c r="U183" s="142"/>
      <c r="V183" s="138"/>
      <c r="W183" s="143"/>
      <c r="X183" s="142"/>
      <c r="Y183" s="142"/>
      <c r="Z183" s="142"/>
      <c r="AA183" s="142"/>
      <c r="AB183" s="142"/>
      <c r="AC183" s="142"/>
      <c r="AD183" s="142"/>
      <c r="AE183" s="142"/>
    </row>
    <row r="184">
      <c r="A184" s="142"/>
      <c r="B184" s="142"/>
      <c r="C184" s="142"/>
      <c r="D184" s="142"/>
      <c r="E184" s="142"/>
      <c r="F184" s="143"/>
      <c r="G184" s="144"/>
      <c r="H184" s="144"/>
      <c r="I184" s="145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3"/>
      <c r="U184" s="142"/>
      <c r="V184" s="138"/>
      <c r="W184" s="143"/>
      <c r="X184" s="142"/>
      <c r="Y184" s="142"/>
      <c r="Z184" s="142"/>
      <c r="AA184" s="142"/>
      <c r="AB184" s="142"/>
      <c r="AC184" s="142"/>
      <c r="AD184" s="142"/>
      <c r="AE184" s="142"/>
    </row>
    <row r="185">
      <c r="A185" s="142"/>
      <c r="B185" s="142"/>
      <c r="C185" s="142"/>
      <c r="D185" s="142"/>
      <c r="E185" s="142"/>
      <c r="F185" s="143"/>
      <c r="G185" s="144"/>
      <c r="H185" s="144"/>
      <c r="I185" s="145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3"/>
      <c r="U185" s="142"/>
      <c r="V185" s="138"/>
      <c r="W185" s="143"/>
      <c r="X185" s="142"/>
      <c r="Y185" s="142"/>
      <c r="Z185" s="142"/>
      <c r="AA185" s="142"/>
      <c r="AB185" s="142"/>
      <c r="AC185" s="142"/>
      <c r="AD185" s="142"/>
      <c r="AE185" s="142"/>
    </row>
    <row r="186">
      <c r="A186" s="142"/>
      <c r="B186" s="142"/>
      <c r="C186" s="142"/>
      <c r="D186" s="142"/>
      <c r="E186" s="142"/>
      <c r="F186" s="143"/>
      <c r="G186" s="144"/>
      <c r="H186" s="144"/>
      <c r="I186" s="145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3"/>
      <c r="U186" s="142"/>
      <c r="V186" s="138"/>
      <c r="W186" s="143"/>
      <c r="X186" s="142"/>
      <c r="Y186" s="142"/>
      <c r="Z186" s="142"/>
      <c r="AA186" s="142"/>
      <c r="AB186" s="142"/>
      <c r="AC186" s="142"/>
      <c r="AD186" s="142"/>
      <c r="AE186" s="142"/>
    </row>
    <row r="187">
      <c r="A187" s="142"/>
      <c r="B187" s="142"/>
      <c r="C187" s="142"/>
      <c r="D187" s="142"/>
      <c r="E187" s="142"/>
      <c r="F187" s="143"/>
      <c r="G187" s="144"/>
      <c r="H187" s="144"/>
      <c r="I187" s="145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3"/>
      <c r="U187" s="142"/>
      <c r="V187" s="138"/>
      <c r="W187" s="143"/>
      <c r="X187" s="142"/>
      <c r="Y187" s="142"/>
      <c r="Z187" s="142"/>
      <c r="AA187" s="142"/>
      <c r="AB187" s="142"/>
      <c r="AC187" s="142"/>
      <c r="AD187" s="142"/>
      <c r="AE187" s="142"/>
    </row>
    <row r="188">
      <c r="A188" s="142"/>
      <c r="B188" s="142"/>
      <c r="C188" s="142"/>
      <c r="D188" s="142"/>
      <c r="E188" s="142"/>
      <c r="F188" s="143"/>
      <c r="G188" s="144"/>
      <c r="H188" s="144"/>
      <c r="I188" s="145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3"/>
      <c r="U188" s="142"/>
      <c r="V188" s="138"/>
      <c r="W188" s="143"/>
      <c r="X188" s="142"/>
      <c r="Y188" s="142"/>
      <c r="Z188" s="142"/>
      <c r="AA188" s="142"/>
      <c r="AB188" s="142"/>
      <c r="AC188" s="142"/>
      <c r="AD188" s="142"/>
      <c r="AE188" s="142"/>
    </row>
    <row r="189">
      <c r="A189" s="142"/>
      <c r="B189" s="142"/>
      <c r="C189" s="142"/>
      <c r="D189" s="142"/>
      <c r="E189" s="142"/>
      <c r="F189" s="143"/>
      <c r="G189" s="144"/>
      <c r="H189" s="144"/>
      <c r="I189" s="145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3"/>
      <c r="U189" s="142"/>
      <c r="V189" s="138"/>
      <c r="W189" s="143"/>
      <c r="X189" s="142"/>
      <c r="Y189" s="142"/>
      <c r="Z189" s="142"/>
      <c r="AA189" s="142"/>
      <c r="AB189" s="142"/>
      <c r="AC189" s="142"/>
      <c r="AD189" s="142"/>
      <c r="AE189" s="142"/>
    </row>
    <row r="190">
      <c r="A190" s="142"/>
      <c r="B190" s="142"/>
      <c r="C190" s="142"/>
      <c r="D190" s="142"/>
      <c r="E190" s="142"/>
      <c r="F190" s="143"/>
      <c r="G190" s="144"/>
      <c r="H190" s="144"/>
      <c r="I190" s="145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3"/>
      <c r="U190" s="142"/>
      <c r="V190" s="138"/>
      <c r="W190" s="143"/>
      <c r="X190" s="142"/>
      <c r="Y190" s="142"/>
      <c r="Z190" s="142"/>
      <c r="AA190" s="142"/>
      <c r="AB190" s="142"/>
      <c r="AC190" s="142"/>
      <c r="AD190" s="142"/>
      <c r="AE190" s="142"/>
    </row>
    <row r="191">
      <c r="A191" s="142"/>
      <c r="B191" s="142"/>
      <c r="C191" s="142"/>
      <c r="D191" s="142"/>
      <c r="E191" s="142"/>
      <c r="F191" s="143"/>
      <c r="G191" s="144"/>
      <c r="H191" s="144"/>
      <c r="I191" s="145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3"/>
      <c r="U191" s="142"/>
      <c r="V191" s="138"/>
      <c r="W191" s="143"/>
      <c r="X191" s="142"/>
      <c r="Y191" s="142"/>
      <c r="Z191" s="142"/>
      <c r="AA191" s="142"/>
      <c r="AB191" s="142"/>
      <c r="AC191" s="142"/>
      <c r="AD191" s="142"/>
      <c r="AE191" s="142"/>
    </row>
    <row r="192">
      <c r="A192" s="142"/>
      <c r="B192" s="142"/>
      <c r="C192" s="142"/>
      <c r="D192" s="142"/>
      <c r="E192" s="142"/>
      <c r="F192" s="143"/>
      <c r="G192" s="144"/>
      <c r="H192" s="144"/>
      <c r="I192" s="145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3"/>
      <c r="U192" s="142"/>
      <c r="V192" s="138"/>
      <c r="W192" s="143"/>
      <c r="X192" s="142"/>
      <c r="Y192" s="142"/>
      <c r="Z192" s="142"/>
      <c r="AA192" s="142"/>
      <c r="AB192" s="142"/>
      <c r="AC192" s="142"/>
      <c r="AD192" s="142"/>
      <c r="AE192" s="142"/>
    </row>
    <row r="193">
      <c r="A193" s="142"/>
      <c r="B193" s="142"/>
      <c r="C193" s="142"/>
      <c r="D193" s="142"/>
      <c r="E193" s="142"/>
      <c r="F193" s="143"/>
      <c r="G193" s="144"/>
      <c r="H193" s="144"/>
      <c r="I193" s="145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3"/>
      <c r="U193" s="142"/>
      <c r="V193" s="138"/>
      <c r="W193" s="143"/>
      <c r="X193" s="142"/>
      <c r="Y193" s="142"/>
      <c r="Z193" s="142"/>
      <c r="AA193" s="142"/>
      <c r="AB193" s="142"/>
      <c r="AC193" s="142"/>
      <c r="AD193" s="142"/>
      <c r="AE193" s="142"/>
    </row>
    <row r="194">
      <c r="A194" s="142"/>
      <c r="B194" s="142"/>
      <c r="C194" s="142"/>
      <c r="D194" s="142"/>
      <c r="E194" s="142"/>
      <c r="F194" s="143"/>
      <c r="G194" s="144"/>
      <c r="H194" s="144"/>
      <c r="I194" s="145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3"/>
      <c r="U194" s="142"/>
      <c r="V194" s="138"/>
      <c r="W194" s="143"/>
      <c r="X194" s="142"/>
      <c r="Y194" s="142"/>
      <c r="Z194" s="142"/>
      <c r="AA194" s="142"/>
      <c r="AB194" s="142"/>
      <c r="AC194" s="142"/>
      <c r="AD194" s="142"/>
      <c r="AE194" s="142"/>
    </row>
    <row r="195">
      <c r="A195" s="142"/>
      <c r="B195" s="142"/>
      <c r="C195" s="142"/>
      <c r="D195" s="142"/>
      <c r="E195" s="142"/>
      <c r="F195" s="143"/>
      <c r="G195" s="144"/>
      <c r="H195" s="144"/>
      <c r="I195" s="145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3"/>
      <c r="U195" s="142"/>
      <c r="V195" s="138"/>
      <c r="W195" s="143"/>
      <c r="X195" s="142"/>
      <c r="Y195" s="142"/>
      <c r="Z195" s="142"/>
      <c r="AA195" s="142"/>
      <c r="AB195" s="142"/>
      <c r="AC195" s="142"/>
      <c r="AD195" s="142"/>
      <c r="AE195" s="142"/>
    </row>
    <row r="196">
      <c r="A196" s="142"/>
      <c r="B196" s="142"/>
      <c r="C196" s="142"/>
      <c r="D196" s="142"/>
      <c r="E196" s="142"/>
      <c r="F196" s="143"/>
      <c r="G196" s="144"/>
      <c r="H196" s="144"/>
      <c r="I196" s="145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3"/>
      <c r="U196" s="142"/>
      <c r="V196" s="138"/>
      <c r="W196" s="143"/>
      <c r="X196" s="142"/>
      <c r="Y196" s="142"/>
      <c r="Z196" s="142"/>
      <c r="AA196" s="142"/>
      <c r="AB196" s="142"/>
      <c r="AC196" s="142"/>
      <c r="AD196" s="142"/>
      <c r="AE196" s="142"/>
    </row>
    <row r="197">
      <c r="A197" s="142"/>
      <c r="B197" s="142"/>
      <c r="C197" s="142"/>
      <c r="D197" s="142"/>
      <c r="E197" s="142"/>
      <c r="F197" s="143"/>
      <c r="G197" s="144"/>
      <c r="H197" s="144"/>
      <c r="I197" s="145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3"/>
      <c r="U197" s="142"/>
      <c r="V197" s="138"/>
      <c r="W197" s="143"/>
      <c r="X197" s="142"/>
      <c r="Y197" s="142"/>
      <c r="Z197" s="142"/>
      <c r="AA197" s="142"/>
      <c r="AB197" s="142"/>
      <c r="AC197" s="142"/>
      <c r="AD197" s="142"/>
      <c r="AE197" s="142"/>
    </row>
    <row r="198">
      <c r="A198" s="142"/>
      <c r="B198" s="142"/>
      <c r="C198" s="142"/>
      <c r="D198" s="142"/>
      <c r="E198" s="142"/>
      <c r="F198" s="143"/>
      <c r="G198" s="144"/>
      <c r="H198" s="144"/>
      <c r="I198" s="145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3"/>
      <c r="U198" s="142"/>
      <c r="V198" s="138"/>
      <c r="W198" s="143"/>
      <c r="X198" s="142"/>
      <c r="Y198" s="142"/>
      <c r="Z198" s="142"/>
      <c r="AA198" s="142"/>
      <c r="AB198" s="142"/>
      <c r="AC198" s="142"/>
      <c r="AD198" s="142"/>
      <c r="AE198" s="142"/>
    </row>
    <row r="199">
      <c r="A199" s="142"/>
      <c r="B199" s="142"/>
      <c r="C199" s="142"/>
      <c r="D199" s="142"/>
      <c r="E199" s="142"/>
      <c r="F199" s="143"/>
      <c r="G199" s="144"/>
      <c r="H199" s="144"/>
      <c r="I199" s="145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3"/>
      <c r="U199" s="142"/>
      <c r="V199" s="138"/>
      <c r="W199" s="143"/>
      <c r="X199" s="142"/>
      <c r="Y199" s="142"/>
      <c r="Z199" s="142"/>
      <c r="AA199" s="142"/>
      <c r="AB199" s="142"/>
      <c r="AC199" s="142"/>
      <c r="AD199" s="142"/>
      <c r="AE199" s="142"/>
    </row>
    <row r="200">
      <c r="A200" s="142"/>
      <c r="B200" s="142"/>
      <c r="C200" s="142"/>
      <c r="D200" s="142"/>
      <c r="E200" s="142"/>
      <c r="F200" s="143"/>
      <c r="G200" s="144"/>
      <c r="H200" s="144"/>
      <c r="I200" s="145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3"/>
      <c r="U200" s="142"/>
      <c r="V200" s="138"/>
      <c r="W200" s="143"/>
      <c r="X200" s="142"/>
      <c r="Y200" s="142"/>
      <c r="Z200" s="142"/>
      <c r="AA200" s="142"/>
      <c r="AB200" s="142"/>
      <c r="AC200" s="142"/>
      <c r="AD200" s="142"/>
      <c r="AE200" s="142"/>
    </row>
  </sheetData>
  <mergeCells>
    <mergeCell ref="A6:E6"/>
    <mergeCell ref="A2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