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<sst xmlns="http://schemas.openxmlformats.org/spreadsheetml/2006/main" count="39" uniqueCount="39">
  <si>
    <t xml:space="preserve">  </t>
  </si>
  <si>
    <t xml:space="preserve">日期</t>
  </si>
  <si>
    <t xml:space="preserve">主播</t>
  </si>
  <si>
    <t xml:space="preserve">直播时段</t>
  </si>
  <si>
    <t xml:space="preserve">直播时长</t>
  </si>
  <si>
    <t xml:space="preserve">付费下单</t>
  </si>
  <si>
    <t xml:space="preserve">付费保费</t>
  </si>
  <si>
    <t xml:space="preserve">自然流成交单量</t>
  </si>
  <si>
    <t xml:space="preserve">自然流成交保费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</si>
  <si>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</si>
  <si>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</si>
  <si>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</si>
  <si>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</si>
  <si>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</si>
  <si>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</si>
  <si>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</si>
  <si>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</si>
  <si>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</si>
  <si>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</si>
  <si>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运营</t>
  </si>
  <si>
    <t xml:space="preserve">投手</t>
  </si>
  <si>
    <t xml:space="preserve">时长</t>
  </si>
  <si>
    <t xml:space="preserve">2026/10/10</t>
  </si>
  <si>
    <t xml:space="preserve">张伟娜</t>
  </si>
  <si>
    <t xml:space="preserve">20:00-24:00</t>
  </si>
  <si>
    <t xml:space="preserve">郭斯元双</t>
  </si>
  <si>
    <t xml:space="preserve">段弼瑞</t>
  </si>
  <si>
    <t xml:space="preserve">赖法彬</t>
  </si>
  <si>
    <t xml:space="preserve">2026/10/11</t>
  </si>
  <si>
    <t xml:space="preserve">2026/10/12</t>
  </si>
  <si>
    <t xml:space="preserve">2026/10/13</t>
  </si>
  <si>
    <t xml:space="preserve">任子硕双</t>
  </si>
  <si>
    <t xml:space="preserve">2026/10/14</t>
  </si>
  <si>
    <t xml:space="preserve">2026/10/15</t>
  </si>
  <si>
    <t xml:space="preserve">20:00-01:00</t>
  </si>
  <si>
    <t xml:space="preserve">2026/10/16</t>
  </si>
  <si>
    <t xml:space="preserve">19:00-24:00</t>
  </si>
  <si>
    <t xml:space="preserve">2026/10/17</t>
  </si>
  <si>
    <t xml:space="preserve">2026/10/18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</si>
</sst>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@"/>
    <numFmt numFmtId="165" formatCode="0.00_);[Red](0.00)"/>
    <numFmt numFmtId="166" formatCode="0.00"/>
    <numFmt numFmtId="167" formatCode="0.00_);(0.00)"/>
  </numFmts>
  <fonts count="7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b val="true"/>
      <sz val="10"/>
      <color rgb="FFC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false" applyFont="true" applyNumberFormat="true" applyProtection="false" borderId="1" fillId="0" fontId="2" numFmtId="164" xfId="0">
      <alignment horizontal="center" vertical="center"/>
    </xf>
    <xf applyAlignment="true" applyBorder="false" applyFill="false" applyFont="true" applyNumberFormat="true" applyProtection="false" borderId="1" fillId="0" fontId="2" numFmtId="164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2" numFmtId="166" xfId="0">
      <alignment horizontal="center" vertical="center"/>
    </xf>
    <xf applyAlignment="true" applyBorder="false" applyFill="true" applyFont="true" applyNumberFormat="true" applyProtection="false" borderId="1" fillId="3" fontId="3" numFmtId="164" xfId="0">
      <alignment horizontal="center" vertical="center"/>
    </xf>
    <xf applyAlignment="true" applyBorder="false" applyFill="true" applyFont="true" applyNumberFormat="false" applyProtection="false" borderId="1" fillId="3" fontId="2" numFmtId="0" xfId="0">
      <alignment horizontal="center" vertical="center"/>
    </xf>
    <xf applyAlignment="true" applyBorder="false" applyFill="true" applyFont="true" applyNumberFormat="false" applyProtection="false" borderId="1" fillId="3" fontId="4" numFmtId="0" xfId="0">
      <alignment horizontal="center" vertical="center"/>
    </xf>
    <xf applyAlignment="true" applyBorder="false" applyFill="true" applyFont="true" applyNumberFormat="true" applyProtection="false" borderId="1" fillId="3" fontId="4" numFmtId="167" xfId="0">
      <alignment horizontal="center" vertical="center"/>
    </xf>
    <xf applyAlignment="true" applyBorder="false" applyFill="true" applyFont="true" applyNumberFormat="false" applyProtection="false" borderId="1" fillId="3" fontId="4" numFmtId="0" xfId="0">
      <alignment horizontal="center" vertical="center"/>
    </xf>
    <xf applyAlignment="true" applyBorder="false" applyFill="true" applyFont="true" applyNumberFormat="false" applyProtection="false" borderId="1" fillId="3" fontId="5" numFmtId="0" xfId="0">
      <alignment horizontal="center" vertical="center"/>
    </xf>
    <xf applyAlignment="true" applyBorder="false" applyFill="true" applyFont="true" applyNumberFormat="true" applyProtection="false" borderId="1" fillId="3" fontId="3" numFmtId="164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6" min="6" style="0" width="14.469483568075113"/>
    <col collapsed="false" customWidth="true" hidden="false" max="8" min="8" style="0" width="15.492957746478874"/>
    <col collapsed="false" customWidth="true" hidden="false" max="10" min="10" style="0" width="11.211267605633802"/>
    <col collapsed="false" customWidth="true" hidden="false" max="19" min="19" style="0" width="11.211267605633802"/>
    <col collapsed="false" customWidth="true" hidden="false" max="5" min="5" style="0" width="13.892018779342719"/>
    <col collapsed="false" customWidth="true" hidden="false" max="7" min="7" style="0" width="15.50234741784038"/>
    <col collapsed="false" customWidth="true" hidden="false" max="9" min="9" style="0" width="11.211267605633802"/>
    <col collapsed="false" customWidth="true" hidden="false" max="11" min="11" style="0" width="11.211267605633802"/>
  </cols>
  <sheetData>
    <row customHeight="true" ht="18.79573727246397" r="1">
      <c r="A1" s="1" t="s">
        <v>1</v>
      </c>
      <c r="B1" s="2" t="s">
        <v>2</v>
      </c>
      <c r="C1" s="2" t="s">
        <v>3</v>
      </c>
      <c r="D1" s="2" t="s">
        <v>4</v>
      </c>
      <c r="E1" s="3" t="s">
        <v>5</v>
      </c>
      <c r="F1" s="4" t="s">
        <v>6</v>
      </c>
      <c r="G1" s="2" t="s">
        <v>7</v>
      </c>
      <c r="H1" s="5" t="s">
        <v>8</v>
      </c>
      <c r="I1" s="2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3" t="s">
        <v>19</v>
      </c>
      <c r="T1" s="2" t="s">
        <v>20</v>
      </c>
      <c r="U1" s="2" t="s">
        <v>21</v>
      </c>
    </row>
    <row customHeight="true" ht="18.79573727246397" r="2">
      <c r="A2" s="6" t="s">
        <v>22</v>
      </c>
      <c r="B2" s="7" t="s">
        <v>23</v>
      </c>
      <c r="C2" s="8" t="s">
        <v>24</v>
      </c>
      <c r="D2" s="9">
        <v>4</v>
      </c>
      <c r="E2" s="8">
        <v>3</v>
      </c>
      <c r="F2" s="8">
        <v>1735.2</v>
      </c>
      <c r="G2" s="8">
        <v>1</v>
      </c>
      <c r="H2" s="8">
        <v>600</v>
      </c>
      <c r="I2" s="8">
        <f>E2+G2</f>
      </c>
      <c r="J2" s="8">
        <f>F2+H2</f>
      </c>
      <c r="K2" s="8">
        <v>6896.42</v>
      </c>
      <c r="L2" s="10">
        <f t="shared" ref="L2:L19" si="0">J2/K2</f>
      </c>
      <c r="M2" s="10">
        <f t="shared" ref="M2:M19" si="1">J2/I2</f>
      </c>
      <c r="N2" s="10">
        <f>K2/I2</f>
      </c>
      <c r="O2" s="8">
        <v>0</v>
      </c>
      <c r="P2" s="8">
        <v>0</v>
      </c>
      <c r="Q2" s="8" t="s">
        <v>25</v>
      </c>
      <c r="R2" s="8">
        <v>4</v>
      </c>
      <c r="S2" s="8" t="s">
        <v>26</v>
      </c>
      <c r="T2" s="8" t="s">
        <v>27</v>
      </c>
      <c r="U2" s="8">
        <v>4</v>
      </c>
    </row>
    <row customHeight="true" hidden="true" ht="18.79573727246397" r="3">
      <c r="A3" s="11" t="s">
        <v>22</v>
      </c>
      <c r="B3" s="12"/>
      <c r="C3" s="12"/>
      <c r="D3" s="13">
        <f>SUM(D2)</f>
      </c>
      <c r="E3" s="13">
        <f>SUM(E2)</f>
      </c>
      <c r="F3" s="13">
        <f>SUM(F2)</f>
      </c>
      <c r="G3" s="13">
        <f>SUM(G2)</f>
      </c>
      <c r="H3" s="13">
        <f>SUM(H2)</f>
      </c>
      <c r="I3" s="13">
        <f>SUM(I2)</f>
      </c>
      <c r="J3" s="13">
        <f>SUM(J2)</f>
      </c>
      <c r="K3" s="13">
        <f>SUM(K2)</f>
      </c>
      <c r="L3" s="14">
        <f t="shared" si="0"/>
      </c>
      <c r="M3" s="14">
        <f t="shared" si="1"/>
      </c>
      <c r="N3" s="14">
        <v>1724.105</v>
      </c>
      <c r="O3" s="13">
        <f>SUM(O2)</f>
      </c>
      <c r="P3" s="15">
        <v>0</v>
      </c>
      <c r="Q3" s="13">
        <f>SUM(Q2)</f>
      </c>
      <c r="R3" s="13">
        <f>SUM(R2)</f>
      </c>
      <c r="S3" s="13"/>
      <c r="T3" s="16"/>
      <c r="U3" s="13">
        <f>SUM(U2)</f>
      </c>
    </row>
    <row customHeight="true" ht="18.79573727246397" r="4">
      <c r="A4" s="6" t="s">
        <v>28</v>
      </c>
      <c r="B4" s="7" t="s">
        <v>23</v>
      </c>
      <c r="C4" s="8" t="s">
        <v>24</v>
      </c>
      <c r="D4" s="9">
        <v>4</v>
      </c>
      <c r="E4" s="8">
        <v>1</v>
      </c>
      <c r="F4" s="8">
        <v>2071.2</v>
      </c>
      <c r="G4" s="8">
        <v>1</v>
      </c>
      <c r="H4" s="8">
        <v>1752</v>
      </c>
      <c r="I4" s="8">
        <f>E4+G4</f>
      </c>
      <c r="J4" s="8">
        <f>F4+H4</f>
      </c>
      <c r="K4" s="8">
        <v>1528.84</v>
      </c>
      <c r="L4" s="10">
        <f t="shared" si="0"/>
      </c>
      <c r="M4" s="10">
        <f t="shared" si="1"/>
      </c>
      <c r="N4" s="10">
        <f t="shared" ref="N4:N19" si="2">K4/I4</f>
      </c>
      <c r="O4" s="8">
        <v>0</v>
      </c>
      <c r="P4" s="8">
        <v>0</v>
      </c>
      <c r="Q4" s="8" t="s">
        <v>25</v>
      </c>
      <c r="R4" s="8">
        <v>4</v>
      </c>
      <c r="S4" s="8" t="s">
        <v>26</v>
      </c>
      <c r="T4" s="8" t="s">
        <v>27</v>
      </c>
      <c r="U4" s="8">
        <v>4</v>
      </c>
    </row>
    <row customHeight="true" hidden="true" ht="18.79573727246397" r="5">
      <c r="A5" s="11" t="s">
        <v>28</v>
      </c>
      <c r="B5" s="12"/>
      <c r="C5" s="12"/>
      <c r="D5" s="13">
        <f>SUM(D4)</f>
      </c>
      <c r="E5" s="13">
        <f>SUM(E4)</f>
      </c>
      <c r="F5" s="13">
        <f>SUM(F4)</f>
      </c>
      <c r="G5" s="13">
        <f>SUM(G4)</f>
      </c>
      <c r="H5" s="13">
        <f>SUM(H4)</f>
      </c>
      <c r="I5" s="13">
        <f>SUM(I4)</f>
      </c>
      <c r="J5" s="13">
        <f>SUM(J4)</f>
      </c>
      <c r="K5" s="13">
        <f>SUM(K4)</f>
      </c>
      <c r="L5" s="14">
        <f t="shared" si="0"/>
      </c>
      <c r="M5" s="14">
        <f t="shared" si="1"/>
      </c>
      <c r="N5" s="14">
        <f t="shared" si="2"/>
      </c>
      <c r="O5" s="13">
        <f>SUM(O4)</f>
      </c>
      <c r="P5" s="15">
        <v>0</v>
      </c>
      <c r="Q5" s="13">
        <f>SUM(Q4)</f>
      </c>
      <c r="R5" s="13">
        <f>SUM(R4)</f>
      </c>
      <c r="S5" s="13"/>
      <c r="T5" s="16"/>
      <c r="U5" s="13">
        <f>SUM(U4)</f>
      </c>
    </row>
    <row customHeight="true" ht="18.79573727246397" r="6">
      <c r="A6" s="6" t="s">
        <v>29</v>
      </c>
      <c r="B6" s="7" t="s">
        <v>23</v>
      </c>
      <c r="C6" s="8" t="s">
        <v>24</v>
      </c>
      <c r="D6" s="9">
        <v>4</v>
      </c>
      <c r="E6" s="8">
        <v>2</v>
      </c>
      <c r="F6" s="8">
        <v>5623.2</v>
      </c>
      <c r="G6" s="8">
        <v>0</v>
      </c>
      <c r="H6" s="8">
        <v>0</v>
      </c>
      <c r="I6" s="8">
        <f>E6+G6</f>
      </c>
      <c r="J6" s="8">
        <f>F6+H6</f>
      </c>
      <c r="K6" s="8">
        <v>878.73</v>
      </c>
      <c r="L6" s="10">
        <f t="shared" si="0"/>
      </c>
      <c r="M6" s="10">
        <f t="shared" si="1"/>
      </c>
      <c r="N6" s="10">
        <f t="shared" si="2"/>
      </c>
      <c r="O6" s="8">
        <v>0</v>
      </c>
      <c r="P6" s="8">
        <v>0</v>
      </c>
      <c r="Q6" s="8" t="s">
        <v>25</v>
      </c>
      <c r="R6" s="8">
        <v>4</v>
      </c>
      <c r="S6" s="8" t="s">
        <v>26</v>
      </c>
      <c r="T6" s="8" t="s">
        <v>27</v>
      </c>
      <c r="U6" s="8">
        <v>4</v>
      </c>
    </row>
    <row customHeight="true" hidden="true" ht="18.79573727246397" r="7">
      <c r="A7" s="11" t="s">
        <v>29</v>
      </c>
      <c r="B7" s="12"/>
      <c r="C7" s="12"/>
      <c r="D7" s="13">
        <f>SUM(D6)</f>
      </c>
      <c r="E7" s="13">
        <f>SUM(E6)</f>
      </c>
      <c r="F7" s="13">
        <f>SUM(F6)</f>
      </c>
      <c r="G7" s="13">
        <f>SUM(G6)</f>
      </c>
      <c r="H7" s="13">
        <f>SUM(H6)</f>
      </c>
      <c r="I7" s="13">
        <f>SUM(I6)</f>
      </c>
      <c r="J7" s="13">
        <f>SUM(J6)</f>
      </c>
      <c r="K7" s="13">
        <f>SUM(K6)</f>
      </c>
      <c r="L7" s="14">
        <f t="shared" si="0"/>
      </c>
      <c r="M7" s="14">
        <f t="shared" si="1"/>
      </c>
      <c r="N7" s="14">
        <f t="shared" si="2"/>
      </c>
      <c r="O7" s="13">
        <f>SUM(O6)</f>
      </c>
      <c r="P7" s="15">
        <v>0</v>
      </c>
      <c r="Q7" s="13">
        <f>SUM(Q6)</f>
      </c>
      <c r="R7" s="13">
        <f>SUM(R6)</f>
      </c>
      <c r="S7" s="13"/>
      <c r="T7" s="16"/>
      <c r="U7" s="13">
        <f>SUM(U6)</f>
      </c>
    </row>
    <row customHeight="true" ht="18.79573727246397" r="8">
      <c r="A8" s="6" t="s">
        <v>30</v>
      </c>
      <c r="B8" s="7" t="s">
        <v>23</v>
      </c>
      <c r="C8" s="8" t="s">
        <v>24</v>
      </c>
      <c r="D8" s="9">
        <v>4</v>
      </c>
      <c r="E8" s="8">
        <v>0</v>
      </c>
      <c r="F8" s="8">
        <v>0</v>
      </c>
      <c r="G8" s="8">
        <v>2</v>
      </c>
      <c r="H8" s="9">
        <v>2671.2</v>
      </c>
      <c r="I8" s="8">
        <f>E8+G8</f>
      </c>
      <c r="J8" s="8">
        <f>F8+H8</f>
      </c>
      <c r="K8" s="8">
        <v>1840.68</v>
      </c>
      <c r="L8" s="10">
        <f t="shared" si="0"/>
      </c>
      <c r="M8" s="10">
        <f t="shared" si="1"/>
      </c>
      <c r="N8" s="10">
        <f t="shared" si="2"/>
      </c>
      <c r="O8" s="8">
        <v>0</v>
      </c>
      <c r="P8" s="8">
        <v>0</v>
      </c>
      <c r="Q8" s="8" t="s">
        <v>31</v>
      </c>
      <c r="R8" s="8">
        <v>4</v>
      </c>
      <c r="S8" s="8" t="s">
        <v>26</v>
      </c>
      <c r="T8" s="8" t="s">
        <v>27</v>
      </c>
      <c r="U8" s="8">
        <v>4</v>
      </c>
    </row>
    <row customHeight="true" hidden="true" ht="18.79573727246397" r="9">
      <c r="A9" s="17" t="s">
        <v>30</v>
      </c>
      <c r="B9" s="12"/>
      <c r="C9" s="12"/>
      <c r="D9" s="13">
        <f>SUM(D8)</f>
      </c>
      <c r="E9" s="13">
        <f>SUM(E8)</f>
      </c>
      <c r="F9" s="13">
        <f>SUM(F8)</f>
      </c>
      <c r="G9" s="13">
        <f>SUM(G8)</f>
      </c>
      <c r="H9" s="13">
        <f>SUM(H8)</f>
      </c>
      <c r="I9" s="13">
        <f>SUM(I8)</f>
      </c>
      <c r="J9" s="13">
        <f>SUM(J8)</f>
      </c>
      <c r="K9" s="13">
        <f>SUM(K8)</f>
      </c>
      <c r="L9" s="14">
        <f t="shared" si="0"/>
      </c>
      <c r="M9" s="14">
        <f t="shared" si="1"/>
      </c>
      <c r="N9" s="14">
        <f t="shared" si="2"/>
      </c>
      <c r="O9" s="13">
        <f>SUM(O8)</f>
      </c>
      <c r="P9" s="15">
        <v>0</v>
      </c>
      <c r="Q9" s="13">
        <f>SUM(Q8)</f>
      </c>
      <c r="R9" s="13">
        <f>SUM(R8)</f>
      </c>
      <c r="S9" s="13"/>
      <c r="T9" s="16"/>
      <c r="U9" s="13">
        <f>SUM(U8)</f>
      </c>
    </row>
    <row customHeight="true" ht="18.79573727246397" r="10">
      <c r="A10" s="6" t="s">
        <v>32</v>
      </c>
      <c r="B10" s="7" t="s">
        <v>23</v>
      </c>
      <c r="C10" s="8" t="s">
        <v>24</v>
      </c>
      <c r="D10" s="9">
        <v>4</v>
      </c>
      <c r="E10" s="8">
        <v>2</v>
      </c>
      <c r="F10" s="8">
        <v>1967.8</v>
      </c>
      <c r="G10" s="8">
        <v>2</v>
      </c>
      <c r="H10" s="8">
        <v>3638.4</v>
      </c>
      <c r="I10" s="8">
        <f>E10+G10</f>
      </c>
      <c r="J10" s="8">
        <f>F10+H10</f>
      </c>
      <c r="K10" s="8">
        <v>1481.96</v>
      </c>
      <c r="L10" s="10">
        <f t="shared" si="0"/>
      </c>
      <c r="M10" s="10">
        <f t="shared" si="1"/>
      </c>
      <c r="N10" s="10">
        <f t="shared" si="2"/>
      </c>
      <c r="O10" s="8">
        <v>0</v>
      </c>
      <c r="P10" s="8">
        <v>0</v>
      </c>
      <c r="Q10" s="8" t="s">
        <v>25</v>
      </c>
      <c r="R10" s="8">
        <v>4</v>
      </c>
      <c r="S10" s="8" t="s">
        <v>26</v>
      </c>
      <c r="T10" s="8" t="s">
        <v>27</v>
      </c>
      <c r="U10" s="8">
        <v>4</v>
      </c>
    </row>
    <row customHeight="true" hidden="true" ht="18.79573727246397" r="11">
      <c r="A11" s="11" t="s">
        <v>32</v>
      </c>
      <c r="B11" s="12"/>
      <c r="C11" s="12"/>
      <c r="D11" s="13">
        <f>SUM(D10)</f>
      </c>
      <c r="E11" s="13">
        <f>SUM(E10)</f>
      </c>
      <c r="F11" s="13">
        <f>SUM(F10)</f>
      </c>
      <c r="G11" s="13">
        <f>SUM(G10)</f>
      </c>
      <c r="H11" s="13">
        <f>SUM(H10)</f>
      </c>
      <c r="I11" s="13">
        <f>SUM(I10)</f>
      </c>
      <c r="J11" s="13">
        <f>SUM(J10)</f>
      </c>
      <c r="K11" s="13">
        <f>SUM(K10)</f>
      </c>
      <c r="L11" s="14">
        <f t="shared" si="0"/>
      </c>
      <c r="M11" s="14">
        <f t="shared" si="1"/>
      </c>
      <c r="N11" s="14">
        <f t="shared" si="2"/>
      </c>
      <c r="O11" s="13">
        <f>SUM(O10)</f>
      </c>
      <c r="P11" s="13">
        <f>SUM(P10)</f>
      </c>
      <c r="Q11" s="13">
        <f>SUM(Q10)</f>
      </c>
      <c r="R11" s="13">
        <f>SUM(R10)</f>
      </c>
      <c r="S11" s="13"/>
      <c r="T11" s="16"/>
      <c r="U11" s="13">
        <f>SUM(U10)</f>
      </c>
    </row>
    <row customHeight="true" ht="18.79573727246397" r="12">
      <c r="A12" s="6" t="s">
        <v>33</v>
      </c>
      <c r="B12" s="7" t="s">
        <v>23</v>
      </c>
      <c r="C12" s="8" t="s">
        <v>34</v>
      </c>
      <c r="D12" s="8">
        <v>5</v>
      </c>
      <c r="E12" s="8">
        <v>2</v>
      </c>
      <c r="F12" s="8">
        <v>1582.61</v>
      </c>
      <c r="G12" s="8">
        <v>2</v>
      </c>
      <c r="H12" s="8">
        <v>2144.4</v>
      </c>
      <c r="I12" s="8">
        <f>E12+G12</f>
      </c>
      <c r="J12" s="8">
        <f>F12+H12</f>
      </c>
      <c r="K12" s="8">
        <v>3175.3</v>
      </c>
      <c r="L12" s="10">
        <f t="shared" si="0"/>
      </c>
      <c r="M12" s="10">
        <f t="shared" si="1"/>
      </c>
      <c r="N12" s="10">
        <f t="shared" si="2"/>
      </c>
      <c r="O12" s="8">
        <v>0</v>
      </c>
      <c r="P12" s="8">
        <v>0</v>
      </c>
      <c r="Q12" s="8" t="s">
        <v>25</v>
      </c>
      <c r="R12" s="8">
        <v>5</v>
      </c>
      <c r="S12" s="8" t="s">
        <v>26</v>
      </c>
      <c r="T12" s="8" t="s">
        <v>27</v>
      </c>
      <c r="U12" s="8">
        <v>5</v>
      </c>
    </row>
    <row customHeight="true" hidden="true" ht="18.79573727246397" r="13">
      <c r="A13" s="11" t="s">
        <v>33</v>
      </c>
      <c r="B13" s="12"/>
      <c r="C13" s="12"/>
      <c r="D13" s="13">
        <f>SUM(D12)</f>
      </c>
      <c r="E13" s="13">
        <f>SUM(E12)</f>
      </c>
      <c r="F13" s="13">
        <f>SUM(F12)</f>
      </c>
      <c r="G13" s="13">
        <f>SUM(G12)</f>
      </c>
      <c r="H13" s="13">
        <f>SUM(H12)</f>
      </c>
      <c r="I13" s="13">
        <f>SUM(I12)</f>
      </c>
      <c r="J13" s="13">
        <f>SUM(J12)</f>
      </c>
      <c r="K13" s="13">
        <f>SUM(K12)</f>
      </c>
      <c r="L13" s="14">
        <f t="shared" si="0"/>
      </c>
      <c r="M13" s="14">
        <f t="shared" si="1"/>
      </c>
      <c r="N13" s="14">
        <f t="shared" si="2"/>
      </c>
      <c r="O13" s="13">
        <f>SUM(O12)</f>
      </c>
      <c r="P13" s="13">
        <f>SUM(P12)</f>
      </c>
      <c r="Q13" s="13">
        <f>SUM(Q12)</f>
      </c>
      <c r="R13" s="13">
        <f>SUM(R12)</f>
      </c>
      <c r="S13" s="13"/>
      <c r="T13" s="16"/>
      <c r="U13" s="13">
        <f>SUM(U12)</f>
      </c>
    </row>
    <row customHeight="true" ht="18.79573727246397" r="14">
      <c r="A14" s="6" t="s">
        <v>35</v>
      </c>
      <c r="B14" s="7" t="s">
        <v>23</v>
      </c>
      <c r="C14" s="8" t="s">
        <v>36</v>
      </c>
      <c r="D14" s="8">
        <v>5</v>
      </c>
      <c r="E14" s="8">
        <v>5</v>
      </c>
      <c r="F14" s="8">
        <v>6771.6</v>
      </c>
      <c r="G14" s="8">
        <v>4</v>
      </c>
      <c r="H14" s="8">
        <v>8131.2</v>
      </c>
      <c r="I14" s="8">
        <f>E14+G14</f>
      </c>
      <c r="J14" s="8">
        <f>F14+H14</f>
      </c>
      <c r="K14" s="8">
        <v>2149.16</v>
      </c>
      <c r="L14" s="10">
        <f t="shared" si="0"/>
      </c>
      <c r="M14" s="10">
        <f t="shared" si="1"/>
      </c>
      <c r="N14" s="10">
        <f t="shared" si="2"/>
      </c>
      <c r="O14" s="8">
        <v>0</v>
      </c>
      <c r="P14" s="8">
        <v>0</v>
      </c>
      <c r="Q14" s="8" t="s">
        <v>25</v>
      </c>
      <c r="R14" s="8">
        <v>5</v>
      </c>
      <c r="S14" s="8" t="s">
        <v>26</v>
      </c>
      <c r="T14" s="8" t="s">
        <v>27</v>
      </c>
      <c r="U14" s="8">
        <v>5</v>
      </c>
    </row>
    <row customHeight="true" hidden="true" ht="18.79573727246397" r="15">
      <c r="A15" s="11" t="s">
        <v>35</v>
      </c>
      <c r="B15" s="12"/>
      <c r="C15" s="12"/>
      <c r="D15" s="13">
        <f>SUM(D14)</f>
      </c>
      <c r="E15" s="13">
        <f>SUM(E14)</f>
      </c>
      <c r="F15" s="13">
        <f>SUM(F14)</f>
      </c>
      <c r="G15" s="13">
        <f>SUM(G14)</f>
      </c>
      <c r="H15" s="13">
        <f>SUM(H14)</f>
      </c>
      <c r="I15" s="13">
        <f>SUM(I14)</f>
      </c>
      <c r="J15" s="13">
        <f>SUM(J14)</f>
      </c>
      <c r="K15" s="13">
        <f>SUM(K14)</f>
      </c>
      <c r="L15" s="14">
        <f t="shared" si="0"/>
      </c>
      <c r="M15" s="14">
        <f t="shared" si="1"/>
      </c>
      <c r="N15" s="14">
        <f t="shared" si="2"/>
      </c>
      <c r="O15" s="13">
        <f>SUM(O14)</f>
      </c>
      <c r="P15" s="13">
        <f>SUM(P14)</f>
      </c>
      <c r="Q15" s="13">
        <f>SUM(Q14)</f>
      </c>
      <c r="R15" s="13">
        <f>SUM(R14)</f>
      </c>
      <c r="S15" s="13"/>
      <c r="T15" s="16"/>
      <c r="U15" s="13">
        <f>SUM(U14)</f>
      </c>
    </row>
    <row customHeight="true" ht="18.79573727246397" r="16">
      <c r="A16" s="6" t="s">
        <v>37</v>
      </c>
      <c r="B16" s="7" t="s">
        <v>23</v>
      </c>
      <c r="C16" s="8" t="s">
        <v>36</v>
      </c>
      <c r="D16" s="8">
        <v>5</v>
      </c>
      <c r="E16" s="8">
        <v>8</v>
      </c>
      <c r="F16" s="8">
        <v>11858.4</v>
      </c>
      <c r="G16" s="8">
        <v>0</v>
      </c>
      <c r="H16" s="8">
        <v>0</v>
      </c>
      <c r="I16" s="8">
        <f>E16+G16</f>
      </c>
      <c r="J16" s="8">
        <f>F16+H16</f>
      </c>
      <c r="K16" s="8">
        <v>6364.26</v>
      </c>
      <c r="L16" s="10">
        <f t="shared" si="0"/>
      </c>
      <c r="M16" s="10">
        <f t="shared" si="1"/>
      </c>
      <c r="N16" s="10">
        <f t="shared" si="2"/>
      </c>
      <c r="O16" s="8">
        <v>0</v>
      </c>
      <c r="P16" s="8">
        <v>0</v>
      </c>
      <c r="Q16" s="8" t="s">
        <v>25</v>
      </c>
      <c r="R16" s="8">
        <v>5</v>
      </c>
      <c r="S16" s="8" t="s">
        <v>26</v>
      </c>
      <c r="T16" s="8" t="s">
        <v>27</v>
      </c>
      <c r="U16" s="8">
        <v>5</v>
      </c>
    </row>
    <row customHeight="true" hidden="true" ht="18.79573727246397" r="17">
      <c r="A17" s="11" t="s">
        <v>37</v>
      </c>
      <c r="B17" s="12"/>
      <c r="C17" s="12"/>
      <c r="D17" s="13">
        <f>SUM(D16)</f>
      </c>
      <c r="E17" s="13">
        <f>SUM(E16)</f>
      </c>
      <c r="F17" s="13">
        <f>SUM(F16)</f>
      </c>
      <c r="G17" s="13">
        <f>SUM(G16)</f>
      </c>
      <c r="H17" s="13">
        <f>SUM(H16)</f>
      </c>
      <c r="I17" s="13">
        <f>SUM(I16)</f>
      </c>
      <c r="J17" s="13">
        <f>SUM(J16)</f>
      </c>
      <c r="K17" s="13">
        <f>SUM(K16)</f>
      </c>
      <c r="L17" s="14">
        <f t="shared" si="0"/>
      </c>
      <c r="M17" s="14">
        <f t="shared" si="1"/>
      </c>
      <c r="N17" s="14">
        <f t="shared" si="2"/>
      </c>
      <c r="O17" s="13">
        <f>SUM(O16)</f>
      </c>
      <c r="P17" s="13">
        <f>SUM(P16)</f>
      </c>
      <c r="Q17" s="13">
        <f>SUM(Q16)</f>
      </c>
      <c r="R17" s="13">
        <f>SUM(R16)</f>
      </c>
      <c r="S17" s="13"/>
      <c r="T17" s="16"/>
      <c r="U17" s="13">
        <f>SUM(U16)</f>
      </c>
    </row>
    <row r="18">
      <c r="A18" s="6" t="s">
        <v>38</v>
      </c>
      <c r="B18" s="7" t="s">
        <v>23</v>
      </c>
      <c r="C18" s="8" t="s">
        <v>36</v>
      </c>
      <c r="D18" s="8">
        <v>5</v>
      </c>
      <c r="E18" s="8">
        <v>2</v>
      </c>
      <c r="F18" s="8">
        <v>3985.8000000000006</v>
      </c>
      <c r="G18" s="8">
        <v>3</v>
      </c>
      <c r="H18" s="8">
        <v>3517.7999999999997</v>
      </c>
      <c r="I18" s="8">
        <f>E18+G18</f>
      </c>
      <c r="J18" s="8">
        <f>F18+H18</f>
      </c>
      <c r="K18" s="8">
        <v>7363.560000000001</v>
      </c>
      <c r="L18" s="10">
        <f t="shared" si="0"/>
      </c>
      <c r="M18" s="10">
        <f t="shared" si="1"/>
      </c>
      <c r="N18" s="10">
        <f t="shared" si="2"/>
      </c>
      <c r="O18" s="8">
        <v>0</v>
      </c>
      <c r="P18" s="8">
        <v>0</v>
      </c>
      <c r="Q18" s="8" t="s">
        <v>31</v>
      </c>
      <c r="R18" s="8">
        <v>5</v>
      </c>
      <c r="S18" s="8" t="s">
        <v>26</v>
      </c>
      <c r="T18" s="8" t="s">
        <v>27</v>
      </c>
      <c r="U18" s="8">
        <v>5</v>
      </c>
    </row>
    <row hidden="true" r="19">
      <c r="A19" s="11" t="s">
        <v>38</v>
      </c>
      <c r="B19" s="12"/>
      <c r="C19" s="12"/>
      <c r="D19" s="13">
        <f>SUM(D18)</f>
      </c>
      <c r="E19" s="13">
        <f>SUM(E18)</f>
      </c>
      <c r="F19" s="13">
        <f>SUM(F18)</f>
      </c>
      <c r="G19" s="13">
        <f>SUM(G18)</f>
      </c>
      <c r="H19" s="13">
        <f>SUM(H18)</f>
      </c>
      <c r="I19" s="13">
        <f>SUM(I18)</f>
      </c>
      <c r="J19" s="13">
        <f>SUM(J18)</f>
      </c>
      <c r="K19" s="13">
        <f>SUM(K18)</f>
      </c>
      <c r="L19" s="14">
        <f t="shared" si="0"/>
      </c>
      <c r="M19" s="14">
        <f t="shared" si="1"/>
      </c>
      <c r="N19" s="14">
        <f t="shared" si="2"/>
      </c>
      <c r="O19" s="13">
        <f>SUM(O18)</f>
      </c>
      <c r="P19" s="13">
        <f>SUM(P18)</f>
      </c>
      <c r="Q19" s="13">
        <f>SUM(Q18)</f>
      </c>
      <c r="R19" s="13">
        <f>SUM(R18)</f>
      </c>
      <c r="S19" s="13"/>
      <c r="T19" s="16"/>
      <c r="U19" s="13">
        <f>SUM(U18)</f>
      </c>
    </row>
    <row r="20">
      <c r="D20" s="18"/>
      <c r="G20" s="18"/>
    </row>
    <row r="21">
      <c r="D21" s="18"/>
      <c r="G21" s="18"/>
      <c r="H21" s="19"/>
    </row>
    <row r="22">
      <c r="C22" s="18"/>
      <c r="D22" s="18"/>
      <c r="G22" s="18"/>
    </row>
    <row r="23">
      <c r="D23" s="18"/>
      <c r="G23" s="18"/>
    </row>
    <row r="24">
      <c r="D24" s="18"/>
      <c r="G24" s="18"/>
    </row>
    <row r="25">
      <c r="D25" s="18"/>
      <c r="G25" s="18"/>
    </row>
    <row r="26">
      <c r="D26" s="18"/>
      <c r="G26" s="18"/>
    </row>
    <row r="27">
      <c r="D27" s="18"/>
      <c r="G27" s="18"/>
    </row>
    <row r="28">
      <c r="D28" s="18"/>
      <c r="G28" s="18"/>
    </row>
    <row r="29">
      <c r="G29" s="18"/>
    </row>
  </sheetData>
  <autoFilter ref="A1:G19">
    <filterColumn colId="1">
      <filters>
        <filter val="张伟娜"/>
      </filters>
    </filterColumn>
  </autoFilter>
  <dataValidations count="2">
    <dataValidation allowBlank="true" errorStyle="stop" showErrorMessage="true" sqref="B2:B2 B4:B4 B6:B6 B8:B8 B10:B10 B12:B12 B14:B14 B16:B16 B18:B18" type="list">
      <formula1>"张伟娜"</formula1>
    </dataValidation>
    <dataValidation allowBlank="true" errorStyle="stop" showErrorMessage="true" sqref="B3:B3 B5:B5 B7:B7 B9:B9 B11:B11 B13:B13 B15:B15 B17:B17 B19:B19" type="list">
      <formula1>"蔡露露,杜思利,田宇尚,李雅琪,葛鑫然,段雨诺,于慧,刘子斌,张伟娜"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