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2026.10" sheetId="2" r:id="rId5"/>
    <sheet name="2026.9" sheetId="3" r:id="rId6"/>
    <sheet name="核对消耗" sheetId="4" r:id="rId7"/>
    <sheet name="Sheet4" sheetId="5" r:id="rId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<sst xmlns="http://schemas.openxmlformats.org/spreadsheetml/2006/main" count="137" uniqueCount="137">
  <si>
    <t xml:space="preserve">  </t>
  </si>
  <si>
    <t xml:space="preserve">  </t>
  </si>
  <si>
    <t xml:space="preserve">业务数据</t>
  </si>
  <si>
    <t/>
    <r>
      <rPr>
        <b val="true"/>
        <i val="false"/>
        <strike val="false"/>
        <sz val="12"/>
        <color rgb="FF000000"/>
      </rPr>
      <t>过程指标</t>
    </r>
  </si>
  <si>
    <t xml:space="preserve">日期</t>
  </si>
  <si>
    <t xml:space="preserve">时间</t>
  </si>
  <si>
    <t xml:space="preserve">主播</t>
  </si>
  <si>
    <t xml:space="preserve">总消耗</t>
  </si>
  <si>
    <t xml:space="preserve">视频消耗</t>
  </si>
  <si>
    <t xml:space="preserve">直投消耗</t>
  </si>
  <si>
    <t xml:space="preserve">明星消耗</t>
  </si>
  <si>
    <t xml:space="preserve">保单量</t>
  </si>
  <si>
    <t xml:space="preserve">年化保费</t>
  </si>
  <si>
    <t xml:space="preserve">ROI</t>
  </si>
  <si>
    <t xml:space="preserve">外层点击率</t>
  </si>
  <si>
    <t xml:space="preserve">观看成本</t>
  </si>
  <si>
    <t xml:space="preserve">超1分钟观看率</t>
  </si>
  <si>
    <t xml:space="preserve">组建点击率</t>
  </si>
  <si>
    <t xml:space="preserve">组件点击成本</t>
  </si>
  <si>
    <t xml:space="preserve">订单提交率</t>
  </si>
  <si>
    <t xml:space="preserve">保单转化率</t>
  </si>
  <si>
    <t xml:space="preserve">保单成本</t>
  </si>
  <si>
    <t xml:space="preserve">单均</t>
  </si>
  <si>
    <t xml:space="preserve">AD成本</t>
  </si>
  <si>
    <t xml:space="preserve">投手</t>
  </si>
  <si>
    <t xml:space="preserve">场控</t>
  </si>
  <si>
    <t xml:space="preserve">回传</t>
  </si>
  <si>
    <t xml:space="preserve">展示数</t>
  </si>
  <si>
    <t xml:space="preserve">点击数</t>
  </si>
  <si>
    <t xml:space="preserve">竞价观看数</t>
  </si>
  <si>
    <t xml:space="preserve">超1分钟停留数</t>
  </si>
  <si>
    <t xml:space="preserve">组件点击数</t>
  </si>
  <si>
    <t xml:space="preserve">后台订单提交数</t>
  </si>
  <si>
    <t xml:space="preserve">14:00-15:00</t>
  </si>
  <si>
    <t xml:space="preserve">刘艺聪</t>
  </si>
  <si>
    <t xml:space="preserve">林智豪</t>
  </si>
  <si>
    <t xml:space="preserve">商潇涵</t>
  </si>
  <si>
    <t xml:space="preserve">15:00-16:00</t>
  </si>
  <si>
    <t xml:space="preserve">16:00-17:00</t>
  </si>
  <si>
    <t xml:space="preserve">张晓雨</t>
  </si>
  <si>
    <t xml:space="preserve">17:00-18:00</t>
  </si>
  <si>
    <t xml:space="preserve">18:00-19:00</t>
  </si>
  <si>
    <t xml:space="preserve">分主播汇总</t>
  </si>
  <si>
    <t xml:space="preserve">20:00-21:00</t>
  </si>
  <si>
    <t xml:space="preserve">王晴</t>
  </si>
  <si>
    <t xml:space="preserve">21:00-22:00</t>
  </si>
  <si>
    <t xml:space="preserve">22:00-23:00</t>
  </si>
  <si>
    <t xml:space="preserve">23:00-24:00</t>
  </si>
  <si>
    <t xml:space="preserve">卢佳轩</t>
  </si>
  <si>
    <t xml:space="preserve">合计</t>
  </si>
  <si>
    <t xml:space="preserve">12:00-13:00</t>
  </si>
  <si>
    <t xml:space="preserve">13:00-14:00</t>
  </si>
  <si>
    <t xml:space="preserve">曾美晴</t>
  </si>
  <si>
    <t xml:space="preserve">19:00-20:00</t>
  </si>
  <si>
    <t xml:space="preserve">罗丽洋</t>
  </si>
  <si>
    <t xml:space="preserve">9:00-10:00</t>
  </si>
  <si>
    <t xml:space="preserve">10:00-11:00</t>
  </si>
  <si>
    <t xml:space="preserve">11:00-12:00</t>
  </si>
  <si>
    <t xml:space="preserve">09:00-10:00</t>
  </si>
  <si>
    <t xml:space="preserve">曹颖慧</t>
  </si>
  <si>
    <t xml:space="preserve">马亚茹</t>
  </si>
  <si>
    <t xml:space="preserve">二号占比</t>
  </si>
  <si>
    <t xml:space="preserve">二号单量</t>
  </si>
  <si>
    <t xml:space="preserve">索茜霖</t>
  </si>
  <si>
    <t xml:space="preserve">李轩</t>
  </si>
  <si>
    <t xml:space="preserve">闫一博</t>
  </si>
  <si>
    <t xml:space="preserve">视频</t>
  </si>
  <si>
    <t xml:space="preserve">直投</t>
  </si>
  <si>
    <t xml:space="preserve">明星</t>
  </si>
  <si>
    <t xml:space="preserve">别删</t>
  </si>
  <si>
    <t xml:space="preserve">  </t>
  </si>
  <si>
    <t xml:space="preserve">业务数据</t>
  </si>
  <si>
    <t/>
    <r>
      <rPr>
        <b val="true"/>
        <i val="false"/>
        <strike val="false"/>
        <sz val="12"/>
        <color rgb="FF000000"/>
      </rPr>
      <t>过程指标</t>
    </r>
  </si>
  <si>
    <t xml:space="preserve">日期</t>
  </si>
  <si>
    <t xml:space="preserve">时间</t>
  </si>
  <si>
    <t xml:space="preserve">主播</t>
  </si>
  <si>
    <t xml:space="preserve">总消耗</t>
  </si>
  <si>
    <t xml:space="preserve">视频消耗</t>
  </si>
  <si>
    <t xml:space="preserve">直投消耗</t>
  </si>
  <si>
    <t xml:space="preserve">明星消耗</t>
  </si>
  <si>
    <t xml:space="preserve">保单量</t>
  </si>
  <si>
    <t xml:space="preserve">年化保费</t>
  </si>
  <si>
    <t xml:space="preserve">ROI</t>
  </si>
  <si>
    <t xml:space="preserve">外层点击率</t>
  </si>
  <si>
    <t xml:space="preserve">观看成本</t>
  </si>
  <si>
    <t xml:space="preserve">超1分钟观看率</t>
  </si>
  <si>
    <t xml:space="preserve">组建点击率</t>
  </si>
  <si>
    <t xml:space="preserve">组件点击成本</t>
  </si>
  <si>
    <t xml:space="preserve">订单提交率</t>
  </si>
  <si>
    <t xml:space="preserve">保单转化率</t>
  </si>
  <si>
    <t xml:space="preserve">保单成本</t>
  </si>
  <si>
    <t xml:space="preserve">单均</t>
  </si>
  <si>
    <t xml:space="preserve">AD成本</t>
  </si>
  <si>
    <t xml:space="preserve">投手</t>
  </si>
  <si>
    <t xml:space="preserve">场控</t>
  </si>
  <si>
    <t xml:space="preserve">回传</t>
  </si>
  <si>
    <t xml:space="preserve">展示数</t>
  </si>
  <si>
    <t xml:space="preserve">点击数</t>
  </si>
  <si>
    <t xml:space="preserve">竞价观看数</t>
  </si>
  <si>
    <t xml:space="preserve">超1分钟停留数</t>
  </si>
  <si>
    <t xml:space="preserve">组件点击数</t>
  </si>
  <si>
    <t xml:space="preserve">后台订单提交数</t>
  </si>
  <si>
    <t xml:space="preserve">18:00-19:00</t>
  </si>
  <si>
    <t xml:space="preserve">刘艺聪</t>
  </si>
  <si>
    <t xml:space="preserve">林智豪</t>
  </si>
  <si>
    <t xml:space="preserve">张晓雨</t>
  </si>
  <si>
    <t xml:space="preserve">19:00-20:00</t>
  </si>
  <si>
    <t xml:space="preserve">卢佳轩</t>
  </si>
  <si>
    <t xml:space="preserve">20:00-21:00</t>
  </si>
  <si>
    <t xml:space="preserve">分主播汇总</t>
  </si>
  <si>
    <t xml:space="preserve">21:00-22:00</t>
  </si>
  <si>
    <t xml:space="preserve">王晴</t>
  </si>
  <si>
    <t xml:space="preserve">22:00-23:00</t>
  </si>
  <si>
    <t xml:space="preserve">23:00-24:00</t>
  </si>
  <si>
    <t xml:space="preserve">合计</t>
  </si>
  <si>
    <t xml:space="preserve">朱明</t>
  </si>
  <si>
    <t xml:space="preserve">16:00-17:00</t>
  </si>
  <si>
    <t xml:space="preserve">17:00-18:00</t>
  </si>
  <si>
    <t xml:space="preserve">14:00-15:00</t>
  </si>
  <si>
    <t xml:space="preserve">商潇涵</t>
  </si>
  <si>
    <t xml:space="preserve">15:00-16:00</t>
  </si>
  <si>
    <t xml:space="preserve">直投</t>
  </si>
  <si>
    <t xml:space="preserve">视频</t>
  </si>
  <si>
    <t xml:space="preserve">明星</t>
  </si>
  <si>
    <t xml:space="preserve">明星</t>
  </si>
  <si>
    <t xml:space="preserve">视频</t>
  </si>
  <si>
    <t xml:space="preserve">直投</t>
  </si>
  <si>
    <t xml:space="preserve">余量</t>
  </si>
  <si>
    <t xml:space="preserve">1号 </t>
  </si>
  <si>
    <t xml:space="preserve">加上凌晨余量的消耗</t>
  </si>
  <si>
    <t xml:space="preserve">2号 </t>
  </si>
  <si>
    <t xml:space="preserve">3号 </t>
  </si>
  <si>
    <t xml:space="preserve">4号 </t>
  </si>
  <si>
    <t xml:space="preserve">5号</t>
  </si>
  <si>
    <t xml:space="preserve">消耗</t>
  </si>
  <si>
    <t xml:space="preserve">表单提交</t>
  </si>
  <si>
    <t xml:space="preserve">表单成本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</si>
</sst>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6">
    <numFmt numFmtId="164" formatCode="#,##0.00"/>
    <numFmt numFmtId="165" formatCode="0.00_);[Red]\(0.00\)"/>
    <numFmt numFmtId="166" formatCode="0.00_ ;[Red]\-0.00\ "/>
    <numFmt numFmtId="167" formatCode="0_ ;[Red]\-0\ "/>
    <numFmt numFmtId="168" formatCode="#,##0"/>
    <numFmt numFmtId="169" formatCode="0.00%"/>
    <numFmt numFmtId="170" formatCode="yyyy/m/d"/>
    <numFmt numFmtId="171" formatCode="General"/>
    <numFmt numFmtId="172" formatCode="#,##0.000"/>
    <numFmt numFmtId="173" formatCode="0.00_);[Red](0.00)"/>
    <numFmt numFmtId="174" formatCode="0"/>
    <numFmt numFmtId="175" formatCode="0.00_);(0.00)"/>
    <numFmt numFmtId="176" formatCode="#,##0.0000"/>
    <numFmt numFmtId="177" formatCode="0%"/>
    <numFmt numFmtId="178" formatCode="#,##0.00"/>
    <numFmt numFmtId="179" formatCode="#,##0"/>
    <numFmt numFmtId="180" formatCode="0.00_);[Red]\(0.00\)"/>
    <numFmt numFmtId="181" formatCode="0.00_ ;[Red]\-0.00\ "/>
    <numFmt numFmtId="182" formatCode="0_ ;[Red]\-0\ "/>
    <numFmt numFmtId="183" formatCode="0.00%"/>
    <numFmt numFmtId="184" formatCode="yyyy/m/d"/>
    <numFmt numFmtId="185" formatCode="General"/>
    <numFmt numFmtId="186" formatCode="0.00_);[Red](0.00)"/>
    <numFmt numFmtId="187" formatCode="0"/>
    <numFmt numFmtId="188" formatCode="#,##0.000"/>
    <numFmt numFmtId="189" formatCode="#,##0.00"/>
  </numFmts>
  <fonts count="11">
    <font>
      <sz val="12"/>
      <color theme="1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2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333840"/>
      <name val="Calibri"/>
      <family val="2"/>
      <scheme val="minor"/>
    </font>
    <font>
      <sz val="10"/>
      <color rgb="FFF54A45"/>
      <name val="Calibri"/>
      <family val="2"/>
      <scheme val="minor"/>
    </font>
    <font>
      <sz val="10"/>
      <color rgb="FF8FAC02"/>
      <name val="Calibri"/>
      <family val="2"/>
      <scheme val="minor"/>
    </font>
    <font>
      <sz val="10"/>
      <color rgb="FF34C724"/>
      <name val="Calibri"/>
      <family val="2"/>
      <scheme val="minor"/>
    </font>
  </fonts>
  <fills count="20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DCC4"/>
        <bgColor/>
      </patternFill>
    </fill>
    <fill>
      <patternFill patternType="solid">
        <fgColor rgb="FF99BEFF"/>
        <bgColor/>
      </patternFill>
    </fill>
    <fill>
      <patternFill patternType="solid">
        <fgColor rgb="FF98D7B6"/>
        <bgColor/>
      </patternFill>
    </fill>
    <fill>
      <patternFill patternType="solid">
        <fgColor rgb="FF7EDAFB"/>
        <bgColor/>
      </patternFill>
    </fill>
    <fill>
      <patternFill patternType="solid">
        <fgColor rgb="FFFFF9E3"/>
        <bgColor/>
      </patternFill>
    </fill>
    <fill>
      <patternFill patternType="solid">
        <fgColor rgb="FFFDEBFF"/>
        <bgColor/>
      </patternFill>
    </fill>
    <fill>
      <patternFill patternType="solid">
        <fgColor rgb="FFFFFF00"/>
        <bgColor/>
      </patternFill>
    </fill>
    <fill>
      <patternFill patternType="solid">
        <fgColor rgb="FFD5F6F2"/>
        <bgColor/>
      </patternFill>
    </fill>
    <fill>
      <patternFill patternType="solid">
        <fgColor rgb="FFFBBFBC"/>
        <bgColor/>
      </patternFill>
    </fill>
    <fill>
      <patternFill patternType="solid">
        <fgColor rgb="FFFFDCC4"/>
        <bgColor/>
      </patternFill>
    </fill>
    <fill>
      <patternFill patternType="solid">
        <fgColor rgb="FF99BEFF"/>
        <bgColor/>
      </patternFill>
    </fill>
    <fill>
      <patternFill patternType="solid">
        <fgColor rgb="FF98D7B6"/>
        <bgColor/>
      </patternFill>
    </fill>
    <fill>
      <patternFill patternType="solid">
        <fgColor rgb="FF7EDAFB"/>
        <bgColor/>
      </patternFill>
    </fill>
    <fill>
      <patternFill patternType="solid">
        <fgColor rgb="FFFFF9E3"/>
        <bgColor/>
      </patternFill>
    </fill>
    <fill>
      <patternFill patternType="solid">
        <fgColor rgb="FFFDEBFF"/>
        <bgColor/>
      </patternFill>
    </fill>
    <fill>
      <patternFill patternType="solid">
        <fgColor rgb="FFFFFF00"/>
        <bgColor/>
      </patternFill>
    </fill>
    <fill>
      <patternFill patternType="solid">
        <fgColor rgb="FFD9F5D6"/>
        <bgColor/>
      </patternFill>
    </fill>
    <fill>
      <patternFill patternType="solid">
        <fgColor rgb="FFFDDDEF"/>
        <bgColor/>
      </patternFill>
    </fill>
  </fills>
  <borders count="34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E6E9ED"/>
      </right>
      <top/>
      <bottom style="thin">
        <color rgb="FFE6E9ED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9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true" applyProtection="false" borderId="1" fillId="3" fontId="1" numFmtId="164" xfId="0">
      <alignment horizontal="center" vertical="center"/>
    </xf>
    <xf applyAlignment="true" applyBorder="false" applyFill="true" applyFont="true" applyNumberFormat="true" applyProtection="false" borderId="2" fillId="4" fontId="1" numFmtId="165" xfId="0">
      <alignment horizontal="center" vertical="center"/>
    </xf>
    <xf applyAlignment="true" applyBorder="false" applyFill="true" applyFont="true" applyNumberFormat="true" applyProtection="false" borderId="3" fillId="3" fontId="2" numFmtId="166" xfId="0">
      <alignment horizontal="center" vertical="center"/>
    </xf>
    <xf applyAlignment="true" applyBorder="false" applyFill="true" applyFont="true" applyNumberFormat="true" applyProtection="false" borderId="4" fillId="3" fontId="2" numFmtId="167" xfId="0">
      <alignment horizontal="center" vertical="center"/>
    </xf>
    <xf applyAlignment="true" applyBorder="false" applyFill="true" applyFont="true" applyNumberFormat="false" applyProtection="false" borderId="5" fillId="2" fontId="1" numFmtId="0" xfId="0">
      <alignment horizontal="center" vertical="center"/>
    </xf>
    <xf applyAlignment="true" applyBorder="false" applyFill="true" applyFont="true" applyNumberFormat="false" applyProtection="false" borderId="6" fillId="2" fontId="1" numFmtId="0" xfId="0">
      <alignment horizontal="center" vertical="center"/>
    </xf>
    <xf applyAlignment="true" applyBorder="false" applyFill="true" applyFont="true" applyNumberFormat="true" applyProtection="false" borderId="7" fillId="3" fontId="1" numFmtId="164" xfId="0">
      <alignment horizontal="center" vertical="center"/>
    </xf>
    <xf applyAlignment="true" applyBorder="false" applyFill="true" applyFont="true" applyNumberFormat="true" applyProtection="false" borderId="6" fillId="3" fontId="1" numFmtId="164" xfId="0">
      <alignment horizontal="center" vertical="center"/>
    </xf>
    <xf applyAlignment="true" applyBorder="false" applyFill="true" applyFont="true" applyNumberFormat="true" applyProtection="false" borderId="6" fillId="3" fontId="1" numFmtId="164" xfId="0">
      <alignment horizontal="center" vertical="center"/>
    </xf>
    <xf applyAlignment="true" applyBorder="false" applyFill="true" applyFont="true" applyNumberFormat="true" applyProtection="false" borderId="5" fillId="3" fontId="1" numFmtId="168" xfId="0">
      <alignment horizontal="center" vertical="center"/>
    </xf>
    <xf applyAlignment="true" applyBorder="false" applyFill="true" applyFont="true" applyNumberFormat="false" applyProtection="false" borderId="8" fillId="3" fontId="1" numFmtId="0" xfId="0">
      <alignment horizontal="center" vertical="center"/>
    </xf>
    <xf applyAlignment="true" applyBorder="false" applyFill="true" applyFont="true" applyNumberFormat="true" applyProtection="false" borderId="2" fillId="4" fontId="1" numFmtId="169" xfId="0">
      <alignment horizontal="center" vertical="center"/>
    </xf>
    <xf applyAlignment="true" applyBorder="false" applyFill="true" applyFont="true" applyNumberFormat="true" applyProtection="false" borderId="4" fillId="4" fontId="1" numFmtId="165" xfId="0">
      <alignment horizontal="center" vertical="center"/>
    </xf>
    <xf applyAlignment="true" applyBorder="false" applyFill="false" applyFont="true" applyNumberFormat="true" applyProtection="false" borderId="4" fillId="0" fontId="3" numFmtId="166" xfId="0">
      <alignment horizontal="center" vertical="center"/>
    </xf>
    <xf applyAlignment="true" applyBorder="false" applyFill="true" applyFont="true" applyNumberFormat="true" applyProtection="false" borderId="4" fillId="5" fontId="3" numFmtId="167" xfId="0">
      <alignment horizontal="center" vertical="center"/>
    </xf>
    <xf applyAlignment="true" applyBorder="false" applyFill="false" applyFont="true" applyNumberFormat="true" applyProtection="false" borderId="2" fillId="0" fontId="4" numFmtId="168" xfId="0">
      <alignment horizontal="center" vertical="center"/>
    </xf>
    <xf applyAlignment="true" applyBorder="false" applyFill="false" applyFont="true" applyNumberFormat="false" applyProtection="false" borderId="4" fillId="0" fontId="4" numFmtId="0" xfId="0">
      <alignment horizontal="center" vertical="center"/>
    </xf>
    <xf applyAlignment="true" applyBorder="false" applyFill="false" applyFont="true" applyNumberFormat="true" applyProtection="false" borderId="1" fillId="0" fontId="3" numFmtId="170" xfId="0">
      <alignment horizontal="center" vertical="center"/>
    </xf>
    <xf applyAlignment="true" applyBorder="false" applyFill="false" applyFont="true" applyNumberFormat="true" applyProtection="false" borderId="9" fillId="0" fontId="3" numFmtId="171" xfId="0">
      <alignment horizontal="center" vertical="center"/>
    </xf>
    <xf applyAlignment="true" applyBorder="false" applyFill="false" applyFont="true" applyNumberFormat="true" applyProtection="false" borderId="10" fillId="0" fontId="3" numFmtId="171" xfId="0">
      <alignment horizontal="center" vertical="center"/>
    </xf>
    <xf applyAlignment="true" applyBorder="false" applyFill="false" applyFont="true" applyNumberFormat="true" applyProtection="false" borderId="1" fillId="0" fontId="3" numFmtId="164" xfId="0">
      <alignment horizontal="center" vertical="center"/>
    </xf>
    <xf applyAlignment="true" applyBorder="false" applyFill="false" applyFont="true" applyNumberFormat="true" applyProtection="false" borderId="1" fillId="0" fontId="3" numFmtId="164" xfId="0">
      <alignment horizontal="center" vertical="center"/>
    </xf>
    <xf applyAlignment="true" applyBorder="false" applyFill="false" applyFont="true" applyNumberFormat="true" applyProtection="false" borderId="1" fillId="0" fontId="3" numFmtId="172" xfId="0">
      <alignment horizontal="center" vertical="center"/>
    </xf>
    <xf applyAlignment="true" applyBorder="false" applyFill="false" applyFont="true" applyNumberFormat="true" applyProtection="false" borderId="11" fillId="0" fontId="3" numFmtId="168" xfId="0">
      <alignment horizontal="center" vertical="center"/>
    </xf>
    <xf applyAlignment="true" applyBorder="false" applyFill="false" applyFont="true" applyNumberFormat="true" applyProtection="false" borderId="2" fillId="0" fontId="3" numFmtId="168" xfId="0">
      <alignment horizontal="center" vertical="center"/>
    </xf>
    <xf applyAlignment="true" applyBorder="false" applyFill="true" applyFont="true" applyNumberFormat="true" applyProtection="false" borderId="11" fillId="6" fontId="5" numFmtId="173" xfId="0">
      <alignment horizontal="center" vertical="center"/>
    </xf>
    <xf applyAlignment="true" applyBorder="false" applyFill="false" applyFont="true" applyNumberFormat="true" applyProtection="false" borderId="2" fillId="0" fontId="3" numFmtId="169" xfId="0">
      <alignment horizontal="center" vertical="center"/>
    </xf>
    <xf applyAlignment="true" applyBorder="false" applyFill="false" applyFont="true" applyNumberFormat="true" applyProtection="false" borderId="2" fillId="0" fontId="3" numFmtId="165" xfId="0">
      <alignment horizontal="center" vertical="center"/>
    </xf>
    <xf applyAlignment="true" applyBorder="false" applyFill="false" applyFont="true" applyNumberFormat="true" applyProtection="false" borderId="4" fillId="0" fontId="3" numFmtId="165" xfId="0">
      <alignment horizontal="center" vertical="center"/>
    </xf>
    <xf applyAlignment="true" applyBorder="false" applyFill="false" applyFont="true" applyNumberFormat="true" applyProtection="false" borderId="12" fillId="0" fontId="3" numFmtId="165" xfId="0">
      <alignment horizontal="center" vertical="bottom"/>
    </xf>
    <xf applyAlignment="true" applyBorder="false" applyFill="false" applyFont="true" applyNumberFormat="true" applyProtection="false" borderId="2" fillId="0" fontId="3" numFmtId="166" xfId="0">
      <alignment horizontal="center" vertical="bottom"/>
    </xf>
    <xf applyAlignment="true" applyBorder="false" applyFill="false" applyFont="true" applyNumberFormat="false" applyProtection="false" borderId="2" fillId="0" fontId="3" numFmtId="0" xfId="0">
      <alignment horizontal="center" vertical="bottom"/>
    </xf>
    <xf applyAlignment="true" applyBorder="false" applyFill="false" applyFont="true" applyNumberFormat="true" applyProtection="false" borderId="2" fillId="0" fontId="3" numFmtId="171" xfId="0">
      <alignment horizontal="center" vertical="center"/>
    </xf>
    <xf applyAlignment="true" applyBorder="false" applyFill="false" applyFont="true" applyNumberFormat="true" applyProtection="false" borderId="2" fillId="0" fontId="3" numFmtId="171" xfId="0">
      <alignment horizontal="center" vertical="center"/>
    </xf>
    <xf applyAlignment="true" applyBorder="false" applyFill="false" applyFont="true" applyNumberFormat="true" applyProtection="false" borderId="2" fillId="0" fontId="3" numFmtId="171" xfId="0">
      <alignment horizontal="center" vertical="center"/>
    </xf>
    <xf applyAlignment="true" applyBorder="false" applyFill="false" applyFont="true" applyNumberFormat="true" applyProtection="false" borderId="1" fillId="0" fontId="3" numFmtId="172" xfId="0">
      <alignment horizontal="center" vertical="center"/>
    </xf>
    <xf applyAlignment="true" applyBorder="false" applyFill="true" applyFont="true" applyNumberFormat="true" applyProtection="false" borderId="13" fillId="7" fontId="1" numFmtId="171" xfId="0">
      <alignment horizontal="center" vertical="center"/>
    </xf>
    <xf applyAlignment="true" applyBorder="false" applyFill="true" applyFont="true" applyNumberFormat="true" applyProtection="false" borderId="1" fillId="7" fontId="1" numFmtId="164" xfId="0">
      <alignment horizontal="center" vertical="center"/>
    </xf>
    <xf applyAlignment="true" applyBorder="false" applyFill="true" applyFont="true" applyNumberFormat="true" applyProtection="false" borderId="13" fillId="7" fontId="1" numFmtId="168" xfId="0">
      <alignment horizontal="center" vertical="center"/>
    </xf>
    <xf applyAlignment="true" applyBorder="false" applyFill="true" applyFont="true" applyNumberFormat="true" applyProtection="false" borderId="14" fillId="7" fontId="1" numFmtId="168" xfId="0">
      <alignment horizontal="center" vertical="center"/>
    </xf>
    <xf applyAlignment="true" applyBorder="false" applyFill="true" applyFont="true" applyNumberFormat="true" applyProtection="false" borderId="15" fillId="7" fontId="5" numFmtId="173" xfId="0">
      <alignment horizontal="center" vertical="center"/>
    </xf>
    <xf applyAlignment="true" applyBorder="false" applyFill="true" applyFont="true" applyNumberFormat="true" applyProtection="false" borderId="12" fillId="7" fontId="1" numFmtId="169" xfId="0">
      <alignment horizontal="center" vertical="center"/>
    </xf>
    <xf applyAlignment="true" applyBorder="false" applyFill="true" applyFont="true" applyNumberFormat="true" applyProtection="false" borderId="12" fillId="7" fontId="1" numFmtId="165" xfId="0">
      <alignment horizontal="center" vertical="center"/>
    </xf>
    <xf applyAlignment="true" applyBorder="false" applyFill="true" applyFont="true" applyNumberFormat="true" applyProtection="false" borderId="3" fillId="7" fontId="1" numFmtId="165" xfId="0">
      <alignment horizontal="center" vertical="center"/>
    </xf>
    <xf applyAlignment="true" applyBorder="false" applyFill="true" applyFont="true" applyNumberFormat="true" applyProtection="false" borderId="12" fillId="7" fontId="1" numFmtId="165" xfId="0">
      <alignment horizontal="center" vertical="bottom"/>
    </xf>
    <xf applyAlignment="true" applyBorder="false" applyFill="true" applyFont="true" applyNumberFormat="true" applyProtection="false" borderId="12" fillId="7" fontId="5" numFmtId="166" xfId="0">
      <alignment horizontal="center" vertical="center"/>
    </xf>
    <xf applyAlignment="true" applyBorder="false" applyFill="true" applyFont="true" applyNumberFormat="true" applyProtection="false" borderId="14" fillId="7" fontId="1" numFmtId="174" xfId="0">
      <alignment horizontal="center" vertical="center"/>
    </xf>
    <xf applyAlignment="true" applyBorder="false" applyFill="false" applyFont="true" applyNumberFormat="true" applyProtection="false" borderId="2" fillId="0" fontId="3" numFmtId="166" xfId="0">
      <alignment horizontal="center" vertical="bottom"/>
    </xf>
    <xf applyAlignment="true" applyBorder="false" applyFill="true" applyFont="true" applyNumberFormat="true" applyProtection="false" borderId="1" fillId="8" fontId="5" numFmtId="171" xfId="0">
      <alignment horizontal="center" vertical="center"/>
    </xf>
    <xf applyAlignment="true" applyBorder="false" applyFill="true" applyFont="true" applyNumberFormat="true" applyProtection="false" borderId="1" fillId="8" fontId="5" numFmtId="172" xfId="0">
      <alignment horizontal="center" vertical="center"/>
    </xf>
    <xf applyAlignment="true" applyBorder="false" applyFill="true" applyFont="true" applyNumberFormat="true" applyProtection="false" borderId="1" fillId="8" fontId="5" numFmtId="175" xfId="0">
      <alignment horizontal="center" vertical="center"/>
    </xf>
    <xf applyAlignment="true" applyBorder="false" applyFill="true" applyFont="true" applyNumberFormat="true" applyProtection="false" borderId="1" fillId="8" fontId="5" numFmtId="168" xfId="0">
      <alignment horizontal="center" vertical="center"/>
    </xf>
    <xf applyAlignment="true" applyBorder="false" applyFill="true" applyFont="true" applyNumberFormat="true" applyProtection="false" borderId="1" fillId="8" fontId="5" numFmtId="173" xfId="0">
      <alignment horizontal="center" vertical="center"/>
    </xf>
    <xf applyAlignment="true" applyBorder="false" applyFill="true" applyFont="true" applyNumberFormat="true" applyProtection="false" borderId="1" fillId="8" fontId="5" numFmtId="169" xfId="0">
      <alignment horizontal="center" vertical="center"/>
    </xf>
    <xf applyAlignment="true" applyBorder="false" applyFill="true" applyFont="true" applyNumberFormat="true" applyProtection="false" borderId="1" fillId="8" fontId="5" numFmtId="165" xfId="0">
      <alignment horizontal="center" vertical="center"/>
    </xf>
    <xf applyAlignment="true" applyBorder="false" applyFill="true" applyFont="true" applyNumberFormat="true" applyProtection="false" borderId="1" fillId="8" fontId="5" numFmtId="166" xfId="0">
      <alignment horizontal="center" vertical="center"/>
    </xf>
    <xf applyAlignment="true" applyBorder="false" applyFill="true" applyFont="true" applyNumberFormat="true" applyProtection="false" borderId="1" fillId="7" fontId="1" numFmtId="164" xfId="0">
      <alignment horizontal="center" vertical="center"/>
    </xf>
    <xf applyAlignment="true" applyBorder="false" applyFill="true" applyFont="true" applyNumberFormat="true" applyProtection="false" borderId="1" fillId="7" fontId="1" numFmtId="171" xfId="0">
      <alignment horizontal="center" vertical="center"/>
    </xf>
    <xf applyAlignment="true" applyBorder="false" applyFill="true" applyFont="true" applyNumberFormat="true" applyProtection="false" borderId="1" fillId="8" fontId="5" numFmtId="164" xfId="0">
      <alignment horizontal="center" vertical="center"/>
    </xf>
    <xf applyAlignment="true" applyBorder="false" applyFill="true" applyFont="true" applyNumberFormat="true" applyProtection="false" borderId="1" fillId="7" fontId="1" numFmtId="172" xfId="0">
      <alignment horizontal="center" vertical="center"/>
    </xf>
    <xf applyAlignment="true" applyBorder="false" applyFill="true" applyFont="true" applyNumberFormat="true" applyProtection="false" borderId="14" fillId="7" fontId="1" numFmtId="164" xfId="0">
      <alignment horizontal="center" vertical="center"/>
    </xf>
    <xf applyAlignment="true" applyBorder="false" applyFill="false" applyFont="true" applyNumberFormat="true" applyProtection="false" borderId="2" fillId="0" fontId="3" numFmtId="164" xfId="0">
      <alignment horizontal="center" vertical="center"/>
    </xf>
    <xf applyAlignment="true" applyBorder="false" applyFill="false" applyFont="true" applyNumberFormat="true" applyProtection="false" borderId="1" fillId="0" fontId="3" numFmtId="176" xfId="0">
      <alignment horizontal="center" vertical="center"/>
    </xf>
    <xf applyAlignment="true" applyBorder="false" applyFill="true" applyFont="true" applyNumberFormat="true" applyProtection="false" borderId="1" fillId="8" fontId="5" numFmtId="176" xfId="0">
      <alignment horizontal="center" vertical="center"/>
    </xf>
    <xf applyAlignment="true" applyBorder="false" applyFill="false" applyFont="true" applyNumberFormat="true" applyProtection="false" borderId="14" fillId="0" fontId="3" numFmtId="170" xfId="0">
      <alignment horizontal="center" vertical="center"/>
    </xf>
    <xf applyAlignment="true" applyBorder="false" applyFill="true" applyFont="true" applyNumberFormat="true" applyProtection="false" borderId="14" fillId="8" fontId="5" numFmtId="171" xfId="0">
      <alignment horizontal="center" vertical="center"/>
    </xf>
    <xf applyAlignment="true" applyBorder="false" applyFill="true" applyFont="true" applyNumberFormat="true" applyProtection="false" borderId="14" fillId="8" fontId="5" numFmtId="172" xfId="0">
      <alignment horizontal="center" vertical="center"/>
    </xf>
    <xf applyAlignment="true" applyBorder="false" applyFill="false" applyFont="true" applyNumberFormat="true" applyProtection="false" borderId="10" fillId="0" fontId="3" numFmtId="170" xfId="0">
      <alignment horizontal="center" vertical="center"/>
    </xf>
    <xf applyAlignment="true" applyBorder="false" applyFill="true" applyFont="true" applyNumberFormat="true" applyProtection="false" borderId="16" fillId="8" fontId="5" numFmtId="171" xfId="0">
      <alignment horizontal="center" vertical="center"/>
    </xf>
    <xf applyAlignment="true" applyBorder="false" applyFill="true" applyFont="true" applyNumberFormat="true" applyProtection="false" borderId="13" fillId="8" fontId="5" numFmtId="172" xfId="0">
      <alignment horizontal="center" vertical="center"/>
    </xf>
    <xf applyAlignment="true" applyBorder="false" applyFill="true" applyFont="true" applyNumberFormat="false" applyProtection="false" borderId="17" fillId="2" fontId="1" numFmtId="0" xfId="0">
      <alignment horizontal="center" vertical="center"/>
    </xf>
    <xf applyAlignment="true" applyBorder="false" applyFill="true" applyFont="true" applyNumberFormat="true" applyProtection="false" borderId="14" fillId="7" fontId="1" numFmtId="172" xfId="0">
      <alignment horizontal="center" vertical="center"/>
    </xf>
    <xf applyAlignment="true" applyBorder="false" applyFill="true" applyFont="true" applyNumberFormat="true" applyProtection="false" borderId="16" fillId="8" fontId="5" numFmtId="172" xfId="0">
      <alignment horizontal="center" vertical="center"/>
    </xf>
    <xf applyAlignment="true" applyBorder="false" applyFill="true" applyFont="true" applyNumberFormat="true" applyProtection="false" borderId="9" fillId="8" fontId="5" numFmtId="168" xfId="0">
      <alignment horizontal="center" vertical="center"/>
    </xf>
    <xf applyAlignment="true" applyBorder="false" applyFill="true" applyFont="true" applyNumberFormat="true" applyProtection="false" borderId="1" fillId="7" fontId="1" numFmtId="168" xfId="0">
      <alignment horizontal="center" vertical="center"/>
    </xf>
    <xf applyAlignment="true" applyBorder="false" applyFill="true" applyFont="true" applyNumberFormat="true" applyProtection="false" borderId="4" fillId="4" fontId="1" numFmtId="165" xfId="0">
      <alignment horizontal="center" vertical="center"/>
    </xf>
    <xf applyAlignment="true" applyBorder="false" applyFill="false" applyFont="true" applyNumberFormat="true" applyProtection="false" borderId="4" fillId="0" fontId="3" numFmtId="166" xfId="0">
      <alignment horizontal="center" vertical="center"/>
    </xf>
    <xf applyAlignment="true" applyBorder="false" applyFill="false" applyFont="true" applyNumberFormat="true" applyProtection="false" borderId="4" fillId="0" fontId="3" numFmtId="177" xfId="0">
      <alignment horizontal="center" vertical="center"/>
    </xf>
    <xf applyAlignment="true" applyBorder="false" applyFill="false" applyFont="true" applyNumberFormat="true" applyProtection="false" borderId="2" fillId="0" fontId="3" numFmtId="168" xfId="0">
      <alignment horizontal="center" vertical="bottom"/>
    </xf>
    <xf applyAlignment="true" applyBorder="false" applyFill="true" applyFont="true" applyNumberFormat="true" applyProtection="false" borderId="3" fillId="7" fontId="1" numFmtId="177" xfId="0">
      <alignment horizontal="center" vertical="center"/>
    </xf>
    <xf applyAlignment="true" applyBorder="false" applyFill="true" applyFont="true" applyNumberFormat="true" applyProtection="false" borderId="3" fillId="7" fontId="1" numFmtId="168" xfId="0">
      <alignment horizontal="center" vertical="center"/>
    </xf>
    <xf applyAlignment="true" applyBorder="false" applyFill="true" applyFont="true" applyNumberFormat="true" applyProtection="false" borderId="1" fillId="8" fontId="5" numFmtId="177" xfId="0">
      <alignment horizontal="center" vertical="center"/>
    </xf>
    <xf applyAlignment="true" applyBorder="false" applyFill="true" applyFont="true" applyNumberFormat="true" applyProtection="false" borderId="2" fillId="4" fontId="1" numFmtId="165" xfId="0">
      <alignment horizontal="center" vertical="center"/>
    </xf>
    <xf applyAlignment="true" applyBorder="false" applyFill="false" applyFont="true" applyNumberFormat="true" applyProtection="false" borderId="2" fillId="0" fontId="3" numFmtId="168" xfId="0">
      <alignment horizontal="center" vertical="bottom"/>
    </xf>
    <xf applyAlignment="true" applyBorder="false" applyFill="true" applyFont="true" applyNumberFormat="false" applyProtection="false" borderId="0" fillId="9" fontId="6" numFmtId="0" xfId="0">
      <alignment vertical="center"/>
    </xf>
    <xf applyAlignment="true" applyBorder="false" applyFill="true" applyFont="true" applyNumberFormat="true" applyProtection="false" borderId="0" fillId="9" fontId="6" numFmtId="168" xfId="0">
      <alignment vertical="center"/>
    </xf>
    <xf applyAlignment="true" applyBorder="false" applyFill="true" applyFont="true" applyNumberFormat="false" applyProtection="false" borderId="0" fillId="9" fontId="6" numFmtId="0" xfId="0">
      <alignment vertical="center"/>
    </xf>
    <xf applyAlignment="true" applyBorder="false" applyFill="true" applyFont="true" applyNumberFormat="true" applyProtection="false" borderId="0" fillId="9" fontId="6" numFmtId="168" xfId="0">
      <alignment vertical="center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true" applyFont="true" applyNumberFormat="true" applyProtection="false" borderId="18" fillId="9" fontId="7" numFmtId="168" xfId="0">
      <alignment horizontal="right" vertical="center" wrapText="true"/>
    </xf>
    <xf applyAlignment="true" applyBorder="false" applyFill="true" applyFont="true" applyNumberFormat="true" applyProtection="false" borderId="18" fillId="9" fontId="7" numFmtId="168" xfId="0">
      <alignment horizontal="right" vertical="center" wrapText="true"/>
    </xf>
    <xf applyAlignment="true" applyBorder="false" applyFill="true" applyFont="true" applyNumberFormat="false" applyProtection="false" borderId="18" fillId="9" fontId="7" numFmtId="0" xfId="0">
      <alignment horizontal="right" vertical="center" wrapText="true"/>
    </xf>
    <xf applyAlignment="true" applyBorder="false" applyFill="true" applyFont="true" applyNumberFormat="false" applyProtection="false" borderId="18" fillId="9" fontId="7" numFmtId="0" xfId="0">
      <alignment horizontal="right" vertical="center" wrapText="true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true" applyFont="true" applyNumberFormat="false" applyProtection="false" borderId="0" fillId="10" fontId="6" numFmtId="0" xfId="0">
      <alignment vertical="center"/>
    </xf>
    <xf applyAlignment="true" applyBorder="false" applyFill="true" applyFont="true" applyNumberFormat="false" applyProtection="false" borderId="0" fillId="10" fontId="6" numFmtId="0" xfId="0">
      <alignment vertical="center"/>
    </xf>
    <xf applyAlignment="true" applyBorder="false" applyFill="true" applyFont="true" applyNumberFormat="false" applyProtection="false" borderId="19" fillId="11" fontId="1" numFmtId="0" xfId="0">
      <alignment horizontal="center" vertical="center"/>
    </xf>
    <xf applyAlignment="true" applyBorder="false" applyFill="true" applyFont="true" applyNumberFormat="true" applyProtection="false" borderId="19" fillId="12" fontId="1" numFmtId="178" xfId="0">
      <alignment horizontal="center" vertical="center"/>
    </xf>
    <xf applyAlignment="true" applyBorder="false" applyFill="true" applyFont="true" applyNumberFormat="true" applyProtection="false" borderId="19" fillId="12" fontId="1" numFmtId="179" xfId="0">
      <alignment horizontal="center" vertical="center"/>
    </xf>
    <xf applyAlignment="true" applyBorder="false" applyFill="true" applyFont="true" applyNumberFormat="true" applyProtection="false" borderId="20" fillId="13" fontId="1" numFmtId="180" xfId="0">
      <alignment horizontal="center" vertical="center"/>
    </xf>
    <xf applyAlignment="true" applyBorder="false" applyFill="true" applyFont="true" applyNumberFormat="true" applyProtection="false" borderId="21" fillId="12" fontId="2" numFmtId="181" xfId="0">
      <alignment horizontal="center" vertical="center"/>
    </xf>
    <xf applyAlignment="true" applyBorder="false" applyFill="true" applyFont="true" applyNumberFormat="true" applyProtection="false" borderId="22" fillId="12" fontId="2" numFmtId="182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23" fillId="11" fontId="1" numFmtId="0" xfId="0">
      <alignment horizontal="center" vertical="center"/>
    </xf>
    <xf applyAlignment="true" applyBorder="false" applyFill="true" applyFont="true" applyNumberFormat="false" applyProtection="false" borderId="24" fillId="11" fontId="1" numFmtId="0" xfId="0">
      <alignment horizontal="center" vertical="center"/>
    </xf>
    <xf applyAlignment="true" applyBorder="false" applyFill="true" applyFont="true" applyNumberFormat="true" applyProtection="false" borderId="25" fillId="12" fontId="1" numFmtId="178" xfId="0">
      <alignment horizontal="center" vertical="center"/>
    </xf>
    <xf applyAlignment="true" applyBorder="false" applyFill="true" applyFont="true" applyNumberFormat="true" applyProtection="false" borderId="24" fillId="12" fontId="1" numFmtId="178" xfId="0">
      <alignment horizontal="center" vertical="center"/>
    </xf>
    <xf applyAlignment="true" applyBorder="false" applyFill="true" applyFont="true" applyNumberFormat="true" applyProtection="false" borderId="23" fillId="12" fontId="1" numFmtId="179" xfId="0">
      <alignment horizontal="center" vertical="center"/>
    </xf>
    <xf applyAlignment="true" applyBorder="false" applyFill="true" applyFont="true" applyNumberFormat="false" applyProtection="false" borderId="26" fillId="12" fontId="1" numFmtId="0" xfId="0">
      <alignment horizontal="center" vertical="center"/>
    </xf>
    <xf applyAlignment="true" applyBorder="false" applyFill="true" applyFont="true" applyNumberFormat="true" applyProtection="false" borderId="20" fillId="13" fontId="1" numFmtId="183" xfId="0">
      <alignment horizontal="center" vertical="center"/>
    </xf>
    <xf applyAlignment="true" applyBorder="false" applyFill="true" applyFont="true" applyNumberFormat="true" applyProtection="false" borderId="22" fillId="13" fontId="1" numFmtId="180" xfId="0">
      <alignment horizontal="center" vertical="center"/>
    </xf>
    <xf applyAlignment="true" applyBorder="false" applyFill="false" applyFont="true" applyNumberFormat="true" applyProtection="false" borderId="22" fillId="0" fontId="3" numFmtId="181" xfId="0">
      <alignment horizontal="center" vertical="center"/>
    </xf>
    <xf applyAlignment="true" applyBorder="false" applyFill="true" applyFont="true" applyNumberFormat="true" applyProtection="false" borderId="22" fillId="14" fontId="3" numFmtId="182" xfId="0">
      <alignment horizontal="center" vertical="center"/>
    </xf>
    <xf applyAlignment="true" applyBorder="false" applyFill="false" applyFont="true" applyNumberFormat="true" applyProtection="false" borderId="20" fillId="0" fontId="4" numFmtId="179" xfId="0">
      <alignment horizontal="center" vertical="center"/>
    </xf>
    <xf applyAlignment="true" applyBorder="false" applyFill="false" applyFont="true" applyNumberFormat="false" applyProtection="false" borderId="22" fillId="0" fontId="4" numFmtId="0" xfId="0">
      <alignment horizontal="center" vertical="center"/>
    </xf>
    <xf applyAlignment="true" applyBorder="false" applyFill="false" applyFont="true" applyNumberFormat="true" applyProtection="false" borderId="19" fillId="0" fontId="3" numFmtId="184" xfId="0">
      <alignment horizontal="center" vertical="center"/>
    </xf>
    <xf applyAlignment="true" applyBorder="false" applyFill="false" applyFont="true" applyNumberFormat="true" applyProtection="false" borderId="27" fillId="0" fontId="3" numFmtId="185" xfId="0">
      <alignment horizontal="center" vertical="center"/>
    </xf>
    <xf applyAlignment="true" applyBorder="false" applyFill="false" applyFont="true" applyNumberFormat="true" applyProtection="false" borderId="28" fillId="0" fontId="3" numFmtId="185" xfId="0">
      <alignment horizontal="center" vertical="center"/>
    </xf>
    <xf applyAlignment="true" applyBorder="false" applyFill="false" applyFont="true" applyNumberFormat="true" applyProtection="false" borderId="19" fillId="0" fontId="3" numFmtId="178" xfId="0">
      <alignment horizontal="center" vertical="center"/>
    </xf>
    <xf applyAlignment="true" applyBorder="false" applyFill="false" applyFont="true" applyNumberFormat="true" applyProtection="false" borderId="19" fillId="0" fontId="3" numFmtId="178" xfId="0">
      <alignment horizontal="center" vertical="center"/>
    </xf>
    <xf applyAlignment="true" applyBorder="false" applyFill="false" applyFont="true" applyNumberFormat="true" applyProtection="false" borderId="29" fillId="0" fontId="3" numFmtId="179" xfId="0">
      <alignment horizontal="center" vertical="center"/>
    </xf>
    <xf applyAlignment="true" applyBorder="false" applyFill="false" applyFont="true" applyNumberFormat="true" applyProtection="false" borderId="20" fillId="0" fontId="3" numFmtId="179" xfId="0">
      <alignment horizontal="center" vertical="center"/>
    </xf>
    <xf applyAlignment="true" applyBorder="false" applyFill="true" applyFont="true" applyNumberFormat="true" applyProtection="false" borderId="29" fillId="15" fontId="5" numFmtId="186" xfId="0">
      <alignment horizontal="center" vertical="center"/>
    </xf>
    <xf applyAlignment="true" applyBorder="false" applyFill="false" applyFont="true" applyNumberFormat="true" applyProtection="false" borderId="20" fillId="0" fontId="3" numFmtId="183" xfId="0">
      <alignment horizontal="center" vertical="center"/>
    </xf>
    <xf applyAlignment="true" applyBorder="false" applyFill="false" applyFont="true" applyNumberFormat="true" applyProtection="false" borderId="20" fillId="0" fontId="3" numFmtId="180" xfId="0">
      <alignment horizontal="center" vertical="center"/>
    </xf>
    <xf applyAlignment="true" applyBorder="false" applyFill="false" applyFont="true" applyNumberFormat="true" applyProtection="false" borderId="22" fillId="0" fontId="3" numFmtId="180" xfId="0">
      <alignment horizontal="center" vertical="center"/>
    </xf>
    <xf applyAlignment="true" applyBorder="false" applyFill="false" applyFont="true" applyNumberFormat="true" applyProtection="false" borderId="30" fillId="0" fontId="3" numFmtId="180" xfId="0">
      <alignment horizontal="center" vertical="bottom"/>
    </xf>
    <xf applyAlignment="true" applyBorder="false" applyFill="false" applyFont="true" applyNumberFormat="true" applyProtection="false" borderId="20" fillId="0" fontId="3" numFmtId="181" xfId="0">
      <alignment horizontal="center" vertical="bottom"/>
    </xf>
    <xf applyAlignment="true" applyBorder="false" applyFill="false" applyFont="true" applyNumberFormat="false" applyProtection="false" borderId="20" fillId="0" fontId="3" numFmtId="0" xfId="0">
      <alignment horizontal="center" vertical="bottom"/>
    </xf>
    <xf applyAlignment="true" applyBorder="false" applyFill="false" applyFont="true" applyNumberFormat="true" applyProtection="false" borderId="20" fillId="0" fontId="3" numFmtId="185" xfId="0">
      <alignment horizontal="center" vertical="center"/>
    </xf>
    <xf applyAlignment="true" applyBorder="false" applyFill="false" applyFont="true" applyNumberFormat="true" applyProtection="false" borderId="20" fillId="0" fontId="3" numFmtId="185" xfId="0">
      <alignment horizontal="center" vertical="center"/>
    </xf>
    <xf applyAlignment="true" applyBorder="false" applyFill="false" applyFont="true" applyNumberFormat="true" applyProtection="false" borderId="20" fillId="0" fontId="3" numFmtId="185" xfId="0">
      <alignment horizontal="center" vertical="center"/>
    </xf>
    <xf applyAlignment="true" applyBorder="false" applyFill="false" applyFont="true" applyNumberFormat="true" applyProtection="false" borderId="19" fillId="0" fontId="3" numFmtId="184" xfId="0">
      <alignment horizontal="center" vertical="center"/>
    </xf>
    <xf applyAlignment="true" applyBorder="false" applyFill="false" applyFont="true" applyNumberFormat="true" applyProtection="false" borderId="20" fillId="0" fontId="3" numFmtId="179" xfId="0">
      <alignment horizontal="center" vertical="center"/>
    </xf>
    <xf applyAlignment="true" applyBorder="false" applyFill="true" applyFont="true" applyNumberFormat="true" applyProtection="false" borderId="31" fillId="16" fontId="1" numFmtId="185" xfId="0">
      <alignment horizontal="center" vertical="center"/>
    </xf>
    <xf applyAlignment="true" applyBorder="false" applyFill="true" applyFont="true" applyNumberFormat="true" applyProtection="false" borderId="19" fillId="16" fontId="1" numFmtId="178" xfId="0">
      <alignment horizontal="center" vertical="center"/>
    </xf>
    <xf applyAlignment="true" applyBorder="false" applyFill="true" applyFont="true" applyNumberFormat="true" applyProtection="false" borderId="31" fillId="16" fontId="1" numFmtId="179" xfId="0">
      <alignment horizontal="center" vertical="center"/>
    </xf>
    <xf applyAlignment="true" applyBorder="false" applyFill="true" applyFont="true" applyNumberFormat="true" applyProtection="false" borderId="32" fillId="16" fontId="1" numFmtId="179" xfId="0">
      <alignment horizontal="center" vertical="center"/>
    </xf>
    <xf applyAlignment="true" applyBorder="false" applyFill="true" applyFont="true" applyNumberFormat="true" applyProtection="false" borderId="33" fillId="16" fontId="5" numFmtId="186" xfId="0">
      <alignment horizontal="center" vertical="center"/>
    </xf>
    <xf applyAlignment="true" applyBorder="false" applyFill="true" applyFont="true" applyNumberFormat="true" applyProtection="false" borderId="30" fillId="16" fontId="1" numFmtId="183" xfId="0">
      <alignment horizontal="center" vertical="center"/>
    </xf>
    <xf applyAlignment="true" applyBorder="false" applyFill="true" applyFont="true" applyNumberFormat="true" applyProtection="false" borderId="30" fillId="16" fontId="1" numFmtId="180" xfId="0">
      <alignment horizontal="center" vertical="center"/>
    </xf>
    <xf applyAlignment="true" applyBorder="false" applyFill="true" applyFont="true" applyNumberFormat="true" applyProtection="false" borderId="21" fillId="16" fontId="1" numFmtId="180" xfId="0">
      <alignment horizontal="center" vertical="center"/>
    </xf>
    <xf applyAlignment="true" applyBorder="false" applyFill="true" applyFont="true" applyNumberFormat="true" applyProtection="false" borderId="30" fillId="16" fontId="1" numFmtId="180" xfId="0">
      <alignment horizontal="center" vertical="bottom"/>
    </xf>
    <xf applyAlignment="true" applyBorder="false" applyFill="true" applyFont="true" applyNumberFormat="true" applyProtection="false" borderId="30" fillId="16" fontId="5" numFmtId="181" xfId="0">
      <alignment horizontal="center" vertical="center"/>
    </xf>
    <xf applyAlignment="true" applyBorder="false" applyFill="true" applyFont="true" applyNumberFormat="true" applyProtection="false" borderId="32" fillId="16" fontId="1" numFmtId="187" xfId="0">
      <alignment horizontal="center" vertical="center"/>
    </xf>
    <xf applyAlignment="true" applyBorder="false" applyFill="false" applyFont="true" applyNumberFormat="true" applyProtection="false" borderId="29" fillId="0" fontId="3" numFmtId="179" xfId="0">
      <alignment horizontal="center" vertical="center"/>
    </xf>
    <xf applyAlignment="true" applyBorder="false" applyFill="false" applyFont="true" applyNumberFormat="true" applyProtection="false" borderId="20" fillId="0" fontId="3" numFmtId="181" xfId="0">
      <alignment horizontal="center" vertical="bottom"/>
    </xf>
    <xf applyAlignment="true" applyBorder="false" applyFill="true" applyFont="true" applyNumberFormat="true" applyProtection="false" borderId="19" fillId="17" fontId="5" numFmtId="185" xfId="0">
      <alignment horizontal="center" vertical="center"/>
    </xf>
    <xf applyAlignment="true" applyBorder="false" applyFill="true" applyFont="true" applyNumberFormat="true" applyProtection="false" borderId="19" fillId="17" fontId="5" numFmtId="178" xfId="0">
      <alignment horizontal="center" vertical="center"/>
    </xf>
    <xf applyAlignment="true" applyBorder="false" applyFill="true" applyFont="true" applyNumberFormat="true" applyProtection="false" borderId="19" fillId="17" fontId="5" numFmtId="179" xfId="0">
      <alignment horizontal="center" vertical="center"/>
    </xf>
    <xf applyAlignment="true" applyBorder="false" applyFill="true" applyFont="true" applyNumberFormat="true" applyProtection="false" borderId="19" fillId="17" fontId="5" numFmtId="186" xfId="0">
      <alignment horizontal="center" vertical="center"/>
    </xf>
    <xf applyAlignment="true" applyBorder="false" applyFill="true" applyFont="true" applyNumberFormat="true" applyProtection="false" borderId="19" fillId="17" fontId="5" numFmtId="183" xfId="0">
      <alignment horizontal="center" vertical="center"/>
    </xf>
    <xf applyAlignment="true" applyBorder="false" applyFill="true" applyFont="true" applyNumberFormat="true" applyProtection="false" borderId="19" fillId="17" fontId="5" numFmtId="180" xfId="0">
      <alignment horizontal="center" vertical="center"/>
    </xf>
    <xf applyAlignment="true" applyBorder="false" applyFill="true" applyFont="true" applyNumberFormat="true" applyProtection="false" borderId="19" fillId="17" fontId="5" numFmtId="181" xfId="0">
      <alignment horizontal="center" vertical="center"/>
    </xf>
    <xf applyAlignment="true" applyBorder="false" applyFill="true" applyFont="true" applyNumberFormat="true" applyProtection="false" borderId="25" fillId="12" fontId="1" numFmtId="178" xfId="0">
      <alignment horizontal="center" vertical="center"/>
    </xf>
    <xf applyAlignment="true" applyBorder="false" applyFill="true" applyFont="true" applyNumberFormat="true" applyProtection="false" borderId="24" fillId="12" fontId="1" numFmtId="178" xfId="0">
      <alignment horizontal="center" vertical="center"/>
    </xf>
    <xf applyAlignment="true" applyBorder="false" applyFill="true" applyFont="true" applyNumberFormat="true" applyProtection="false" borderId="23" fillId="12" fontId="1" numFmtId="179" xfId="0">
      <alignment horizontal="center" vertical="center"/>
    </xf>
    <xf applyAlignment="true" applyBorder="false" applyFill="true" applyFont="true" applyNumberFormat="false" applyProtection="false" borderId="26" fillId="12" fontId="1" numFmtId="0" xfId="0">
      <alignment horizontal="center" vertical="center"/>
    </xf>
    <xf applyAlignment="true" applyBorder="false" applyFill="false" applyFont="true" applyNumberFormat="true" applyProtection="false" borderId="19" fillId="0" fontId="3" numFmtId="178" xfId="0">
      <alignment horizontal="center" vertical="center"/>
    </xf>
    <xf applyAlignment="true" applyBorder="false" applyFill="false" applyFont="true" applyNumberFormat="true" applyProtection="false" borderId="19" fillId="0" fontId="3" numFmtId="178" xfId="0">
      <alignment horizontal="center" vertical="center"/>
    </xf>
    <xf applyAlignment="true" applyBorder="false" applyFill="false" applyFont="true" applyNumberFormat="true" applyProtection="false" borderId="29" fillId="0" fontId="3" numFmtId="179" xfId="0">
      <alignment horizontal="center" vertical="center"/>
    </xf>
    <xf applyAlignment="true" applyBorder="false" applyFill="false" applyFont="true" applyNumberFormat="true" applyProtection="false" borderId="20" fillId="0" fontId="3" numFmtId="179" xfId="0">
      <alignment horizontal="center" vertical="center"/>
    </xf>
    <xf applyAlignment="true" applyBorder="false" applyFill="true" applyFont="true" applyNumberFormat="true" applyProtection="false" borderId="29" fillId="15" fontId="5" numFmtId="186" xfId="0">
      <alignment horizontal="center" vertical="center"/>
    </xf>
    <xf applyAlignment="true" applyBorder="false" applyFill="false" applyFont="true" applyNumberFormat="true" applyProtection="false" borderId="20" fillId="0" fontId="3" numFmtId="179" xfId="0">
      <alignment horizontal="center" vertical="center"/>
    </xf>
    <xf applyAlignment="true" applyBorder="false" applyFill="true" applyFont="true" applyNumberFormat="true" applyProtection="false" borderId="19" fillId="16" fontId="1" numFmtId="178" xfId="0">
      <alignment horizontal="center" vertical="center"/>
    </xf>
    <xf applyAlignment="true" applyBorder="false" applyFill="true" applyFont="true" applyNumberFormat="true" applyProtection="false" borderId="31" fillId="16" fontId="1" numFmtId="179" xfId="0">
      <alignment horizontal="center" vertical="center"/>
    </xf>
    <xf applyAlignment="true" applyBorder="false" applyFill="true" applyFont="true" applyNumberFormat="true" applyProtection="false" borderId="32" fillId="16" fontId="1" numFmtId="179" xfId="0">
      <alignment horizontal="center" vertical="center"/>
    </xf>
    <xf applyAlignment="true" applyBorder="false" applyFill="true" applyFont="true" applyNumberFormat="true" applyProtection="false" borderId="33" fillId="16" fontId="5" numFmtId="186" xfId="0">
      <alignment horizontal="center" vertical="center"/>
    </xf>
    <xf applyAlignment="true" applyBorder="false" applyFill="false" applyFont="true" applyNumberFormat="true" applyProtection="false" borderId="29" fillId="0" fontId="3" numFmtId="179" xfId="0">
      <alignment horizontal="center" vertical="center"/>
    </xf>
    <xf applyAlignment="true" applyBorder="false" applyFill="true" applyFont="true" applyNumberFormat="true" applyProtection="false" borderId="19" fillId="17" fontId="5" numFmtId="178" xfId="0">
      <alignment horizontal="center" vertical="center"/>
    </xf>
    <xf applyAlignment="true" applyBorder="false" applyFill="true" applyFont="true" applyNumberFormat="true" applyProtection="false" borderId="19" fillId="17" fontId="5" numFmtId="179" xfId="0">
      <alignment horizontal="center" vertical="center"/>
    </xf>
    <xf applyAlignment="true" applyBorder="false" applyFill="true" applyFont="true" applyNumberFormat="true" applyProtection="false" borderId="19" fillId="17" fontId="5" numFmtId="186" xfId="0">
      <alignment horizontal="center" vertical="center"/>
    </xf>
    <xf applyAlignment="true" applyBorder="false" applyFill="true" applyFont="true" applyNumberFormat="true" applyProtection="false" borderId="19" fillId="12" fontId="1" numFmtId="178" xfId="0">
      <alignment horizontal="center" vertical="center"/>
    </xf>
    <xf applyAlignment="true" applyBorder="false" applyFill="true" applyFont="true" applyNumberFormat="true" applyProtection="false" borderId="24" fillId="12" fontId="1" numFmtId="178" xfId="0">
      <alignment horizontal="center" vertical="center"/>
    </xf>
    <xf applyAlignment="true" applyBorder="false" applyFill="false" applyFont="true" applyNumberFormat="true" applyProtection="false" borderId="0" fillId="0" fontId="6" numFmtId="178" xfId="0">
      <alignment vertical="center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false" applyFont="true" applyNumberFormat="true" applyProtection="false" borderId="0" fillId="0" fontId="6" numFmtId="179" xfId="0">
      <alignment vertical="center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true" applyFont="true" applyNumberFormat="false" applyProtection="false" borderId="0" fillId="18" fontId="6" numFmtId="0" xfId="0">
      <alignment vertical="center"/>
    </xf>
    <xf applyAlignment="true" applyBorder="false" applyFill="false" applyFont="true" applyNumberFormat="false" applyProtection="false" borderId="0" fillId="0" fontId="9" numFmtId="0" xfId="0">
      <alignment vertical="center"/>
    </xf>
    <xf applyAlignment="true" applyBorder="false" applyFill="false" applyFont="true" applyNumberFormat="false" applyProtection="false" borderId="0" fillId="0" fontId="10" numFmtId="0" xfId="0">
      <alignment vertical="center"/>
    </xf>
    <xf applyAlignment="true" applyBorder="false" applyFill="true" applyFont="true" applyNumberFormat="true" applyProtection="false" borderId="0" fillId="18" fontId="6" numFmtId="188" xfId="0">
      <alignment vertical="center"/>
    </xf>
    <xf applyAlignment="true" applyBorder="false" applyFill="true" applyFont="true" applyNumberFormat="true" applyProtection="false" borderId="0" fillId="18" fontId="6" numFmtId="189" xfId="0">
      <alignment vertical="center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true" applyFont="true" applyNumberFormat="false" applyProtection="false" borderId="0" fillId="19" fontId="6" numFmtId="0" xfId="0">
      <alignment vertical="center"/>
    </xf>
    <xf applyAlignment="true" applyBorder="false" applyFill="true" applyFont="true" applyNumberFormat="false" applyProtection="false" borderId="0" fillId="19" fontId="6" numFmtId="0" xfId="0">
      <alignment vertical="center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false" applyFont="true" applyNumberFormat="false" applyProtection="false" borderId="0" fillId="0" fontId="10" numFmtId="0" xfId="0">
      <alignment vertical="center"/>
    </xf>
    <xf applyAlignment="true" applyBorder="false" applyFill="true" applyFont="true" applyNumberFormat="false" applyProtection="false" borderId="0" fillId="19" fontId="6" numFmtId="0" xfId="0">
      <alignment vertical="center"/>
    </xf>
    <xf applyAlignment="true" applyBorder="false" applyFill="false" applyFont="true" applyNumberFormat="false" applyProtection="false" borderId="0" fillId="0" fontId="6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7" min="7" style="0" width="11.211267605633802"/>
    <col collapsed="false" customWidth="true" hidden="false" max="8" min="8" style="0" width="11.211267605633802"/>
    <col collapsed="false" customWidth="true" hidden="false" max="9" min="9" style="0" width="11.211267605633802"/>
    <col collapsed="false" customWidth="true" hidden="false" max="21" min="21" style="0" width="11.211267605633802"/>
    <col collapsed="false" customWidth="true" hidden="false" max="24" min="24" style="0" width="11.211267605633802"/>
    <col collapsed="false" customWidth="true" hidden="false" max="5" min="5" style="0" width="11.211267605633802"/>
    <col collapsed="false" customWidth="true" hidden="false" max="6" min="6" style="0" width="11.211267605633802"/>
  </cols>
  <sheetData>
    <row r="1">
      <c r="A1" s="1" t="s">
        <v>1</v>
      </c>
      <c r="B1" s="1"/>
      <c r="C1" s="1"/>
      <c r="D1" s="2" t="s">
        <v>2</v>
      </c>
      <c r="E1" s="2"/>
      <c r="F1" s="2"/>
      <c r="G1" s="2"/>
      <c r="H1" s="2"/>
      <c r="I1" s="2"/>
      <c r="J1" s="2"/>
      <c r="K1" s="3" t="s">
        <v>3</v>
      </c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4"/>
      <c r="X1" s="4"/>
      <c r="Y1" s="5"/>
      <c r="Z1" s="5"/>
      <c r="AA1" s="5"/>
      <c r="AB1" s="5"/>
      <c r="AC1" s="5"/>
      <c r="AD1" s="5"/>
      <c r="AE1" s="5"/>
    </row>
    <row r="2">
      <c r="A2" s="6" t="s">
        <v>4</v>
      </c>
      <c r="B2" s="7" t="s">
        <v>5</v>
      </c>
      <c r="C2" s="7" t="s">
        <v>6</v>
      </c>
      <c r="D2" s="8" t="s">
        <v>7</v>
      </c>
      <c r="E2" s="9" t="s">
        <v>8</v>
      </c>
      <c r="F2" s="9" t="s">
        <v>9</v>
      </c>
      <c r="G2" s="10" t="s">
        <v>10</v>
      </c>
      <c r="H2" s="11" t="s">
        <v>11</v>
      </c>
      <c r="I2" s="11" t="s">
        <v>12</v>
      </c>
      <c r="J2" s="12" t="s">
        <v>13</v>
      </c>
      <c r="K2" s="3" t="s">
        <v>14</v>
      </c>
      <c r="L2" s="3" t="s">
        <v>15</v>
      </c>
      <c r="M2" s="13" t="s">
        <v>16</v>
      </c>
      <c r="N2" s="13" t="s">
        <v>17</v>
      </c>
      <c r="O2" s="3" t="s">
        <v>18</v>
      </c>
      <c r="P2" s="13" t="s">
        <v>19</v>
      </c>
      <c r="Q2" s="13" t="s">
        <v>20</v>
      </c>
      <c r="R2" s="14" t="s">
        <v>21</v>
      </c>
      <c r="S2" s="13" t="s">
        <v>22</v>
      </c>
      <c r="T2" s="14" t="s">
        <v>23</v>
      </c>
      <c r="U2" s="14"/>
      <c r="V2" s="15" t="s">
        <v>24</v>
      </c>
      <c r="W2" s="15" t="s">
        <v>25</v>
      </c>
      <c r="X2" s="15"/>
      <c r="Y2" s="16" t="s">
        <v>26</v>
      </c>
      <c r="Z2" s="17" t="s">
        <v>27</v>
      </c>
      <c r="AA2" s="17" t="s">
        <v>28</v>
      </c>
      <c r="AB2" s="17" t="s">
        <v>29</v>
      </c>
      <c r="AC2" s="17" t="s">
        <v>30</v>
      </c>
      <c r="AD2" s="17" t="s">
        <v>31</v>
      </c>
      <c r="AE2" s="18" t="s">
        <v>32</v>
      </c>
    </row>
    <row r="3">
      <c r="A3" s="19">
        <v>46296</v>
      </c>
      <c r="B3" s="20" t="s">
        <v>33</v>
      </c>
      <c r="C3" s="21" t="s">
        <v>34</v>
      </c>
      <c r="D3" s="22">
        <f t="shared" ref="D3:D7" si="0">E3+F3+G3</f>
      </c>
      <c r="E3" s="23">
        <v>543.69</v>
      </c>
      <c r="F3" s="24">
        <v>299.318</v>
      </c>
      <c r="G3" s="24">
        <v>947.727</v>
      </c>
      <c r="H3" s="25">
        <v>0</v>
      </c>
      <c r="I3" s="26">
        <v>0</v>
      </c>
      <c r="J3" s="27">
        <f t="shared" ref="J3:J15" si="62">I3/D3</f>
      </c>
      <c r="K3" s="28">
        <f t="shared" ref="K3:K15" si="86">AA3/Z3</f>
      </c>
      <c r="L3" s="29">
        <f t="shared" ref="L3:L15" si="124">D3/AB3</f>
      </c>
      <c r="M3" s="28">
        <f t="shared" ref="M3:M15" si="105">AC3/AB3</f>
      </c>
      <c r="N3" s="28">
        <f t="shared" ref="N3:N15" si="143">AD3/AB3</f>
      </c>
      <c r="O3" s="29">
        <f t="shared" ref="O3:O15" si="162">D3/AD3</f>
      </c>
      <c r="P3" s="28">
        <f t="shared" ref="P3:P15" si="181">AE3/AD3</f>
      </c>
      <c r="Q3" s="28">
        <f t="shared" ref="Q3:Q15" si="200">H3/AE3</f>
      </c>
      <c r="R3" s="30">
        <f t="shared" ref="R3:R15" si="219">D3/H3</f>
      </c>
      <c r="S3" s="31">
        <f t="shared" ref="S3:S15" si="238">I3/H3</f>
      </c>
      <c r="T3" s="30">
        <f t="shared" ref="T3:T15" si="257">D3/Y3</f>
      </c>
      <c r="U3" s="30"/>
      <c r="V3" s="32" t="s">
        <v>35</v>
      </c>
      <c r="W3" s="33" t="s">
        <v>36</v>
      </c>
      <c r="X3" s="33"/>
      <c r="Y3" s="34">
        <v>0</v>
      </c>
      <c r="Z3" s="35">
        <v>62843</v>
      </c>
      <c r="AA3" s="36">
        <v>359</v>
      </c>
      <c r="AB3" s="34">
        <v>15630</v>
      </c>
      <c r="AC3" s="34">
        <v>1154</v>
      </c>
      <c r="AD3" s="34">
        <v>319</v>
      </c>
      <c r="AE3" s="34">
        <v>0</v>
      </c>
    </row>
    <row r="4">
      <c r="A4" s="19"/>
      <c r="B4" s="20" t="s">
        <v>37</v>
      </c>
      <c r="C4" s="21" t="s">
        <v>34</v>
      </c>
      <c r="D4" s="22">
        <f t="shared" si="0"/>
      </c>
      <c r="E4" s="23">
        <v>296.78</v>
      </c>
      <c r="F4" s="37">
        <v>265.715</v>
      </c>
      <c r="G4" s="37">
        <v>268.798</v>
      </c>
      <c r="H4" s="25">
        <v>1</v>
      </c>
      <c r="I4" s="26">
        <v>246.95999999999998</v>
      </c>
      <c r="J4" s="27">
        <f t="shared" si="62"/>
      </c>
      <c r="K4" s="28">
        <f t="shared" si="86"/>
      </c>
      <c r="L4" s="29">
        <f t="shared" si="124"/>
      </c>
      <c r="M4" s="28">
        <f t="shared" si="105"/>
      </c>
      <c r="N4" s="28">
        <f t="shared" si="143"/>
      </c>
      <c r="O4" s="29">
        <f t="shared" si="162"/>
      </c>
      <c r="P4" s="28">
        <f t="shared" si="181"/>
      </c>
      <c r="Q4" s="28">
        <f t="shared" si="200"/>
      </c>
      <c r="R4" s="30">
        <f t="shared" si="219"/>
      </c>
      <c r="S4" s="31">
        <f t="shared" si="238"/>
      </c>
      <c r="T4" s="30">
        <f t="shared" si="257"/>
      </c>
      <c r="U4" s="30"/>
      <c r="V4" s="32" t="s">
        <v>35</v>
      </c>
      <c r="W4" s="33" t="s">
        <v>36</v>
      </c>
      <c r="X4" s="33"/>
      <c r="Y4" s="34">
        <v>1</v>
      </c>
      <c r="Z4" s="35">
        <v>30396</v>
      </c>
      <c r="AA4" s="36">
        <v>253</v>
      </c>
      <c r="AB4" s="34">
        <v>5105</v>
      </c>
      <c r="AC4" s="34">
        <v>377</v>
      </c>
      <c r="AD4" s="34">
        <v>169</v>
      </c>
      <c r="AE4" s="34">
        <v>1</v>
      </c>
    </row>
    <row r="5">
      <c r="A5" s="19"/>
      <c r="B5" s="20" t="s">
        <v>38</v>
      </c>
      <c r="C5" s="21" t="s">
        <v>34</v>
      </c>
      <c r="D5" s="22">
        <f t="shared" si="0"/>
      </c>
      <c r="E5" s="24">
        <v>317.991</v>
      </c>
      <c r="F5" s="37">
        <v>160.599</v>
      </c>
      <c r="G5" s="37">
        <v>309.24</v>
      </c>
      <c r="H5" s="25">
        <v>3</v>
      </c>
      <c r="I5" s="26">
        <v>2260.3199999999997</v>
      </c>
      <c r="J5" s="27">
        <f t="shared" si="62"/>
      </c>
      <c r="K5" s="28">
        <f t="shared" si="86"/>
      </c>
      <c r="L5" s="29">
        <f t="shared" si="124"/>
      </c>
      <c r="M5" s="28">
        <f t="shared" si="105"/>
      </c>
      <c r="N5" s="28">
        <f t="shared" si="143"/>
      </c>
      <c r="O5" s="29">
        <f t="shared" si="162"/>
      </c>
      <c r="P5" s="28">
        <f t="shared" si="181"/>
      </c>
      <c r="Q5" s="28">
        <f t="shared" si="200"/>
      </c>
      <c r="R5" s="30">
        <f t="shared" si="219"/>
      </c>
      <c r="S5" s="31">
        <f t="shared" si="238"/>
      </c>
      <c r="T5" s="30">
        <f t="shared" si="257"/>
      </c>
      <c r="U5" s="30"/>
      <c r="V5" s="32" t="s">
        <v>35</v>
      </c>
      <c r="W5" s="33" t="s">
        <v>39</v>
      </c>
      <c r="X5" s="33"/>
      <c r="Y5" s="34">
        <v>1</v>
      </c>
      <c r="Z5" s="35">
        <v>28823</v>
      </c>
      <c r="AA5" s="36">
        <v>202</v>
      </c>
      <c r="AB5" s="34">
        <v>5533</v>
      </c>
      <c r="AC5" s="34">
        <v>448</v>
      </c>
      <c r="AD5" s="34">
        <v>129</v>
      </c>
      <c r="AE5" s="34">
        <v>6</v>
      </c>
    </row>
    <row r="6">
      <c r="A6" s="19"/>
      <c r="B6" s="20" t="s">
        <v>40</v>
      </c>
      <c r="C6" s="21" t="s">
        <v>34</v>
      </c>
      <c r="D6" s="22">
        <f t="shared" si="0"/>
      </c>
      <c r="E6" s="24">
        <v>350.725</v>
      </c>
      <c r="F6" s="37">
        <v>165.886</v>
      </c>
      <c r="G6" s="37">
        <v>408.358</v>
      </c>
      <c r="H6" s="25">
        <v>1</v>
      </c>
      <c r="I6" s="26">
        <v>5084.64</v>
      </c>
      <c r="J6" s="27">
        <f t="shared" si="62"/>
      </c>
      <c r="K6" s="28">
        <f t="shared" si="86"/>
      </c>
      <c r="L6" s="29">
        <f t="shared" si="124"/>
      </c>
      <c r="M6" s="28">
        <f t="shared" si="105"/>
      </c>
      <c r="N6" s="28">
        <f t="shared" si="143"/>
      </c>
      <c r="O6" s="29">
        <f t="shared" si="162"/>
      </c>
      <c r="P6" s="28">
        <f t="shared" si="181"/>
      </c>
      <c r="Q6" s="28">
        <f t="shared" si="200"/>
      </c>
      <c r="R6" s="30">
        <f t="shared" si="219"/>
      </c>
      <c r="S6" s="31">
        <f t="shared" si="238"/>
      </c>
      <c r="T6" s="30">
        <f t="shared" si="257"/>
      </c>
      <c r="U6" s="30"/>
      <c r="V6" s="32" t="s">
        <v>35</v>
      </c>
      <c r="W6" s="33" t="s">
        <v>39</v>
      </c>
      <c r="X6" s="33"/>
      <c r="Y6" s="34">
        <v>1</v>
      </c>
      <c r="Z6" s="35">
        <v>38563</v>
      </c>
      <c r="AA6" s="35">
        <v>311</v>
      </c>
      <c r="AB6" s="36">
        <v>7192</v>
      </c>
      <c r="AC6" s="36">
        <v>606</v>
      </c>
      <c r="AD6" s="34">
        <v>187</v>
      </c>
      <c r="AE6" s="34">
        <v>1</v>
      </c>
    </row>
    <row r="7">
      <c r="A7" s="19"/>
      <c r="B7" s="20" t="s">
        <v>41</v>
      </c>
      <c r="C7" s="21" t="s">
        <v>34</v>
      </c>
      <c r="D7" s="22">
        <f t="shared" si="0"/>
      </c>
      <c r="E7" s="24">
        <v>322.928</v>
      </c>
      <c r="F7" s="37">
        <v>147.634</v>
      </c>
      <c r="G7" s="37">
        <v>282.309</v>
      </c>
      <c r="H7" s="25">
        <v>1</v>
      </c>
      <c r="I7" s="26">
        <v>1280.5200000000004</v>
      </c>
      <c r="J7" s="27">
        <f t="shared" si="62"/>
      </c>
      <c r="K7" s="28">
        <f t="shared" si="86"/>
      </c>
      <c r="L7" s="29">
        <f t="shared" si="124"/>
      </c>
      <c r="M7" s="28">
        <f t="shared" si="105"/>
      </c>
      <c r="N7" s="28">
        <f t="shared" si="143"/>
      </c>
      <c r="O7" s="29">
        <f t="shared" si="162"/>
      </c>
      <c r="P7" s="28">
        <f t="shared" si="181"/>
      </c>
      <c r="Q7" s="28">
        <f t="shared" si="200"/>
      </c>
      <c r="R7" s="30">
        <f t="shared" si="219"/>
      </c>
      <c r="S7" s="31">
        <f t="shared" si="238"/>
      </c>
      <c r="T7" s="30">
        <f t="shared" si="257"/>
      </c>
      <c r="U7" s="30"/>
      <c r="V7" s="32" t="s">
        <v>35</v>
      </c>
      <c r="W7" s="33" t="s">
        <v>39</v>
      </c>
      <c r="X7" s="33"/>
      <c r="Y7" s="34">
        <v>1</v>
      </c>
      <c r="Z7" s="36">
        <v>28668</v>
      </c>
      <c r="AA7" s="36">
        <v>267</v>
      </c>
      <c r="AB7" s="36">
        <v>4114</v>
      </c>
      <c r="AC7" s="36">
        <v>320</v>
      </c>
      <c r="AD7" s="34">
        <v>159</v>
      </c>
      <c r="AE7" s="34">
        <v>2</v>
      </c>
    </row>
    <row r="8">
      <c r="A8" s="19"/>
      <c r="B8" s="38" t="s">
        <v>42</v>
      </c>
      <c r="C8" s="38"/>
      <c r="D8" s="39">
        <f>SUM(D3:D7)</f>
      </c>
      <c r="E8" s="39">
        <f>SUM(E3:E7)</f>
      </c>
      <c r="F8" s="39">
        <f>SUM(F3:F7)</f>
      </c>
      <c r="G8" s="39">
        <f>SUM(G3:G7)</f>
      </c>
      <c r="H8" s="40">
        <f>SUM(H3:H7)</f>
      </c>
      <c r="I8" s="41">
        <f>SUM(I3:I7)</f>
      </c>
      <c r="J8" s="42">
        <f t="shared" si="62"/>
      </c>
      <c r="K8" s="43">
        <f t="shared" si="86"/>
      </c>
      <c r="L8" s="44">
        <f t="shared" si="124"/>
      </c>
      <c r="M8" s="43">
        <f t="shared" si="105"/>
      </c>
      <c r="N8" s="43">
        <f t="shared" si="143"/>
      </c>
      <c r="O8" s="44">
        <f t="shared" si="162"/>
      </c>
      <c r="P8" s="43">
        <f t="shared" si="181"/>
      </c>
      <c r="Q8" s="43">
        <f t="shared" si="200"/>
      </c>
      <c r="R8" s="45">
        <f t="shared" si="219"/>
      </c>
      <c r="S8" s="46">
        <f t="shared" si="238"/>
      </c>
      <c r="T8" s="45">
        <f t="shared" si="257"/>
      </c>
      <c r="U8" s="45"/>
      <c r="V8" s="47"/>
      <c r="W8" s="47"/>
      <c r="X8" s="47"/>
      <c r="Y8" s="48">
        <f>SUM(Y3:Y7)</f>
      </c>
      <c r="Z8" s="48">
        <f>SUM(Z3:Z7)</f>
      </c>
      <c r="AA8" s="48">
        <f>SUM(AA3:AA7)</f>
      </c>
      <c r="AB8" s="48">
        <f>SUM(AB3:AB7)</f>
      </c>
      <c r="AC8" s="48">
        <f>SUM(AC3:AC7)</f>
      </c>
      <c r="AD8" s="48">
        <f>SUM(AD3:AD7)</f>
      </c>
      <c r="AE8" s="48">
        <f>SUM(AE3:AE7)</f>
      </c>
    </row>
    <row r="9">
      <c r="A9" s="19"/>
      <c r="B9" s="20" t="s">
        <v>43</v>
      </c>
      <c r="C9" s="21" t="s">
        <v>44</v>
      </c>
      <c r="D9" s="22">
        <f t="shared" ref="D9:D13" si="1">E9+F9+G9</f>
      </c>
      <c r="E9" s="24">
        <v>156.616</v>
      </c>
      <c r="F9" s="37">
        <v>92.079</v>
      </c>
      <c r="G9" s="37">
        <v>263.488</v>
      </c>
      <c r="H9" s="25">
        <v>1</v>
      </c>
      <c r="I9" s="26">
        <v>447.60000000000036</v>
      </c>
      <c r="J9" s="27">
        <f t="shared" si="62"/>
      </c>
      <c r="K9" s="28">
        <f t="shared" si="86"/>
      </c>
      <c r="L9" s="29">
        <f t="shared" si="124"/>
      </c>
      <c r="M9" s="28">
        <f t="shared" si="105"/>
      </c>
      <c r="N9" s="28">
        <f t="shared" si="143"/>
      </c>
      <c r="O9" s="29">
        <f t="shared" si="162"/>
      </c>
      <c r="P9" s="28">
        <f t="shared" si="181"/>
      </c>
      <c r="Q9" s="28">
        <f t="shared" si="200"/>
      </c>
      <c r="R9" s="30">
        <f t="shared" si="219"/>
      </c>
      <c r="S9" s="31">
        <f t="shared" si="238"/>
      </c>
      <c r="T9" s="30">
        <f t="shared" si="257"/>
      </c>
      <c r="U9" s="30"/>
      <c r="V9" s="49" t="s">
        <v>35</v>
      </c>
      <c r="W9" s="33" t="s">
        <v>39</v>
      </c>
      <c r="X9" s="33"/>
      <c r="Y9" s="34">
        <v>1</v>
      </c>
      <c r="Z9" s="35">
        <v>17008</v>
      </c>
      <c r="AA9" s="36">
        <v>225</v>
      </c>
      <c r="AB9" s="36">
        <v>3221</v>
      </c>
      <c r="AC9" s="36">
        <v>154</v>
      </c>
      <c r="AD9" s="36">
        <v>78</v>
      </c>
      <c r="AE9" s="34">
        <v>1</v>
      </c>
    </row>
    <row r="10">
      <c r="A10" s="19"/>
      <c r="B10" s="20" t="s">
        <v>43</v>
      </c>
      <c r="C10" s="21" t="s">
        <v>44</v>
      </c>
      <c r="D10" s="22">
        <f t="shared" si="1"/>
      </c>
      <c r="E10" s="24">
        <v>199.18</v>
      </c>
      <c r="F10" s="37">
        <v>132.525</v>
      </c>
      <c r="G10" s="37">
        <v>408.029</v>
      </c>
      <c r="H10" s="25">
        <v>0</v>
      </c>
      <c r="I10" s="26">
        <v>0</v>
      </c>
      <c r="J10" s="27">
        <f t="shared" si="62"/>
      </c>
      <c r="K10" s="28">
        <f t="shared" si="86"/>
      </c>
      <c r="L10" s="29">
        <f t="shared" si="124"/>
      </c>
      <c r="M10" s="28">
        <f t="shared" si="105"/>
      </c>
      <c r="N10" s="28">
        <f t="shared" si="143"/>
      </c>
      <c r="O10" s="29">
        <f t="shared" si="162"/>
      </c>
      <c r="P10" s="28">
        <f t="shared" si="181"/>
      </c>
      <c r="Q10" s="28">
        <f t="shared" si="200"/>
      </c>
      <c r="R10" s="30">
        <f t="shared" si="219"/>
      </c>
      <c r="S10" s="31">
        <f t="shared" si="238"/>
      </c>
      <c r="T10" s="30">
        <f t="shared" si="257"/>
      </c>
      <c r="U10" s="30"/>
      <c r="V10" s="49" t="s">
        <v>35</v>
      </c>
      <c r="W10" s="33" t="s">
        <v>39</v>
      </c>
      <c r="X10" s="33"/>
      <c r="Y10" s="34">
        <v>0</v>
      </c>
      <c r="Z10" s="36">
        <v>22213</v>
      </c>
      <c r="AA10" s="36">
        <v>329</v>
      </c>
      <c r="AB10" s="36">
        <v>7189</v>
      </c>
      <c r="AC10" s="36">
        <v>413</v>
      </c>
      <c r="AD10" s="36">
        <v>133</v>
      </c>
      <c r="AE10" s="34">
        <v>2</v>
      </c>
    </row>
    <row r="11">
      <c r="A11" s="19"/>
      <c r="B11" s="20" t="s">
        <v>45</v>
      </c>
      <c r="C11" s="21" t="s">
        <v>44</v>
      </c>
      <c r="D11" s="22">
        <f t="shared" si="1"/>
      </c>
      <c r="E11" s="24">
        <v>228.795</v>
      </c>
      <c r="F11" s="37">
        <v>139.766</v>
      </c>
      <c r="G11" s="37">
        <v>410.599</v>
      </c>
      <c r="H11" s="25">
        <v>4</v>
      </c>
      <c r="I11" s="26">
        <v>2232.9199999999983</v>
      </c>
      <c r="J11" s="27">
        <f t="shared" si="62"/>
      </c>
      <c r="K11" s="28">
        <f t="shared" si="86"/>
      </c>
      <c r="L11" s="29">
        <f t="shared" si="124"/>
      </c>
      <c r="M11" s="28">
        <f t="shared" si="105"/>
      </c>
      <c r="N11" s="28">
        <f t="shared" si="143"/>
      </c>
      <c r="O11" s="29">
        <f t="shared" si="162"/>
      </c>
      <c r="P11" s="28">
        <f t="shared" si="181"/>
      </c>
      <c r="Q11" s="28">
        <f t="shared" si="200"/>
      </c>
      <c r="R11" s="30">
        <f t="shared" si="219"/>
      </c>
      <c r="S11" s="31">
        <f t="shared" si="238"/>
      </c>
      <c r="T11" s="30">
        <f t="shared" si="257"/>
      </c>
      <c r="U11" s="30"/>
      <c r="V11" s="49" t="s">
        <v>35</v>
      </c>
      <c r="W11" s="33" t="s">
        <v>39</v>
      </c>
      <c r="X11" s="33"/>
      <c r="Y11" s="34">
        <v>3</v>
      </c>
      <c r="Z11" s="36">
        <v>27832</v>
      </c>
      <c r="AA11" s="36">
        <v>471</v>
      </c>
      <c r="AB11" s="36">
        <v>9230</v>
      </c>
      <c r="AC11" s="36">
        <v>576</v>
      </c>
      <c r="AD11" s="36">
        <v>179</v>
      </c>
      <c r="AE11" s="34">
        <v>6</v>
      </c>
    </row>
    <row r="12">
      <c r="A12" s="19"/>
      <c r="B12" s="20" t="s">
        <v>46</v>
      </c>
      <c r="C12" s="21" t="s">
        <v>44</v>
      </c>
      <c r="D12" s="22">
        <f t="shared" si="1"/>
      </c>
      <c r="E12" s="24">
        <v>132.296</v>
      </c>
      <c r="F12" s="37">
        <v>104.029</v>
      </c>
      <c r="G12" s="37">
        <v>768.253</v>
      </c>
      <c r="H12" s="25">
        <v>0</v>
      </c>
      <c r="I12" s="26">
        <v>0</v>
      </c>
      <c r="J12" s="27">
        <f t="shared" si="62"/>
      </c>
      <c r="K12" s="28">
        <f t="shared" si="86"/>
      </c>
      <c r="L12" s="29">
        <f t="shared" si="124"/>
      </c>
      <c r="M12" s="28">
        <f t="shared" si="105"/>
      </c>
      <c r="N12" s="28">
        <f t="shared" si="143"/>
      </c>
      <c r="O12" s="29">
        <f t="shared" si="162"/>
      </c>
      <c r="P12" s="28">
        <f t="shared" si="181"/>
      </c>
      <c r="Q12" s="28">
        <f t="shared" si="200"/>
      </c>
      <c r="R12" s="30">
        <f t="shared" si="219"/>
      </c>
      <c r="S12" s="31">
        <f t="shared" si="238"/>
      </c>
      <c r="T12" s="30">
        <f t="shared" si="257"/>
      </c>
      <c r="U12" s="30"/>
      <c r="V12" s="49" t="s">
        <v>35</v>
      </c>
      <c r="W12" s="33" t="s">
        <v>39</v>
      </c>
      <c r="X12" s="33"/>
      <c r="Y12" s="34">
        <v>0</v>
      </c>
      <c r="Z12" s="36">
        <v>48583</v>
      </c>
      <c r="AA12" s="36">
        <v>647</v>
      </c>
      <c r="AB12" s="36">
        <v>6150</v>
      </c>
      <c r="AC12" s="36">
        <v>323</v>
      </c>
      <c r="AD12" s="36">
        <v>169</v>
      </c>
      <c r="AE12" s="34">
        <v>1</v>
      </c>
    </row>
    <row r="13">
      <c r="A13" s="19"/>
      <c r="B13" s="20" t="s">
        <v>47</v>
      </c>
      <c r="C13" s="21" t="s">
        <v>44</v>
      </c>
      <c r="D13" s="22">
        <f t="shared" si="1"/>
      </c>
      <c r="E13" s="24">
        <f>111.17+2.09</f>
      </c>
      <c r="F13" s="37">
        <f>42.938+0.004</f>
      </c>
      <c r="G13" s="37">
        <f>549.256+1.508</f>
      </c>
      <c r="H13" s="25">
        <v>1</v>
      </c>
      <c r="I13" s="26">
        <v>882.960000000001</v>
      </c>
      <c r="J13" s="27">
        <f t="shared" si="62"/>
      </c>
      <c r="K13" s="28">
        <f t="shared" si="86"/>
      </c>
      <c r="L13" s="29">
        <f t="shared" si="124"/>
      </c>
      <c r="M13" s="28">
        <f t="shared" si="105"/>
      </c>
      <c r="N13" s="28">
        <f t="shared" si="143"/>
      </c>
      <c r="O13" s="29">
        <f t="shared" si="162"/>
      </c>
      <c r="P13" s="28">
        <f t="shared" si="181"/>
      </c>
      <c r="Q13" s="28">
        <f t="shared" si="200"/>
      </c>
      <c r="R13" s="30">
        <f t="shared" si="219"/>
      </c>
      <c r="S13" s="31">
        <f t="shared" si="238"/>
      </c>
      <c r="T13" s="30">
        <f t="shared" si="257"/>
      </c>
      <c r="U13" s="30"/>
      <c r="V13" s="49" t="s">
        <v>35</v>
      </c>
      <c r="W13" s="33" t="s">
        <v>48</v>
      </c>
      <c r="X13" s="33"/>
      <c r="Y13" s="34">
        <v>1</v>
      </c>
      <c r="Z13" s="36">
        <v>39123</v>
      </c>
      <c r="AA13" s="36">
        <v>794</v>
      </c>
      <c r="AB13" s="36">
        <v>4315</v>
      </c>
      <c r="AC13" s="36">
        <v>252</v>
      </c>
      <c r="AD13" s="36">
        <v>157</v>
      </c>
      <c r="AE13" s="34">
        <v>2</v>
      </c>
    </row>
    <row r="14">
      <c r="A14" s="19"/>
      <c r="B14" s="38" t="s">
        <v>42</v>
      </c>
      <c r="C14" s="38"/>
      <c r="D14" s="39">
        <f>SUM(D9:D13)</f>
      </c>
      <c r="E14" s="39">
        <f>SUM(E9:E13)</f>
      </c>
      <c r="F14" s="39">
        <f>SUM(F9:F13)</f>
      </c>
      <c r="G14" s="39">
        <f>SUM(G9:G13)</f>
      </c>
      <c r="H14" s="40">
        <f>SUM(H9:H13)</f>
      </c>
      <c r="I14" s="41">
        <f>SUM(I9:I13)</f>
      </c>
      <c r="J14" s="42">
        <f t="shared" si="62"/>
      </c>
      <c r="K14" s="43">
        <f t="shared" si="86"/>
      </c>
      <c r="L14" s="44">
        <f t="shared" si="124"/>
      </c>
      <c r="M14" s="43">
        <f t="shared" si="105"/>
      </c>
      <c r="N14" s="43">
        <f t="shared" si="143"/>
      </c>
      <c r="O14" s="44">
        <f t="shared" si="162"/>
      </c>
      <c r="P14" s="43">
        <f t="shared" si="181"/>
      </c>
      <c r="Q14" s="43">
        <f t="shared" si="200"/>
      </c>
      <c r="R14" s="45">
        <f t="shared" si="219"/>
      </c>
      <c r="S14" s="46">
        <f t="shared" si="238"/>
      </c>
      <c r="T14" s="45">
        <f t="shared" si="257"/>
      </c>
      <c r="U14" s="45"/>
      <c r="V14" s="47"/>
      <c r="W14" s="47"/>
      <c r="X14" s="47"/>
      <c r="Y14" s="48">
        <f>SUM(Y9:Y13)</f>
      </c>
      <c r="Z14" s="48">
        <f>SUM(Z9:Z13)</f>
      </c>
      <c r="AA14" s="48">
        <f>SUM(AA9:AA13)</f>
      </c>
      <c r="AB14" s="48">
        <f>SUM(AB9:AB13)</f>
      </c>
      <c r="AC14" s="48">
        <f>SUM(AC9:AC13)</f>
      </c>
      <c r="AD14" s="48">
        <f>SUM(AD9:AD13)</f>
      </c>
      <c r="AE14" s="48">
        <f>SUM(AE9:AE13)</f>
      </c>
    </row>
    <row r="15">
      <c r="A15" s="19"/>
      <c r="B15" s="50" t="s">
        <v>49</v>
      </c>
      <c r="C15" s="50"/>
      <c r="D15" s="51">
        <f>D8+D14</f>
      </c>
      <c r="E15" s="50">
        <f>E8+E14</f>
      </c>
      <c r="F15" s="52">
        <f>F8+F14</f>
      </c>
      <c r="G15" s="52">
        <f>G8+G14</f>
      </c>
      <c r="H15" s="53">
        <f>H8+H14</f>
      </c>
      <c r="I15" s="53">
        <f>I8+I14</f>
      </c>
      <c r="J15" s="54">
        <f t="shared" si="62"/>
      </c>
      <c r="K15" s="55">
        <f t="shared" si="86"/>
      </c>
      <c r="L15" s="54">
        <f t="shared" si="124"/>
      </c>
      <c r="M15" s="55">
        <f t="shared" si="105"/>
      </c>
      <c r="N15" s="55">
        <f t="shared" si="143"/>
      </c>
      <c r="O15" s="54">
        <f t="shared" si="162"/>
      </c>
      <c r="P15" s="55">
        <f t="shared" si="181"/>
      </c>
      <c r="Q15" s="55">
        <f t="shared" si="200"/>
      </c>
      <c r="R15" s="54">
        <f t="shared" si="219"/>
      </c>
      <c r="S15" s="56">
        <f t="shared" si="238"/>
      </c>
      <c r="T15" s="54">
        <f t="shared" si="257"/>
      </c>
      <c r="U15" s="54"/>
      <c r="V15" s="57"/>
      <c r="W15" s="57"/>
      <c r="X15" s="57"/>
      <c r="Y15" s="53">
        <f>Y8+Y14</f>
      </c>
      <c r="Z15" s="53">
        <f>Z8+Z14</f>
      </c>
      <c r="AA15" s="53">
        <f>AA8+AA14</f>
      </c>
      <c r="AB15" s="53">
        <f>AB8+AB14</f>
      </c>
      <c r="AC15" s="53">
        <f>AC8+AC14</f>
      </c>
      <c r="AD15" s="53">
        <f>AD8+AD14</f>
      </c>
      <c r="AE15" s="53">
        <f>AE8+AE14</f>
      </c>
    </row>
    <row r="16">
      <c r="A16" s="1" t="s">
        <v>1</v>
      </c>
      <c r="B16" s="1"/>
      <c r="C16" s="1"/>
      <c r="D16" s="2" t="s">
        <v>2</v>
      </c>
      <c r="E16" s="2"/>
      <c r="F16" s="2"/>
      <c r="G16" s="2"/>
      <c r="H16" s="2"/>
      <c r="I16" s="2"/>
      <c r="J16" s="2"/>
      <c r="K16" s="3" t="s">
        <v>3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4"/>
      <c r="W16" s="4"/>
      <c r="X16" s="4"/>
      <c r="Y16" s="5"/>
      <c r="Z16" s="5"/>
      <c r="AA16" s="5"/>
      <c r="AB16" s="5"/>
      <c r="AC16" s="5"/>
      <c r="AD16" s="5"/>
      <c r="AE16" s="5"/>
    </row>
    <row r="17">
      <c r="A17" s="6" t="s">
        <v>4</v>
      </c>
      <c r="B17" s="7" t="s">
        <v>5</v>
      </c>
      <c r="C17" s="7" t="s">
        <v>6</v>
      </c>
      <c r="D17" s="8" t="s">
        <v>7</v>
      </c>
      <c r="E17" s="9" t="s">
        <v>8</v>
      </c>
      <c r="F17" s="9" t="s">
        <v>9</v>
      </c>
      <c r="G17" s="10" t="s">
        <v>10</v>
      </c>
      <c r="H17" s="11" t="s">
        <v>11</v>
      </c>
      <c r="I17" s="11" t="s">
        <v>12</v>
      </c>
      <c r="J17" s="12" t="s">
        <v>13</v>
      </c>
      <c r="K17" s="3" t="s">
        <v>14</v>
      </c>
      <c r="L17" s="3" t="s">
        <v>15</v>
      </c>
      <c r="M17" s="13" t="s">
        <v>16</v>
      </c>
      <c r="N17" s="13" t="s">
        <v>17</v>
      </c>
      <c r="O17" s="3" t="s">
        <v>18</v>
      </c>
      <c r="P17" s="13" t="s">
        <v>19</v>
      </c>
      <c r="Q17" s="13" t="s">
        <v>20</v>
      </c>
      <c r="R17" s="14" t="s">
        <v>21</v>
      </c>
      <c r="S17" s="13" t="s">
        <v>22</v>
      </c>
      <c r="T17" s="14" t="s">
        <v>23</v>
      </c>
      <c r="U17" s="14"/>
      <c r="V17" s="15" t="s">
        <v>24</v>
      </c>
      <c r="W17" s="15" t="s">
        <v>25</v>
      </c>
      <c r="X17" s="15"/>
      <c r="Y17" s="16" t="s">
        <v>26</v>
      </c>
      <c r="Z17" s="17" t="s">
        <v>27</v>
      </c>
      <c r="AA17" s="17" t="s">
        <v>28</v>
      </c>
      <c r="AB17" s="17" t="s">
        <v>29</v>
      </c>
      <c r="AC17" s="17" t="s">
        <v>30</v>
      </c>
      <c r="AD17" s="17" t="s">
        <v>31</v>
      </c>
      <c r="AE17" s="18" t="s">
        <v>32</v>
      </c>
    </row>
    <row r="18">
      <c r="A18" s="19">
        <v>46297</v>
      </c>
      <c r="B18" s="20" t="s">
        <v>50</v>
      </c>
      <c r="C18" s="21" t="s">
        <v>34</v>
      </c>
      <c r="D18" s="22">
        <f t="shared" ref="D18:D21" si="2">E18+F18+G18</f>
      </c>
      <c r="E18" s="23">
        <v>509.824</v>
      </c>
      <c r="F18" s="23">
        <v>47.646</v>
      </c>
      <c r="G18" s="23">
        <v>521.781</v>
      </c>
      <c r="H18" s="25">
        <v>1</v>
      </c>
      <c r="I18" s="26">
        <v>2005.2</v>
      </c>
      <c r="J18" s="27">
        <f t="shared" ref="J18:J33" si="63">I18/D18</f>
      </c>
      <c r="K18" s="28">
        <f t="shared" ref="K18:K33" si="87">AA18/Z18</f>
      </c>
      <c r="L18" s="29">
        <f t="shared" ref="L18:L33" si="125">D18/AB18</f>
      </c>
      <c r="M18" s="28">
        <f t="shared" ref="M18:M33" si="106">AC18/AB18</f>
      </c>
      <c r="N18" s="28">
        <f t="shared" ref="N18:N33" si="144">AD18/AB18</f>
      </c>
      <c r="O18" s="29">
        <f t="shared" ref="O18:O33" si="163">D18/AD18</f>
      </c>
      <c r="P18" s="28">
        <f t="shared" ref="P18:P33" si="182">AE18/AD18</f>
      </c>
      <c r="Q18" s="28">
        <f t="shared" ref="Q18:Q33" si="201">H18/AE18</f>
      </c>
      <c r="R18" s="30">
        <f t="shared" ref="R18:R33" si="220">D18/H18</f>
      </c>
      <c r="S18" s="31">
        <f t="shared" ref="S18:S33" si="239">I18/H18</f>
      </c>
      <c r="T18" s="30">
        <f t="shared" ref="T18:T33" si="258">D18/Y18</f>
      </c>
      <c r="U18" s="30"/>
      <c r="V18" s="32" t="s">
        <v>35</v>
      </c>
      <c r="W18" s="33" t="s">
        <v>36</v>
      </c>
      <c r="X18" s="33"/>
      <c r="Y18" s="34">
        <v>1</v>
      </c>
      <c r="Z18" s="35">
        <v>43938</v>
      </c>
      <c r="AA18" s="36">
        <v>449</v>
      </c>
      <c r="AB18" s="34">
        <v>3675</v>
      </c>
      <c r="AC18" s="34">
        <v>233</v>
      </c>
      <c r="AD18" s="34">
        <v>201</v>
      </c>
      <c r="AE18" s="34">
        <v>3</v>
      </c>
    </row>
    <row r="19">
      <c r="A19" s="19"/>
      <c r="B19" s="20" t="s">
        <v>51</v>
      </c>
      <c r="C19" s="21" t="s">
        <v>34</v>
      </c>
      <c r="D19" s="22">
        <f t="shared" si="2"/>
      </c>
      <c r="E19" s="23">
        <v>1047.766</v>
      </c>
      <c r="F19" s="23">
        <v>204.85</v>
      </c>
      <c r="G19" s="23">
        <v>339.345</v>
      </c>
      <c r="H19" s="25">
        <v>0</v>
      </c>
      <c r="I19" s="26">
        <v>0</v>
      </c>
      <c r="J19" s="27">
        <f t="shared" si="63"/>
      </c>
      <c r="K19" s="28">
        <f t="shared" si="87"/>
      </c>
      <c r="L19" s="29">
        <f t="shared" si="125"/>
      </c>
      <c r="M19" s="28">
        <f t="shared" si="106"/>
      </c>
      <c r="N19" s="28">
        <f t="shared" si="144"/>
      </c>
      <c r="O19" s="29">
        <f t="shared" si="163"/>
      </c>
      <c r="P19" s="28">
        <f t="shared" si="182"/>
      </c>
      <c r="Q19" s="28">
        <f t="shared" si="201"/>
      </c>
      <c r="R19" s="30">
        <f t="shared" si="220"/>
      </c>
      <c r="S19" s="31">
        <f t="shared" si="239"/>
      </c>
      <c r="T19" s="30">
        <f t="shared" si="258"/>
      </c>
      <c r="U19" s="30"/>
      <c r="V19" s="32" t="s">
        <v>35</v>
      </c>
      <c r="W19" s="33" t="s">
        <v>36</v>
      </c>
      <c r="X19" s="33"/>
      <c r="Y19" s="34">
        <v>0</v>
      </c>
      <c r="Z19" s="35">
        <v>95687</v>
      </c>
      <c r="AA19" s="36">
        <v>1064</v>
      </c>
      <c r="AB19" s="34">
        <v>7904</v>
      </c>
      <c r="AC19" s="34">
        <v>443</v>
      </c>
      <c r="AD19" s="34">
        <v>422</v>
      </c>
      <c r="AE19" s="34">
        <v>1</v>
      </c>
    </row>
    <row r="20">
      <c r="A20" s="19"/>
      <c r="B20" s="20" t="s">
        <v>33</v>
      </c>
      <c r="C20" s="21" t="s">
        <v>34</v>
      </c>
      <c r="D20" s="22">
        <f t="shared" si="2"/>
      </c>
      <c r="E20" s="23">
        <v>1190.789</v>
      </c>
      <c r="F20" s="22">
        <v>424.791</v>
      </c>
      <c r="G20" s="23">
        <v>999.211</v>
      </c>
      <c r="H20" s="25">
        <v>3</v>
      </c>
      <c r="I20" s="26">
        <v>7003.44</v>
      </c>
      <c r="J20" s="27">
        <f t="shared" si="63"/>
      </c>
      <c r="K20" s="28">
        <f t="shared" si="87"/>
      </c>
      <c r="L20" s="29">
        <f t="shared" si="125"/>
      </c>
      <c r="M20" s="28">
        <f t="shared" si="106"/>
      </c>
      <c r="N20" s="28">
        <f t="shared" si="144"/>
      </c>
      <c r="O20" s="29">
        <f t="shared" si="163"/>
      </c>
      <c r="P20" s="28">
        <f t="shared" si="182"/>
      </c>
      <c r="Q20" s="28">
        <f t="shared" si="201"/>
      </c>
      <c r="R20" s="30">
        <f t="shared" si="220"/>
      </c>
      <c r="S20" s="31">
        <f t="shared" si="239"/>
      </c>
      <c r="T20" s="30">
        <f t="shared" si="258"/>
      </c>
      <c r="U20" s="30"/>
      <c r="V20" s="32" t="s">
        <v>35</v>
      </c>
      <c r="W20" s="33" t="s">
        <v>36</v>
      </c>
      <c r="X20" s="33"/>
      <c r="Y20" s="34">
        <v>4</v>
      </c>
      <c r="Z20" s="35">
        <v>145547</v>
      </c>
      <c r="AA20" s="36">
        <v>1323</v>
      </c>
      <c r="AB20" s="34">
        <v>23459</v>
      </c>
      <c r="AC20" s="34">
        <v>1626</v>
      </c>
      <c r="AD20" s="34">
        <v>553</v>
      </c>
      <c r="AE20" s="34">
        <v>6</v>
      </c>
    </row>
    <row r="21">
      <c r="A21" s="19"/>
      <c r="B21" s="20" t="s">
        <v>37</v>
      </c>
      <c r="C21" s="21" t="s">
        <v>34</v>
      </c>
      <c r="D21" s="22">
        <f t="shared" si="2"/>
      </c>
      <c r="E21" s="23">
        <v>1198.859</v>
      </c>
      <c r="F21" s="22">
        <v>1072.021</v>
      </c>
      <c r="G21" s="22">
        <v>1303.506</v>
      </c>
      <c r="H21" s="25">
        <v>3</v>
      </c>
      <c r="I21" s="26">
        <v>4737</v>
      </c>
      <c r="J21" s="27">
        <f t="shared" si="63"/>
      </c>
      <c r="K21" s="28">
        <f t="shared" si="87"/>
      </c>
      <c r="L21" s="29">
        <f t="shared" si="125"/>
      </c>
      <c r="M21" s="28">
        <f t="shared" si="106"/>
      </c>
      <c r="N21" s="28">
        <f t="shared" si="144"/>
      </c>
      <c r="O21" s="29">
        <f t="shared" si="163"/>
      </c>
      <c r="P21" s="28">
        <f t="shared" si="182"/>
      </c>
      <c r="Q21" s="28">
        <f t="shared" si="201"/>
      </c>
      <c r="R21" s="30">
        <f t="shared" si="220"/>
      </c>
      <c r="S21" s="31">
        <f t="shared" si="239"/>
      </c>
      <c r="T21" s="30">
        <f t="shared" si="258"/>
      </c>
      <c r="U21" s="30"/>
      <c r="V21" s="32" t="s">
        <v>35</v>
      </c>
      <c r="W21" s="33" t="s">
        <v>36</v>
      </c>
      <c r="X21" s="33"/>
      <c r="Y21" s="34">
        <v>1</v>
      </c>
      <c r="Z21" s="36">
        <v>174485</v>
      </c>
      <c r="AA21" s="36">
        <v>1319</v>
      </c>
      <c r="AB21" s="36">
        <v>47875</v>
      </c>
      <c r="AC21" s="36">
        <v>3145</v>
      </c>
      <c r="AD21" s="34">
        <v>634</v>
      </c>
      <c r="AE21" s="34">
        <v>5</v>
      </c>
    </row>
    <row r="22">
      <c r="A22" s="19"/>
      <c r="B22" s="38" t="s">
        <v>42</v>
      </c>
      <c r="C22" s="38"/>
      <c r="D22" s="39">
        <f>SUM(D18:D21)</f>
      </c>
      <c r="E22" s="39">
        <f>SUM(E18:E21)</f>
      </c>
      <c r="F22" s="39">
        <f>SUM(F18:F21)</f>
      </c>
      <c r="G22" s="39">
        <f>SUM(G18:G21)</f>
      </c>
      <c r="H22" s="40">
        <f>SUM(H18:H21)</f>
      </c>
      <c r="I22" s="41">
        <f>SUM(I18:I21)</f>
      </c>
      <c r="J22" s="42">
        <f t="shared" si="63"/>
      </c>
      <c r="K22" s="43">
        <f t="shared" si="87"/>
      </c>
      <c r="L22" s="44">
        <f t="shared" si="125"/>
      </c>
      <c r="M22" s="43">
        <f t="shared" si="106"/>
      </c>
      <c r="N22" s="43">
        <f t="shared" si="144"/>
      </c>
      <c r="O22" s="44">
        <f t="shared" si="163"/>
      </c>
      <c r="P22" s="43">
        <f t="shared" si="182"/>
      </c>
      <c r="Q22" s="43">
        <f t="shared" si="201"/>
      </c>
      <c r="R22" s="45">
        <f t="shared" si="220"/>
      </c>
      <c r="S22" s="46">
        <f t="shared" si="239"/>
      </c>
      <c r="T22" s="45">
        <f t="shared" si="258"/>
      </c>
      <c r="U22" s="45"/>
      <c r="V22" s="47"/>
      <c r="W22" s="47"/>
      <c r="X22" s="47"/>
      <c r="Y22" s="48">
        <f>SUM(Y18:Y21)</f>
      </c>
      <c r="Z22" s="48">
        <f>SUM(Z18:Z21)</f>
      </c>
      <c r="AA22" s="48">
        <f>SUM(AA18:AA21)</f>
      </c>
      <c r="AB22" s="48">
        <f>SUM(AB18:AB21)</f>
      </c>
      <c r="AC22" s="48">
        <f>SUM(AC18:AC21)</f>
      </c>
      <c r="AD22" s="48">
        <f>SUM(AD18:AD21)</f>
      </c>
      <c r="AE22" s="48">
        <f>SUM(AE18:AE21)</f>
      </c>
    </row>
    <row customHeight="true" ht="18.452380952380953" r="23">
      <c r="A23" s="19"/>
      <c r="B23" s="20" t="s">
        <v>38</v>
      </c>
      <c r="C23" s="21" t="s">
        <v>52</v>
      </c>
      <c r="D23" s="22">
        <f t="shared" ref="D23:D25" si="3">E23+F23+G23</f>
      </c>
      <c r="E23" s="23">
        <v>1272.588</v>
      </c>
      <c r="F23" s="22">
        <v>1674.465</v>
      </c>
      <c r="G23" s="22">
        <v>1062.863</v>
      </c>
      <c r="H23" s="25">
        <v>3</v>
      </c>
      <c r="I23" s="26">
        <v>1591.6800000000003</v>
      </c>
      <c r="J23" s="27">
        <f t="shared" si="63"/>
      </c>
      <c r="K23" s="28">
        <f t="shared" si="87"/>
      </c>
      <c r="L23" s="29">
        <f t="shared" si="125"/>
      </c>
      <c r="M23" s="28">
        <f t="shared" si="106"/>
      </c>
      <c r="N23" s="28">
        <f t="shared" si="144"/>
      </c>
      <c r="O23" s="29">
        <f t="shared" si="163"/>
      </c>
      <c r="P23" s="28">
        <f t="shared" si="182"/>
      </c>
      <c r="Q23" s="28">
        <f t="shared" si="201"/>
      </c>
      <c r="R23" s="30">
        <f t="shared" si="220"/>
      </c>
      <c r="S23" s="31">
        <f t="shared" si="239"/>
      </c>
      <c r="T23" s="30">
        <f t="shared" si="258"/>
      </c>
      <c r="U23" s="30"/>
      <c r="V23" s="32" t="s">
        <v>35</v>
      </c>
      <c r="W23" s="33" t="s">
        <v>39</v>
      </c>
      <c r="X23" s="33"/>
      <c r="Y23" s="34">
        <v>3</v>
      </c>
      <c r="Z23" s="35">
        <v>174671</v>
      </c>
      <c r="AA23" s="36">
        <v>1247</v>
      </c>
      <c r="AB23" s="34">
        <v>64719</v>
      </c>
      <c r="AC23" s="34">
        <v>4869</v>
      </c>
      <c r="AD23" s="34">
        <v>627</v>
      </c>
      <c r="AE23" s="34">
        <v>4</v>
      </c>
    </row>
    <row customHeight="true" ht="18.452380952380953" r="24">
      <c r="A24" s="19"/>
      <c r="B24" s="20" t="s">
        <v>40</v>
      </c>
      <c r="C24" s="21" t="s">
        <v>52</v>
      </c>
      <c r="D24" s="22">
        <f t="shared" si="3"/>
      </c>
      <c r="E24" s="23">
        <v>487.621</v>
      </c>
      <c r="F24" s="22">
        <v>1153.103</v>
      </c>
      <c r="G24" s="22">
        <v>1365.007</v>
      </c>
      <c r="H24" s="25">
        <v>0</v>
      </c>
      <c r="I24" s="26">
        <v>0</v>
      </c>
      <c r="J24" s="27">
        <f t="shared" si="63"/>
      </c>
      <c r="K24" s="28">
        <f t="shared" si="87"/>
      </c>
      <c r="L24" s="29">
        <f t="shared" si="125"/>
      </c>
      <c r="M24" s="28">
        <f t="shared" si="106"/>
      </c>
      <c r="N24" s="28">
        <f t="shared" si="144"/>
      </c>
      <c r="O24" s="29">
        <f t="shared" si="163"/>
      </c>
      <c r="P24" s="28">
        <f t="shared" si="182"/>
      </c>
      <c r="Q24" s="28">
        <f t="shared" si="201"/>
      </c>
      <c r="R24" s="30">
        <f t="shared" si="220"/>
      </c>
      <c r="S24" s="31">
        <f t="shared" si="239"/>
      </c>
      <c r="T24" s="30">
        <f t="shared" si="258"/>
      </c>
      <c r="U24" s="30"/>
      <c r="V24" s="32" t="s">
        <v>35</v>
      </c>
      <c r="W24" s="33" t="s">
        <v>39</v>
      </c>
      <c r="X24" s="33"/>
      <c r="Y24" s="34">
        <v>0</v>
      </c>
      <c r="Z24" s="35">
        <v>132617</v>
      </c>
      <c r="AA24" s="35">
        <v>841</v>
      </c>
      <c r="AB24" s="36">
        <v>55640</v>
      </c>
      <c r="AC24" s="36">
        <v>4420</v>
      </c>
      <c r="AD24" s="34">
        <v>718</v>
      </c>
      <c r="AE24" s="34">
        <v>2</v>
      </c>
    </row>
    <row customHeight="true" ht="18.452380952380953" r="25">
      <c r="A25" s="19"/>
      <c r="B25" s="20" t="s">
        <v>41</v>
      </c>
      <c r="C25" s="21" t="s">
        <v>52</v>
      </c>
      <c r="D25" s="22">
        <f t="shared" si="3"/>
      </c>
      <c r="E25" s="23">
        <v>953.196</v>
      </c>
      <c r="F25" s="22">
        <v>807.103</v>
      </c>
      <c r="G25" s="22">
        <v>1123.69</v>
      </c>
      <c r="H25" s="25">
        <v>1</v>
      </c>
      <c r="I25" s="26">
        <v>575.0400000000009</v>
      </c>
      <c r="J25" s="27">
        <f t="shared" si="63"/>
      </c>
      <c r="K25" s="28">
        <f t="shared" si="87"/>
      </c>
      <c r="L25" s="29">
        <f t="shared" si="125"/>
      </c>
      <c r="M25" s="28">
        <f t="shared" si="106"/>
      </c>
      <c r="N25" s="28">
        <f t="shared" si="144"/>
      </c>
      <c r="O25" s="29">
        <f t="shared" si="163"/>
      </c>
      <c r="P25" s="28">
        <f t="shared" si="182"/>
      </c>
      <c r="Q25" s="28">
        <f t="shared" si="201"/>
      </c>
      <c r="R25" s="30">
        <f t="shared" si="220"/>
      </c>
      <c r="S25" s="31">
        <f t="shared" si="239"/>
      </c>
      <c r="T25" s="30">
        <f t="shared" si="258"/>
      </c>
      <c r="U25" s="30"/>
      <c r="V25" s="32" t="s">
        <v>35</v>
      </c>
      <c r="W25" s="33" t="s">
        <v>39</v>
      </c>
      <c r="X25" s="33"/>
      <c r="Y25" s="34">
        <v>1</v>
      </c>
      <c r="Z25" s="36">
        <v>155572</v>
      </c>
      <c r="AA25" s="36">
        <v>923</v>
      </c>
      <c r="AB25" s="36">
        <v>54071</v>
      </c>
      <c r="AC25" s="36">
        <v>4114</v>
      </c>
      <c r="AD25" s="34">
        <v>828</v>
      </c>
      <c r="AE25" s="34">
        <v>3</v>
      </c>
    </row>
    <row customHeight="true" ht="18.452380952380953" r="26">
      <c r="A26" s="19"/>
      <c r="B26" s="38" t="s">
        <v>42</v>
      </c>
      <c r="C26" s="38"/>
      <c r="D26" s="58">
        <f>SUM(D23:D25)</f>
      </c>
      <c r="E26" s="58">
        <f>SUM(E23:E25)</f>
      </c>
      <c r="F26" s="58">
        <f>SUM(F23:F25)</f>
      </c>
      <c r="G26" s="58">
        <f>SUM(G23:G25)</f>
      </c>
      <c r="H26" s="58">
        <f>SUM(H23:H25)</f>
      </c>
      <c r="I26" s="58">
        <f>SUM(I23:I25)</f>
      </c>
      <c r="J26" s="42">
        <f t="shared" si="63"/>
      </c>
      <c r="K26" s="43">
        <f t="shared" si="87"/>
      </c>
      <c r="L26" s="44">
        <f t="shared" si="125"/>
      </c>
      <c r="M26" s="43">
        <f t="shared" si="106"/>
      </c>
      <c r="N26" s="43">
        <f t="shared" si="144"/>
      </c>
      <c r="O26" s="44">
        <f t="shared" si="163"/>
      </c>
      <c r="P26" s="43">
        <f t="shared" si="182"/>
      </c>
      <c r="Q26" s="43">
        <f t="shared" si="201"/>
      </c>
      <c r="R26" s="45">
        <f t="shared" si="220"/>
      </c>
      <c r="S26" s="46">
        <f t="shared" si="239"/>
      </c>
      <c r="T26" s="45">
        <f t="shared" si="258"/>
      </c>
      <c r="U26" s="45"/>
      <c r="V26" s="47"/>
      <c r="W26" s="47"/>
      <c r="X26" s="47"/>
      <c r="Y26" s="48">
        <f>SUM(Y23:Y25)</f>
      </c>
      <c r="Z26" s="58">
        <f>SUM(Z23:Z25)</f>
      </c>
      <c r="AA26" s="58">
        <f>SUM(AA23:AA25)</f>
      </c>
      <c r="AB26" s="58">
        <f>SUM(AB23:AB25)</f>
      </c>
      <c r="AC26" s="58">
        <f>SUM(AC23:AC25)</f>
      </c>
      <c r="AD26" s="58">
        <f>SUM(AD23:AD25)</f>
      </c>
      <c r="AE26" s="59">
        <f>SUM(AE23:AE25)</f>
      </c>
    </row>
    <row r="27">
      <c r="A27" s="19"/>
      <c r="B27" s="20" t="s">
        <v>53</v>
      </c>
      <c r="C27" s="21" t="s">
        <v>44</v>
      </c>
      <c r="D27" s="37">
        <f t="shared" ref="D27:D31" si="4">E27+F27+G27</f>
      </c>
      <c r="E27" s="24">
        <v>1169.961</v>
      </c>
      <c r="F27" s="37">
        <v>1062.001</v>
      </c>
      <c r="G27" s="37">
        <v>692.516</v>
      </c>
      <c r="H27" s="25">
        <v>2</v>
      </c>
      <c r="I27" s="26">
        <v>1963.6800000000003</v>
      </c>
      <c r="J27" s="27">
        <f t="shared" si="63"/>
      </c>
      <c r="K27" s="28">
        <f t="shared" si="87"/>
      </c>
      <c r="L27" s="29">
        <f t="shared" si="125"/>
      </c>
      <c r="M27" s="28">
        <f t="shared" si="106"/>
      </c>
      <c r="N27" s="28">
        <f t="shared" si="144"/>
      </c>
      <c r="O27" s="29">
        <f t="shared" si="163"/>
      </c>
      <c r="P27" s="28">
        <f t="shared" si="182"/>
      </c>
      <c r="Q27" s="28">
        <f t="shared" si="201"/>
      </c>
      <c r="R27" s="30">
        <f t="shared" si="220"/>
      </c>
      <c r="S27" s="31">
        <f t="shared" si="239"/>
      </c>
      <c r="T27" s="30">
        <f t="shared" si="258"/>
      </c>
      <c r="U27" s="30"/>
      <c r="V27" s="49" t="s">
        <v>35</v>
      </c>
      <c r="W27" s="33" t="s">
        <v>39</v>
      </c>
      <c r="X27" s="33"/>
      <c r="Y27" s="34">
        <v>1</v>
      </c>
      <c r="Z27" s="35">
        <v>183032</v>
      </c>
      <c r="AA27" s="36">
        <v>1362</v>
      </c>
      <c r="AB27" s="36">
        <v>62725</v>
      </c>
      <c r="AC27" s="36">
        <v>3934</v>
      </c>
      <c r="AD27" s="36">
        <v>885</v>
      </c>
      <c r="AE27" s="34">
        <v>4</v>
      </c>
    </row>
    <row r="28">
      <c r="A28" s="19"/>
      <c r="B28" s="20" t="s">
        <v>43</v>
      </c>
      <c r="C28" s="21" t="s">
        <v>44</v>
      </c>
      <c r="D28" s="37">
        <f t="shared" si="4"/>
      </c>
      <c r="E28" s="24">
        <v>440.969</v>
      </c>
      <c r="F28" s="37">
        <v>1642.456</v>
      </c>
      <c r="G28" s="37">
        <v>369.958</v>
      </c>
      <c r="H28" s="25">
        <v>3</v>
      </c>
      <c r="I28" s="26">
        <v>3096.3600000000006</v>
      </c>
      <c r="J28" s="27">
        <f t="shared" si="63"/>
      </c>
      <c r="K28" s="28">
        <f t="shared" si="87"/>
      </c>
      <c r="L28" s="29">
        <f t="shared" si="125"/>
      </c>
      <c r="M28" s="28">
        <f t="shared" si="106"/>
      </c>
      <c r="N28" s="28">
        <f t="shared" si="144"/>
      </c>
      <c r="O28" s="29">
        <f t="shared" si="163"/>
      </c>
      <c r="P28" s="28">
        <f t="shared" si="182"/>
      </c>
      <c r="Q28" s="28">
        <f t="shared" si="201"/>
      </c>
      <c r="R28" s="30">
        <f t="shared" si="220"/>
      </c>
      <c r="S28" s="31">
        <f t="shared" si="239"/>
      </c>
      <c r="T28" s="30">
        <f t="shared" si="258"/>
      </c>
      <c r="U28" s="30"/>
      <c r="V28" s="49" t="s">
        <v>35</v>
      </c>
      <c r="W28" s="33" t="s">
        <v>39</v>
      </c>
      <c r="X28" s="33"/>
      <c r="Y28" s="34">
        <v>3</v>
      </c>
      <c r="Z28" s="36">
        <v>97487</v>
      </c>
      <c r="AA28" s="36">
        <v>646</v>
      </c>
      <c r="AB28" s="36">
        <v>93670</v>
      </c>
      <c r="AC28" s="36">
        <v>5411</v>
      </c>
      <c r="AD28" s="36">
        <v>597</v>
      </c>
      <c r="AE28" s="34">
        <v>4</v>
      </c>
    </row>
    <row r="29">
      <c r="A29" s="19"/>
      <c r="B29" s="20" t="s">
        <v>45</v>
      </c>
      <c r="C29" s="21" t="s">
        <v>44</v>
      </c>
      <c r="D29" s="37">
        <f t="shared" si="4"/>
      </c>
      <c r="E29" s="24">
        <v>52.032</v>
      </c>
      <c r="F29" s="37">
        <v>805.203</v>
      </c>
      <c r="G29" s="37">
        <v>508.537</v>
      </c>
      <c r="H29" s="25">
        <v>0</v>
      </c>
      <c r="I29" s="26">
        <v>0</v>
      </c>
      <c r="J29" s="27">
        <f t="shared" si="63"/>
      </c>
      <c r="K29" s="28">
        <f t="shared" si="87"/>
      </c>
      <c r="L29" s="29">
        <f t="shared" si="125"/>
      </c>
      <c r="M29" s="28">
        <f t="shared" si="106"/>
      </c>
      <c r="N29" s="28">
        <f t="shared" si="144"/>
      </c>
      <c r="O29" s="29">
        <f t="shared" si="163"/>
      </c>
      <c r="P29" s="28">
        <f t="shared" si="182"/>
      </c>
      <c r="Q29" s="28">
        <f t="shared" si="201"/>
      </c>
      <c r="R29" s="30">
        <f t="shared" si="220"/>
      </c>
      <c r="S29" s="31">
        <f t="shared" si="239"/>
      </c>
      <c r="T29" s="30">
        <f t="shared" si="258"/>
      </c>
      <c r="U29" s="30"/>
      <c r="V29" s="49" t="s">
        <v>35</v>
      </c>
      <c r="W29" s="33" t="s">
        <v>39</v>
      </c>
      <c r="X29" s="33"/>
      <c r="Y29" s="34">
        <v>0</v>
      </c>
      <c r="Z29" s="36">
        <v>42474</v>
      </c>
      <c r="AA29" s="36">
        <v>301</v>
      </c>
      <c r="AB29" s="36">
        <v>34579</v>
      </c>
      <c r="AC29" s="36">
        <v>1928</v>
      </c>
      <c r="AD29" s="36">
        <v>341</v>
      </c>
      <c r="AE29" s="34">
        <v>1</v>
      </c>
    </row>
    <row r="30">
      <c r="A30" s="19"/>
      <c r="B30" s="20" t="s">
        <v>46</v>
      </c>
      <c r="C30" s="21" t="s">
        <v>44</v>
      </c>
      <c r="D30" s="37">
        <f t="shared" si="4"/>
      </c>
      <c r="E30" s="24">
        <v>46.148</v>
      </c>
      <c r="F30" s="37">
        <v>347.592</v>
      </c>
      <c r="G30" s="37">
        <v>565.603</v>
      </c>
      <c r="H30" s="25">
        <v>1</v>
      </c>
      <c r="I30" s="26">
        <v>1212.479999999996</v>
      </c>
      <c r="J30" s="27">
        <f t="shared" si="63"/>
      </c>
      <c r="K30" s="28">
        <f t="shared" si="87"/>
      </c>
      <c r="L30" s="29">
        <f t="shared" si="125"/>
      </c>
      <c r="M30" s="28">
        <f t="shared" si="106"/>
      </c>
      <c r="N30" s="28">
        <f t="shared" si="144"/>
      </c>
      <c r="O30" s="29">
        <f t="shared" si="163"/>
      </c>
      <c r="P30" s="28">
        <f t="shared" si="182"/>
      </c>
      <c r="Q30" s="28">
        <f t="shared" si="201"/>
      </c>
      <c r="R30" s="30">
        <f t="shared" si="220"/>
      </c>
      <c r="S30" s="31">
        <f t="shared" si="239"/>
      </c>
      <c r="T30" s="30">
        <f t="shared" si="258"/>
      </c>
      <c r="U30" s="30"/>
      <c r="V30" s="49" t="s">
        <v>35</v>
      </c>
      <c r="W30" s="33" t="s">
        <v>39</v>
      </c>
      <c r="X30" s="33"/>
      <c r="Y30" s="34">
        <v>1</v>
      </c>
      <c r="Z30" s="36">
        <v>41292</v>
      </c>
      <c r="AA30" s="36">
        <v>255</v>
      </c>
      <c r="AB30" s="36">
        <v>11759</v>
      </c>
      <c r="AC30" s="36">
        <v>696</v>
      </c>
      <c r="AD30" s="36">
        <v>234</v>
      </c>
      <c r="AE30" s="34">
        <v>1</v>
      </c>
    </row>
    <row r="31">
      <c r="A31" s="19"/>
      <c r="B31" s="20" t="s">
        <v>47</v>
      </c>
      <c r="C31" s="21" t="s">
        <v>44</v>
      </c>
      <c r="D31" s="37">
        <f t="shared" si="4"/>
      </c>
      <c r="E31" s="24">
        <f>25.078+0.029+0.014+0.267+0.023+0.492</f>
      </c>
      <c r="F31" s="37">
        <v>227.93</v>
      </c>
      <c r="G31" s="24">
        <v>525.852</v>
      </c>
      <c r="H31" s="25">
        <v>2</v>
      </c>
      <c r="I31" s="26">
        <v>1491.2400000000016</v>
      </c>
      <c r="J31" s="27">
        <f t="shared" si="63"/>
      </c>
      <c r="K31" s="28">
        <f t="shared" si="87"/>
      </c>
      <c r="L31" s="29">
        <f t="shared" si="125"/>
      </c>
      <c r="M31" s="28">
        <f t="shared" si="106"/>
      </c>
      <c r="N31" s="28">
        <f t="shared" si="144"/>
      </c>
      <c r="O31" s="29">
        <f t="shared" si="163"/>
      </c>
      <c r="P31" s="28">
        <f t="shared" si="182"/>
      </c>
      <c r="Q31" s="28">
        <f t="shared" si="201"/>
      </c>
      <c r="R31" s="30">
        <f t="shared" si="220"/>
      </c>
      <c r="S31" s="31">
        <f t="shared" si="239"/>
      </c>
      <c r="T31" s="30">
        <f t="shared" si="258"/>
      </c>
      <c r="U31" s="30"/>
      <c r="V31" s="49" t="s">
        <v>35</v>
      </c>
      <c r="W31" s="33" t="s">
        <v>48</v>
      </c>
      <c r="X31" s="33"/>
      <c r="Y31" s="34">
        <v>2</v>
      </c>
      <c r="Z31" s="36">
        <v>41803</v>
      </c>
      <c r="AA31" s="36">
        <v>219</v>
      </c>
      <c r="AB31" s="36">
        <v>10547</v>
      </c>
      <c r="AC31" s="36">
        <v>530</v>
      </c>
      <c r="AD31" s="36">
        <v>165</v>
      </c>
      <c r="AE31" s="34">
        <v>4</v>
      </c>
    </row>
    <row r="32">
      <c r="A32" s="19"/>
      <c r="B32" s="38" t="s">
        <v>42</v>
      </c>
      <c r="C32" s="38"/>
      <c r="D32" s="39">
        <f>SUM(D27:D31)</f>
      </c>
      <c r="E32" s="39">
        <f>SUM(E27:E31)</f>
      </c>
      <c r="F32" s="39">
        <f>SUM(F27:F31)</f>
      </c>
      <c r="G32" s="39">
        <f>SUM(G27:G31)</f>
      </c>
      <c r="H32" s="40">
        <f>SUM(H27:H31)</f>
      </c>
      <c r="I32" s="41">
        <f>SUM(I27:I31)</f>
      </c>
      <c r="J32" s="42">
        <f t="shared" si="63"/>
      </c>
      <c r="K32" s="43">
        <f t="shared" si="87"/>
      </c>
      <c r="L32" s="44">
        <f t="shared" si="125"/>
      </c>
      <c r="M32" s="43">
        <f t="shared" si="106"/>
      </c>
      <c r="N32" s="43">
        <f t="shared" si="144"/>
      </c>
      <c r="O32" s="44">
        <f t="shared" si="163"/>
      </c>
      <c r="P32" s="43">
        <f t="shared" si="182"/>
      </c>
      <c r="Q32" s="43">
        <f t="shared" si="201"/>
      </c>
      <c r="R32" s="45">
        <f t="shared" si="220"/>
      </c>
      <c r="S32" s="46">
        <f t="shared" si="239"/>
      </c>
      <c r="T32" s="45">
        <f t="shared" si="258"/>
      </c>
      <c r="U32" s="45"/>
      <c r="V32" s="47"/>
      <c r="W32" s="47"/>
      <c r="X32" s="47"/>
      <c r="Y32" s="48">
        <f>SUM(Y27:Y31)</f>
      </c>
      <c r="Z32" s="48">
        <f>SUM(Z27:Z31)</f>
      </c>
      <c r="AA32" s="48">
        <f>SUM(AA27:AA31)</f>
      </c>
      <c r="AB32" s="48">
        <f>SUM(AB27:AB31)</f>
      </c>
      <c r="AC32" s="48">
        <f>SUM(AC27:AC31)</f>
      </c>
      <c r="AD32" s="48">
        <f>SUM(AD27:AD31)</f>
      </c>
      <c r="AE32" s="48">
        <f>SUM(AE27:AE31)</f>
      </c>
    </row>
    <row r="33">
      <c r="A33" s="19"/>
      <c r="B33" s="50" t="s">
        <v>49</v>
      </c>
      <c r="C33" s="50"/>
      <c r="D33" s="51">
        <f>D32+D26+D22</f>
      </c>
      <c r="E33" s="51">
        <f>E32+E26+E22</f>
      </c>
      <c r="F33" s="51">
        <f>F32+F26+F22</f>
      </c>
      <c r="G33" s="51">
        <f>G32+G26+G22</f>
      </c>
      <c r="H33" s="60">
        <f>H32+H26+H22</f>
      </c>
      <c r="I33" s="51">
        <f>I32+I26+I22</f>
      </c>
      <c r="J33" s="54">
        <f t="shared" si="63"/>
      </c>
      <c r="K33" s="55">
        <f t="shared" si="87"/>
      </c>
      <c r="L33" s="54">
        <f t="shared" si="125"/>
      </c>
      <c r="M33" s="55">
        <f t="shared" si="106"/>
      </c>
      <c r="N33" s="55">
        <f t="shared" si="144"/>
      </c>
      <c r="O33" s="54">
        <f t="shared" si="163"/>
      </c>
      <c r="P33" s="55">
        <f t="shared" si="182"/>
      </c>
      <c r="Q33" s="55">
        <f t="shared" si="201"/>
      </c>
      <c r="R33" s="54">
        <f t="shared" si="220"/>
      </c>
      <c r="S33" s="56">
        <f t="shared" si="239"/>
      </c>
      <c r="T33" s="54">
        <f t="shared" si="258"/>
      </c>
      <c r="U33" s="54"/>
      <c r="V33" s="57"/>
      <c r="W33" s="57"/>
      <c r="X33" s="57"/>
      <c r="Y33" s="53">
        <f>Y32+Y26+Y22</f>
      </c>
      <c r="Z33" s="53">
        <f>Z32+Z26+Z22</f>
      </c>
      <c r="AA33" s="53">
        <f>AA32+AA26+AA22</f>
      </c>
      <c r="AB33" s="53">
        <f>AB32+AB26+AB22</f>
      </c>
      <c r="AC33" s="53">
        <f>AC32+AC26+AC22</f>
      </c>
      <c r="AD33" s="53">
        <f>AD32+AD26+AD22</f>
      </c>
      <c r="AE33" s="53">
        <f>AE32+AE26+AE22</f>
      </c>
    </row>
    <row r="34">
      <c r="A34" s="1" t="s">
        <v>1</v>
      </c>
      <c r="B34" s="1"/>
      <c r="C34" s="1"/>
      <c r="D34" s="2" t="s">
        <v>2</v>
      </c>
      <c r="E34" s="2"/>
      <c r="F34" s="2"/>
      <c r="G34" s="2"/>
      <c r="H34" s="2"/>
      <c r="I34" s="2"/>
      <c r="J34" s="2"/>
      <c r="K34" s="3" t="s">
        <v>3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4"/>
      <c r="W34" s="4"/>
      <c r="X34" s="4"/>
      <c r="Y34" s="5"/>
      <c r="Z34" s="5"/>
      <c r="AA34" s="5"/>
      <c r="AB34" s="5"/>
      <c r="AC34" s="5"/>
      <c r="AD34" s="5"/>
      <c r="AE34" s="5"/>
    </row>
    <row r="35">
      <c r="A35" s="6" t="s">
        <v>4</v>
      </c>
      <c r="B35" s="7" t="s">
        <v>5</v>
      </c>
      <c r="C35" s="7" t="s">
        <v>6</v>
      </c>
      <c r="D35" s="8" t="s">
        <v>7</v>
      </c>
      <c r="E35" s="9" t="s">
        <v>8</v>
      </c>
      <c r="F35" s="9" t="s">
        <v>9</v>
      </c>
      <c r="G35" s="10" t="s">
        <v>10</v>
      </c>
      <c r="H35" s="11" t="s">
        <v>11</v>
      </c>
      <c r="I35" s="11" t="s">
        <v>12</v>
      </c>
      <c r="J35" s="12" t="s">
        <v>13</v>
      </c>
      <c r="K35" s="3" t="s">
        <v>14</v>
      </c>
      <c r="L35" s="3" t="s">
        <v>15</v>
      </c>
      <c r="M35" s="13" t="s">
        <v>16</v>
      </c>
      <c r="N35" s="13" t="s">
        <v>17</v>
      </c>
      <c r="O35" s="3" t="s">
        <v>18</v>
      </c>
      <c r="P35" s="13" t="s">
        <v>19</v>
      </c>
      <c r="Q35" s="13" t="s">
        <v>20</v>
      </c>
      <c r="R35" s="14" t="s">
        <v>21</v>
      </c>
      <c r="S35" s="13" t="s">
        <v>22</v>
      </c>
      <c r="T35" s="14" t="s">
        <v>23</v>
      </c>
      <c r="U35" s="14"/>
      <c r="V35" s="15" t="s">
        <v>24</v>
      </c>
      <c r="W35" s="15" t="s">
        <v>25</v>
      </c>
      <c r="X35" s="15"/>
      <c r="Y35" s="16" t="s">
        <v>26</v>
      </c>
      <c r="Z35" s="17" t="s">
        <v>27</v>
      </c>
      <c r="AA35" s="17" t="s">
        <v>28</v>
      </c>
      <c r="AB35" s="17" t="s">
        <v>29</v>
      </c>
      <c r="AC35" s="17" t="s">
        <v>30</v>
      </c>
      <c r="AD35" s="17" t="s">
        <v>31</v>
      </c>
      <c r="AE35" s="18" t="s">
        <v>32</v>
      </c>
    </row>
    <row r="36">
      <c r="A36" s="19">
        <v>46298</v>
      </c>
      <c r="B36" s="20" t="s">
        <v>50</v>
      </c>
      <c r="C36" s="21" t="s">
        <v>34</v>
      </c>
      <c r="D36" s="37">
        <f t="shared" ref="D36:D39" si="5">E36+F36+G36</f>
      </c>
      <c r="E36" s="24">
        <v>22.06</v>
      </c>
      <c r="F36" s="24">
        <v>192.966</v>
      </c>
      <c r="G36" s="24">
        <v>474.506</v>
      </c>
      <c r="H36" s="25">
        <v>1</v>
      </c>
      <c r="I36" s="26">
        <v>274.2</v>
      </c>
      <c r="J36" s="27">
        <f t="shared" ref="J36:J51" si="64">I36/D36</f>
      </c>
      <c r="K36" s="28">
        <f t="shared" ref="K36:K51" si="88">AA36/Z36</f>
      </c>
      <c r="L36" s="29">
        <f t="shared" ref="L36:L51" si="126">D36/AB36</f>
      </c>
      <c r="M36" s="28">
        <f t="shared" ref="M36:M51" si="107">AC36/AB36</f>
      </c>
      <c r="N36" s="28">
        <f t="shared" ref="N36:N51" si="145">AD36/AB36</f>
      </c>
      <c r="O36" s="29">
        <f t="shared" ref="O36:O51" si="164">D36/AD36</f>
      </c>
      <c r="P36" s="28">
        <f t="shared" ref="P36:P51" si="183">AE36/AD36</f>
      </c>
      <c r="Q36" s="28">
        <f t="shared" ref="Q36:Q51" si="202">H36/AE36</f>
      </c>
      <c r="R36" s="30">
        <f t="shared" ref="R36:R51" si="221">D36/H36</f>
      </c>
      <c r="S36" s="31">
        <f t="shared" ref="S36:S51" si="240">I36/H36</f>
      </c>
      <c r="T36" s="30">
        <f t="shared" ref="T36:T51" si="259">D36/Y36</f>
      </c>
      <c r="U36" s="30"/>
      <c r="V36" s="32" t="s">
        <v>35</v>
      </c>
      <c r="W36" s="33" t="s">
        <v>36</v>
      </c>
      <c r="X36" s="33"/>
      <c r="Y36" s="34">
        <v>1</v>
      </c>
      <c r="Z36" s="35">
        <v>21066</v>
      </c>
      <c r="AA36" s="36">
        <v>65</v>
      </c>
      <c r="AB36" s="34">
        <v>7371</v>
      </c>
      <c r="AC36" s="34">
        <v>498</v>
      </c>
      <c r="AD36" s="34">
        <v>95</v>
      </c>
      <c r="AE36" s="34">
        <v>1</v>
      </c>
    </row>
    <row r="37">
      <c r="A37" s="19"/>
      <c r="B37" s="20" t="s">
        <v>51</v>
      </c>
      <c r="C37" s="21" t="s">
        <v>34</v>
      </c>
      <c r="D37" s="37">
        <f t="shared" si="5"/>
      </c>
      <c r="E37" s="24">
        <v>18.093</v>
      </c>
      <c r="F37" s="24">
        <v>175.636</v>
      </c>
      <c r="G37" s="24">
        <v>474.761</v>
      </c>
      <c r="H37" s="25">
        <v>1</v>
      </c>
      <c r="I37" s="26">
        <v>2602.8</v>
      </c>
      <c r="J37" s="27">
        <f t="shared" si="64"/>
      </c>
      <c r="K37" s="28">
        <f t="shared" si="88"/>
      </c>
      <c r="L37" s="29">
        <f t="shared" si="126"/>
      </c>
      <c r="M37" s="28">
        <f t="shared" si="107"/>
      </c>
      <c r="N37" s="28">
        <f t="shared" si="145"/>
      </c>
      <c r="O37" s="29">
        <f t="shared" si="164"/>
      </c>
      <c r="P37" s="28">
        <f t="shared" si="183"/>
      </c>
      <c r="Q37" s="28">
        <f t="shared" si="202"/>
      </c>
      <c r="R37" s="30">
        <f t="shared" si="221"/>
      </c>
      <c r="S37" s="31">
        <f t="shared" si="240"/>
      </c>
      <c r="T37" s="30">
        <f t="shared" si="259"/>
      </c>
      <c r="U37" s="30"/>
      <c r="V37" s="32" t="s">
        <v>35</v>
      </c>
      <c r="W37" s="33" t="s">
        <v>36</v>
      </c>
      <c r="X37" s="33"/>
      <c r="Y37" s="34">
        <v>1</v>
      </c>
      <c r="Z37" s="35">
        <v>17637</v>
      </c>
      <c r="AA37" s="36">
        <v>116</v>
      </c>
      <c r="AB37" s="34">
        <v>7904</v>
      </c>
      <c r="AC37" s="34">
        <v>550</v>
      </c>
      <c r="AD37" s="34">
        <v>168</v>
      </c>
      <c r="AE37" s="34">
        <v>4</v>
      </c>
    </row>
    <row r="38">
      <c r="A38" s="19"/>
      <c r="B38" s="20" t="s">
        <v>33</v>
      </c>
      <c r="C38" s="21" t="s">
        <v>34</v>
      </c>
      <c r="D38" s="37">
        <f t="shared" si="5"/>
      </c>
      <c r="E38" s="24">
        <v>32.881</v>
      </c>
      <c r="F38" s="24">
        <v>267.407</v>
      </c>
      <c r="G38" s="24">
        <v>341.417</v>
      </c>
      <c r="H38" s="25">
        <v>0</v>
      </c>
      <c r="I38" s="26">
        <v>0</v>
      </c>
      <c r="J38" s="27">
        <f t="shared" si="64"/>
      </c>
      <c r="K38" s="28">
        <f t="shared" si="88"/>
      </c>
      <c r="L38" s="29">
        <f t="shared" si="126"/>
      </c>
      <c r="M38" s="28">
        <f t="shared" si="107"/>
      </c>
      <c r="N38" s="28">
        <f t="shared" si="145"/>
      </c>
      <c r="O38" s="29">
        <f t="shared" si="164"/>
      </c>
      <c r="P38" s="28">
        <f t="shared" si="183"/>
      </c>
      <c r="Q38" s="28">
        <f t="shared" si="202"/>
      </c>
      <c r="R38" s="30">
        <f t="shared" si="221"/>
      </c>
      <c r="S38" s="31">
        <f t="shared" si="240"/>
      </c>
      <c r="T38" s="30">
        <f t="shared" si="259"/>
      </c>
      <c r="U38" s="30"/>
      <c r="V38" s="32" t="s">
        <v>35</v>
      </c>
      <c r="W38" s="33" t="s">
        <v>36</v>
      </c>
      <c r="X38" s="33"/>
      <c r="Y38" s="34">
        <v>0</v>
      </c>
      <c r="Z38" s="35">
        <v>15202</v>
      </c>
      <c r="AA38" s="36">
        <v>82</v>
      </c>
      <c r="AB38" s="34">
        <v>6754</v>
      </c>
      <c r="AC38" s="34">
        <v>419</v>
      </c>
      <c r="AD38" s="34">
        <v>149</v>
      </c>
      <c r="AE38" s="34">
        <v>0</v>
      </c>
    </row>
    <row r="39">
      <c r="A39" s="19"/>
      <c r="B39" s="20" t="s">
        <v>37</v>
      </c>
      <c r="C39" s="21" t="s">
        <v>34</v>
      </c>
      <c r="D39" s="37">
        <f t="shared" si="5"/>
      </c>
      <c r="E39" s="24">
        <v>39.043</v>
      </c>
      <c r="F39" s="37">
        <v>177.19</v>
      </c>
      <c r="G39" s="37">
        <v>316.566</v>
      </c>
      <c r="H39" s="25">
        <v>1</v>
      </c>
      <c r="I39" s="26">
        <v>4902.239999999999</v>
      </c>
      <c r="J39" s="27">
        <f t="shared" si="64"/>
      </c>
      <c r="K39" s="28">
        <f t="shared" si="88"/>
      </c>
      <c r="L39" s="29">
        <f t="shared" si="126"/>
      </c>
      <c r="M39" s="28">
        <f t="shared" si="107"/>
      </c>
      <c r="N39" s="28">
        <f t="shared" si="145"/>
      </c>
      <c r="O39" s="29">
        <f t="shared" si="164"/>
      </c>
      <c r="P39" s="28">
        <f t="shared" si="183"/>
      </c>
      <c r="Q39" s="28">
        <f t="shared" si="202"/>
      </c>
      <c r="R39" s="30">
        <f t="shared" si="221"/>
      </c>
      <c r="S39" s="31">
        <f t="shared" si="240"/>
      </c>
      <c r="T39" s="30">
        <f t="shared" si="259"/>
      </c>
      <c r="U39" s="30"/>
      <c r="V39" s="32" t="s">
        <v>35</v>
      </c>
      <c r="W39" s="33" t="s">
        <v>36</v>
      </c>
      <c r="X39" s="33"/>
      <c r="Y39" s="34">
        <v>1</v>
      </c>
      <c r="Z39" s="36">
        <v>7956</v>
      </c>
      <c r="AA39" s="36">
        <v>46</v>
      </c>
      <c r="AB39" s="36">
        <v>4166</v>
      </c>
      <c r="AC39" s="36">
        <v>324</v>
      </c>
      <c r="AD39" s="34">
        <v>37</v>
      </c>
      <c r="AE39" s="34">
        <v>1</v>
      </c>
    </row>
    <row r="40">
      <c r="A40" s="19"/>
      <c r="B40" s="38" t="s">
        <v>42</v>
      </c>
      <c r="C40" s="38"/>
      <c r="D40" s="61">
        <f>SUM(D36:D39)</f>
      </c>
      <c r="E40" s="61">
        <f>SUM(E36:E39)</f>
      </c>
      <c r="F40" s="61">
        <f>SUM(F36:F39)</f>
      </c>
      <c r="G40" s="61">
        <f>SUM(G36:G39)</f>
      </c>
      <c r="H40" s="40">
        <f>SUM(H36:H39)</f>
      </c>
      <c r="I40" s="62">
        <f>SUM(I36:I39)</f>
      </c>
      <c r="J40" s="42">
        <f t="shared" si="64"/>
      </c>
      <c r="K40" s="43">
        <f t="shared" si="88"/>
      </c>
      <c r="L40" s="44">
        <f t="shared" si="126"/>
      </c>
      <c r="M40" s="43">
        <f t="shared" si="107"/>
      </c>
      <c r="N40" s="43">
        <f t="shared" si="145"/>
      </c>
      <c r="O40" s="44">
        <f t="shared" si="164"/>
      </c>
      <c r="P40" s="43">
        <f t="shared" si="183"/>
      </c>
      <c r="Q40" s="43">
        <f t="shared" si="202"/>
      </c>
      <c r="R40" s="45">
        <f t="shared" si="221"/>
      </c>
      <c r="S40" s="46">
        <f t="shared" si="240"/>
      </c>
      <c r="T40" s="45">
        <f t="shared" si="259"/>
      </c>
      <c r="U40" s="45"/>
      <c r="V40" s="47"/>
      <c r="W40" s="47"/>
      <c r="X40" s="47"/>
      <c r="Y40" s="48">
        <f>SUM(Y36:Y39)</f>
      </c>
      <c r="Z40" s="48">
        <f>SUM(Z36:Z39)</f>
      </c>
      <c r="AA40" s="48">
        <f>SUM(AA36:AA39)</f>
      </c>
      <c r="AB40" s="48">
        <f>SUM(AB36:AB39)</f>
      </c>
      <c r="AC40" s="48">
        <f>SUM(AC36:AC39)</f>
      </c>
      <c r="AD40" s="48">
        <f>SUM(AD36:AD39)</f>
      </c>
      <c r="AE40" s="48">
        <f>SUM(AE36:AE39)</f>
      </c>
    </row>
    <row r="41">
      <c r="A41" s="19"/>
      <c r="B41" s="20" t="s">
        <v>38</v>
      </c>
      <c r="C41" s="21" t="s">
        <v>52</v>
      </c>
      <c r="D41" s="37">
        <f t="shared" ref="D41:D43" si="6">E41+F41+G41</f>
      </c>
      <c r="E41" s="24">
        <v>20.795</v>
      </c>
      <c r="F41" s="37">
        <v>187.482</v>
      </c>
      <c r="G41" s="37">
        <v>246.878</v>
      </c>
      <c r="H41" s="25">
        <v>1</v>
      </c>
      <c r="I41" s="63">
        <v>2409.999999999999</v>
      </c>
      <c r="J41" s="27">
        <f t="shared" si="64"/>
      </c>
      <c r="K41" s="28">
        <f t="shared" si="88"/>
      </c>
      <c r="L41" s="29">
        <f t="shared" si="126"/>
      </c>
      <c r="M41" s="28">
        <f t="shared" si="107"/>
      </c>
      <c r="N41" s="28">
        <f t="shared" si="145"/>
      </c>
      <c r="O41" s="29">
        <f t="shared" si="164"/>
      </c>
      <c r="P41" s="28">
        <f t="shared" si="183"/>
      </c>
      <c r="Q41" s="28">
        <f t="shared" si="202"/>
      </c>
      <c r="R41" s="30">
        <f t="shared" si="221"/>
      </c>
      <c r="S41" s="31">
        <f t="shared" si="240"/>
      </c>
      <c r="T41" s="30">
        <f t="shared" si="259"/>
      </c>
      <c r="U41" s="30"/>
      <c r="V41" s="32" t="s">
        <v>35</v>
      </c>
      <c r="W41" s="33" t="s">
        <v>54</v>
      </c>
      <c r="X41" s="33"/>
      <c r="Y41" s="34">
        <v>1</v>
      </c>
      <c r="Z41" s="35">
        <v>9109</v>
      </c>
      <c r="AA41" s="36">
        <v>49</v>
      </c>
      <c r="AB41" s="34">
        <v>2887</v>
      </c>
      <c r="AC41" s="34">
        <v>192</v>
      </c>
      <c r="AD41" s="34">
        <v>133</v>
      </c>
      <c r="AE41" s="34">
        <v>3</v>
      </c>
    </row>
    <row r="42">
      <c r="A42" s="19"/>
      <c r="B42" s="20" t="s">
        <v>40</v>
      </c>
      <c r="C42" s="21" t="s">
        <v>52</v>
      </c>
      <c r="D42" s="37">
        <f t="shared" si="6"/>
      </c>
      <c r="E42" s="24">
        <v>45.121</v>
      </c>
      <c r="F42" s="37">
        <v>153.951</v>
      </c>
      <c r="G42" s="37">
        <v>290.498</v>
      </c>
      <c r="H42" s="25">
        <v>1</v>
      </c>
      <c r="I42" s="63">
        <v>683.4000000000015</v>
      </c>
      <c r="J42" s="27">
        <f t="shared" si="64"/>
      </c>
      <c r="K42" s="28">
        <f t="shared" si="88"/>
      </c>
      <c r="L42" s="29">
        <f t="shared" si="126"/>
      </c>
      <c r="M42" s="28">
        <f t="shared" si="107"/>
      </c>
      <c r="N42" s="28">
        <f t="shared" si="145"/>
      </c>
      <c r="O42" s="29">
        <f t="shared" si="164"/>
      </c>
      <c r="P42" s="28">
        <f t="shared" si="183"/>
      </c>
      <c r="Q42" s="28">
        <f t="shared" si="202"/>
      </c>
      <c r="R42" s="30">
        <f t="shared" si="221"/>
      </c>
      <c r="S42" s="31">
        <f t="shared" si="240"/>
      </c>
      <c r="T42" s="30">
        <f t="shared" si="259"/>
      </c>
      <c r="U42" s="30"/>
      <c r="V42" s="32" t="s">
        <v>35</v>
      </c>
      <c r="W42" s="33" t="s">
        <v>54</v>
      </c>
      <c r="X42" s="33"/>
      <c r="Y42" s="34">
        <v>1</v>
      </c>
      <c r="Z42" s="35">
        <v>8034</v>
      </c>
      <c r="AA42" s="35">
        <v>43</v>
      </c>
      <c r="AB42" s="36">
        <v>2924</v>
      </c>
      <c r="AC42" s="36">
        <v>223</v>
      </c>
      <c r="AD42" s="34">
        <v>87</v>
      </c>
      <c r="AE42" s="34">
        <v>4</v>
      </c>
    </row>
    <row r="43">
      <c r="A43" s="19"/>
      <c r="B43" s="20" t="s">
        <v>41</v>
      </c>
      <c r="C43" s="21" t="s">
        <v>52</v>
      </c>
      <c r="D43" s="37">
        <f t="shared" si="6"/>
      </c>
      <c r="E43" s="24">
        <v>179.525</v>
      </c>
      <c r="F43" s="37">
        <v>287.986</v>
      </c>
      <c r="G43" s="37">
        <v>273.48</v>
      </c>
      <c r="H43" s="25">
        <v>0</v>
      </c>
      <c r="I43" s="63">
        <v>0</v>
      </c>
      <c r="J43" s="27">
        <f t="shared" si="64"/>
      </c>
      <c r="K43" s="28">
        <f t="shared" si="88"/>
      </c>
      <c r="L43" s="29">
        <f t="shared" si="126"/>
      </c>
      <c r="M43" s="28">
        <f t="shared" si="107"/>
      </c>
      <c r="N43" s="28">
        <f t="shared" si="145"/>
      </c>
      <c r="O43" s="29">
        <f t="shared" si="164"/>
      </c>
      <c r="P43" s="28">
        <f t="shared" si="183"/>
      </c>
      <c r="Q43" s="28">
        <f t="shared" si="202"/>
      </c>
      <c r="R43" s="30">
        <f t="shared" si="221"/>
      </c>
      <c r="S43" s="31">
        <f t="shared" si="240"/>
      </c>
      <c r="T43" s="30">
        <f t="shared" si="259"/>
      </c>
      <c r="U43" s="30"/>
      <c r="V43" s="32" t="s">
        <v>35</v>
      </c>
      <c r="W43" s="33" t="s">
        <v>54</v>
      </c>
      <c r="X43" s="33"/>
      <c r="Y43" s="34">
        <v>0</v>
      </c>
      <c r="Z43" s="36">
        <v>14432</v>
      </c>
      <c r="AA43" s="36">
        <v>90</v>
      </c>
      <c r="AB43" s="36">
        <v>5221</v>
      </c>
      <c r="AC43" s="36">
        <v>376</v>
      </c>
      <c r="AD43" s="34">
        <v>135</v>
      </c>
      <c r="AE43" s="34">
        <v>0</v>
      </c>
    </row>
    <row r="44">
      <c r="A44" s="19"/>
      <c r="B44" s="38" t="s">
        <v>42</v>
      </c>
      <c r="C44" s="38"/>
      <c r="D44" s="61">
        <f>SUM(D41:D43)</f>
      </c>
      <c r="E44" s="61">
        <f>SUM(E41:E43)</f>
      </c>
      <c r="F44" s="61">
        <f>SUM(F41:F43)</f>
      </c>
      <c r="G44" s="61">
        <f>SUM(G41:G43)</f>
      </c>
      <c r="H44" s="40">
        <f>SUM(H41:H43)</f>
      </c>
      <c r="I44" s="62">
        <f>SUM(I41:I43)</f>
      </c>
      <c r="J44" s="42">
        <f t="shared" si="64"/>
      </c>
      <c r="K44" s="43">
        <f t="shared" si="88"/>
      </c>
      <c r="L44" s="44">
        <f t="shared" si="126"/>
      </c>
      <c r="M44" s="43">
        <f t="shared" si="107"/>
      </c>
      <c r="N44" s="43">
        <f t="shared" si="145"/>
      </c>
      <c r="O44" s="44">
        <f t="shared" si="164"/>
      </c>
      <c r="P44" s="43">
        <f t="shared" si="183"/>
      </c>
      <c r="Q44" s="43">
        <f t="shared" si="202"/>
      </c>
      <c r="R44" s="45">
        <f t="shared" si="221"/>
      </c>
      <c r="S44" s="46">
        <f t="shared" si="240"/>
      </c>
      <c r="T44" s="45">
        <f t="shared" si="259"/>
      </c>
      <c r="U44" s="45"/>
      <c r="V44" s="47"/>
      <c r="W44" s="47"/>
      <c r="X44" s="47"/>
      <c r="Y44" s="48">
        <f>SUM(Y41:Y43)</f>
      </c>
      <c r="Z44" s="58">
        <f>SUM(Z41:Z43)</f>
      </c>
      <c r="AA44" s="58">
        <f>SUM(AA41:AA43)</f>
      </c>
      <c r="AB44" s="58">
        <f>SUM(AB41:AB43)</f>
      </c>
      <c r="AC44" s="58">
        <f>SUM(AC41:AC43)</f>
      </c>
      <c r="AD44" s="58">
        <f>SUM(AD41:AD43)</f>
      </c>
      <c r="AE44" s="59">
        <f>SUM(AE41:AE43)</f>
      </c>
    </row>
    <row r="45">
      <c r="A45" s="19"/>
      <c r="B45" s="20" t="s">
        <v>53</v>
      </c>
      <c r="C45" s="21" t="s">
        <v>44</v>
      </c>
      <c r="D45" s="22">
        <f t="shared" ref="D45:D49" si="7">E45+F45+G45</f>
      </c>
      <c r="E45" s="24">
        <v>579.144</v>
      </c>
      <c r="F45" s="37">
        <v>538.218</v>
      </c>
      <c r="G45" s="24">
        <v>226.129</v>
      </c>
      <c r="H45" s="25">
        <v>5</v>
      </c>
      <c r="I45" s="63">
        <v>8018.48</v>
      </c>
      <c r="J45" s="27">
        <f t="shared" si="64"/>
      </c>
      <c r="K45" s="28">
        <f t="shared" si="88"/>
      </c>
      <c r="L45" s="29">
        <f t="shared" si="126"/>
      </c>
      <c r="M45" s="28">
        <f t="shared" si="107"/>
      </c>
      <c r="N45" s="28">
        <f t="shared" si="145"/>
      </c>
      <c r="O45" s="29">
        <f t="shared" si="164"/>
      </c>
      <c r="P45" s="28">
        <f t="shared" si="183"/>
      </c>
      <c r="Q45" s="28">
        <f t="shared" si="202"/>
      </c>
      <c r="R45" s="30">
        <f t="shared" si="221"/>
      </c>
      <c r="S45" s="31">
        <f t="shared" si="240"/>
      </c>
      <c r="T45" s="30">
        <f t="shared" si="259"/>
      </c>
      <c r="U45" s="30"/>
      <c r="V45" s="49" t="s">
        <v>35</v>
      </c>
      <c r="W45" s="33" t="s">
        <v>54</v>
      </c>
      <c r="X45" s="33"/>
      <c r="Y45" s="34">
        <v>5</v>
      </c>
      <c r="Z45" s="35">
        <v>42473</v>
      </c>
      <c r="AA45" s="36">
        <v>280</v>
      </c>
      <c r="AB45" s="36">
        <v>14737</v>
      </c>
      <c r="AC45" s="36">
        <v>893</v>
      </c>
      <c r="AD45" s="36">
        <v>498</v>
      </c>
      <c r="AE45" s="34">
        <v>7</v>
      </c>
    </row>
    <row r="46">
      <c r="A46" s="19"/>
      <c r="B46" s="20" t="s">
        <v>43</v>
      </c>
      <c r="C46" s="21" t="s">
        <v>44</v>
      </c>
      <c r="D46" s="22">
        <f t="shared" si="7"/>
      </c>
      <c r="E46" s="24">
        <v>974.165</v>
      </c>
      <c r="F46" s="37">
        <v>1064.981</v>
      </c>
      <c r="G46" s="37">
        <v>240.04</v>
      </c>
      <c r="H46" s="25">
        <v>1</v>
      </c>
      <c r="I46" s="63">
        <v>739.9199999999983</v>
      </c>
      <c r="J46" s="27">
        <f t="shared" si="64"/>
      </c>
      <c r="K46" s="28">
        <f t="shared" si="88"/>
      </c>
      <c r="L46" s="29">
        <f t="shared" si="126"/>
      </c>
      <c r="M46" s="28">
        <f t="shared" si="107"/>
      </c>
      <c r="N46" s="28">
        <f t="shared" si="145"/>
      </c>
      <c r="O46" s="29">
        <f t="shared" si="164"/>
      </c>
      <c r="P46" s="28">
        <f t="shared" si="183"/>
      </c>
      <c r="Q46" s="28">
        <f t="shared" si="202"/>
      </c>
      <c r="R46" s="30">
        <f t="shared" si="221"/>
      </c>
      <c r="S46" s="31">
        <f t="shared" si="240"/>
      </c>
      <c r="T46" s="30">
        <f t="shared" si="259"/>
      </c>
      <c r="U46" s="30"/>
      <c r="V46" s="49" t="s">
        <v>35</v>
      </c>
      <c r="W46" s="33" t="s">
        <v>54</v>
      </c>
      <c r="X46" s="33"/>
      <c r="Y46" s="34">
        <v>1</v>
      </c>
      <c r="Z46" s="36">
        <v>72955</v>
      </c>
      <c r="AA46" s="36">
        <v>553</v>
      </c>
      <c r="AB46" s="36">
        <v>59205</v>
      </c>
      <c r="AC46" s="36">
        <v>3028</v>
      </c>
      <c r="AD46" s="36">
        <v>740</v>
      </c>
      <c r="AE46" s="34">
        <v>2</v>
      </c>
    </row>
    <row r="47">
      <c r="A47" s="19"/>
      <c r="B47" s="20" t="s">
        <v>45</v>
      </c>
      <c r="C47" s="21" t="s">
        <v>44</v>
      </c>
      <c r="D47" s="22">
        <f t="shared" si="7"/>
      </c>
      <c r="E47" s="24">
        <v>781.649</v>
      </c>
      <c r="F47" s="37">
        <v>2478.562</v>
      </c>
      <c r="G47" s="37">
        <v>297.31</v>
      </c>
      <c r="H47" s="25">
        <v>4</v>
      </c>
      <c r="I47" s="63">
        <v>4928.2800000000025</v>
      </c>
      <c r="J47" s="27">
        <f t="shared" si="64"/>
      </c>
      <c r="K47" s="28">
        <f t="shared" si="88"/>
      </c>
      <c r="L47" s="29">
        <f t="shared" si="126"/>
      </c>
      <c r="M47" s="28">
        <f t="shared" si="107"/>
      </c>
      <c r="N47" s="28">
        <f t="shared" si="145"/>
      </c>
      <c r="O47" s="29">
        <f t="shared" si="164"/>
      </c>
      <c r="P47" s="28">
        <f t="shared" si="183"/>
      </c>
      <c r="Q47" s="28">
        <f t="shared" si="202"/>
      </c>
      <c r="R47" s="30">
        <f t="shared" si="221"/>
      </c>
      <c r="S47" s="31">
        <f t="shared" si="240"/>
      </c>
      <c r="T47" s="30">
        <f t="shared" si="259"/>
      </c>
      <c r="U47" s="30"/>
      <c r="V47" s="49" t="s">
        <v>35</v>
      </c>
      <c r="W47" s="33" t="s">
        <v>54</v>
      </c>
      <c r="X47" s="33"/>
      <c r="Y47" s="34">
        <v>4</v>
      </c>
      <c r="Z47" s="36">
        <v>111248</v>
      </c>
      <c r="AA47" s="36">
        <v>724</v>
      </c>
      <c r="AB47" s="36">
        <v>126815</v>
      </c>
      <c r="AC47" s="36">
        <v>6116</v>
      </c>
      <c r="AD47" s="36">
        <v>823</v>
      </c>
      <c r="AE47" s="34">
        <v>6</v>
      </c>
    </row>
    <row r="48">
      <c r="A48" s="19"/>
      <c r="B48" s="20" t="s">
        <v>46</v>
      </c>
      <c r="C48" s="21" t="s">
        <v>44</v>
      </c>
      <c r="D48" s="22">
        <f t="shared" si="7"/>
      </c>
      <c r="E48" s="24">
        <v>272.083</v>
      </c>
      <c r="F48" s="37">
        <v>1940.745</v>
      </c>
      <c r="G48" s="37">
        <v>468.833</v>
      </c>
      <c r="H48" s="25">
        <v>1</v>
      </c>
      <c r="I48" s="63">
        <v>2602.7999999999993</v>
      </c>
      <c r="J48" s="27">
        <f t="shared" si="64"/>
      </c>
      <c r="K48" s="28">
        <f t="shared" si="88"/>
      </c>
      <c r="L48" s="29">
        <f t="shared" si="126"/>
      </c>
      <c r="M48" s="28">
        <f t="shared" si="107"/>
      </c>
      <c r="N48" s="28">
        <f t="shared" si="145"/>
      </c>
      <c r="O48" s="29">
        <f t="shared" si="164"/>
      </c>
      <c r="P48" s="28">
        <f t="shared" si="183"/>
      </c>
      <c r="Q48" s="28">
        <f t="shared" si="202"/>
      </c>
      <c r="R48" s="30">
        <f t="shared" si="221"/>
      </c>
      <c r="S48" s="31">
        <f t="shared" si="240"/>
      </c>
      <c r="T48" s="30">
        <f t="shared" si="259"/>
      </c>
      <c r="U48" s="30"/>
      <c r="V48" s="49" t="s">
        <v>35</v>
      </c>
      <c r="W48" s="33" t="s">
        <v>54</v>
      </c>
      <c r="X48" s="33"/>
      <c r="Y48" s="34">
        <v>1</v>
      </c>
      <c r="Z48" s="36">
        <v>74038</v>
      </c>
      <c r="AA48" s="36">
        <v>323</v>
      </c>
      <c r="AB48" s="36">
        <v>103096</v>
      </c>
      <c r="AC48" s="36">
        <v>5641</v>
      </c>
      <c r="AD48" s="36">
        <v>570</v>
      </c>
      <c r="AE48" s="34">
        <v>4</v>
      </c>
    </row>
    <row r="49">
      <c r="A49" s="19"/>
      <c r="B49" s="20" t="s">
        <v>47</v>
      </c>
      <c r="C49" s="21" t="s">
        <v>44</v>
      </c>
      <c r="D49" s="22">
        <f t="shared" si="7"/>
      </c>
      <c r="E49" s="64">
        <f>174.664+0.672</f>
      </c>
      <c r="F49" s="24">
        <v>875.059</v>
      </c>
      <c r="G49" s="24">
        <v>299.478</v>
      </c>
      <c r="H49" s="25">
        <v>3</v>
      </c>
      <c r="I49" s="63">
        <v>2680.7999999999993</v>
      </c>
      <c r="J49" s="27">
        <f t="shared" si="64"/>
      </c>
      <c r="K49" s="28">
        <f t="shared" si="88"/>
      </c>
      <c r="L49" s="29">
        <f t="shared" si="126"/>
      </c>
      <c r="M49" s="28">
        <f t="shared" si="107"/>
      </c>
      <c r="N49" s="28">
        <f t="shared" si="145"/>
      </c>
      <c r="O49" s="29">
        <f t="shared" si="164"/>
      </c>
      <c r="P49" s="28">
        <f t="shared" si="183"/>
      </c>
      <c r="Q49" s="28">
        <f t="shared" si="202"/>
      </c>
      <c r="R49" s="30">
        <f t="shared" si="221"/>
      </c>
      <c r="S49" s="31">
        <f t="shared" si="240"/>
      </c>
      <c r="T49" s="30">
        <f t="shared" si="259"/>
      </c>
      <c r="U49" s="30"/>
      <c r="V49" s="49" t="s">
        <v>35</v>
      </c>
      <c r="W49" s="33" t="s">
        <v>54</v>
      </c>
      <c r="X49" s="33"/>
      <c r="Y49" s="34">
        <v>3</v>
      </c>
      <c r="Z49" s="36">
        <v>37234</v>
      </c>
      <c r="AA49" s="36">
        <v>228</v>
      </c>
      <c r="AB49" s="36">
        <v>39267</v>
      </c>
      <c r="AC49" s="36">
        <v>2184</v>
      </c>
      <c r="AD49" s="36">
        <v>337</v>
      </c>
      <c r="AE49" s="34">
        <v>4</v>
      </c>
    </row>
    <row r="50">
      <c r="A50" s="19"/>
      <c r="B50" s="38" t="s">
        <v>42</v>
      </c>
      <c r="C50" s="38"/>
      <c r="D50" s="61">
        <f>SUM(D45:D49)</f>
      </c>
      <c r="E50" s="61">
        <f>SUM(E45:E49)</f>
      </c>
      <c r="F50" s="61">
        <f>SUM(F45:F49)</f>
      </c>
      <c r="G50" s="61">
        <f>SUM(G45:G49)</f>
      </c>
      <c r="H50" s="40">
        <f>SUM(H45:H49)</f>
      </c>
      <c r="I50" s="62">
        <f>SUM(I45:I49)</f>
      </c>
      <c r="J50" s="42">
        <f t="shared" si="64"/>
      </c>
      <c r="K50" s="43">
        <f t="shared" si="88"/>
      </c>
      <c r="L50" s="44">
        <f t="shared" si="126"/>
      </c>
      <c r="M50" s="43">
        <f t="shared" si="107"/>
      </c>
      <c r="N50" s="43">
        <f t="shared" si="145"/>
      </c>
      <c r="O50" s="44">
        <f t="shared" si="164"/>
      </c>
      <c r="P50" s="43">
        <f t="shared" si="183"/>
      </c>
      <c r="Q50" s="43">
        <f t="shared" si="202"/>
      </c>
      <c r="R50" s="45">
        <f t="shared" si="221"/>
      </c>
      <c r="S50" s="46">
        <f t="shared" si="240"/>
      </c>
      <c r="T50" s="45">
        <f t="shared" si="259"/>
      </c>
      <c r="U50" s="45"/>
      <c r="V50" s="47"/>
      <c r="W50" s="47"/>
      <c r="X50" s="47"/>
      <c r="Y50" s="48">
        <f>SUM(Y45:Y49)</f>
      </c>
      <c r="Z50" s="48">
        <f>SUM(Z45:Z49)</f>
      </c>
      <c r="AA50" s="48">
        <f>SUM(AA45:AA49)</f>
      </c>
      <c r="AB50" s="48">
        <f>SUM(AB45:AB49)</f>
      </c>
      <c r="AC50" s="48">
        <f>SUM(AC45:AC49)</f>
      </c>
      <c r="AD50" s="48">
        <f>SUM(AD45:AD49)</f>
      </c>
      <c r="AE50" s="48">
        <f>SUM(AE45:AE49)</f>
      </c>
    </row>
    <row r="51">
      <c r="A51" s="19"/>
      <c r="B51" s="50" t="s">
        <v>49</v>
      </c>
      <c r="C51" s="50"/>
      <c r="D51" s="65">
        <f>D50+D44+D40</f>
      </c>
      <c r="E51" s="51">
        <f>E50+E44+E40</f>
      </c>
      <c r="F51" s="51">
        <f>F50+F44+F40</f>
      </c>
      <c r="G51" s="51">
        <f>G50+G44+G40</f>
      </c>
      <c r="H51" s="53">
        <f>H50+H44+H40</f>
      </c>
      <c r="I51" s="60">
        <f>I50+I44+I40</f>
      </c>
      <c r="J51" s="54">
        <f t="shared" si="64"/>
      </c>
      <c r="K51" s="55">
        <f t="shared" si="88"/>
      </c>
      <c r="L51" s="54">
        <f t="shared" si="126"/>
      </c>
      <c r="M51" s="55">
        <f t="shared" si="107"/>
      </c>
      <c r="N51" s="55">
        <f t="shared" si="145"/>
      </c>
      <c r="O51" s="54">
        <f t="shared" si="164"/>
      </c>
      <c r="P51" s="55">
        <f t="shared" si="183"/>
      </c>
      <c r="Q51" s="55">
        <f t="shared" si="202"/>
      </c>
      <c r="R51" s="54">
        <f t="shared" si="221"/>
      </c>
      <c r="S51" s="56">
        <f t="shared" si="240"/>
      </c>
      <c r="T51" s="54">
        <f t="shared" si="259"/>
      </c>
      <c r="U51" s="54"/>
      <c r="V51" s="57"/>
      <c r="W51" s="57"/>
      <c r="X51" s="57"/>
      <c r="Y51" s="53">
        <f>Y50+Y44+Y40</f>
      </c>
      <c r="Z51" s="53">
        <f>Z50+Z44+Z40</f>
      </c>
      <c r="AA51" s="53">
        <f>AA50+AA44+AA40</f>
      </c>
      <c r="AB51" s="53">
        <f>AB50+AB44+AB40</f>
      </c>
      <c r="AC51" s="53">
        <f>AC50+AC44+AC40</f>
      </c>
      <c r="AD51" s="53">
        <f>AD50+AD44+AD40</f>
      </c>
      <c r="AE51" s="53">
        <f>AE50+AE44+AE40</f>
      </c>
    </row>
    <row r="52">
      <c r="A52" s="1" t="s">
        <v>1</v>
      </c>
      <c r="B52" s="1"/>
      <c r="C52" s="1"/>
      <c r="D52" s="2" t="s">
        <v>2</v>
      </c>
      <c r="E52" s="2"/>
      <c r="F52" s="2"/>
      <c r="G52" s="2"/>
      <c r="H52" s="2"/>
      <c r="I52" s="2"/>
      <c r="J52" s="2"/>
      <c r="K52" s="3" t="s">
        <v>3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4"/>
      <c r="W52" s="4"/>
      <c r="X52" s="4"/>
      <c r="Y52" s="5"/>
      <c r="Z52" s="5"/>
      <c r="AA52" s="5"/>
      <c r="AB52" s="5"/>
      <c r="AC52" s="5"/>
      <c r="AD52" s="5"/>
      <c r="AE52" s="5"/>
    </row>
    <row r="53">
      <c r="A53" s="6" t="s">
        <v>4</v>
      </c>
      <c r="B53" s="7" t="s">
        <v>5</v>
      </c>
      <c r="C53" s="7" t="s">
        <v>6</v>
      </c>
      <c r="D53" s="8" t="s">
        <v>7</v>
      </c>
      <c r="E53" s="9" t="s">
        <v>8</v>
      </c>
      <c r="F53" s="9" t="s">
        <v>9</v>
      </c>
      <c r="G53" s="10" t="s">
        <v>10</v>
      </c>
      <c r="H53" s="11" t="s">
        <v>11</v>
      </c>
      <c r="I53" s="11" t="s">
        <v>12</v>
      </c>
      <c r="J53" s="12" t="s">
        <v>13</v>
      </c>
      <c r="K53" s="3" t="s">
        <v>14</v>
      </c>
      <c r="L53" s="3" t="s">
        <v>15</v>
      </c>
      <c r="M53" s="13" t="s">
        <v>16</v>
      </c>
      <c r="N53" s="13" t="s">
        <v>17</v>
      </c>
      <c r="O53" s="3" t="s">
        <v>18</v>
      </c>
      <c r="P53" s="13" t="s">
        <v>19</v>
      </c>
      <c r="Q53" s="13" t="s">
        <v>20</v>
      </c>
      <c r="R53" s="14" t="s">
        <v>21</v>
      </c>
      <c r="S53" s="13" t="s">
        <v>22</v>
      </c>
      <c r="T53" s="14" t="s">
        <v>23</v>
      </c>
      <c r="U53" s="14"/>
      <c r="V53" s="15" t="s">
        <v>24</v>
      </c>
      <c r="W53" s="15" t="s">
        <v>25</v>
      </c>
      <c r="X53" s="15"/>
      <c r="Y53" s="16" t="s">
        <v>26</v>
      </c>
      <c r="Z53" s="17" t="s">
        <v>27</v>
      </c>
      <c r="AA53" s="17" t="s">
        <v>28</v>
      </c>
      <c r="AB53" s="17" t="s">
        <v>29</v>
      </c>
      <c r="AC53" s="17" t="s">
        <v>30</v>
      </c>
      <c r="AD53" s="17" t="s">
        <v>31</v>
      </c>
      <c r="AE53" s="18" t="s">
        <v>32</v>
      </c>
    </row>
    <row r="54">
      <c r="A54" s="19">
        <v>46299</v>
      </c>
      <c r="B54" s="20" t="s">
        <v>55</v>
      </c>
      <c r="C54" s="21" t="s">
        <v>34</v>
      </c>
      <c r="D54" s="37">
        <f t="shared" ref="D54:D58" si="8">E54+F54+G54</f>
      </c>
      <c r="E54" s="24">
        <v>58.769</v>
      </c>
      <c r="F54" s="24">
        <v>1357.899</v>
      </c>
      <c r="G54" s="24">
        <v>459.213</v>
      </c>
      <c r="H54" s="25">
        <v>1</v>
      </c>
      <c r="I54" s="26">
        <v>1771.2</v>
      </c>
      <c r="J54" s="27">
        <f t="shared" ref="J54:J72" si="65">I54/D54</f>
      </c>
      <c r="K54" s="28">
        <f t="shared" ref="K54:K72" si="89">AA54/Z54</f>
      </c>
      <c r="L54" s="29">
        <f t="shared" ref="L54:L72" si="127">D54/AB54</f>
      </c>
      <c r="M54" s="28">
        <f t="shared" ref="M54:M72" si="108">AC54/AB54</f>
      </c>
      <c r="N54" s="28">
        <f t="shared" ref="N54:N72" si="146">AD54/AB54</f>
      </c>
      <c r="O54" s="29">
        <f t="shared" ref="O54:O72" si="165">D54/AD54</f>
      </c>
      <c r="P54" s="28">
        <f t="shared" ref="P54:P72" si="184">AE54/AD54</f>
      </c>
      <c r="Q54" s="28">
        <f t="shared" ref="Q54:Q72" si="203">H54/AE54</f>
      </c>
      <c r="R54" s="30">
        <f t="shared" ref="R54:R72" si="222">D54/H54</f>
      </c>
      <c r="S54" s="31">
        <f t="shared" ref="S54:S72" si="241">I54/H54</f>
      </c>
      <c r="T54" s="30">
        <f t="shared" ref="T54:T72" si="260">D54/Y54</f>
      </c>
      <c r="U54" s="30"/>
      <c r="V54" s="32" t="s">
        <v>35</v>
      </c>
      <c r="W54" s="33" t="s">
        <v>36</v>
      </c>
      <c r="X54" s="33"/>
      <c r="Y54" s="34">
        <v>1</v>
      </c>
      <c r="Z54" s="35">
        <v>30551</v>
      </c>
      <c r="AA54" s="36">
        <v>48</v>
      </c>
      <c r="AB54" s="34">
        <v>47097</v>
      </c>
      <c r="AC54" s="34">
        <v>3316</v>
      </c>
      <c r="AD54" s="34">
        <v>356</v>
      </c>
      <c r="AE54" s="34">
        <v>1</v>
      </c>
    </row>
    <row customHeight="true" ht="18.452380952380953" r="55">
      <c r="A55" s="19"/>
      <c r="B55" s="20" t="s">
        <v>56</v>
      </c>
      <c r="C55" s="21" t="s">
        <v>34</v>
      </c>
      <c r="D55" s="37">
        <f t="shared" si="8"/>
      </c>
      <c r="E55" s="24">
        <v>21.633</v>
      </c>
      <c r="F55" s="24">
        <v>920.28</v>
      </c>
      <c r="G55" s="24">
        <v>533.182</v>
      </c>
      <c r="H55" s="25">
        <v>1</v>
      </c>
      <c r="I55" s="26">
        <v>261.1199999999999</v>
      </c>
      <c r="J55" s="27">
        <f t="shared" si="65"/>
      </c>
      <c r="K55" s="28">
        <f t="shared" si="89"/>
      </c>
      <c r="L55" s="29">
        <f t="shared" si="127"/>
      </c>
      <c r="M55" s="28">
        <f t="shared" si="108"/>
      </c>
      <c r="N55" s="28">
        <f t="shared" si="146"/>
      </c>
      <c r="O55" s="29">
        <f t="shared" si="165"/>
      </c>
      <c r="P55" s="28">
        <f t="shared" si="184"/>
      </c>
      <c r="Q55" s="28">
        <f t="shared" si="203"/>
      </c>
      <c r="R55" s="30">
        <f t="shared" si="222"/>
      </c>
      <c r="S55" s="31">
        <f t="shared" si="241"/>
      </c>
      <c r="T55" s="30">
        <f t="shared" si="260"/>
      </c>
      <c r="U55" s="30"/>
      <c r="V55" s="32" t="s">
        <v>35</v>
      </c>
      <c r="W55" s="33" t="s">
        <v>36</v>
      </c>
      <c r="X55" s="33"/>
      <c r="Y55" s="34">
        <v>1</v>
      </c>
      <c r="Z55" s="35">
        <v>26594</v>
      </c>
      <c r="AA55" s="36">
        <v>58</v>
      </c>
      <c r="AB55" s="34">
        <v>26109</v>
      </c>
      <c r="AC55" s="34">
        <v>2107</v>
      </c>
      <c r="AD55" s="34">
        <v>393</v>
      </c>
      <c r="AE55" s="34">
        <v>2</v>
      </c>
    </row>
    <row r="56">
      <c r="A56" s="19"/>
      <c r="B56" s="20" t="s">
        <v>57</v>
      </c>
      <c r="C56" s="21" t="s">
        <v>34</v>
      </c>
      <c r="D56" s="37">
        <f t="shared" si="8"/>
      </c>
      <c r="E56" s="24">
        <v>24.114</v>
      </c>
      <c r="F56" s="24">
        <v>1158.742</v>
      </c>
      <c r="G56" s="24">
        <v>537.216</v>
      </c>
      <c r="H56" s="25">
        <v>1</v>
      </c>
      <c r="I56" s="26">
        <v>1359.1200000000001</v>
      </c>
      <c r="J56" s="27">
        <f t="shared" si="65"/>
      </c>
      <c r="K56" s="28">
        <f t="shared" si="89"/>
      </c>
      <c r="L56" s="29">
        <f t="shared" si="127"/>
      </c>
      <c r="M56" s="28">
        <f t="shared" si="108"/>
      </c>
      <c r="N56" s="28">
        <f t="shared" si="146"/>
      </c>
      <c r="O56" s="29">
        <f t="shared" si="165"/>
      </c>
      <c r="P56" s="28">
        <f t="shared" si="184"/>
      </c>
      <c r="Q56" s="28">
        <f t="shared" si="203"/>
      </c>
      <c r="R56" s="30">
        <f t="shared" si="222"/>
      </c>
      <c r="S56" s="31">
        <f t="shared" si="241"/>
      </c>
      <c r="T56" s="30">
        <f t="shared" si="260"/>
      </c>
      <c r="U56" s="30"/>
      <c r="V56" s="32" t="s">
        <v>35</v>
      </c>
      <c r="W56" s="33" t="s">
        <v>36</v>
      </c>
      <c r="X56" s="33"/>
      <c r="Y56" s="34">
        <v>1</v>
      </c>
      <c r="Z56" s="35">
        <v>28532</v>
      </c>
      <c r="AA56" s="36">
        <v>47</v>
      </c>
      <c r="AB56" s="34">
        <v>34497</v>
      </c>
      <c r="AC56" s="34">
        <v>2915</v>
      </c>
      <c r="AD56" s="34">
        <v>292</v>
      </c>
      <c r="AE56" s="34">
        <v>1</v>
      </c>
    </row>
    <row r="57">
      <c r="A57" s="19"/>
      <c r="B57" s="20" t="s">
        <v>50</v>
      </c>
      <c r="C57" s="21" t="s">
        <v>34</v>
      </c>
      <c r="D57" s="37">
        <f t="shared" si="8"/>
      </c>
      <c r="E57" s="24">
        <v>23.627</v>
      </c>
      <c r="F57" s="24">
        <v>867.43</v>
      </c>
      <c r="G57" s="24">
        <v>608.636</v>
      </c>
      <c r="H57" s="25">
        <v>1</v>
      </c>
      <c r="I57" s="26">
        <v>274.1999999999998</v>
      </c>
      <c r="J57" s="27">
        <f t="shared" si="65"/>
      </c>
      <c r="K57" s="28">
        <f t="shared" si="89"/>
      </c>
      <c r="L57" s="29">
        <f t="shared" si="127"/>
      </c>
      <c r="M57" s="28">
        <f t="shared" si="108"/>
      </c>
      <c r="N57" s="28">
        <f t="shared" si="146"/>
      </c>
      <c r="O57" s="29">
        <f t="shared" si="165"/>
      </c>
      <c r="P57" s="28">
        <f t="shared" si="184"/>
      </c>
      <c r="Q57" s="28">
        <f t="shared" si="203"/>
      </c>
      <c r="R57" s="30">
        <f t="shared" si="222"/>
      </c>
      <c r="S57" s="31">
        <f t="shared" si="241"/>
      </c>
      <c r="T57" s="30">
        <f t="shared" si="260"/>
      </c>
      <c r="U57" s="30"/>
      <c r="V57" s="32" t="s">
        <v>35</v>
      </c>
      <c r="W57" s="33" t="s">
        <v>36</v>
      </c>
      <c r="X57" s="33"/>
      <c r="Y57" s="34">
        <v>1</v>
      </c>
      <c r="Z57" s="35">
        <v>30627</v>
      </c>
      <c r="AA57" s="36">
        <v>82</v>
      </c>
      <c r="AB57" s="34">
        <v>26986</v>
      </c>
      <c r="AC57" s="34">
        <v>2017</v>
      </c>
      <c r="AD57" s="34">
        <v>243</v>
      </c>
      <c r="AE57" s="34">
        <v>4</v>
      </c>
    </row>
    <row r="58">
      <c r="A58" s="19"/>
      <c r="B58" s="20" t="s">
        <v>51</v>
      </c>
      <c r="C58" s="21" t="s">
        <v>34</v>
      </c>
      <c r="D58" s="37">
        <f t="shared" si="8"/>
      </c>
      <c r="E58" s="24">
        <v>14.7111</v>
      </c>
      <c r="F58" s="24">
        <v>1914.485</v>
      </c>
      <c r="G58" s="24">
        <v>220.833</v>
      </c>
      <c r="H58" s="25">
        <v>4</v>
      </c>
      <c r="I58" s="26">
        <v>5228.880000000001</v>
      </c>
      <c r="J58" s="27">
        <f t="shared" si="65"/>
      </c>
      <c r="K58" s="28">
        <f t="shared" si="89"/>
      </c>
      <c r="L58" s="29">
        <f t="shared" si="127"/>
      </c>
      <c r="M58" s="28">
        <f t="shared" si="108"/>
      </c>
      <c r="N58" s="28">
        <f t="shared" si="146"/>
      </c>
      <c r="O58" s="29">
        <f t="shared" si="165"/>
      </c>
      <c r="P58" s="28">
        <f t="shared" si="184"/>
      </c>
      <c r="Q58" s="28">
        <f t="shared" si="203"/>
      </c>
      <c r="R58" s="30">
        <f t="shared" si="222"/>
      </c>
      <c r="S58" s="31">
        <f t="shared" si="241"/>
      </c>
      <c r="T58" s="30">
        <f t="shared" si="260"/>
      </c>
      <c r="U58" s="30"/>
      <c r="V58" s="32" t="s">
        <v>35</v>
      </c>
      <c r="W58" s="33" t="s">
        <v>36</v>
      </c>
      <c r="X58" s="33"/>
      <c r="Y58" s="34">
        <v>4</v>
      </c>
      <c r="Z58" s="36">
        <v>35843</v>
      </c>
      <c r="AA58" s="36">
        <v>54</v>
      </c>
      <c r="AB58" s="36">
        <v>48902</v>
      </c>
      <c r="AC58" s="36">
        <v>3565</v>
      </c>
      <c r="AD58" s="34">
        <v>251</v>
      </c>
      <c r="AE58" s="34">
        <v>7</v>
      </c>
    </row>
    <row r="59">
      <c r="A59" s="19"/>
      <c r="B59" s="38" t="s">
        <v>42</v>
      </c>
      <c r="C59" s="38"/>
      <c r="D59" s="61">
        <f>SUM(D54:D58)</f>
      </c>
      <c r="E59" s="61">
        <f>SUM(E54:E58)</f>
      </c>
      <c r="F59" s="61">
        <f>SUM(F54:F58)</f>
      </c>
      <c r="G59" s="61">
        <f>SUM(G54:G58)</f>
      </c>
      <c r="H59" s="40">
        <f>SUM(H54:H58)</f>
      </c>
      <c r="I59" s="62">
        <f>SUM(I54:I58)</f>
      </c>
      <c r="J59" s="42">
        <f t="shared" si="65"/>
      </c>
      <c r="K59" s="43">
        <f t="shared" si="89"/>
      </c>
      <c r="L59" s="44">
        <f t="shared" si="127"/>
      </c>
      <c r="M59" s="43">
        <f t="shared" si="108"/>
      </c>
      <c r="N59" s="43">
        <f t="shared" si="146"/>
      </c>
      <c r="O59" s="44">
        <f t="shared" si="165"/>
      </c>
      <c r="P59" s="43">
        <f t="shared" si="184"/>
      </c>
      <c r="Q59" s="43">
        <f t="shared" si="203"/>
      </c>
      <c r="R59" s="45">
        <f t="shared" si="222"/>
      </c>
      <c r="S59" s="46">
        <f t="shared" si="241"/>
      </c>
      <c r="T59" s="45">
        <f t="shared" si="260"/>
      </c>
      <c r="U59" s="45"/>
      <c r="V59" s="47"/>
      <c r="W59" s="47"/>
      <c r="X59" s="47"/>
      <c r="Y59" s="48">
        <f>SUM(Y54:Y58)</f>
      </c>
      <c r="Z59" s="48">
        <f>SUM(Z54:Z58)</f>
      </c>
      <c r="AA59" s="48">
        <f>SUM(AA54:AA58)</f>
      </c>
      <c r="AB59" s="48">
        <f>SUM(AB54:AB58)</f>
      </c>
      <c r="AC59" s="48">
        <f>SUM(AC54:AC58)</f>
      </c>
      <c r="AD59" s="48">
        <f>SUM(AD54:AD58)</f>
      </c>
      <c r="AE59" s="48">
        <f>SUM(AE54:AE58)</f>
      </c>
    </row>
    <row r="60">
      <c r="A60" s="19"/>
      <c r="B60" s="20" t="s">
        <v>33</v>
      </c>
      <c r="C60" s="21" t="s">
        <v>52</v>
      </c>
      <c r="D60" s="37">
        <f t="shared" ref="D60:D64" si="9">E60+F60+G60</f>
      </c>
      <c r="E60" s="24">
        <v>18.327</v>
      </c>
      <c r="F60" s="24">
        <v>1592.169</v>
      </c>
      <c r="G60" s="24">
        <v>231.816</v>
      </c>
      <c r="H60" s="25">
        <v>1</v>
      </c>
      <c r="I60" s="63">
        <v>1771.2000000000007</v>
      </c>
      <c r="J60" s="27">
        <f t="shared" si="65"/>
      </c>
      <c r="K60" s="28">
        <f t="shared" si="89"/>
      </c>
      <c r="L60" s="29">
        <f t="shared" si="127"/>
      </c>
      <c r="M60" s="28">
        <f t="shared" si="108"/>
      </c>
      <c r="N60" s="28">
        <f t="shared" si="146"/>
      </c>
      <c r="O60" s="29">
        <f t="shared" si="165"/>
      </c>
      <c r="P60" s="28">
        <f t="shared" si="184"/>
      </c>
      <c r="Q60" s="28">
        <f t="shared" si="203"/>
      </c>
      <c r="R60" s="30">
        <f t="shared" si="222"/>
      </c>
      <c r="S60" s="31">
        <f t="shared" si="241"/>
      </c>
      <c r="T60" s="30">
        <f t="shared" si="260"/>
      </c>
      <c r="U60" s="30"/>
      <c r="V60" s="32" t="s">
        <v>35</v>
      </c>
      <c r="W60" s="33" t="s">
        <v>36</v>
      </c>
      <c r="X60" s="33"/>
      <c r="Y60" s="34">
        <v>1</v>
      </c>
      <c r="Z60" s="35">
        <v>30139</v>
      </c>
      <c r="AA60" s="36">
        <v>44</v>
      </c>
      <c r="AB60" s="34">
        <v>34742</v>
      </c>
      <c r="AC60" s="34">
        <v>2508</v>
      </c>
      <c r="AD60" s="34">
        <v>220</v>
      </c>
      <c r="AE60" s="34">
        <v>1</v>
      </c>
    </row>
    <row customHeight="true" ht="18.452380952380953" r="61">
      <c r="A61" s="19"/>
      <c r="B61" s="20" t="s">
        <v>37</v>
      </c>
      <c r="C61" s="21" t="s">
        <v>52</v>
      </c>
      <c r="D61" s="37">
        <f t="shared" si="9"/>
      </c>
      <c r="E61" s="24">
        <v>16.187</v>
      </c>
      <c r="F61" s="37">
        <v>934.858</v>
      </c>
      <c r="G61" s="37">
        <v>174.989</v>
      </c>
      <c r="H61" s="25">
        <v>1</v>
      </c>
      <c r="I61" s="63">
        <v>6265.439999999999</v>
      </c>
      <c r="J61" s="27">
        <f t="shared" si="65"/>
      </c>
      <c r="K61" s="28">
        <f t="shared" si="89"/>
      </c>
      <c r="L61" s="29">
        <f t="shared" si="127"/>
      </c>
      <c r="M61" s="28">
        <f t="shared" si="108"/>
      </c>
      <c r="N61" s="28">
        <f t="shared" si="146"/>
      </c>
      <c r="O61" s="29">
        <f t="shared" si="165"/>
      </c>
      <c r="P61" s="28">
        <f t="shared" si="184"/>
      </c>
      <c r="Q61" s="28">
        <f t="shared" si="203"/>
      </c>
      <c r="R61" s="30">
        <f t="shared" si="222"/>
      </c>
      <c r="S61" s="31">
        <f t="shared" si="241"/>
      </c>
      <c r="T61" s="30">
        <f t="shared" si="260"/>
      </c>
      <c r="U61" s="30"/>
      <c r="V61" s="32" t="s">
        <v>35</v>
      </c>
      <c r="W61" s="33" t="s">
        <v>36</v>
      </c>
      <c r="X61" s="33"/>
      <c r="Y61" s="34">
        <v>1</v>
      </c>
      <c r="Z61" s="36">
        <v>17534</v>
      </c>
      <c r="AA61" s="36">
        <v>31</v>
      </c>
      <c r="AB61" s="34">
        <v>20273</v>
      </c>
      <c r="AC61" s="34">
        <v>1387</v>
      </c>
      <c r="AD61" s="34">
        <v>163</v>
      </c>
      <c r="AE61" s="34">
        <v>1</v>
      </c>
    </row>
    <row customHeight="true" ht="18.452380952380953" r="62">
      <c r="A62" s="19"/>
      <c r="B62" s="20" t="s">
        <v>38</v>
      </c>
      <c r="C62" s="21" t="s">
        <v>52</v>
      </c>
      <c r="D62" s="37">
        <f t="shared" si="9"/>
      </c>
      <c r="E62" s="24">
        <v>32.037</v>
      </c>
      <c r="F62" s="37">
        <v>843.108</v>
      </c>
      <c r="G62" s="37">
        <v>169.205</v>
      </c>
      <c r="H62" s="25">
        <v>0</v>
      </c>
      <c r="I62" s="63">
        <v>0</v>
      </c>
      <c r="J62" s="27">
        <f t="shared" si="65"/>
      </c>
      <c r="K62" s="28">
        <f t="shared" si="89"/>
      </c>
      <c r="L62" s="29">
        <f t="shared" si="127"/>
      </c>
      <c r="M62" s="28">
        <f t="shared" si="108"/>
      </c>
      <c r="N62" s="28">
        <f t="shared" si="146"/>
      </c>
      <c r="O62" s="29">
        <f t="shared" si="165"/>
      </c>
      <c r="P62" s="28">
        <f t="shared" si="184"/>
      </c>
      <c r="Q62" s="28">
        <f t="shared" si="203"/>
      </c>
      <c r="R62" s="30">
        <f t="shared" si="222"/>
      </c>
      <c r="S62" s="31">
        <f t="shared" si="241"/>
      </c>
      <c r="T62" s="30">
        <f t="shared" si="260"/>
      </c>
      <c r="U62" s="30"/>
      <c r="V62" s="32" t="s">
        <v>35</v>
      </c>
      <c r="W62" s="33" t="s">
        <v>54</v>
      </c>
      <c r="X62" s="33"/>
      <c r="Y62" s="34">
        <v>0</v>
      </c>
      <c r="Z62" s="35">
        <v>16871</v>
      </c>
      <c r="AA62" s="36">
        <v>26</v>
      </c>
      <c r="AB62" s="34">
        <v>18561</v>
      </c>
      <c r="AC62" s="34">
        <v>1339</v>
      </c>
      <c r="AD62" s="34">
        <v>155</v>
      </c>
      <c r="AE62" s="34">
        <v>3</v>
      </c>
    </row>
    <row r="63">
      <c r="A63" s="19"/>
      <c r="B63" s="20" t="s">
        <v>40</v>
      </c>
      <c r="C63" s="21" t="s">
        <v>52</v>
      </c>
      <c r="D63" s="37">
        <f t="shared" si="9"/>
      </c>
      <c r="E63" s="24">
        <v>48.18</v>
      </c>
      <c r="F63" s="37">
        <v>779.926</v>
      </c>
      <c r="G63" s="37">
        <v>204.498</v>
      </c>
      <c r="H63" s="25">
        <v>0</v>
      </c>
      <c r="I63" s="63">
        <v>0</v>
      </c>
      <c r="J63" s="27">
        <f t="shared" si="65"/>
      </c>
      <c r="K63" s="28">
        <f t="shared" si="89"/>
      </c>
      <c r="L63" s="29">
        <f t="shared" si="127"/>
      </c>
      <c r="M63" s="28">
        <f t="shared" si="108"/>
      </c>
      <c r="N63" s="28">
        <f t="shared" si="146"/>
      </c>
      <c r="O63" s="29">
        <f t="shared" si="165"/>
      </c>
      <c r="P63" s="28">
        <f t="shared" si="184"/>
      </c>
      <c r="Q63" s="28">
        <f t="shared" si="203"/>
      </c>
      <c r="R63" s="30">
        <f t="shared" si="222"/>
      </c>
      <c r="S63" s="31">
        <f t="shared" si="241"/>
      </c>
      <c r="T63" s="30">
        <f t="shared" si="260"/>
      </c>
      <c r="U63" s="30"/>
      <c r="V63" s="32" t="s">
        <v>35</v>
      </c>
      <c r="W63" s="33" t="s">
        <v>54</v>
      </c>
      <c r="X63" s="33"/>
      <c r="Y63" s="34">
        <v>0</v>
      </c>
      <c r="Z63" s="35">
        <v>15126</v>
      </c>
      <c r="AA63" s="35">
        <v>30</v>
      </c>
      <c r="AB63" s="36">
        <v>12697</v>
      </c>
      <c r="AC63" s="36">
        <v>925</v>
      </c>
      <c r="AD63" s="34">
        <v>117</v>
      </c>
      <c r="AE63" s="34">
        <v>0</v>
      </c>
    </row>
    <row r="64">
      <c r="A64" s="19"/>
      <c r="B64" s="20" t="s">
        <v>41</v>
      </c>
      <c r="C64" s="21" t="s">
        <v>52</v>
      </c>
      <c r="D64" s="37">
        <f t="shared" si="9"/>
      </c>
      <c r="E64" s="24">
        <v>56.872</v>
      </c>
      <c r="F64" s="37">
        <v>506.825</v>
      </c>
      <c r="G64" s="37">
        <v>647.266</v>
      </c>
      <c r="H64" s="25">
        <v>1</v>
      </c>
      <c r="I64" s="63">
        <v>683.4000000000015</v>
      </c>
      <c r="J64" s="27">
        <f t="shared" si="65"/>
      </c>
      <c r="K64" s="28">
        <f t="shared" si="89"/>
      </c>
      <c r="L64" s="29">
        <f t="shared" si="127"/>
      </c>
      <c r="M64" s="28">
        <f t="shared" si="108"/>
      </c>
      <c r="N64" s="28">
        <f t="shared" si="146"/>
      </c>
      <c r="O64" s="29">
        <f t="shared" si="165"/>
      </c>
      <c r="P64" s="28">
        <f t="shared" si="184"/>
      </c>
      <c r="Q64" s="28">
        <f t="shared" si="203"/>
      </c>
      <c r="R64" s="30">
        <f t="shared" si="222"/>
      </c>
      <c r="S64" s="31">
        <f t="shared" si="241"/>
      </c>
      <c r="T64" s="30">
        <f t="shared" si="260"/>
      </c>
      <c r="U64" s="30"/>
      <c r="V64" s="32" t="s">
        <v>35</v>
      </c>
      <c r="W64" s="33" t="s">
        <v>54</v>
      </c>
      <c r="X64" s="33"/>
      <c r="Y64" s="34">
        <v>1</v>
      </c>
      <c r="Z64" s="36">
        <v>14922</v>
      </c>
      <c r="AA64" s="36">
        <v>36</v>
      </c>
      <c r="AB64" s="36">
        <v>17143</v>
      </c>
      <c r="AC64" s="36">
        <v>1097</v>
      </c>
      <c r="AD64" s="34">
        <v>155</v>
      </c>
      <c r="AE64" s="34">
        <v>1</v>
      </c>
    </row>
    <row r="65">
      <c r="A65" s="19"/>
      <c r="B65" s="38" t="s">
        <v>42</v>
      </c>
      <c r="C65" s="38"/>
      <c r="D65" s="61">
        <f>SUM(D60:D64)</f>
      </c>
      <c r="E65" s="61">
        <f>SUM(E60:E64)</f>
      </c>
      <c r="F65" s="61">
        <f>SUM(F60:F64)</f>
      </c>
      <c r="G65" s="61">
        <f>SUM(G60:G64)</f>
      </c>
      <c r="H65" s="40">
        <f>SUM(H60:H64)</f>
      </c>
      <c r="I65" s="62">
        <f>SUM(I60:I64)</f>
      </c>
      <c r="J65" s="42">
        <f t="shared" si="65"/>
      </c>
      <c r="K65" s="43">
        <f t="shared" si="89"/>
      </c>
      <c r="L65" s="44">
        <f t="shared" si="127"/>
      </c>
      <c r="M65" s="43">
        <f t="shared" si="108"/>
      </c>
      <c r="N65" s="43">
        <f t="shared" si="146"/>
      </c>
      <c r="O65" s="44">
        <f t="shared" si="165"/>
      </c>
      <c r="P65" s="43">
        <f t="shared" si="184"/>
      </c>
      <c r="Q65" s="43">
        <f t="shared" si="203"/>
      </c>
      <c r="R65" s="45">
        <f t="shared" si="222"/>
      </c>
      <c r="S65" s="46">
        <f t="shared" si="241"/>
      </c>
      <c r="T65" s="45">
        <f t="shared" si="260"/>
      </c>
      <c r="U65" s="45"/>
      <c r="V65" s="47"/>
      <c r="W65" s="47"/>
      <c r="X65" s="47"/>
      <c r="Y65" s="48">
        <f>SUM(Y60:Y64)</f>
      </c>
      <c r="Z65" s="58">
        <f>SUM(Z60:Z64)</f>
      </c>
      <c r="AA65" s="58">
        <f>SUM(AA60:AA64)</f>
      </c>
      <c r="AB65" s="58">
        <f>SUM(AB60:AB64)</f>
      </c>
      <c r="AC65" s="58">
        <f>SUM(AC60:AC64)</f>
      </c>
      <c r="AD65" s="58">
        <f>SUM(AD60:AD64)</f>
      </c>
      <c r="AE65" s="59">
        <f>SUM(AE60:AE64)</f>
      </c>
    </row>
    <row r="66">
      <c r="A66" s="19"/>
      <c r="B66" s="20" t="s">
        <v>53</v>
      </c>
      <c r="C66" s="21" t="s">
        <v>44</v>
      </c>
      <c r="D66" s="22">
        <f t="shared" ref="D66:D70" si="10">E66+F66+G66</f>
      </c>
      <c r="E66" s="24">
        <v>69.15</v>
      </c>
      <c r="F66" s="37">
        <v>511.291</v>
      </c>
      <c r="G66" s="24">
        <v>292.55</v>
      </c>
      <c r="H66" s="25">
        <v>2</v>
      </c>
      <c r="I66" s="63">
        <v>1771.7999999999993</v>
      </c>
      <c r="J66" s="27">
        <f t="shared" si="65"/>
      </c>
      <c r="K66" s="28">
        <f t="shared" si="89"/>
      </c>
      <c r="L66" s="29">
        <f t="shared" si="127"/>
      </c>
      <c r="M66" s="28">
        <f t="shared" si="108"/>
      </c>
      <c r="N66" s="28">
        <f t="shared" si="146"/>
      </c>
      <c r="O66" s="29">
        <f t="shared" si="165"/>
      </c>
      <c r="P66" s="28">
        <f t="shared" si="184"/>
      </c>
      <c r="Q66" s="28">
        <f t="shared" si="203"/>
      </c>
      <c r="R66" s="30">
        <f t="shared" si="222"/>
      </c>
      <c r="S66" s="31">
        <f t="shared" si="241"/>
      </c>
      <c r="T66" s="30">
        <f t="shared" si="260"/>
      </c>
      <c r="U66" s="30"/>
      <c r="V66" s="49" t="s">
        <v>35</v>
      </c>
      <c r="W66" s="33" t="s">
        <v>54</v>
      </c>
      <c r="X66" s="33"/>
      <c r="Y66" s="34">
        <v>2</v>
      </c>
      <c r="Z66" s="35">
        <v>12183</v>
      </c>
      <c r="AA66" s="36">
        <v>62</v>
      </c>
      <c r="AB66" s="36">
        <v>9379</v>
      </c>
      <c r="AC66" s="36">
        <v>583</v>
      </c>
      <c r="AD66" s="36">
        <v>137</v>
      </c>
      <c r="AE66" s="34">
        <v>5</v>
      </c>
    </row>
    <row r="67">
      <c r="A67" s="19"/>
      <c r="B67" s="20" t="s">
        <v>43</v>
      </c>
      <c r="C67" s="21" t="s">
        <v>44</v>
      </c>
      <c r="D67" s="22">
        <f t="shared" si="10"/>
      </c>
      <c r="E67" s="24">
        <v>127.314</v>
      </c>
      <c r="F67" s="37">
        <v>555.558</v>
      </c>
      <c r="G67" s="37">
        <v>125.212</v>
      </c>
      <c r="H67" s="25">
        <v>1</v>
      </c>
      <c r="I67" s="63">
        <v>2485.0800000000017</v>
      </c>
      <c r="J67" s="27">
        <f t="shared" si="65"/>
      </c>
      <c r="K67" s="28">
        <f t="shared" si="89"/>
      </c>
      <c r="L67" s="29">
        <f t="shared" si="127"/>
      </c>
      <c r="M67" s="28">
        <f t="shared" si="108"/>
      </c>
      <c r="N67" s="28">
        <f t="shared" si="146"/>
      </c>
      <c r="O67" s="29">
        <f t="shared" si="165"/>
      </c>
      <c r="P67" s="28">
        <f t="shared" si="184"/>
      </c>
      <c r="Q67" s="28">
        <f t="shared" si="203"/>
      </c>
      <c r="R67" s="30">
        <f t="shared" si="222"/>
      </c>
      <c r="S67" s="31">
        <f t="shared" si="241"/>
      </c>
      <c r="T67" s="30">
        <f t="shared" si="260"/>
      </c>
      <c r="U67" s="30"/>
      <c r="V67" s="49" t="s">
        <v>35</v>
      </c>
      <c r="W67" s="33" t="s">
        <v>54</v>
      </c>
      <c r="X67" s="33"/>
      <c r="Y67" s="34">
        <v>0</v>
      </c>
      <c r="Z67" s="36">
        <v>8288</v>
      </c>
      <c r="AA67" s="36">
        <v>32</v>
      </c>
      <c r="AB67" s="36">
        <v>8096</v>
      </c>
      <c r="AC67" s="36">
        <v>425</v>
      </c>
      <c r="AD67" s="36">
        <v>142</v>
      </c>
      <c r="AE67" s="34">
        <v>1</v>
      </c>
    </row>
    <row r="68">
      <c r="A68" s="19"/>
      <c r="B68" s="20" t="s">
        <v>45</v>
      </c>
      <c r="C68" s="21" t="s">
        <v>44</v>
      </c>
      <c r="D68" s="22">
        <f t="shared" si="10"/>
      </c>
      <c r="E68" s="24">
        <v>133.27</v>
      </c>
      <c r="F68" s="37">
        <v>318.76</v>
      </c>
      <c r="G68" s="37">
        <v>322.495</v>
      </c>
      <c r="H68" s="25">
        <v>1</v>
      </c>
      <c r="I68" s="63">
        <v>466.5599999999977</v>
      </c>
      <c r="J68" s="27">
        <f t="shared" si="65"/>
      </c>
      <c r="K68" s="28">
        <f t="shared" si="89"/>
      </c>
      <c r="L68" s="29">
        <f t="shared" si="127"/>
      </c>
      <c r="M68" s="28">
        <f t="shared" si="108"/>
      </c>
      <c r="N68" s="28">
        <f t="shared" si="146"/>
      </c>
      <c r="O68" s="29">
        <f t="shared" si="165"/>
      </c>
      <c r="P68" s="28">
        <f t="shared" si="184"/>
      </c>
      <c r="Q68" s="28">
        <f t="shared" si="203"/>
      </c>
      <c r="R68" s="30">
        <f t="shared" si="222"/>
      </c>
      <c r="S68" s="31">
        <f t="shared" si="241"/>
      </c>
      <c r="T68" s="30">
        <f t="shared" si="260"/>
      </c>
      <c r="U68" s="30"/>
      <c r="V68" s="49" t="s">
        <v>35</v>
      </c>
      <c r="W68" s="33" t="s">
        <v>54</v>
      </c>
      <c r="X68" s="33"/>
      <c r="Y68" s="34">
        <v>2</v>
      </c>
      <c r="Z68" s="36">
        <v>13228</v>
      </c>
      <c r="AA68" s="36">
        <v>103</v>
      </c>
      <c r="AB68" s="36">
        <v>9000</v>
      </c>
      <c r="AC68" s="36">
        <v>460</v>
      </c>
      <c r="AD68" s="36">
        <v>181</v>
      </c>
      <c r="AE68" s="34">
        <v>1</v>
      </c>
    </row>
    <row r="69">
      <c r="A69" s="19"/>
      <c r="B69" s="20" t="s">
        <v>46</v>
      </c>
      <c r="C69" s="21" t="s">
        <v>44</v>
      </c>
      <c r="D69" s="22">
        <f t="shared" si="10"/>
      </c>
      <c r="E69" s="24">
        <v>85.134</v>
      </c>
      <c r="F69" s="37">
        <v>229.67</v>
      </c>
      <c r="G69" s="37">
        <v>250.214</v>
      </c>
      <c r="H69" s="25">
        <v>0</v>
      </c>
      <c r="I69" s="63">
        <v>0</v>
      </c>
      <c r="J69" s="27">
        <f t="shared" si="65"/>
      </c>
      <c r="K69" s="28">
        <f t="shared" si="89"/>
      </c>
      <c r="L69" s="29">
        <f t="shared" si="127"/>
      </c>
      <c r="M69" s="28">
        <f t="shared" si="108"/>
      </c>
      <c r="N69" s="28">
        <f t="shared" si="146"/>
      </c>
      <c r="O69" s="29">
        <f t="shared" si="165"/>
      </c>
      <c r="P69" s="28">
        <f t="shared" si="184"/>
      </c>
      <c r="Q69" s="28">
        <f t="shared" si="203"/>
      </c>
      <c r="R69" s="30">
        <f t="shared" si="222"/>
      </c>
      <c r="S69" s="31">
        <f t="shared" si="241"/>
      </c>
      <c r="T69" s="30">
        <f t="shared" si="260"/>
      </c>
      <c r="U69" s="30"/>
      <c r="V69" s="49" t="s">
        <v>35</v>
      </c>
      <c r="W69" s="33" t="s">
        <v>54</v>
      </c>
      <c r="X69" s="33"/>
      <c r="Y69" s="34">
        <v>0</v>
      </c>
      <c r="Z69" s="36">
        <v>11854</v>
      </c>
      <c r="AA69" s="36">
        <v>91</v>
      </c>
      <c r="AB69" s="36">
        <v>5384</v>
      </c>
      <c r="AC69" s="36">
        <v>316</v>
      </c>
      <c r="AD69" s="36">
        <v>125</v>
      </c>
      <c r="AE69" s="34">
        <v>0</v>
      </c>
    </row>
    <row r="70">
      <c r="A70" s="19"/>
      <c r="B70" s="20" t="s">
        <v>47</v>
      </c>
      <c r="C70" s="21" t="s">
        <v>44</v>
      </c>
      <c r="D70" s="22">
        <f t="shared" si="10"/>
      </c>
      <c r="E70" s="24">
        <f>42.172+0.376</f>
      </c>
      <c r="F70" s="24">
        <v>153.231</v>
      </c>
      <c r="G70" s="24">
        <v>232.236</v>
      </c>
      <c r="H70" s="25">
        <v>2</v>
      </c>
      <c r="I70" s="63">
        <v>1083.5999999999985</v>
      </c>
      <c r="J70" s="27">
        <f t="shared" si="65"/>
      </c>
      <c r="K70" s="28">
        <f t="shared" si="89"/>
      </c>
      <c r="L70" s="29">
        <f t="shared" si="127"/>
      </c>
      <c r="M70" s="28">
        <f t="shared" si="108"/>
      </c>
      <c r="N70" s="28">
        <f t="shared" si="146"/>
      </c>
      <c r="O70" s="29">
        <f t="shared" si="165"/>
      </c>
      <c r="P70" s="28">
        <f t="shared" si="184"/>
      </c>
      <c r="Q70" s="28">
        <f t="shared" si="203"/>
      </c>
      <c r="R70" s="30">
        <f t="shared" si="222"/>
      </c>
      <c r="S70" s="31">
        <f t="shared" si="241"/>
      </c>
      <c r="T70" s="30">
        <f t="shared" si="260"/>
      </c>
      <c r="U70" s="30"/>
      <c r="V70" s="49" t="s">
        <v>35</v>
      </c>
      <c r="W70" s="33" t="s">
        <v>54</v>
      </c>
      <c r="X70" s="33"/>
      <c r="Y70" s="34">
        <v>2</v>
      </c>
      <c r="Z70" s="36">
        <v>14625</v>
      </c>
      <c r="AA70" s="36">
        <v>110</v>
      </c>
      <c r="AB70" s="36">
        <v>4647</v>
      </c>
      <c r="AC70" s="36">
        <v>277</v>
      </c>
      <c r="AD70" s="36">
        <v>141</v>
      </c>
      <c r="AE70" s="34">
        <v>2</v>
      </c>
    </row>
    <row r="71">
      <c r="A71" s="19"/>
      <c r="B71" s="38" t="s">
        <v>42</v>
      </c>
      <c r="C71" s="38"/>
      <c r="D71" s="61">
        <f>SUM(D66:D70)</f>
      </c>
      <c r="E71" s="61">
        <f>SUM(E66:E70)</f>
      </c>
      <c r="F71" s="61">
        <f>SUM(F66:F70)</f>
      </c>
      <c r="G71" s="61">
        <f>SUM(G66:G70)</f>
      </c>
      <c r="H71" s="40">
        <f>SUM(H66:H70)</f>
      </c>
      <c r="I71" s="62">
        <f>SUM(I66:I70)</f>
      </c>
      <c r="J71" s="42">
        <f t="shared" si="65"/>
      </c>
      <c r="K71" s="43">
        <f t="shared" si="89"/>
      </c>
      <c r="L71" s="44">
        <f t="shared" si="127"/>
      </c>
      <c r="M71" s="43">
        <f t="shared" si="108"/>
      </c>
      <c r="N71" s="43">
        <f t="shared" si="146"/>
      </c>
      <c r="O71" s="44">
        <f t="shared" si="165"/>
      </c>
      <c r="P71" s="43">
        <f t="shared" si="184"/>
      </c>
      <c r="Q71" s="43">
        <f t="shared" si="203"/>
      </c>
      <c r="R71" s="45">
        <f t="shared" si="222"/>
      </c>
      <c r="S71" s="46">
        <f t="shared" si="241"/>
      </c>
      <c r="T71" s="45">
        <f t="shared" si="260"/>
      </c>
      <c r="U71" s="45"/>
      <c r="V71" s="47"/>
      <c r="W71" s="47"/>
      <c r="X71" s="47"/>
      <c r="Y71" s="48">
        <f>SUM(Y66:Y70)</f>
      </c>
      <c r="Z71" s="48">
        <f>SUM(Z66:Z70)</f>
      </c>
      <c r="AA71" s="48">
        <f>SUM(AA66:AA70)</f>
      </c>
      <c r="AB71" s="48">
        <f>SUM(AB66:AB70)</f>
      </c>
      <c r="AC71" s="48">
        <f>SUM(AC66:AC70)</f>
      </c>
      <c r="AD71" s="48">
        <f>SUM(AD66:AD70)</f>
      </c>
      <c r="AE71" s="48">
        <f>SUM(AE66:AE70)</f>
      </c>
    </row>
    <row r="72">
      <c r="A72" s="19"/>
      <c r="B72" s="50" t="s">
        <v>49</v>
      </c>
      <c r="C72" s="50"/>
      <c r="D72" s="65">
        <f>D71+D65+D59</f>
      </c>
      <c r="E72" s="51">
        <f>E71+E65+E59</f>
      </c>
      <c r="F72" s="51">
        <f>F71+F65+F59</f>
      </c>
      <c r="G72" s="51">
        <f>G71+G65+G59</f>
      </c>
      <c r="H72" s="53">
        <f>H71+H65+H59</f>
      </c>
      <c r="I72" s="60">
        <f>I71+I65+I59</f>
      </c>
      <c r="J72" s="54">
        <f t="shared" si="65"/>
      </c>
      <c r="K72" s="55">
        <f t="shared" si="89"/>
      </c>
      <c r="L72" s="54">
        <f t="shared" si="127"/>
      </c>
      <c r="M72" s="55">
        <f t="shared" si="108"/>
      </c>
      <c r="N72" s="55">
        <f t="shared" si="146"/>
      </c>
      <c r="O72" s="54">
        <f t="shared" si="165"/>
      </c>
      <c r="P72" s="55">
        <f t="shared" si="184"/>
      </c>
      <c r="Q72" s="55">
        <f t="shared" si="203"/>
      </c>
      <c r="R72" s="54">
        <f t="shared" si="222"/>
      </c>
      <c r="S72" s="56">
        <f t="shared" si="241"/>
      </c>
      <c r="T72" s="54">
        <f t="shared" si="260"/>
      </c>
      <c r="U72" s="54"/>
      <c r="V72" s="57"/>
      <c r="W72" s="57"/>
      <c r="X72" s="57"/>
      <c r="Y72" s="53">
        <f>Y71+Y65+Y59</f>
      </c>
      <c r="Z72" s="53">
        <f>Z71+Z65+Z59</f>
      </c>
      <c r="AA72" s="53">
        <f>AA71+AA65+AA59</f>
      </c>
      <c r="AB72" s="53">
        <f>AB71+AB65+AB59</f>
      </c>
      <c r="AC72" s="53">
        <f>AC71+AC65+AC59</f>
      </c>
      <c r="AD72" s="53">
        <f>AD71+AD65+AD59</f>
      </c>
      <c r="AE72" s="53">
        <f>AE71+AE65+AE59</f>
      </c>
    </row>
    <row r="73">
      <c r="A73" s="1" t="s">
        <v>1</v>
      </c>
      <c r="B73" s="1"/>
      <c r="C73" s="1"/>
      <c r="D73" s="2" t="s">
        <v>2</v>
      </c>
      <c r="E73" s="2"/>
      <c r="F73" s="2"/>
      <c r="G73" s="2"/>
      <c r="H73" s="2"/>
      <c r="I73" s="2"/>
      <c r="J73" s="2"/>
      <c r="K73" s="3" t="s">
        <v>3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4"/>
      <c r="W73" s="4"/>
      <c r="X73" s="4"/>
      <c r="Y73" s="5"/>
      <c r="Z73" s="5"/>
      <c r="AA73" s="5"/>
      <c r="AB73" s="5"/>
      <c r="AC73" s="5"/>
      <c r="AD73" s="5"/>
      <c r="AE73" s="5"/>
    </row>
    <row r="74">
      <c r="A74" s="6" t="s">
        <v>4</v>
      </c>
      <c r="B74" s="7" t="s">
        <v>5</v>
      </c>
      <c r="C74" s="7" t="s">
        <v>6</v>
      </c>
      <c r="D74" s="8" t="s">
        <v>7</v>
      </c>
      <c r="E74" s="9" t="s">
        <v>8</v>
      </c>
      <c r="F74" s="9" t="s">
        <v>9</v>
      </c>
      <c r="G74" s="10" t="s">
        <v>10</v>
      </c>
      <c r="H74" s="11" t="s">
        <v>11</v>
      </c>
      <c r="I74" s="11" t="s">
        <v>12</v>
      </c>
      <c r="J74" s="12" t="s">
        <v>13</v>
      </c>
      <c r="K74" s="3" t="s">
        <v>14</v>
      </c>
      <c r="L74" s="3" t="s">
        <v>15</v>
      </c>
      <c r="M74" s="13" t="s">
        <v>16</v>
      </c>
      <c r="N74" s="13" t="s">
        <v>17</v>
      </c>
      <c r="O74" s="3" t="s">
        <v>18</v>
      </c>
      <c r="P74" s="13" t="s">
        <v>19</v>
      </c>
      <c r="Q74" s="13" t="s">
        <v>20</v>
      </c>
      <c r="R74" s="14" t="s">
        <v>21</v>
      </c>
      <c r="S74" s="13" t="s">
        <v>22</v>
      </c>
      <c r="T74" s="14" t="s">
        <v>23</v>
      </c>
      <c r="U74" s="14"/>
      <c r="V74" s="15" t="s">
        <v>24</v>
      </c>
      <c r="W74" s="15" t="s">
        <v>25</v>
      </c>
      <c r="X74" s="15"/>
      <c r="Y74" s="16" t="s">
        <v>26</v>
      </c>
      <c r="Z74" s="17" t="s">
        <v>27</v>
      </c>
      <c r="AA74" s="17" t="s">
        <v>28</v>
      </c>
      <c r="AB74" s="17" t="s">
        <v>29</v>
      </c>
      <c r="AC74" s="17" t="s">
        <v>30</v>
      </c>
      <c r="AD74" s="17" t="s">
        <v>31</v>
      </c>
      <c r="AE74" s="18" t="s">
        <v>32</v>
      </c>
    </row>
    <row r="75">
      <c r="A75" s="19">
        <v>46300</v>
      </c>
      <c r="B75" s="20" t="s">
        <v>55</v>
      </c>
      <c r="C75" s="21" t="s">
        <v>34</v>
      </c>
      <c r="D75" s="37">
        <f t="shared" ref="D75:D79" si="11">E75+F75+G75</f>
      </c>
      <c r="E75" s="24">
        <v>47.966</v>
      </c>
      <c r="F75" s="24">
        <v>233.522</v>
      </c>
      <c r="G75" s="24">
        <v>261.93</v>
      </c>
      <c r="H75" s="25">
        <v>1</v>
      </c>
      <c r="I75" s="26">
        <v>1055.4</v>
      </c>
      <c r="J75" s="27">
        <f t="shared" ref="J75:J93" si="66">I75/D75</f>
      </c>
      <c r="K75" s="28">
        <f t="shared" ref="K75:K93" si="90">AA75/Z75</f>
      </c>
      <c r="L75" s="29">
        <f t="shared" ref="L75:L93" si="128">D75/AB75</f>
      </c>
      <c r="M75" s="28">
        <f t="shared" ref="M75:M93" si="109">AC75/AB75</f>
      </c>
      <c r="N75" s="28">
        <f t="shared" ref="N75:N93" si="147">AD75/AB75</f>
      </c>
      <c r="O75" s="29">
        <f t="shared" ref="O75:O93" si="166">D75/AD75</f>
      </c>
      <c r="P75" s="28">
        <f t="shared" ref="P75:P93" si="185">AE75/AD75</f>
      </c>
      <c r="Q75" s="28">
        <f t="shared" ref="Q75:Q93" si="204">H75/AE75</f>
      </c>
      <c r="R75" s="30">
        <f t="shared" ref="R75:R93" si="223">D75/H75</f>
      </c>
      <c r="S75" s="31">
        <f t="shared" ref="S75:S93" si="242">I75/H75</f>
      </c>
      <c r="T75" s="30">
        <f t="shared" ref="T75:T93" si="261">D75/Y75</f>
      </c>
      <c r="U75" s="30"/>
      <c r="V75" s="32" t="s">
        <v>35</v>
      </c>
      <c r="W75" s="33" t="s">
        <v>36</v>
      </c>
      <c r="X75" s="33"/>
      <c r="Y75" s="34">
        <v>1</v>
      </c>
      <c r="Z75" s="35">
        <v>10396</v>
      </c>
      <c r="AA75" s="36">
        <v>34</v>
      </c>
      <c r="AB75" s="34">
        <v>6410</v>
      </c>
      <c r="AC75" s="34">
        <v>423</v>
      </c>
      <c r="AD75" s="34">
        <v>202</v>
      </c>
      <c r="AE75" s="34">
        <v>1</v>
      </c>
    </row>
    <row r="76">
      <c r="A76" s="19"/>
      <c r="B76" s="20" t="s">
        <v>56</v>
      </c>
      <c r="C76" s="21" t="s">
        <v>34</v>
      </c>
      <c r="D76" s="37">
        <f t="shared" si="11"/>
      </c>
      <c r="E76" s="24">
        <v>125.623</v>
      </c>
      <c r="F76" s="24">
        <v>820.998</v>
      </c>
      <c r="G76" s="24">
        <v>201.31</v>
      </c>
      <c r="H76" s="25">
        <v>1</v>
      </c>
      <c r="I76" s="26">
        <v>2602.8</v>
      </c>
      <c r="J76" s="27">
        <f t="shared" si="66"/>
      </c>
      <c r="K76" s="28">
        <f t="shared" si="90"/>
      </c>
      <c r="L76" s="29">
        <f t="shared" si="128"/>
      </c>
      <c r="M76" s="28">
        <f t="shared" si="109"/>
      </c>
      <c r="N76" s="28">
        <f t="shared" si="147"/>
      </c>
      <c r="O76" s="29">
        <f t="shared" si="166"/>
      </c>
      <c r="P76" s="28">
        <f t="shared" si="185"/>
      </c>
      <c r="Q76" s="28">
        <f t="shared" si="204"/>
      </c>
      <c r="R76" s="30">
        <f t="shared" si="223"/>
      </c>
      <c r="S76" s="31">
        <f t="shared" si="242"/>
      </c>
      <c r="T76" s="30">
        <f t="shared" si="261"/>
      </c>
      <c r="U76" s="30"/>
      <c r="V76" s="32" t="s">
        <v>35</v>
      </c>
      <c r="W76" s="33" t="s">
        <v>36</v>
      </c>
      <c r="X76" s="33"/>
      <c r="Y76" s="34">
        <v>1</v>
      </c>
      <c r="Z76" s="35">
        <v>20874</v>
      </c>
      <c r="AA76" s="36">
        <v>60</v>
      </c>
      <c r="AB76" s="34">
        <v>19249</v>
      </c>
      <c r="AC76" s="34">
        <v>1612</v>
      </c>
      <c r="AD76" s="34">
        <v>282</v>
      </c>
      <c r="AE76" s="34">
        <v>1</v>
      </c>
    </row>
    <row r="77">
      <c r="A77" s="19"/>
      <c r="B77" s="20" t="s">
        <v>57</v>
      </c>
      <c r="C77" s="21" t="s">
        <v>34</v>
      </c>
      <c r="D77" s="37">
        <f t="shared" si="11"/>
      </c>
      <c r="E77" s="24">
        <v>110.771</v>
      </c>
      <c r="F77" s="24">
        <v>407.716</v>
      </c>
      <c r="G77" s="24">
        <v>217.304</v>
      </c>
      <c r="H77" s="25">
        <v>0</v>
      </c>
      <c r="I77" s="26">
        <v>0</v>
      </c>
      <c r="J77" s="27">
        <f t="shared" si="66"/>
      </c>
      <c r="K77" s="28">
        <f t="shared" si="90"/>
      </c>
      <c r="L77" s="29">
        <f t="shared" si="128"/>
      </c>
      <c r="M77" s="28">
        <f t="shared" si="109"/>
      </c>
      <c r="N77" s="28">
        <f t="shared" si="147"/>
      </c>
      <c r="O77" s="29">
        <f t="shared" si="166"/>
      </c>
      <c r="P77" s="28">
        <f t="shared" si="185"/>
      </c>
      <c r="Q77" s="28">
        <f t="shared" si="204"/>
      </c>
      <c r="R77" s="30">
        <f t="shared" si="223"/>
      </c>
      <c r="S77" s="31">
        <f t="shared" si="242"/>
      </c>
      <c r="T77" s="30">
        <f t="shared" si="261"/>
      </c>
      <c r="U77" s="30"/>
      <c r="V77" s="32" t="s">
        <v>35</v>
      </c>
      <c r="W77" s="33" t="s">
        <v>36</v>
      </c>
      <c r="X77" s="33"/>
      <c r="Y77" s="34">
        <v>0</v>
      </c>
      <c r="Z77" s="35">
        <v>11899</v>
      </c>
      <c r="AA77" s="36">
        <v>49</v>
      </c>
      <c r="AB77" s="34">
        <v>8704</v>
      </c>
      <c r="AC77" s="34">
        <v>706</v>
      </c>
      <c r="AD77" s="34">
        <v>246</v>
      </c>
      <c r="AE77" s="34">
        <v>2</v>
      </c>
    </row>
    <row r="78">
      <c r="A78" s="19"/>
      <c r="B78" s="20" t="s">
        <v>50</v>
      </c>
      <c r="C78" s="21" t="s">
        <v>34</v>
      </c>
      <c r="D78" s="37">
        <f t="shared" si="11"/>
      </c>
      <c r="E78" s="24">
        <v>83.104</v>
      </c>
      <c r="F78" s="24">
        <v>373.793</v>
      </c>
      <c r="G78" s="24">
        <v>246.303</v>
      </c>
      <c r="H78" s="25">
        <v>1</v>
      </c>
      <c r="I78" s="26">
        <v>266.15999999999985</v>
      </c>
      <c r="J78" s="27">
        <f t="shared" si="66"/>
      </c>
      <c r="K78" s="28">
        <f t="shared" si="90"/>
      </c>
      <c r="L78" s="29">
        <f t="shared" si="128"/>
      </c>
      <c r="M78" s="28">
        <f t="shared" si="109"/>
      </c>
      <c r="N78" s="28">
        <f t="shared" si="147"/>
      </c>
      <c r="O78" s="29">
        <f t="shared" si="166"/>
      </c>
      <c r="P78" s="28">
        <f t="shared" si="185"/>
      </c>
      <c r="Q78" s="28">
        <f t="shared" si="204"/>
      </c>
      <c r="R78" s="30">
        <f t="shared" si="223"/>
      </c>
      <c r="S78" s="31">
        <f t="shared" si="242"/>
      </c>
      <c r="T78" s="30">
        <f t="shared" si="261"/>
      </c>
      <c r="U78" s="30"/>
      <c r="V78" s="32" t="s">
        <v>35</v>
      </c>
      <c r="W78" s="33" t="s">
        <v>36</v>
      </c>
      <c r="X78" s="33"/>
      <c r="Y78" s="34">
        <v>1</v>
      </c>
      <c r="Z78" s="35">
        <v>11787</v>
      </c>
      <c r="AA78" s="36">
        <v>50</v>
      </c>
      <c r="AB78" s="34">
        <v>5395</v>
      </c>
      <c r="AC78" s="34">
        <v>381</v>
      </c>
      <c r="AD78" s="34">
        <v>210</v>
      </c>
      <c r="AE78" s="34">
        <v>1</v>
      </c>
    </row>
    <row r="79">
      <c r="A79" s="19"/>
      <c r="B79" s="20" t="s">
        <v>51</v>
      </c>
      <c r="C79" s="21" t="s">
        <v>34</v>
      </c>
      <c r="D79" s="37">
        <f t="shared" si="11"/>
      </c>
      <c r="E79" s="24">
        <v>78.939</v>
      </c>
      <c r="F79" s="24">
        <v>200.172</v>
      </c>
      <c r="G79" s="24">
        <v>427.211</v>
      </c>
      <c r="H79" s="25">
        <v>1</v>
      </c>
      <c r="I79" s="26">
        <v>1771.1999999999994</v>
      </c>
      <c r="J79" s="27">
        <f t="shared" si="66"/>
      </c>
      <c r="K79" s="28">
        <f t="shared" si="90"/>
      </c>
      <c r="L79" s="29">
        <f t="shared" si="128"/>
      </c>
      <c r="M79" s="28">
        <f t="shared" si="109"/>
      </c>
      <c r="N79" s="28">
        <f t="shared" si="147"/>
      </c>
      <c r="O79" s="29">
        <f t="shared" si="166"/>
      </c>
      <c r="P79" s="28">
        <f t="shared" si="185"/>
      </c>
      <c r="Q79" s="28">
        <f t="shared" si="204"/>
      </c>
      <c r="R79" s="30">
        <f t="shared" si="223"/>
      </c>
      <c r="S79" s="31">
        <f t="shared" si="242"/>
      </c>
      <c r="T79" s="30">
        <f t="shared" si="261"/>
      </c>
      <c r="U79" s="30"/>
      <c r="V79" s="32" t="s">
        <v>35</v>
      </c>
      <c r="W79" s="33" t="s">
        <v>36</v>
      </c>
      <c r="X79" s="33"/>
      <c r="Y79" s="34">
        <v>1</v>
      </c>
      <c r="Z79" s="36">
        <v>11105</v>
      </c>
      <c r="AA79" s="36">
        <v>44</v>
      </c>
      <c r="AB79" s="36">
        <v>7719</v>
      </c>
      <c r="AC79" s="36">
        <v>530</v>
      </c>
      <c r="AD79" s="34">
        <v>161</v>
      </c>
      <c r="AE79" s="34">
        <v>2</v>
      </c>
    </row>
    <row r="80">
      <c r="A80" s="19"/>
      <c r="B80" s="38" t="s">
        <v>42</v>
      </c>
      <c r="C80" s="38"/>
      <c r="D80" s="61">
        <f>SUM(D75:D79)</f>
      </c>
      <c r="E80" s="61">
        <f>SUM(E75:E79)</f>
      </c>
      <c r="F80" s="61">
        <f>SUM(F75:F79)</f>
      </c>
      <c r="G80" s="61">
        <f>SUM(G75:G79)</f>
      </c>
      <c r="H80" s="40">
        <f>SUM(H75:H79)</f>
      </c>
      <c r="I80" s="62">
        <f>SUM(I75:I79)</f>
      </c>
      <c r="J80" s="42">
        <f t="shared" si="66"/>
      </c>
      <c r="K80" s="43">
        <f t="shared" si="90"/>
      </c>
      <c r="L80" s="44">
        <f t="shared" si="128"/>
      </c>
      <c r="M80" s="43">
        <f t="shared" si="109"/>
      </c>
      <c r="N80" s="43">
        <f t="shared" si="147"/>
      </c>
      <c r="O80" s="44">
        <f t="shared" si="166"/>
      </c>
      <c r="P80" s="43">
        <f t="shared" si="185"/>
      </c>
      <c r="Q80" s="43">
        <f t="shared" si="204"/>
      </c>
      <c r="R80" s="45">
        <f t="shared" si="223"/>
      </c>
      <c r="S80" s="46">
        <f t="shared" si="242"/>
      </c>
      <c r="T80" s="45">
        <f t="shared" si="261"/>
      </c>
      <c r="U80" s="45"/>
      <c r="V80" s="47"/>
      <c r="W80" s="47"/>
      <c r="X80" s="47"/>
      <c r="Y80" s="48">
        <f>SUM(Y75:Y79)</f>
      </c>
      <c r="Z80" s="48">
        <f>SUM(Z75:Z79)</f>
      </c>
      <c r="AA80" s="48">
        <f>SUM(AA75:AA79)</f>
      </c>
      <c r="AB80" s="48">
        <f>SUM(AB75:AB79)</f>
      </c>
      <c r="AC80" s="48">
        <f>SUM(AC75:AC79)</f>
      </c>
      <c r="AD80" s="48">
        <f>SUM(AD75:AD79)</f>
      </c>
      <c r="AE80" s="48">
        <f>SUM(AE75:AE79)</f>
      </c>
    </row>
    <row r="81">
      <c r="A81" s="19"/>
      <c r="B81" s="20" t="s">
        <v>33</v>
      </c>
      <c r="C81" s="21" t="s">
        <v>52</v>
      </c>
      <c r="D81" s="37">
        <f t="shared" ref="D81:D85" si="12">E81+F81+G81</f>
      </c>
      <c r="E81" s="24">
        <v>213.109</v>
      </c>
      <c r="F81" s="24">
        <v>228.887</v>
      </c>
      <c r="G81" s="24">
        <v>361.312</v>
      </c>
      <c r="H81" s="25">
        <v>0</v>
      </c>
      <c r="I81" s="63">
        <v>0</v>
      </c>
      <c r="J81" s="27">
        <f t="shared" si="66"/>
      </c>
      <c r="K81" s="28">
        <f t="shared" si="90"/>
      </c>
      <c r="L81" s="29">
        <f t="shared" si="128"/>
      </c>
      <c r="M81" s="28">
        <f t="shared" si="109"/>
      </c>
      <c r="N81" s="28">
        <f t="shared" si="147"/>
      </c>
      <c r="O81" s="29">
        <f t="shared" si="166"/>
      </c>
      <c r="P81" s="28">
        <f t="shared" si="185"/>
      </c>
      <c r="Q81" s="28">
        <f t="shared" si="204"/>
      </c>
      <c r="R81" s="30">
        <f t="shared" si="223"/>
      </c>
      <c r="S81" s="31">
        <f t="shared" si="242"/>
      </c>
      <c r="T81" s="30">
        <f t="shared" si="261"/>
      </c>
      <c r="U81" s="30"/>
      <c r="V81" s="32" t="s">
        <v>35</v>
      </c>
      <c r="W81" s="33" t="s">
        <v>36</v>
      </c>
      <c r="X81" s="33"/>
      <c r="Y81" s="34">
        <v>0</v>
      </c>
      <c r="Z81" s="35">
        <v>19454</v>
      </c>
      <c r="AA81" s="36">
        <v>89</v>
      </c>
      <c r="AB81" s="34">
        <v>10905</v>
      </c>
      <c r="AC81" s="34">
        <v>800</v>
      </c>
      <c r="AD81" s="34">
        <v>328</v>
      </c>
      <c r="AE81" s="34">
        <v>0</v>
      </c>
    </row>
    <row r="82">
      <c r="A82" s="19"/>
      <c r="B82" s="20" t="s">
        <v>37</v>
      </c>
      <c r="C82" s="21" t="s">
        <v>52</v>
      </c>
      <c r="D82" s="37">
        <f t="shared" si="12"/>
      </c>
      <c r="E82" s="24">
        <v>452.136</v>
      </c>
      <c r="F82" s="37">
        <v>387.233</v>
      </c>
      <c r="G82" s="37">
        <v>181.189</v>
      </c>
      <c r="H82" s="25">
        <v>2</v>
      </c>
      <c r="I82" s="63">
        <v>2870.2800000000007</v>
      </c>
      <c r="J82" s="27">
        <f t="shared" si="66"/>
      </c>
      <c r="K82" s="28">
        <f t="shared" si="90"/>
      </c>
      <c r="L82" s="29">
        <f t="shared" si="128"/>
      </c>
      <c r="M82" s="28">
        <f t="shared" si="109"/>
      </c>
      <c r="N82" s="28">
        <f t="shared" si="147"/>
      </c>
      <c r="O82" s="29">
        <f t="shared" si="166"/>
      </c>
      <c r="P82" s="28">
        <f t="shared" si="185"/>
      </c>
      <c r="Q82" s="28">
        <f t="shared" si="204"/>
      </c>
      <c r="R82" s="30">
        <f t="shared" si="223"/>
      </c>
      <c r="S82" s="31">
        <f t="shared" si="242"/>
      </c>
      <c r="T82" s="30">
        <f t="shared" si="261"/>
      </c>
      <c r="U82" s="30"/>
      <c r="V82" s="32" t="s">
        <v>35</v>
      </c>
      <c r="W82" s="33" t="s">
        <v>36</v>
      </c>
      <c r="X82" s="33"/>
      <c r="Y82" s="34">
        <v>2</v>
      </c>
      <c r="Z82" s="36">
        <v>30110</v>
      </c>
      <c r="AA82" s="36">
        <v>168</v>
      </c>
      <c r="AB82" s="34">
        <v>15036</v>
      </c>
      <c r="AC82" s="34">
        <v>1174</v>
      </c>
      <c r="AD82" s="34">
        <v>654</v>
      </c>
      <c r="AE82" s="34">
        <v>4</v>
      </c>
    </row>
    <row r="83">
      <c r="A83" s="19"/>
      <c r="B83" s="20" t="s">
        <v>38</v>
      </c>
      <c r="C83" s="21" t="s">
        <v>52</v>
      </c>
      <c r="D83" s="37">
        <f t="shared" si="12"/>
      </c>
      <c r="E83" s="24">
        <v>497.81</v>
      </c>
      <c r="F83" s="37">
        <v>539.526</v>
      </c>
      <c r="G83" s="24">
        <v>196.717</v>
      </c>
      <c r="H83" s="25">
        <v>0</v>
      </c>
      <c r="I83" s="63">
        <v>0</v>
      </c>
      <c r="J83" s="27">
        <f t="shared" si="66"/>
      </c>
      <c r="K83" s="28">
        <f t="shared" si="90"/>
      </c>
      <c r="L83" s="29">
        <f t="shared" si="128"/>
      </c>
      <c r="M83" s="28">
        <f t="shared" si="109"/>
      </c>
      <c r="N83" s="28">
        <f t="shared" si="147"/>
      </c>
      <c r="O83" s="29">
        <f t="shared" si="166"/>
      </c>
      <c r="P83" s="28">
        <f t="shared" si="185"/>
      </c>
      <c r="Q83" s="28">
        <f t="shared" si="204"/>
      </c>
      <c r="R83" s="30">
        <f t="shared" si="223"/>
      </c>
      <c r="S83" s="31">
        <f t="shared" si="242"/>
      </c>
      <c r="T83" s="30">
        <f t="shared" si="261"/>
      </c>
      <c r="U83" s="30"/>
      <c r="V83" s="32" t="s">
        <v>35</v>
      </c>
      <c r="W83" s="33" t="s">
        <v>54</v>
      </c>
      <c r="X83" s="33"/>
      <c r="Y83" s="34">
        <v>0</v>
      </c>
      <c r="Z83" s="35">
        <v>35433</v>
      </c>
      <c r="AA83" s="36">
        <v>124</v>
      </c>
      <c r="AB83" s="34">
        <v>15608</v>
      </c>
      <c r="AC83" s="34">
        <v>1174</v>
      </c>
      <c r="AD83" s="34">
        <v>776</v>
      </c>
      <c r="AE83" s="34">
        <v>1</v>
      </c>
    </row>
    <row r="84">
      <c r="A84" s="19"/>
      <c r="B84" s="20" t="s">
        <v>40</v>
      </c>
      <c r="C84" s="21" t="s">
        <v>52</v>
      </c>
      <c r="D84" s="37">
        <f t="shared" si="12"/>
      </c>
      <c r="E84" s="24">
        <v>414.926</v>
      </c>
      <c r="F84" s="37">
        <v>523.049</v>
      </c>
      <c r="G84" s="37">
        <v>168.197</v>
      </c>
      <c r="H84" s="25">
        <v>1</v>
      </c>
      <c r="I84" s="63">
        <v>201.60000000000036</v>
      </c>
      <c r="J84" s="27">
        <f t="shared" si="66"/>
      </c>
      <c r="K84" s="28">
        <f t="shared" si="90"/>
      </c>
      <c r="L84" s="29">
        <f t="shared" si="128"/>
      </c>
      <c r="M84" s="28">
        <f t="shared" si="109"/>
      </c>
      <c r="N84" s="28">
        <f t="shared" si="147"/>
      </c>
      <c r="O84" s="29">
        <f t="shared" si="166"/>
      </c>
      <c r="P84" s="28">
        <f t="shared" si="185"/>
      </c>
      <c r="Q84" s="28">
        <f t="shared" si="204"/>
      </c>
      <c r="R84" s="30">
        <f t="shared" si="223"/>
      </c>
      <c r="S84" s="31">
        <f t="shared" si="242"/>
      </c>
      <c r="T84" s="30">
        <f t="shared" si="261"/>
      </c>
      <c r="U84" s="30"/>
      <c r="V84" s="32" t="s">
        <v>35</v>
      </c>
      <c r="W84" s="33" t="s">
        <v>54</v>
      </c>
      <c r="X84" s="33"/>
      <c r="Y84" s="34">
        <v>0</v>
      </c>
      <c r="Z84" s="35">
        <v>35528</v>
      </c>
      <c r="AA84" s="35">
        <v>153</v>
      </c>
      <c r="AB84" s="36">
        <v>16381</v>
      </c>
      <c r="AC84" s="36">
        <v>1287</v>
      </c>
      <c r="AD84" s="34">
        <v>606</v>
      </c>
      <c r="AE84" s="34">
        <v>1</v>
      </c>
    </row>
    <row r="85">
      <c r="A85" s="19"/>
      <c r="B85" s="20" t="s">
        <v>41</v>
      </c>
      <c r="C85" s="21" t="s">
        <v>52</v>
      </c>
      <c r="D85" s="37">
        <f t="shared" si="12"/>
      </c>
      <c r="E85" s="24">
        <v>430.636</v>
      </c>
      <c r="F85" s="37">
        <v>920.606</v>
      </c>
      <c r="G85" s="37">
        <v>211.8</v>
      </c>
      <c r="H85" s="25">
        <v>1</v>
      </c>
      <c r="I85" s="63">
        <v>840.7199999999993</v>
      </c>
      <c r="J85" s="27">
        <f t="shared" si="66"/>
      </c>
      <c r="K85" s="28">
        <f t="shared" si="90"/>
      </c>
      <c r="L85" s="29">
        <f t="shared" si="128"/>
      </c>
      <c r="M85" s="28">
        <f t="shared" si="109"/>
      </c>
      <c r="N85" s="28">
        <f t="shared" si="147"/>
      </c>
      <c r="O85" s="29">
        <f t="shared" si="166"/>
      </c>
      <c r="P85" s="28">
        <f t="shared" si="185"/>
      </c>
      <c r="Q85" s="28">
        <f t="shared" si="204"/>
      </c>
      <c r="R85" s="30">
        <f t="shared" si="223"/>
      </c>
      <c r="S85" s="31">
        <f t="shared" si="242"/>
      </c>
      <c r="T85" s="30">
        <f t="shared" si="261"/>
      </c>
      <c r="U85" s="30"/>
      <c r="V85" s="32" t="s">
        <v>35</v>
      </c>
      <c r="W85" s="33" t="s">
        <v>54</v>
      </c>
      <c r="X85" s="33"/>
      <c r="Y85" s="34">
        <v>2</v>
      </c>
      <c r="Z85" s="36">
        <v>37062</v>
      </c>
      <c r="AA85" s="36">
        <v>136</v>
      </c>
      <c r="AB85" s="36">
        <v>29189</v>
      </c>
      <c r="AC85" s="36">
        <v>1719</v>
      </c>
      <c r="AD85" s="34">
        <v>519</v>
      </c>
      <c r="AE85" s="34">
        <v>2</v>
      </c>
    </row>
    <row r="86">
      <c r="A86" s="19"/>
      <c r="B86" s="38" t="s">
        <v>42</v>
      </c>
      <c r="C86" s="38"/>
      <c r="D86" s="61">
        <f>SUM(D81:D85)</f>
      </c>
      <c r="E86" s="61">
        <f>SUM(E81:E85)</f>
      </c>
      <c r="F86" s="61">
        <f>SUM(F81:F85)</f>
      </c>
      <c r="G86" s="61">
        <f>SUM(G81:G85)</f>
      </c>
      <c r="H86" s="40">
        <f>SUM(H81:H85)</f>
      </c>
      <c r="I86" s="62">
        <f>SUM(I81:I85)</f>
      </c>
      <c r="J86" s="42">
        <f t="shared" si="66"/>
      </c>
      <c r="K86" s="43">
        <f t="shared" si="90"/>
      </c>
      <c r="L86" s="44">
        <f t="shared" si="128"/>
      </c>
      <c r="M86" s="43">
        <f t="shared" si="109"/>
      </c>
      <c r="N86" s="43">
        <f t="shared" si="147"/>
      </c>
      <c r="O86" s="44">
        <f t="shared" si="166"/>
      </c>
      <c r="P86" s="43">
        <f t="shared" si="185"/>
      </c>
      <c r="Q86" s="43">
        <f t="shared" si="204"/>
      </c>
      <c r="R86" s="45">
        <f t="shared" si="223"/>
      </c>
      <c r="S86" s="46">
        <f t="shared" si="242"/>
      </c>
      <c r="T86" s="45">
        <f t="shared" si="261"/>
      </c>
      <c r="U86" s="45"/>
      <c r="V86" s="47"/>
      <c r="W86" s="47"/>
      <c r="X86" s="47"/>
      <c r="Y86" s="48">
        <f>SUM(Y81:Y85)</f>
      </c>
      <c r="Z86" s="58">
        <f>SUM(Z81:Z85)</f>
      </c>
      <c r="AA86" s="58">
        <f>SUM(AA81:AA85)</f>
      </c>
      <c r="AB86" s="58">
        <f>SUM(AB81:AB85)</f>
      </c>
      <c r="AC86" s="58">
        <f>SUM(AC81:AC85)</f>
      </c>
      <c r="AD86" s="58">
        <f>SUM(AD81:AD85)</f>
      </c>
      <c r="AE86" s="59">
        <f>SUM(AE81:AE85)</f>
      </c>
    </row>
    <row r="87">
      <c r="A87" s="19"/>
      <c r="B87" s="20" t="s">
        <v>53</v>
      </c>
      <c r="C87" s="21" t="s">
        <v>44</v>
      </c>
      <c r="D87" s="22">
        <f t="shared" ref="D87:D91" si="13">E87+F87+G87</f>
      </c>
      <c r="E87" s="24">
        <v>454.976</v>
      </c>
      <c r="F87" s="37">
        <v>1120.308</v>
      </c>
      <c r="G87" s="24">
        <v>242.673</v>
      </c>
      <c r="H87" s="25">
        <v>2</v>
      </c>
      <c r="I87" s="63">
        <v>3658.2000000000007</v>
      </c>
      <c r="J87" s="27">
        <f t="shared" si="66"/>
      </c>
      <c r="K87" s="28">
        <f t="shared" si="90"/>
      </c>
      <c r="L87" s="29">
        <f t="shared" si="128"/>
      </c>
      <c r="M87" s="28">
        <f t="shared" si="109"/>
      </c>
      <c r="N87" s="28">
        <f t="shared" si="147"/>
      </c>
      <c r="O87" s="29">
        <f t="shared" si="166"/>
      </c>
      <c r="P87" s="28">
        <f t="shared" si="185"/>
      </c>
      <c r="Q87" s="28">
        <f t="shared" si="204"/>
      </c>
      <c r="R87" s="30">
        <f t="shared" si="223"/>
      </c>
      <c r="S87" s="31">
        <f t="shared" si="242"/>
      </c>
      <c r="T87" s="30">
        <f t="shared" si="261"/>
      </c>
      <c r="U87" s="30"/>
      <c r="V87" s="49" t="s">
        <v>35</v>
      </c>
      <c r="W87" s="33" t="s">
        <v>54</v>
      </c>
      <c r="X87" s="33"/>
      <c r="Y87" s="34">
        <v>2</v>
      </c>
      <c r="Z87" s="35">
        <v>43879</v>
      </c>
      <c r="AA87" s="36">
        <v>152</v>
      </c>
      <c r="AB87" s="36">
        <v>25115</v>
      </c>
      <c r="AC87" s="36">
        <v>1333</v>
      </c>
      <c r="AD87" s="36">
        <v>552</v>
      </c>
      <c r="AE87" s="34">
        <v>3</v>
      </c>
    </row>
    <row r="88">
      <c r="A88" s="19"/>
      <c r="B88" s="20" t="s">
        <v>43</v>
      </c>
      <c r="C88" s="21" t="s">
        <v>44</v>
      </c>
      <c r="D88" s="22">
        <f t="shared" si="13"/>
      </c>
      <c r="E88" s="24">
        <v>339.748</v>
      </c>
      <c r="F88" s="37">
        <v>1759.473</v>
      </c>
      <c r="G88" s="37">
        <v>168.567</v>
      </c>
      <c r="H88" s="25">
        <v>3</v>
      </c>
      <c r="I88" s="63">
        <v>2817.4799999999996</v>
      </c>
      <c r="J88" s="27">
        <f t="shared" si="66"/>
      </c>
      <c r="K88" s="28">
        <f t="shared" si="90"/>
      </c>
      <c r="L88" s="29">
        <f t="shared" si="128"/>
      </c>
      <c r="M88" s="28">
        <f t="shared" si="109"/>
      </c>
      <c r="N88" s="28">
        <f t="shared" si="147"/>
      </c>
      <c r="O88" s="29">
        <f t="shared" si="166"/>
      </c>
      <c r="P88" s="28">
        <f t="shared" si="185"/>
      </c>
      <c r="Q88" s="28">
        <f t="shared" si="204"/>
      </c>
      <c r="R88" s="30">
        <f t="shared" si="223"/>
      </c>
      <c r="S88" s="31">
        <f t="shared" si="242"/>
      </c>
      <c r="T88" s="30">
        <f t="shared" si="261"/>
      </c>
      <c r="U88" s="30"/>
      <c r="V88" s="49" t="s">
        <v>35</v>
      </c>
      <c r="W88" s="33" t="s">
        <v>54</v>
      </c>
      <c r="X88" s="33"/>
      <c r="Y88" s="34">
        <v>3</v>
      </c>
      <c r="Z88" s="36">
        <v>51480</v>
      </c>
      <c r="AA88" s="36">
        <v>138</v>
      </c>
      <c r="AB88" s="36">
        <v>60967</v>
      </c>
      <c r="AC88" s="36">
        <v>2865</v>
      </c>
      <c r="AD88" s="36">
        <v>582</v>
      </c>
      <c r="AE88" s="34">
        <v>5</v>
      </c>
    </row>
    <row r="89">
      <c r="A89" s="19"/>
      <c r="B89" s="20" t="s">
        <v>45</v>
      </c>
      <c r="C89" s="21" t="s">
        <v>44</v>
      </c>
      <c r="D89" s="22">
        <f t="shared" si="13"/>
      </c>
      <c r="E89" s="24">
        <v>221.026</v>
      </c>
      <c r="F89" s="37">
        <v>3516.505</v>
      </c>
      <c r="G89" s="37">
        <v>470.402</v>
      </c>
      <c r="H89" s="25">
        <v>7</v>
      </c>
      <c r="I89" s="63">
        <v>3617.399999999998</v>
      </c>
      <c r="J89" s="27">
        <f t="shared" si="66"/>
      </c>
      <c r="K89" s="28">
        <f t="shared" si="90"/>
      </c>
      <c r="L89" s="29">
        <f t="shared" si="128"/>
      </c>
      <c r="M89" s="28">
        <f t="shared" si="109"/>
      </c>
      <c r="N89" s="28">
        <f t="shared" si="147"/>
      </c>
      <c r="O89" s="29">
        <f t="shared" si="166"/>
      </c>
      <c r="P89" s="28">
        <f t="shared" si="185"/>
      </c>
      <c r="Q89" s="28">
        <f t="shared" si="204"/>
      </c>
      <c r="R89" s="30">
        <f t="shared" si="223"/>
      </c>
      <c r="S89" s="31">
        <f t="shared" si="242"/>
      </c>
      <c r="T89" s="30">
        <f t="shared" si="261"/>
      </c>
      <c r="U89" s="30"/>
      <c r="V89" s="49" t="s">
        <v>35</v>
      </c>
      <c r="W89" s="33" t="s">
        <v>54</v>
      </c>
      <c r="X89" s="33"/>
      <c r="Y89" s="34">
        <v>7</v>
      </c>
      <c r="Z89" s="36">
        <v>93049</v>
      </c>
      <c r="AA89" s="36">
        <v>118</v>
      </c>
      <c r="AB89" s="36">
        <v>138383</v>
      </c>
      <c r="AC89" s="36">
        <v>6380</v>
      </c>
      <c r="AD89" s="36">
        <v>606</v>
      </c>
      <c r="AE89" s="34">
        <v>9</v>
      </c>
    </row>
    <row r="90">
      <c r="A90" s="19"/>
      <c r="B90" s="20" t="s">
        <v>46</v>
      </c>
      <c r="C90" s="21" t="s">
        <v>44</v>
      </c>
      <c r="D90" s="22">
        <f t="shared" si="13"/>
      </c>
      <c r="E90" s="24">
        <v>328.684</v>
      </c>
      <c r="F90" s="37">
        <v>1277.226</v>
      </c>
      <c r="G90" s="37">
        <v>718.834</v>
      </c>
      <c r="H90" s="25">
        <v>1</v>
      </c>
      <c r="I90" s="63">
        <v>718.2000000000044</v>
      </c>
      <c r="J90" s="27">
        <f t="shared" si="66"/>
      </c>
      <c r="K90" s="28">
        <f t="shared" si="90"/>
      </c>
      <c r="L90" s="29">
        <f t="shared" si="128"/>
      </c>
      <c r="M90" s="28">
        <f t="shared" si="109"/>
      </c>
      <c r="N90" s="28">
        <f t="shared" si="147"/>
      </c>
      <c r="O90" s="29">
        <f t="shared" si="166"/>
      </c>
      <c r="P90" s="28">
        <f t="shared" si="185"/>
      </c>
      <c r="Q90" s="28">
        <f t="shared" si="204"/>
      </c>
      <c r="R90" s="30">
        <f t="shared" si="223"/>
      </c>
      <c r="S90" s="31">
        <f t="shared" si="242"/>
      </c>
      <c r="T90" s="30">
        <f t="shared" si="261"/>
      </c>
      <c r="U90" s="30"/>
      <c r="V90" s="49" t="s">
        <v>35</v>
      </c>
      <c r="W90" s="33" t="s">
        <v>54</v>
      </c>
      <c r="X90" s="33"/>
      <c r="Y90" s="34">
        <v>1</v>
      </c>
      <c r="Z90" s="36">
        <v>54110</v>
      </c>
      <c r="AA90" s="36">
        <v>83</v>
      </c>
      <c r="AB90" s="36">
        <v>71783</v>
      </c>
      <c r="AC90" s="36">
        <v>3871</v>
      </c>
      <c r="AD90" s="36">
        <v>398</v>
      </c>
      <c r="AE90" s="34">
        <v>2</v>
      </c>
    </row>
    <row r="91">
      <c r="A91" s="19"/>
      <c r="B91" s="20" t="s">
        <v>47</v>
      </c>
      <c r="C91" s="21" t="s">
        <v>44</v>
      </c>
      <c r="D91" s="22">
        <f t="shared" si="13"/>
      </c>
      <c r="E91" s="24">
        <f>56.795+0.03+0.004</f>
      </c>
      <c r="F91" s="24">
        <f>1083.479+0.67</f>
      </c>
      <c r="G91" s="24">
        <f>353.386+0.04</f>
      </c>
      <c r="H91" s="25">
        <v>1</v>
      </c>
      <c r="I91" s="63">
        <v>926.8799999999974</v>
      </c>
      <c r="J91" s="27">
        <f t="shared" si="66"/>
      </c>
      <c r="K91" s="28">
        <f t="shared" si="90"/>
      </c>
      <c r="L91" s="29">
        <f t="shared" si="128"/>
      </c>
      <c r="M91" s="28">
        <f t="shared" si="109"/>
      </c>
      <c r="N91" s="28">
        <f t="shared" si="147"/>
      </c>
      <c r="O91" s="29">
        <f t="shared" si="166"/>
      </c>
      <c r="P91" s="28">
        <f t="shared" si="185"/>
      </c>
      <c r="Q91" s="28">
        <f t="shared" si="204"/>
      </c>
      <c r="R91" s="30">
        <f t="shared" si="223"/>
      </c>
      <c r="S91" s="31">
        <f t="shared" si="242"/>
      </c>
      <c r="T91" s="30">
        <f t="shared" si="261"/>
      </c>
      <c r="U91" s="30"/>
      <c r="V91" s="49" t="s">
        <v>35</v>
      </c>
      <c r="W91" s="33" t="s">
        <v>54</v>
      </c>
      <c r="X91" s="33"/>
      <c r="Y91" s="34">
        <v>1</v>
      </c>
      <c r="Z91" s="36">
        <v>34714</v>
      </c>
      <c r="AA91" s="36">
        <v>61</v>
      </c>
      <c r="AB91" s="36">
        <v>34467</v>
      </c>
      <c r="AC91" s="36">
        <v>1925</v>
      </c>
      <c r="AD91" s="36">
        <v>224</v>
      </c>
      <c r="AE91" s="34">
        <v>1</v>
      </c>
    </row>
    <row r="92">
      <c r="A92" s="19"/>
      <c r="B92" s="38" t="s">
        <v>42</v>
      </c>
      <c r="C92" s="38"/>
      <c r="D92" s="61">
        <f>SUM(D87:D91)</f>
      </c>
      <c r="E92" s="61">
        <f>SUM(E87:E91)</f>
      </c>
      <c r="F92" s="61">
        <f>SUM(F87:F91)</f>
      </c>
      <c r="G92" s="61">
        <f>SUM(G87:G91)</f>
      </c>
      <c r="H92" s="40">
        <f>SUM(H87:H91)</f>
      </c>
      <c r="I92" s="62">
        <f>SUM(I87:I91)</f>
      </c>
      <c r="J92" s="42">
        <f t="shared" si="66"/>
      </c>
      <c r="K92" s="43">
        <f t="shared" si="90"/>
      </c>
      <c r="L92" s="44">
        <f t="shared" si="128"/>
      </c>
      <c r="M92" s="43">
        <f t="shared" si="109"/>
      </c>
      <c r="N92" s="43">
        <f t="shared" si="147"/>
      </c>
      <c r="O92" s="44">
        <f t="shared" si="166"/>
      </c>
      <c r="P92" s="43">
        <f t="shared" si="185"/>
      </c>
      <c r="Q92" s="43">
        <f t="shared" si="204"/>
      </c>
      <c r="R92" s="45">
        <f t="shared" si="223"/>
      </c>
      <c r="S92" s="46">
        <f t="shared" si="242"/>
      </c>
      <c r="T92" s="45">
        <f t="shared" si="261"/>
      </c>
      <c r="U92" s="45"/>
      <c r="V92" s="47"/>
      <c r="W92" s="47"/>
      <c r="X92" s="47"/>
      <c r="Y92" s="48">
        <f>SUM(Y87:Y91)</f>
      </c>
      <c r="Z92" s="48">
        <f>SUM(Z87:Z91)</f>
      </c>
      <c r="AA92" s="48">
        <f>SUM(AA87:AA91)</f>
      </c>
      <c r="AB92" s="48">
        <f>SUM(AB87:AB91)</f>
      </c>
      <c r="AC92" s="48">
        <f>SUM(AC87:AC91)</f>
      </c>
      <c r="AD92" s="48">
        <f>SUM(AD87:AD91)</f>
      </c>
      <c r="AE92" s="48">
        <f>SUM(AE87:AE91)</f>
      </c>
    </row>
    <row r="93">
      <c r="A93" s="19"/>
      <c r="B93" s="50" t="s">
        <v>49</v>
      </c>
      <c r="C93" s="50"/>
      <c r="D93" s="51">
        <f>D92+D86+D80</f>
      </c>
      <c r="E93" s="51">
        <f>E92+E86+E80</f>
      </c>
      <c r="F93" s="51">
        <f>F92+F86+F80</f>
      </c>
      <c r="G93" s="51">
        <f>G92+G86+G80</f>
      </c>
      <c r="H93" s="53">
        <f>H92+H86+H80</f>
      </c>
      <c r="I93" s="60">
        <f>I92+I86+I80</f>
      </c>
      <c r="J93" s="54">
        <f t="shared" si="66"/>
      </c>
      <c r="K93" s="55">
        <f t="shared" si="90"/>
      </c>
      <c r="L93" s="54">
        <f t="shared" si="128"/>
      </c>
      <c r="M93" s="55">
        <f t="shared" si="109"/>
      </c>
      <c r="N93" s="55">
        <f t="shared" si="147"/>
      </c>
      <c r="O93" s="54">
        <f t="shared" si="166"/>
      </c>
      <c r="P93" s="55">
        <f t="shared" si="185"/>
      </c>
      <c r="Q93" s="55">
        <f t="shared" si="204"/>
      </c>
      <c r="R93" s="54">
        <f t="shared" si="223"/>
      </c>
      <c r="S93" s="56">
        <f t="shared" si="242"/>
      </c>
      <c r="T93" s="54">
        <f t="shared" si="261"/>
      </c>
      <c r="U93" s="54"/>
      <c r="V93" s="57"/>
      <c r="W93" s="57"/>
      <c r="X93" s="57"/>
      <c r="Y93" s="53">
        <f>Y92+Y86+Y80</f>
      </c>
      <c r="Z93" s="53">
        <f>Z92+Z86+Z80</f>
      </c>
      <c r="AA93" s="53">
        <f>AA92+AA86+AA80</f>
      </c>
      <c r="AB93" s="53">
        <f>AB92+AB86+AB80</f>
      </c>
      <c r="AC93" s="53">
        <f>AC92+AC86+AC80</f>
      </c>
      <c r="AD93" s="53">
        <f>AD92+AD86+AD80</f>
      </c>
      <c r="AE93" s="53">
        <f>AE92+AE86+AE80</f>
      </c>
    </row>
    <row r="94">
      <c r="A94" s="1" t="s">
        <v>1</v>
      </c>
      <c r="B94" s="1"/>
      <c r="C94" s="1"/>
      <c r="D94" s="2" t="s">
        <v>2</v>
      </c>
      <c r="E94" s="2"/>
      <c r="F94" s="2"/>
      <c r="G94" s="2"/>
      <c r="H94" s="2"/>
      <c r="I94" s="2"/>
      <c r="J94" s="2"/>
      <c r="K94" s="3" t="s">
        <v>3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4"/>
      <c r="W94" s="4"/>
      <c r="X94" s="4"/>
      <c r="Y94" s="5"/>
      <c r="Z94" s="5"/>
      <c r="AA94" s="5"/>
      <c r="AB94" s="5"/>
      <c r="AC94" s="5"/>
      <c r="AD94" s="5"/>
      <c r="AE94" s="5"/>
    </row>
    <row r="95">
      <c r="A95" s="6" t="s">
        <v>4</v>
      </c>
      <c r="B95" s="7" t="s">
        <v>5</v>
      </c>
      <c r="C95" s="7" t="s">
        <v>6</v>
      </c>
      <c r="D95" s="8" t="s">
        <v>7</v>
      </c>
      <c r="E95" s="9" t="s">
        <v>8</v>
      </c>
      <c r="F95" s="9" t="s">
        <v>9</v>
      </c>
      <c r="G95" s="10" t="s">
        <v>10</v>
      </c>
      <c r="H95" s="11" t="s">
        <v>11</v>
      </c>
      <c r="I95" s="11" t="s">
        <v>12</v>
      </c>
      <c r="J95" s="12" t="s">
        <v>13</v>
      </c>
      <c r="K95" s="3" t="s">
        <v>14</v>
      </c>
      <c r="L95" s="3" t="s">
        <v>15</v>
      </c>
      <c r="M95" s="13" t="s">
        <v>16</v>
      </c>
      <c r="N95" s="13" t="s">
        <v>17</v>
      </c>
      <c r="O95" s="3" t="s">
        <v>18</v>
      </c>
      <c r="P95" s="13" t="s">
        <v>19</v>
      </c>
      <c r="Q95" s="13" t="s">
        <v>20</v>
      </c>
      <c r="R95" s="14" t="s">
        <v>21</v>
      </c>
      <c r="S95" s="13" t="s">
        <v>22</v>
      </c>
      <c r="T95" s="14" t="s">
        <v>23</v>
      </c>
      <c r="U95" s="14"/>
      <c r="V95" s="15" t="s">
        <v>24</v>
      </c>
      <c r="W95" s="15" t="s">
        <v>25</v>
      </c>
      <c r="X95" s="15"/>
      <c r="Y95" s="16" t="s">
        <v>26</v>
      </c>
      <c r="Z95" s="17" t="s">
        <v>27</v>
      </c>
      <c r="AA95" s="17" t="s">
        <v>28</v>
      </c>
      <c r="AB95" s="17" t="s">
        <v>29</v>
      </c>
      <c r="AC95" s="17" t="s">
        <v>30</v>
      </c>
      <c r="AD95" s="17" t="s">
        <v>31</v>
      </c>
      <c r="AE95" s="18" t="s">
        <v>32</v>
      </c>
    </row>
    <row r="96">
      <c r="A96" s="19">
        <v>46301</v>
      </c>
      <c r="B96" s="20" t="s">
        <v>55</v>
      </c>
      <c r="C96" s="21" t="s">
        <v>34</v>
      </c>
      <c r="D96" s="37">
        <f t="shared" ref="D96:D100" si="14">E96+F96+G96</f>
      </c>
      <c r="E96" s="24">
        <v>130.819</v>
      </c>
      <c r="F96" s="24">
        <v>821.604</v>
      </c>
      <c r="G96" s="24">
        <v>673.256</v>
      </c>
      <c r="H96" s="25">
        <v>3</v>
      </c>
      <c r="I96" s="63">
        <v>4750.92</v>
      </c>
      <c r="J96" s="27">
        <f t="shared" ref="J96:J114" si="67">I96/D96</f>
      </c>
      <c r="K96" s="28">
        <f t="shared" ref="K96:K114" si="91">AA96/Z96</f>
      </c>
      <c r="L96" s="29">
        <f t="shared" ref="L96:L114" si="129">D96/AB96</f>
      </c>
      <c r="M96" s="28">
        <f t="shared" ref="M96:M114" si="110">AC96/AB96</f>
      </c>
      <c r="N96" s="28">
        <f t="shared" ref="N96:N114" si="148">AD96/AB96</f>
      </c>
      <c r="O96" s="29">
        <f t="shared" ref="O96:O114" si="167">D96/AD96</f>
      </c>
      <c r="P96" s="28">
        <f t="shared" ref="P96:P114" si="186">AE96/AD96</f>
      </c>
      <c r="Q96" s="28">
        <f t="shared" ref="Q96:Q114" si="205">H96/AE96</f>
      </c>
      <c r="R96" s="30">
        <f t="shared" ref="R96:R114" si="224">D96/H96</f>
      </c>
      <c r="S96" s="31">
        <f t="shared" ref="S96:S114" si="243">I96/H96</f>
      </c>
      <c r="T96" s="30">
        <f t="shared" ref="T96:T114" si="262">D96/Y96</f>
      </c>
      <c r="U96" s="30"/>
      <c r="V96" s="32" t="s">
        <v>35</v>
      </c>
      <c r="W96" s="33" t="s">
        <v>36</v>
      </c>
      <c r="X96" s="33"/>
      <c r="Y96" s="34">
        <v>3</v>
      </c>
      <c r="Z96" s="35">
        <v>24692</v>
      </c>
      <c r="AA96" s="36">
        <v>37</v>
      </c>
      <c r="AB96" s="34">
        <v>31593</v>
      </c>
      <c r="AC96" s="34">
        <v>2359</v>
      </c>
      <c r="AD96" s="34">
        <v>209</v>
      </c>
      <c r="AE96" s="34">
        <v>4</v>
      </c>
    </row>
    <row r="97">
      <c r="A97" s="19"/>
      <c r="B97" s="20" t="s">
        <v>56</v>
      </c>
      <c r="C97" s="21" t="s">
        <v>34</v>
      </c>
      <c r="D97" s="37">
        <f t="shared" si="14"/>
      </c>
      <c r="E97" s="24">
        <v>82.322</v>
      </c>
      <c r="F97" s="24">
        <v>1848.068</v>
      </c>
      <c r="G97" s="24">
        <v>1216.631</v>
      </c>
      <c r="H97" s="25">
        <v>5</v>
      </c>
      <c r="I97" s="63">
        <v>4791.959999999999</v>
      </c>
      <c r="J97" s="27">
        <f t="shared" si="67"/>
      </c>
      <c r="K97" s="28">
        <f t="shared" si="91"/>
      </c>
      <c r="L97" s="29">
        <f t="shared" si="129"/>
      </c>
      <c r="M97" s="28">
        <f t="shared" si="110"/>
      </c>
      <c r="N97" s="28">
        <f t="shared" si="148"/>
      </c>
      <c r="O97" s="29">
        <f t="shared" si="167"/>
      </c>
      <c r="P97" s="28">
        <f t="shared" si="186"/>
      </c>
      <c r="Q97" s="28">
        <f t="shared" si="205"/>
      </c>
      <c r="R97" s="30">
        <f t="shared" si="224"/>
      </c>
      <c r="S97" s="31">
        <f t="shared" si="243"/>
      </c>
      <c r="T97" s="30">
        <f t="shared" si="262"/>
      </c>
      <c r="U97" s="30"/>
      <c r="V97" s="32" t="s">
        <v>35</v>
      </c>
      <c r="W97" s="33" t="s">
        <v>36</v>
      </c>
      <c r="X97" s="33"/>
      <c r="Y97" s="34">
        <v>5</v>
      </c>
      <c r="Z97" s="35">
        <v>61891</v>
      </c>
      <c r="AA97" s="36">
        <v>60</v>
      </c>
      <c r="AB97" s="34">
        <v>81690</v>
      </c>
      <c r="AC97" s="34">
        <v>5843</v>
      </c>
      <c r="AD97" s="34">
        <v>342</v>
      </c>
      <c r="AE97" s="34">
        <v>8</v>
      </c>
    </row>
    <row r="98">
      <c r="A98" s="19"/>
      <c r="B98" s="20" t="s">
        <v>57</v>
      </c>
      <c r="C98" s="21" t="s">
        <v>34</v>
      </c>
      <c r="D98" s="37">
        <f t="shared" si="14"/>
      </c>
      <c r="E98" s="24">
        <v>392.841</v>
      </c>
      <c r="F98" s="24">
        <v>2215.029</v>
      </c>
      <c r="G98" s="24">
        <v>1356.633</v>
      </c>
      <c r="H98" s="25">
        <v>6</v>
      </c>
      <c r="I98" s="63">
        <v>4108.200000000003</v>
      </c>
      <c r="J98" s="27">
        <f t="shared" si="67"/>
      </c>
      <c r="K98" s="28">
        <f t="shared" si="91"/>
      </c>
      <c r="L98" s="29">
        <f t="shared" si="129"/>
      </c>
      <c r="M98" s="28">
        <f t="shared" si="110"/>
      </c>
      <c r="N98" s="28">
        <f t="shared" si="148"/>
      </c>
      <c r="O98" s="29">
        <f t="shared" si="167"/>
      </c>
      <c r="P98" s="28">
        <f t="shared" si="186"/>
      </c>
      <c r="Q98" s="28">
        <f t="shared" si="205"/>
      </c>
      <c r="R98" s="30">
        <f t="shared" si="224"/>
      </c>
      <c r="S98" s="31">
        <f t="shared" si="243"/>
      </c>
      <c r="T98" s="30">
        <f t="shared" si="262"/>
      </c>
      <c r="U98" s="30"/>
      <c r="V98" s="32" t="s">
        <v>35</v>
      </c>
      <c r="W98" s="33" t="s">
        <v>36</v>
      </c>
      <c r="X98" s="33"/>
      <c r="Y98" s="34">
        <v>6</v>
      </c>
      <c r="Z98" s="35">
        <v>86445</v>
      </c>
      <c r="AA98" s="36">
        <v>63</v>
      </c>
      <c r="AB98" s="34">
        <v>99356</v>
      </c>
      <c r="AC98" s="34">
        <v>7520</v>
      </c>
      <c r="AD98" s="34">
        <v>373</v>
      </c>
      <c r="AE98" s="34">
        <v>9</v>
      </c>
    </row>
    <row r="99">
      <c r="A99" s="19"/>
      <c r="B99" s="20" t="s">
        <v>50</v>
      </c>
      <c r="C99" s="21" t="s">
        <v>34</v>
      </c>
      <c r="D99" s="37">
        <f t="shared" si="14"/>
      </c>
      <c r="E99" s="24">
        <v>480.985</v>
      </c>
      <c r="F99" s="24">
        <v>1785.319</v>
      </c>
      <c r="G99" s="24">
        <v>1465.209</v>
      </c>
      <c r="H99" s="25">
        <v>3</v>
      </c>
      <c r="I99" s="63">
        <v>7687.799999999999</v>
      </c>
      <c r="J99" s="27">
        <f t="shared" si="67"/>
      </c>
      <c r="K99" s="28">
        <f t="shared" si="91"/>
      </c>
      <c r="L99" s="29">
        <f t="shared" si="129"/>
      </c>
      <c r="M99" s="28">
        <f t="shared" si="110"/>
      </c>
      <c r="N99" s="28">
        <f t="shared" si="148"/>
      </c>
      <c r="O99" s="29">
        <f t="shared" si="167"/>
      </c>
      <c r="P99" s="28">
        <f t="shared" si="186"/>
      </c>
      <c r="Q99" s="28">
        <f t="shared" si="205"/>
      </c>
      <c r="R99" s="30">
        <f t="shared" si="224"/>
      </c>
      <c r="S99" s="31">
        <f t="shared" si="243"/>
      </c>
      <c r="T99" s="30">
        <f t="shared" si="262"/>
      </c>
      <c r="U99" s="30"/>
      <c r="V99" s="32" t="s">
        <v>35</v>
      </c>
      <c r="W99" s="33" t="s">
        <v>36</v>
      </c>
      <c r="X99" s="33"/>
      <c r="Y99" s="34">
        <v>4</v>
      </c>
      <c r="Z99" s="35">
        <v>107864</v>
      </c>
      <c r="AA99" s="36">
        <v>75</v>
      </c>
      <c r="AB99" s="34">
        <v>125954</v>
      </c>
      <c r="AC99" s="34">
        <v>7861</v>
      </c>
      <c r="AD99" s="34">
        <v>372</v>
      </c>
      <c r="AE99" s="34">
        <v>4</v>
      </c>
    </row>
    <row r="100">
      <c r="A100" s="19"/>
      <c r="B100" s="20" t="s">
        <v>51</v>
      </c>
      <c r="C100" s="21" t="s">
        <v>34</v>
      </c>
      <c r="D100" s="37">
        <f t="shared" si="14"/>
      </c>
      <c r="E100" s="24">
        <v>290.216</v>
      </c>
      <c r="F100" s="24">
        <v>3798.104</v>
      </c>
      <c r="G100" s="24">
        <v>2065.7</v>
      </c>
      <c r="H100" s="25">
        <v>4</v>
      </c>
      <c r="I100" s="63">
        <v>8504.039999999997</v>
      </c>
      <c r="J100" s="27">
        <f t="shared" si="67"/>
      </c>
      <c r="K100" s="28">
        <f t="shared" si="91"/>
      </c>
      <c r="L100" s="29">
        <f t="shared" si="129"/>
      </c>
      <c r="M100" s="28">
        <f t="shared" si="110"/>
      </c>
      <c r="N100" s="28">
        <f t="shared" si="148"/>
      </c>
      <c r="O100" s="29">
        <f t="shared" si="167"/>
      </c>
      <c r="P100" s="28">
        <f t="shared" si="186"/>
      </c>
      <c r="Q100" s="28">
        <f t="shared" si="205"/>
      </c>
      <c r="R100" s="30">
        <f t="shared" si="224"/>
      </c>
      <c r="S100" s="31">
        <f t="shared" si="243"/>
      </c>
      <c r="T100" s="30">
        <f t="shared" si="262"/>
      </c>
      <c r="U100" s="30"/>
      <c r="V100" s="32" t="s">
        <v>35</v>
      </c>
      <c r="W100" s="33" t="s">
        <v>36</v>
      </c>
      <c r="X100" s="33"/>
      <c r="Y100" s="34">
        <v>4</v>
      </c>
      <c r="Z100" s="36">
        <v>167833</v>
      </c>
      <c r="AA100" s="36">
        <v>115</v>
      </c>
      <c r="AB100" s="36">
        <v>195005</v>
      </c>
      <c r="AC100" s="36">
        <v>11067</v>
      </c>
      <c r="AD100" s="34">
        <v>593</v>
      </c>
      <c r="AE100" s="34">
        <v>5</v>
      </c>
    </row>
    <row r="101">
      <c r="A101" s="19"/>
      <c r="B101" s="38" t="s">
        <v>42</v>
      </c>
      <c r="C101" s="38"/>
      <c r="D101" s="61">
        <f>SUM(D96:D100)</f>
      </c>
      <c r="E101" s="61">
        <f>SUM(E96:E100)</f>
      </c>
      <c r="F101" s="61">
        <f>SUM(F96:F100)</f>
      </c>
      <c r="G101" s="61">
        <f>SUM(G96:G100)</f>
      </c>
      <c r="H101" s="40">
        <f>SUM(H96:H100)</f>
      </c>
      <c r="I101" s="62">
        <f>SUM(I96:I100)</f>
      </c>
      <c r="J101" s="42">
        <f t="shared" si="67"/>
      </c>
      <c r="K101" s="43">
        <f t="shared" si="91"/>
      </c>
      <c r="L101" s="44">
        <f t="shared" si="129"/>
      </c>
      <c r="M101" s="43">
        <f t="shared" si="110"/>
      </c>
      <c r="N101" s="43">
        <f t="shared" si="148"/>
      </c>
      <c r="O101" s="44">
        <f t="shared" si="167"/>
      </c>
      <c r="P101" s="43">
        <f t="shared" si="186"/>
      </c>
      <c r="Q101" s="43">
        <f t="shared" si="205"/>
      </c>
      <c r="R101" s="45">
        <f t="shared" si="224"/>
      </c>
      <c r="S101" s="46">
        <f t="shared" si="243"/>
      </c>
      <c r="T101" s="45">
        <f t="shared" si="262"/>
      </c>
      <c r="U101" s="45"/>
      <c r="V101" s="47"/>
      <c r="W101" s="47"/>
      <c r="X101" s="47"/>
      <c r="Y101" s="48">
        <f>SUM(Y96:Y100)</f>
      </c>
      <c r="Z101" s="48">
        <f>SUM(Z96:Z100)</f>
      </c>
      <c r="AA101" s="48">
        <f>SUM(AA96:AA100)</f>
      </c>
      <c r="AB101" s="48">
        <f>SUM(AB96:AB100)</f>
      </c>
      <c r="AC101" s="48">
        <f>SUM(AC96:AC100)</f>
      </c>
      <c r="AD101" s="48">
        <f>SUM(AD96:AD100)</f>
      </c>
      <c r="AE101" s="48">
        <f>SUM(AE96:AE100)</f>
      </c>
    </row>
    <row r="102">
      <c r="A102" s="19"/>
      <c r="B102" s="20" t="s">
        <v>33</v>
      </c>
      <c r="C102" s="21" t="s">
        <v>52</v>
      </c>
      <c r="D102" s="37">
        <f t="shared" ref="D102:D106" si="15">E102+F102+G102</f>
      </c>
      <c r="E102" s="24">
        <v>202.343</v>
      </c>
      <c r="F102" s="24">
        <v>1059.269</v>
      </c>
      <c r="G102" s="24">
        <v>2627.633</v>
      </c>
      <c r="H102" s="25">
        <v>0</v>
      </c>
      <c r="I102" s="63">
        <v>0</v>
      </c>
      <c r="J102" s="27">
        <f t="shared" si="67"/>
      </c>
      <c r="K102" s="28">
        <f t="shared" si="91"/>
      </c>
      <c r="L102" s="29">
        <f t="shared" si="129"/>
      </c>
      <c r="M102" s="28">
        <f t="shared" si="110"/>
      </c>
      <c r="N102" s="28">
        <f t="shared" si="148"/>
      </c>
      <c r="O102" s="29">
        <f t="shared" si="167"/>
      </c>
      <c r="P102" s="28">
        <f t="shared" si="186"/>
      </c>
      <c r="Q102" s="28">
        <f t="shared" si="205"/>
      </c>
      <c r="R102" s="30">
        <f t="shared" si="224"/>
      </c>
      <c r="S102" s="31">
        <f t="shared" si="243"/>
      </c>
      <c r="T102" s="30">
        <f t="shared" si="262"/>
      </c>
      <c r="U102" s="30"/>
      <c r="V102" s="32" t="s">
        <v>35</v>
      </c>
      <c r="W102" s="33" t="s">
        <v>36</v>
      </c>
      <c r="X102" s="33"/>
      <c r="Y102" s="34">
        <v>0</v>
      </c>
      <c r="Z102" s="35">
        <v>113407</v>
      </c>
      <c r="AA102" s="36">
        <v>113</v>
      </c>
      <c r="AB102" s="34">
        <v>139149</v>
      </c>
      <c r="AC102" s="34">
        <v>8202</v>
      </c>
      <c r="AD102" s="34">
        <v>382</v>
      </c>
      <c r="AE102" s="34">
        <v>4</v>
      </c>
    </row>
    <row r="103">
      <c r="A103" s="19"/>
      <c r="B103" s="20" t="s">
        <v>37</v>
      </c>
      <c r="C103" s="21" t="s">
        <v>52</v>
      </c>
      <c r="D103" s="37">
        <f t="shared" si="15"/>
      </c>
      <c r="E103" s="24">
        <v>112.744</v>
      </c>
      <c r="F103" s="37">
        <v>1273.056</v>
      </c>
      <c r="G103" s="37">
        <v>1135.376</v>
      </c>
      <c r="H103" s="25">
        <v>0</v>
      </c>
      <c r="I103" s="63">
        <v>0</v>
      </c>
      <c r="J103" s="27">
        <f t="shared" si="67"/>
      </c>
      <c r="K103" s="28">
        <f t="shared" si="91"/>
      </c>
      <c r="L103" s="29">
        <f t="shared" si="129"/>
      </c>
      <c r="M103" s="28">
        <f t="shared" si="110"/>
      </c>
      <c r="N103" s="28">
        <f t="shared" si="148"/>
      </c>
      <c r="O103" s="29">
        <f t="shared" si="167"/>
      </c>
      <c r="P103" s="28">
        <f t="shared" si="186"/>
      </c>
      <c r="Q103" s="28">
        <f t="shared" si="205"/>
      </c>
      <c r="R103" s="30">
        <f t="shared" si="224"/>
      </c>
      <c r="S103" s="31">
        <f t="shared" si="243"/>
      </c>
      <c r="T103" s="30">
        <f t="shared" si="262"/>
      </c>
      <c r="U103" s="30"/>
      <c r="V103" s="32" t="s">
        <v>35</v>
      </c>
      <c r="W103" s="33" t="s">
        <v>36</v>
      </c>
      <c r="X103" s="33"/>
      <c r="Y103" s="34">
        <v>0</v>
      </c>
      <c r="Z103" s="36">
        <v>71498</v>
      </c>
      <c r="AA103" s="36">
        <v>93</v>
      </c>
      <c r="AB103" s="34">
        <v>62816</v>
      </c>
      <c r="AC103" s="34">
        <v>3584</v>
      </c>
      <c r="AD103" s="34">
        <v>333</v>
      </c>
      <c r="AE103" s="34">
        <v>3</v>
      </c>
    </row>
    <row r="104">
      <c r="A104" s="19"/>
      <c r="B104" s="20" t="s">
        <v>38</v>
      </c>
      <c r="C104" s="21" t="s">
        <v>52</v>
      </c>
      <c r="D104" s="37">
        <f t="shared" si="15"/>
      </c>
      <c r="E104" s="24">
        <v>32.981</v>
      </c>
      <c r="F104" s="37">
        <v>843.728</v>
      </c>
      <c r="G104" s="24">
        <v>1380.471</v>
      </c>
      <c r="H104" s="25">
        <v>3</v>
      </c>
      <c r="I104" s="63">
        <v>3154.0800000000017</v>
      </c>
      <c r="J104" s="27">
        <f t="shared" si="67"/>
      </c>
      <c r="K104" s="28">
        <f t="shared" si="91"/>
      </c>
      <c r="L104" s="29">
        <f t="shared" si="129"/>
      </c>
      <c r="M104" s="28">
        <f t="shared" si="110"/>
      </c>
      <c r="N104" s="28">
        <f t="shared" si="148"/>
      </c>
      <c r="O104" s="29">
        <f t="shared" si="167"/>
      </c>
      <c r="P104" s="28">
        <f t="shared" si="186"/>
      </c>
      <c r="Q104" s="28">
        <f t="shared" si="205"/>
      </c>
      <c r="R104" s="30">
        <f t="shared" si="224"/>
      </c>
      <c r="S104" s="31">
        <f t="shared" si="243"/>
      </c>
      <c r="T104" s="30">
        <f t="shared" si="262"/>
      </c>
      <c r="U104" s="30"/>
      <c r="V104" s="32" t="s">
        <v>35</v>
      </c>
      <c r="W104" s="33" t="s">
        <v>54</v>
      </c>
      <c r="X104" s="33"/>
      <c r="Y104" s="34">
        <v>3</v>
      </c>
      <c r="Z104" s="35">
        <v>64291</v>
      </c>
      <c r="AA104" s="36">
        <v>126</v>
      </c>
      <c r="AB104" s="34">
        <v>34466</v>
      </c>
      <c r="AC104" s="34">
        <v>2493</v>
      </c>
      <c r="AD104" s="34">
        <v>254</v>
      </c>
      <c r="AE104" s="34">
        <v>3</v>
      </c>
    </row>
    <row r="105">
      <c r="A105" s="19"/>
      <c r="B105" s="20" t="s">
        <v>40</v>
      </c>
      <c r="C105" s="21" t="s">
        <v>52</v>
      </c>
      <c r="D105" s="37">
        <f t="shared" si="15"/>
      </c>
      <c r="E105" s="24">
        <v>111.97</v>
      </c>
      <c r="F105" s="24">
        <v>808.736</v>
      </c>
      <c r="G105" s="37">
        <v>1209.597</v>
      </c>
      <c r="H105" s="25">
        <v>3</v>
      </c>
      <c r="I105" s="63">
        <v>2283.399999999994</v>
      </c>
      <c r="J105" s="27">
        <f t="shared" si="67"/>
      </c>
      <c r="K105" s="28">
        <f t="shared" si="91"/>
      </c>
      <c r="L105" s="29">
        <f t="shared" si="129"/>
      </c>
      <c r="M105" s="28">
        <f t="shared" si="110"/>
      </c>
      <c r="N105" s="28">
        <f t="shared" si="148"/>
      </c>
      <c r="O105" s="29">
        <f t="shared" si="167"/>
      </c>
      <c r="P105" s="28">
        <f t="shared" si="186"/>
      </c>
      <c r="Q105" s="28">
        <f t="shared" si="205"/>
      </c>
      <c r="R105" s="30">
        <f t="shared" si="224"/>
      </c>
      <c r="S105" s="31">
        <f t="shared" si="243"/>
      </c>
      <c r="T105" s="30">
        <f t="shared" si="262"/>
      </c>
      <c r="U105" s="30"/>
      <c r="V105" s="32" t="s">
        <v>35</v>
      </c>
      <c r="W105" s="33" t="s">
        <v>54</v>
      </c>
      <c r="X105" s="33"/>
      <c r="Y105" s="34">
        <v>3</v>
      </c>
      <c r="Z105" s="35">
        <v>62206</v>
      </c>
      <c r="AA105" s="35">
        <v>117</v>
      </c>
      <c r="AB105" s="36">
        <v>42961</v>
      </c>
      <c r="AC105" s="36">
        <v>3243</v>
      </c>
      <c r="AD105" s="34">
        <v>352</v>
      </c>
      <c r="AE105" s="34">
        <v>6</v>
      </c>
    </row>
    <row r="106">
      <c r="A106" s="19"/>
      <c r="B106" s="20" t="s">
        <v>41</v>
      </c>
      <c r="C106" s="21" t="s">
        <v>52</v>
      </c>
      <c r="D106" s="37">
        <f t="shared" si="15"/>
      </c>
      <c r="E106" s="24">
        <v>201.121</v>
      </c>
      <c r="F106" s="37">
        <v>1198.974</v>
      </c>
      <c r="G106" s="37">
        <v>1481.184</v>
      </c>
      <c r="H106" s="25">
        <v>6</v>
      </c>
      <c r="I106" s="63">
        <v>3288.480000000003</v>
      </c>
      <c r="J106" s="27">
        <f t="shared" si="67"/>
      </c>
      <c r="K106" s="28">
        <f t="shared" si="91"/>
      </c>
      <c r="L106" s="29">
        <f t="shared" si="129"/>
      </c>
      <c r="M106" s="28">
        <f t="shared" si="110"/>
      </c>
      <c r="N106" s="28">
        <f t="shared" si="148"/>
      </c>
      <c r="O106" s="29">
        <f t="shared" si="167"/>
      </c>
      <c r="P106" s="28">
        <f t="shared" si="186"/>
      </c>
      <c r="Q106" s="28">
        <f t="shared" si="205"/>
      </c>
      <c r="R106" s="30">
        <f t="shared" si="224"/>
      </c>
      <c r="S106" s="31">
        <f t="shared" si="243"/>
      </c>
      <c r="T106" s="30">
        <f t="shared" si="262"/>
      </c>
      <c r="U106" s="30"/>
      <c r="V106" s="32" t="s">
        <v>35</v>
      </c>
      <c r="W106" s="33" t="s">
        <v>54</v>
      </c>
      <c r="X106" s="33"/>
      <c r="Y106" s="34">
        <v>6</v>
      </c>
      <c r="Z106" s="36">
        <v>75630</v>
      </c>
      <c r="AA106" s="36">
        <v>173</v>
      </c>
      <c r="AB106" s="36">
        <v>85485</v>
      </c>
      <c r="AC106" s="36">
        <v>5343</v>
      </c>
      <c r="AD106" s="34">
        <v>447</v>
      </c>
      <c r="AE106" s="34">
        <v>8</v>
      </c>
    </row>
    <row r="107">
      <c r="A107" s="19"/>
      <c r="B107" s="38" t="s">
        <v>42</v>
      </c>
      <c r="C107" s="38"/>
      <c r="D107" s="61">
        <f>SUM(D102:D106)</f>
      </c>
      <c r="E107" s="61">
        <f>SUM(E102:E106)</f>
      </c>
      <c r="F107" s="61">
        <f>SUM(F102:F106)</f>
      </c>
      <c r="G107" s="61">
        <f>SUM(G102:G106)</f>
      </c>
      <c r="H107" s="40">
        <f>SUM(H102:H106)</f>
      </c>
      <c r="I107" s="62">
        <f>SUM(I102:I106)</f>
      </c>
      <c r="J107" s="42">
        <f t="shared" si="67"/>
      </c>
      <c r="K107" s="43">
        <f t="shared" si="91"/>
      </c>
      <c r="L107" s="44">
        <f t="shared" si="129"/>
      </c>
      <c r="M107" s="43">
        <f t="shared" si="110"/>
      </c>
      <c r="N107" s="43">
        <f t="shared" si="148"/>
      </c>
      <c r="O107" s="44">
        <f t="shared" si="167"/>
      </c>
      <c r="P107" s="43">
        <f t="shared" si="186"/>
      </c>
      <c r="Q107" s="43">
        <f t="shared" si="205"/>
      </c>
      <c r="R107" s="45">
        <f t="shared" si="224"/>
      </c>
      <c r="S107" s="46">
        <f t="shared" si="243"/>
      </c>
      <c r="T107" s="45">
        <f t="shared" si="262"/>
      </c>
      <c r="U107" s="45"/>
      <c r="V107" s="47"/>
      <c r="W107" s="47"/>
      <c r="X107" s="47"/>
      <c r="Y107" s="48">
        <f>SUM(Y102:Y106)</f>
      </c>
      <c r="Z107" s="58">
        <f>SUM(Z102:Z106)</f>
      </c>
      <c r="AA107" s="58">
        <f>SUM(AA102:AA106)</f>
      </c>
      <c r="AB107" s="58">
        <f>SUM(AB102:AB106)</f>
      </c>
      <c r="AC107" s="58">
        <f>SUM(AC102:AC106)</f>
      </c>
      <c r="AD107" s="58">
        <f>SUM(AD102:AD106)</f>
      </c>
      <c r="AE107" s="59">
        <f>SUM(AE102:AE106)</f>
      </c>
    </row>
    <row r="108">
      <c r="A108" s="19"/>
      <c r="B108" s="20" t="s">
        <v>53</v>
      </c>
      <c r="C108" s="21" t="s">
        <v>44</v>
      </c>
      <c r="D108" s="22">
        <f t="shared" ref="D108:D112" si="16">E108+F108+G108</f>
      </c>
      <c r="E108" s="24">
        <v>451.026</v>
      </c>
      <c r="F108" s="37">
        <v>778.359</v>
      </c>
      <c r="G108" s="24">
        <v>2387.39</v>
      </c>
      <c r="H108" s="25">
        <v>7</v>
      </c>
      <c r="I108" s="63">
        <v>11181.840000000004</v>
      </c>
      <c r="J108" s="27">
        <f t="shared" si="67"/>
      </c>
      <c r="K108" s="28">
        <f t="shared" si="91"/>
      </c>
      <c r="L108" s="29">
        <f t="shared" si="129"/>
      </c>
      <c r="M108" s="28">
        <f t="shared" si="110"/>
      </c>
      <c r="N108" s="28">
        <f t="shared" si="148"/>
      </c>
      <c r="O108" s="29">
        <f t="shared" si="167"/>
      </c>
      <c r="P108" s="28">
        <f t="shared" si="186"/>
      </c>
      <c r="Q108" s="28">
        <f t="shared" si="205"/>
      </c>
      <c r="R108" s="30">
        <f t="shared" si="224"/>
      </c>
      <c r="S108" s="31">
        <f t="shared" si="243"/>
      </c>
      <c r="T108" s="30">
        <f t="shared" si="262"/>
      </c>
      <c r="U108" s="30"/>
      <c r="V108" s="49" t="s">
        <v>35</v>
      </c>
      <c r="W108" s="33" t="s">
        <v>54</v>
      </c>
      <c r="X108" s="33"/>
      <c r="Y108" s="34">
        <v>6</v>
      </c>
      <c r="Z108" s="35">
        <v>88860</v>
      </c>
      <c r="AA108" s="36">
        <v>86</v>
      </c>
      <c r="AB108" s="36">
        <v>110526</v>
      </c>
      <c r="AC108" s="36">
        <v>5615</v>
      </c>
      <c r="AD108" s="36">
        <v>374</v>
      </c>
      <c r="AE108" s="34">
        <v>11</v>
      </c>
    </row>
    <row r="109">
      <c r="A109" s="19"/>
      <c r="B109" s="20" t="s">
        <v>43</v>
      </c>
      <c r="C109" s="21" t="s">
        <v>44</v>
      </c>
      <c r="D109" s="22">
        <f t="shared" si="16"/>
      </c>
      <c r="E109" s="24">
        <v>1476.266</v>
      </c>
      <c r="F109" s="37">
        <v>312.303</v>
      </c>
      <c r="G109" s="37">
        <v>2431.759</v>
      </c>
      <c r="H109" s="25">
        <v>7</v>
      </c>
      <c r="I109" s="63">
        <v>12811.399999999994</v>
      </c>
      <c r="J109" s="27">
        <f t="shared" si="67"/>
      </c>
      <c r="K109" s="28">
        <f t="shared" si="91"/>
      </c>
      <c r="L109" s="29">
        <f t="shared" si="129"/>
      </c>
      <c r="M109" s="28">
        <f t="shared" si="110"/>
      </c>
      <c r="N109" s="28">
        <f t="shared" si="148"/>
      </c>
      <c r="O109" s="29">
        <f t="shared" si="167"/>
      </c>
      <c r="P109" s="28">
        <f t="shared" si="186"/>
      </c>
      <c r="Q109" s="28">
        <f t="shared" si="205"/>
      </c>
      <c r="R109" s="30">
        <f t="shared" si="224"/>
      </c>
      <c r="S109" s="31">
        <f t="shared" si="243"/>
      </c>
      <c r="T109" s="30">
        <f t="shared" si="262"/>
      </c>
      <c r="U109" s="30"/>
      <c r="V109" s="49" t="s">
        <v>35</v>
      </c>
      <c r="W109" s="33" t="s">
        <v>54</v>
      </c>
      <c r="X109" s="33"/>
      <c r="Y109" s="34">
        <v>9</v>
      </c>
      <c r="Z109" s="36">
        <v>135486</v>
      </c>
      <c r="AA109" s="36">
        <v>142</v>
      </c>
      <c r="AB109" s="36">
        <v>167879</v>
      </c>
      <c r="AC109" s="36">
        <v>7359</v>
      </c>
      <c r="AD109" s="36">
        <v>547</v>
      </c>
      <c r="AE109" s="34">
        <v>12</v>
      </c>
    </row>
    <row r="110">
      <c r="A110" s="19"/>
      <c r="B110" s="20" t="s">
        <v>45</v>
      </c>
      <c r="C110" s="21" t="s">
        <v>44</v>
      </c>
      <c r="D110" s="22">
        <f t="shared" si="16"/>
      </c>
      <c r="E110" s="24">
        <v>1331.283</v>
      </c>
      <c r="F110" s="37">
        <v>956.487</v>
      </c>
      <c r="G110" s="37">
        <v>2892.182</v>
      </c>
      <c r="H110" s="25">
        <v>0</v>
      </c>
      <c r="I110" s="63">
        <v>0</v>
      </c>
      <c r="J110" s="27">
        <f t="shared" si="67"/>
      </c>
      <c r="K110" s="28">
        <f t="shared" si="91"/>
      </c>
      <c r="L110" s="29">
        <f t="shared" si="129"/>
      </c>
      <c r="M110" s="28">
        <f t="shared" si="110"/>
      </c>
      <c r="N110" s="28">
        <f t="shared" si="148"/>
      </c>
      <c r="O110" s="29">
        <f t="shared" si="167"/>
      </c>
      <c r="P110" s="28">
        <f t="shared" si="186"/>
      </c>
      <c r="Q110" s="28">
        <f t="shared" si="205"/>
      </c>
      <c r="R110" s="30">
        <f t="shared" si="224"/>
      </c>
      <c r="S110" s="31">
        <f t="shared" si="243"/>
      </c>
      <c r="T110" s="30">
        <f t="shared" si="262"/>
      </c>
      <c r="U110" s="30"/>
      <c r="V110" s="49" t="s">
        <v>35</v>
      </c>
      <c r="W110" s="33" t="s">
        <v>54</v>
      </c>
      <c r="X110" s="33"/>
      <c r="Y110" s="34">
        <v>0</v>
      </c>
      <c r="Z110" s="36">
        <v>169280</v>
      </c>
      <c r="AA110" s="36">
        <v>139</v>
      </c>
      <c r="AB110" s="36">
        <v>220615</v>
      </c>
      <c r="AC110" s="36">
        <v>8842</v>
      </c>
      <c r="AD110" s="36">
        <v>610</v>
      </c>
      <c r="AE110" s="34">
        <v>3</v>
      </c>
    </row>
    <row r="111">
      <c r="A111" s="19"/>
      <c r="B111" s="20" t="s">
        <v>46</v>
      </c>
      <c r="C111" s="21" t="s">
        <v>44</v>
      </c>
      <c r="D111" s="22">
        <f t="shared" si="16"/>
      </c>
      <c r="E111" s="24">
        <v>487.883</v>
      </c>
      <c r="F111" s="37">
        <v>849.84</v>
      </c>
      <c r="G111" s="37">
        <v>3335.811</v>
      </c>
      <c r="H111" s="25">
        <v>5</v>
      </c>
      <c r="I111" s="63">
        <v>9742.040000000008</v>
      </c>
      <c r="J111" s="27">
        <f t="shared" si="67"/>
      </c>
      <c r="K111" s="28">
        <f t="shared" si="91"/>
      </c>
      <c r="L111" s="29">
        <f t="shared" si="129"/>
      </c>
      <c r="M111" s="28">
        <f t="shared" si="110"/>
      </c>
      <c r="N111" s="28">
        <f t="shared" si="148"/>
      </c>
      <c r="O111" s="29">
        <f t="shared" si="167"/>
      </c>
      <c r="P111" s="28">
        <f t="shared" si="186"/>
      </c>
      <c r="Q111" s="28">
        <f t="shared" si="205"/>
      </c>
      <c r="R111" s="30">
        <f t="shared" si="224"/>
      </c>
      <c r="S111" s="31">
        <f t="shared" si="243"/>
      </c>
      <c r="T111" s="30">
        <f t="shared" si="262"/>
      </c>
      <c r="U111" s="30"/>
      <c r="V111" s="49" t="s">
        <v>35</v>
      </c>
      <c r="W111" s="33" t="s">
        <v>54</v>
      </c>
      <c r="X111" s="33"/>
      <c r="Y111" s="34">
        <v>5</v>
      </c>
      <c r="Z111" s="36">
        <v>146320</v>
      </c>
      <c r="AA111" s="36">
        <v>263</v>
      </c>
      <c r="AB111" s="36">
        <v>200439</v>
      </c>
      <c r="AC111" s="36">
        <v>8800</v>
      </c>
      <c r="AD111" s="36">
        <v>878</v>
      </c>
      <c r="AE111" s="34">
        <v>6</v>
      </c>
    </row>
    <row r="112">
      <c r="A112" s="19"/>
      <c r="B112" s="20" t="s">
        <v>47</v>
      </c>
      <c r="C112" s="21" t="s">
        <v>44</v>
      </c>
      <c r="D112" s="22">
        <f t="shared" si="16"/>
      </c>
      <c r="E112" s="24">
        <v>706.66</v>
      </c>
      <c r="F112" s="37">
        <f>860.374+0.565+0.003</f>
      </c>
      <c r="G112" s="37">
        <f>3115.856+0.014+0.033+0.008+0.026+0.366+0.087+0.04+0.009</f>
      </c>
      <c r="H112" s="25">
        <v>4</v>
      </c>
      <c r="I112" s="63">
        <v>7410.239999999991</v>
      </c>
      <c r="J112" s="27">
        <f t="shared" si="67"/>
      </c>
      <c r="K112" s="28">
        <f t="shared" si="91"/>
      </c>
      <c r="L112" s="29">
        <f t="shared" si="129"/>
      </c>
      <c r="M112" s="28">
        <f t="shared" si="110"/>
      </c>
      <c r="N112" s="28">
        <f t="shared" si="148"/>
      </c>
      <c r="O112" s="29">
        <f t="shared" si="167"/>
      </c>
      <c r="P112" s="28">
        <f t="shared" si="186"/>
      </c>
      <c r="Q112" s="28">
        <f t="shared" si="205"/>
      </c>
      <c r="R112" s="30">
        <f t="shared" si="224"/>
      </c>
      <c r="S112" s="31">
        <f t="shared" si="243"/>
      </c>
      <c r="T112" s="30">
        <f t="shared" si="262"/>
      </c>
      <c r="U112" s="30"/>
      <c r="V112" s="49" t="s">
        <v>35</v>
      </c>
      <c r="W112" s="33" t="s">
        <v>54</v>
      </c>
      <c r="X112" s="33"/>
      <c r="Y112" s="34">
        <v>4</v>
      </c>
      <c r="Z112" s="36">
        <v>141472</v>
      </c>
      <c r="AA112" s="36">
        <v>402</v>
      </c>
      <c r="AB112" s="36">
        <v>179706</v>
      </c>
      <c r="AC112" s="36">
        <v>8798</v>
      </c>
      <c r="AD112" s="36">
        <v>756</v>
      </c>
      <c r="AE112" s="34">
        <v>6</v>
      </c>
    </row>
    <row r="113">
      <c r="A113" s="19"/>
      <c r="B113" s="38" t="s">
        <v>42</v>
      </c>
      <c r="C113" s="38"/>
      <c r="D113" s="61">
        <f>SUM(D108:D112)</f>
      </c>
      <c r="E113" s="61">
        <f>SUM(E108:E112)</f>
      </c>
      <c r="F113" s="61">
        <f>SUM(F108:F112)</f>
      </c>
      <c r="G113" s="61">
        <f>SUM(G108:G112)</f>
      </c>
      <c r="H113" s="40">
        <f>SUM(H108:H112)</f>
      </c>
      <c r="I113" s="62">
        <f>SUM(I108:I112)</f>
      </c>
      <c r="J113" s="42">
        <f t="shared" si="67"/>
      </c>
      <c r="K113" s="43">
        <f t="shared" si="91"/>
      </c>
      <c r="L113" s="44">
        <f t="shared" si="129"/>
      </c>
      <c r="M113" s="43">
        <f t="shared" si="110"/>
      </c>
      <c r="N113" s="43">
        <f t="shared" si="148"/>
      </c>
      <c r="O113" s="44">
        <f t="shared" si="167"/>
      </c>
      <c r="P113" s="43">
        <f t="shared" si="186"/>
      </c>
      <c r="Q113" s="43">
        <f t="shared" si="205"/>
      </c>
      <c r="R113" s="45">
        <f t="shared" si="224"/>
      </c>
      <c r="S113" s="46">
        <f t="shared" si="243"/>
      </c>
      <c r="T113" s="45">
        <f t="shared" si="262"/>
      </c>
      <c r="U113" s="45"/>
      <c r="V113" s="47"/>
      <c r="W113" s="47"/>
      <c r="X113" s="47"/>
      <c r="Y113" s="48">
        <f>SUM(Y108:Y112)</f>
      </c>
      <c r="Z113" s="48">
        <f>SUM(Z108:Z112)</f>
      </c>
      <c r="AA113" s="48">
        <f>SUM(AA108:AA112)</f>
      </c>
      <c r="AB113" s="48">
        <f>SUM(AB108:AB112)</f>
      </c>
      <c r="AC113" s="48">
        <f>SUM(AC108:AC112)</f>
      </c>
      <c r="AD113" s="48">
        <f>SUM(AD108:AD112)</f>
      </c>
      <c r="AE113" s="48">
        <f>SUM(AE108:AE112)</f>
      </c>
    </row>
    <row r="114">
      <c r="A114" s="19"/>
      <c r="B114" s="50" t="s">
        <v>49</v>
      </c>
      <c r="C114" s="50"/>
      <c r="D114" s="51">
        <f>D113+D107+D101</f>
      </c>
      <c r="E114" s="51">
        <f>E113+E107+E101</f>
      </c>
      <c r="F114" s="51">
        <f>F113+F107+F101</f>
      </c>
      <c r="G114" s="51">
        <f>G113+G107+G101</f>
      </c>
      <c r="H114" s="53">
        <f>H113+H107+H101</f>
      </c>
      <c r="I114" s="60">
        <f>I113+I107+I101</f>
      </c>
      <c r="J114" s="54">
        <f t="shared" si="67"/>
      </c>
      <c r="K114" s="55">
        <f t="shared" si="91"/>
      </c>
      <c r="L114" s="54">
        <f t="shared" si="129"/>
      </c>
      <c r="M114" s="55">
        <f t="shared" si="110"/>
      </c>
      <c r="N114" s="55">
        <f t="shared" si="148"/>
      </c>
      <c r="O114" s="54">
        <f t="shared" si="167"/>
      </c>
      <c r="P114" s="55">
        <f t="shared" si="186"/>
      </c>
      <c r="Q114" s="55">
        <f t="shared" si="205"/>
      </c>
      <c r="R114" s="54">
        <f t="shared" si="224"/>
      </c>
      <c r="S114" s="56">
        <f t="shared" si="243"/>
      </c>
      <c r="T114" s="54">
        <f t="shared" si="262"/>
      </c>
      <c r="U114" s="54"/>
      <c r="V114" s="57"/>
      <c r="W114" s="57"/>
      <c r="X114" s="57"/>
      <c r="Y114" s="53">
        <f>Y113+Y107+Y101</f>
      </c>
      <c r="Z114" s="53">
        <f>Z113+Z107+Z101</f>
      </c>
      <c r="AA114" s="53">
        <f>AA113+AA107+AA101</f>
      </c>
      <c r="AB114" s="53">
        <f>AB113+AB107+AB101</f>
      </c>
      <c r="AC114" s="53">
        <f>AC113+AC107+AC101</f>
      </c>
      <c r="AD114" s="53">
        <f>AD113+AD107+AD101</f>
      </c>
      <c r="AE114" s="53">
        <f>AE113+AE107+AE101</f>
      </c>
    </row>
    <row r="115">
      <c r="A115" s="1" t="s">
        <v>1</v>
      </c>
      <c r="B115" s="1"/>
      <c r="C115" s="1"/>
      <c r="D115" s="2" t="s">
        <v>2</v>
      </c>
      <c r="E115" s="2"/>
      <c r="F115" s="2"/>
      <c r="G115" s="2"/>
      <c r="H115" s="2"/>
      <c r="I115" s="2"/>
      <c r="J115" s="2"/>
      <c r="K115" s="3" t="s">
        <v>3</v>
      </c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4"/>
      <c r="W115" s="4"/>
      <c r="X115" s="4"/>
      <c r="Y115" s="5"/>
      <c r="Z115" s="5"/>
      <c r="AA115" s="5"/>
      <c r="AB115" s="5"/>
      <c r="AC115" s="5"/>
      <c r="AD115" s="5"/>
      <c r="AE115" s="5"/>
    </row>
    <row r="116">
      <c r="A116" s="6" t="s">
        <v>4</v>
      </c>
      <c r="B116" s="7" t="s">
        <v>5</v>
      </c>
      <c r="C116" s="7" t="s">
        <v>6</v>
      </c>
      <c r="D116" s="8" t="s">
        <v>7</v>
      </c>
      <c r="E116" s="9" t="s">
        <v>8</v>
      </c>
      <c r="F116" s="9" t="s">
        <v>9</v>
      </c>
      <c r="G116" s="10" t="s">
        <v>10</v>
      </c>
      <c r="H116" s="11" t="s">
        <v>11</v>
      </c>
      <c r="I116" s="11" t="s">
        <v>12</v>
      </c>
      <c r="J116" s="12" t="s">
        <v>13</v>
      </c>
      <c r="K116" s="3" t="s">
        <v>14</v>
      </c>
      <c r="L116" s="3" t="s">
        <v>15</v>
      </c>
      <c r="M116" s="13" t="s">
        <v>16</v>
      </c>
      <c r="N116" s="13" t="s">
        <v>17</v>
      </c>
      <c r="O116" s="3" t="s">
        <v>18</v>
      </c>
      <c r="P116" s="13" t="s">
        <v>19</v>
      </c>
      <c r="Q116" s="13" t="s">
        <v>20</v>
      </c>
      <c r="R116" s="14" t="s">
        <v>21</v>
      </c>
      <c r="S116" s="13" t="s">
        <v>22</v>
      </c>
      <c r="T116" s="14" t="s">
        <v>23</v>
      </c>
      <c r="U116" s="14"/>
      <c r="V116" s="15" t="s">
        <v>24</v>
      </c>
      <c r="W116" s="15" t="s">
        <v>25</v>
      </c>
      <c r="X116" s="15"/>
      <c r="Y116" s="16" t="s">
        <v>26</v>
      </c>
      <c r="Z116" s="17" t="s">
        <v>27</v>
      </c>
      <c r="AA116" s="17" t="s">
        <v>28</v>
      </c>
      <c r="AB116" s="17" t="s">
        <v>29</v>
      </c>
      <c r="AC116" s="17" t="s">
        <v>30</v>
      </c>
      <c r="AD116" s="17" t="s">
        <v>31</v>
      </c>
      <c r="AE116" s="18" t="s">
        <v>32</v>
      </c>
    </row>
    <row r="117">
      <c r="A117" s="19">
        <v>46302</v>
      </c>
      <c r="B117" s="20" t="s">
        <v>55</v>
      </c>
      <c r="C117" s="21" t="s">
        <v>34</v>
      </c>
      <c r="D117" s="37">
        <f t="shared" ref="D117:D121" si="17">E117+F117+G117</f>
      </c>
      <c r="E117" s="24">
        <v>407.276</v>
      </c>
      <c r="F117" s="24">
        <v>1404.158</v>
      </c>
      <c r="G117" s="24">
        <v>2149.306</v>
      </c>
      <c r="H117" s="25">
        <v>4</v>
      </c>
      <c r="I117" s="63">
        <v>6059.759999999999</v>
      </c>
      <c r="J117" s="27">
        <f t="shared" ref="J117:J135" si="68">I117/D117</f>
      </c>
      <c r="K117" s="28">
        <f t="shared" ref="K117:K135" si="92">AA117/Z117</f>
      </c>
      <c r="L117" s="29">
        <f t="shared" ref="L117:L135" si="130">D117/AB117</f>
      </c>
      <c r="M117" s="28">
        <f t="shared" ref="M117:M135" si="111">AC117/AB117</f>
      </c>
      <c r="N117" s="28">
        <f t="shared" ref="N117:N135" si="149">AD117/AB117</f>
      </c>
      <c r="O117" s="29">
        <f t="shared" ref="O117:O135" si="168">D117/AD117</f>
      </c>
      <c r="P117" s="28">
        <f t="shared" ref="P117:P135" si="187">AE117/AD117</f>
      </c>
      <c r="Q117" s="28">
        <f t="shared" ref="Q117:Q135" si="206">H117/AE117</f>
      </c>
      <c r="R117" s="30">
        <f t="shared" ref="R117:R135" si="225">D117/H117</f>
      </c>
      <c r="S117" s="31">
        <f t="shared" ref="S117:S135" si="244">I117/H117</f>
      </c>
      <c r="T117" s="30">
        <f t="shared" ref="T117:T135" si="263">D117/Y117</f>
      </c>
      <c r="U117" s="30"/>
      <c r="V117" s="32" t="s">
        <v>35</v>
      </c>
      <c r="W117" s="33" t="s">
        <v>36</v>
      </c>
      <c r="X117" s="33"/>
      <c r="Y117" s="34">
        <v>4</v>
      </c>
      <c r="Z117" s="35">
        <v>128721</v>
      </c>
      <c r="AA117" s="36">
        <v>77</v>
      </c>
      <c r="AB117" s="34">
        <v>211266</v>
      </c>
      <c r="AC117" s="34">
        <v>13934</v>
      </c>
      <c r="AD117" s="34">
        <v>606</v>
      </c>
      <c r="AE117" s="34">
        <v>5</v>
      </c>
    </row>
    <row r="118">
      <c r="A118" s="19"/>
      <c r="B118" s="20" t="s">
        <v>56</v>
      </c>
      <c r="C118" s="21" t="s">
        <v>34</v>
      </c>
      <c r="D118" s="37">
        <f t="shared" si="17"/>
      </c>
      <c r="E118" s="24">
        <v>433.546</v>
      </c>
      <c r="F118" s="24">
        <v>641.217</v>
      </c>
      <c r="G118" s="24">
        <v>2760.241</v>
      </c>
      <c r="H118" s="25">
        <v>1</v>
      </c>
      <c r="I118" s="63">
        <v>1200</v>
      </c>
      <c r="J118" s="27">
        <f t="shared" si="68"/>
      </c>
      <c r="K118" s="28">
        <f t="shared" si="92"/>
      </c>
      <c r="L118" s="29">
        <f t="shared" si="130"/>
      </c>
      <c r="M118" s="28">
        <f t="shared" si="111"/>
      </c>
      <c r="N118" s="28">
        <f t="shared" si="149"/>
      </c>
      <c r="O118" s="29">
        <f t="shared" si="168"/>
      </c>
      <c r="P118" s="28">
        <f t="shared" si="187"/>
      </c>
      <c r="Q118" s="28">
        <f t="shared" si="206"/>
      </c>
      <c r="R118" s="30">
        <f t="shared" si="225"/>
      </c>
      <c r="S118" s="31">
        <f t="shared" si="244"/>
      </c>
      <c r="T118" s="30">
        <f t="shared" si="263"/>
      </c>
      <c r="U118" s="30"/>
      <c r="V118" s="32" t="s">
        <v>35</v>
      </c>
      <c r="W118" s="33" t="s">
        <v>36</v>
      </c>
      <c r="X118" s="33"/>
      <c r="Y118" s="34">
        <v>2</v>
      </c>
      <c r="Z118" s="35">
        <v>87919</v>
      </c>
      <c r="AA118" s="36">
        <v>53</v>
      </c>
      <c r="AB118" s="34">
        <v>110958</v>
      </c>
      <c r="AC118" s="34">
        <v>8566</v>
      </c>
      <c r="AD118" s="34">
        <v>329</v>
      </c>
      <c r="AE118" s="34">
        <v>3</v>
      </c>
    </row>
    <row r="119">
      <c r="A119" s="19"/>
      <c r="B119" s="20" t="s">
        <v>57</v>
      </c>
      <c r="C119" s="21" t="s">
        <v>34</v>
      </c>
      <c r="D119" s="37">
        <f t="shared" si="17"/>
      </c>
      <c r="E119" s="24">
        <v>346.69</v>
      </c>
      <c r="F119" s="24">
        <v>973.374</v>
      </c>
      <c r="G119" s="24">
        <v>2772.245</v>
      </c>
      <c r="H119" s="25">
        <v>5</v>
      </c>
      <c r="I119" s="63">
        <v>6609.960000000002</v>
      </c>
      <c r="J119" s="27">
        <f t="shared" si="68"/>
      </c>
      <c r="K119" s="28">
        <f t="shared" si="92"/>
      </c>
      <c r="L119" s="29">
        <f t="shared" si="130"/>
      </c>
      <c r="M119" s="28">
        <f t="shared" si="111"/>
      </c>
      <c r="N119" s="28">
        <f t="shared" si="149"/>
      </c>
      <c r="O119" s="29">
        <f t="shared" si="168"/>
      </c>
      <c r="P119" s="28">
        <f t="shared" si="187"/>
      </c>
      <c r="Q119" s="28">
        <f t="shared" si="206"/>
      </c>
      <c r="R119" s="30">
        <f t="shared" si="225"/>
      </c>
      <c r="S119" s="31">
        <f t="shared" si="244"/>
      </c>
      <c r="T119" s="30">
        <f t="shared" si="263"/>
      </c>
      <c r="U119" s="30"/>
      <c r="V119" s="32" t="s">
        <v>35</v>
      </c>
      <c r="W119" s="33" t="s">
        <v>36</v>
      </c>
      <c r="X119" s="33"/>
      <c r="Y119" s="34">
        <v>4</v>
      </c>
      <c r="Z119" s="35">
        <v>103155</v>
      </c>
      <c r="AA119" s="36">
        <v>98</v>
      </c>
      <c r="AB119" s="34">
        <v>136948</v>
      </c>
      <c r="AC119" s="34">
        <v>10350</v>
      </c>
      <c r="AD119" s="34">
        <v>498</v>
      </c>
      <c r="AE119" s="34">
        <v>8</v>
      </c>
    </row>
    <row r="120">
      <c r="A120" s="19"/>
      <c r="B120" s="20" t="s">
        <v>50</v>
      </c>
      <c r="C120" s="21" t="s">
        <v>34</v>
      </c>
      <c r="D120" s="37">
        <f t="shared" si="17"/>
      </c>
      <c r="E120" s="24">
        <v>187.805</v>
      </c>
      <c r="F120" s="24">
        <v>602.414</v>
      </c>
      <c r="G120" s="24">
        <v>2352.895</v>
      </c>
      <c r="H120" s="25">
        <v>6</v>
      </c>
      <c r="I120" s="63">
        <v>7044.739999999998</v>
      </c>
      <c r="J120" s="27">
        <f t="shared" si="68"/>
      </c>
      <c r="K120" s="28">
        <f t="shared" si="92"/>
      </c>
      <c r="L120" s="29">
        <f t="shared" si="130"/>
      </c>
      <c r="M120" s="28">
        <f t="shared" si="111"/>
      </c>
      <c r="N120" s="28">
        <f t="shared" si="149"/>
      </c>
      <c r="O120" s="29">
        <f t="shared" si="168"/>
      </c>
      <c r="P120" s="28">
        <f t="shared" si="187"/>
      </c>
      <c r="Q120" s="28">
        <f t="shared" si="206"/>
      </c>
      <c r="R120" s="30">
        <f t="shared" si="225"/>
      </c>
      <c r="S120" s="31">
        <f t="shared" si="244"/>
      </c>
      <c r="T120" s="30">
        <f t="shared" si="263"/>
      </c>
      <c r="U120" s="30"/>
      <c r="V120" s="32" t="s">
        <v>35</v>
      </c>
      <c r="W120" s="33" t="s">
        <v>36</v>
      </c>
      <c r="X120" s="33"/>
      <c r="Y120" s="34">
        <v>6</v>
      </c>
      <c r="Z120" s="35">
        <v>70772</v>
      </c>
      <c r="AA120" s="36">
        <v>119</v>
      </c>
      <c r="AB120" s="34">
        <v>83392</v>
      </c>
      <c r="AC120" s="34">
        <v>4642</v>
      </c>
      <c r="AD120" s="34">
        <v>323</v>
      </c>
      <c r="AE120" s="34">
        <v>8</v>
      </c>
    </row>
    <row r="121">
      <c r="A121" s="19"/>
      <c r="B121" s="20" t="s">
        <v>51</v>
      </c>
      <c r="C121" s="21" t="s">
        <v>34</v>
      </c>
      <c r="D121" s="37">
        <f t="shared" si="17"/>
      </c>
      <c r="E121" s="24">
        <v>416.277</v>
      </c>
      <c r="F121" s="24">
        <v>621.049</v>
      </c>
      <c r="G121" s="24">
        <v>2534.748</v>
      </c>
      <c r="H121" s="25">
        <v>5</v>
      </c>
      <c r="I121" s="63">
        <v>5739.720000000001</v>
      </c>
      <c r="J121" s="27">
        <f t="shared" si="68"/>
      </c>
      <c r="K121" s="28">
        <f t="shared" si="92"/>
      </c>
      <c r="L121" s="29">
        <f t="shared" si="130"/>
      </c>
      <c r="M121" s="28">
        <f t="shared" si="111"/>
      </c>
      <c r="N121" s="28">
        <f t="shared" si="149"/>
      </c>
      <c r="O121" s="29">
        <f t="shared" si="168"/>
      </c>
      <c r="P121" s="28">
        <f t="shared" si="187"/>
      </c>
      <c r="Q121" s="28">
        <f t="shared" si="206"/>
      </c>
      <c r="R121" s="30">
        <f t="shared" si="225"/>
      </c>
      <c r="S121" s="31">
        <f t="shared" si="244"/>
      </c>
      <c r="T121" s="30">
        <f t="shared" si="263"/>
      </c>
      <c r="U121" s="30"/>
      <c r="V121" s="32" t="s">
        <v>35</v>
      </c>
      <c r="W121" s="33" t="s">
        <v>36</v>
      </c>
      <c r="X121" s="33"/>
      <c r="Y121" s="34">
        <v>3</v>
      </c>
      <c r="Z121" s="36">
        <v>83607</v>
      </c>
      <c r="AA121" s="36">
        <v>104</v>
      </c>
      <c r="AB121" s="36">
        <v>100943</v>
      </c>
      <c r="AC121" s="36">
        <v>6147</v>
      </c>
      <c r="AD121" s="34">
        <v>328</v>
      </c>
      <c r="AE121" s="34">
        <v>5</v>
      </c>
    </row>
    <row r="122">
      <c r="A122" s="19"/>
      <c r="B122" s="38" t="s">
        <v>42</v>
      </c>
      <c r="C122" s="38"/>
      <c r="D122" s="61">
        <f>SUM(D117:D121)</f>
      </c>
      <c r="E122" s="61">
        <f>SUM(E117:E121)</f>
      </c>
      <c r="F122" s="61">
        <f>SUM(F117:F121)</f>
      </c>
      <c r="G122" s="61">
        <f>SUM(G117:G121)</f>
      </c>
      <c r="H122" s="40">
        <f>SUM(H117:H121)</f>
      </c>
      <c r="I122" s="62">
        <f>SUM(I117:I121)</f>
      </c>
      <c r="J122" s="42">
        <f t="shared" si="68"/>
      </c>
      <c r="K122" s="43">
        <f t="shared" si="92"/>
      </c>
      <c r="L122" s="44">
        <f t="shared" si="130"/>
      </c>
      <c r="M122" s="43">
        <f t="shared" si="111"/>
      </c>
      <c r="N122" s="43">
        <f t="shared" si="149"/>
      </c>
      <c r="O122" s="44">
        <f t="shared" si="168"/>
      </c>
      <c r="P122" s="43">
        <f t="shared" si="187"/>
      </c>
      <c r="Q122" s="43">
        <f t="shared" si="206"/>
      </c>
      <c r="R122" s="45">
        <f t="shared" si="225"/>
      </c>
      <c r="S122" s="46">
        <f t="shared" si="244"/>
      </c>
      <c r="T122" s="45">
        <f t="shared" si="263"/>
      </c>
      <c r="U122" s="45"/>
      <c r="V122" s="47"/>
      <c r="W122" s="47"/>
      <c r="X122" s="47"/>
      <c r="Y122" s="48">
        <f>SUM(Y117:Y121)</f>
      </c>
      <c r="Z122" s="48">
        <f>SUM(Z117:Z121)</f>
      </c>
      <c r="AA122" s="48">
        <f>SUM(AA117:AA121)</f>
      </c>
      <c r="AB122" s="48">
        <f>SUM(AB117:AB121)</f>
      </c>
      <c r="AC122" s="48">
        <f>SUM(AC117:AC121)</f>
      </c>
      <c r="AD122" s="48">
        <f>SUM(AD117:AD121)</f>
      </c>
      <c r="AE122" s="48">
        <f>SUM(AE117:AE121)</f>
      </c>
    </row>
    <row r="123">
      <c r="A123" s="19"/>
      <c r="B123" s="20" t="s">
        <v>33</v>
      </c>
      <c r="C123" s="21" t="s">
        <v>52</v>
      </c>
      <c r="D123" s="37">
        <f t="shared" ref="D123:D127" si="18">E123+F123+G123</f>
      </c>
      <c r="E123" s="24">
        <v>229.482</v>
      </c>
      <c r="F123" s="24">
        <v>391.768</v>
      </c>
      <c r="G123" s="24">
        <v>2064.166</v>
      </c>
      <c r="H123" s="25">
        <v>2</v>
      </c>
      <c r="I123" s="63">
        <v>1127.1599999999999</v>
      </c>
      <c r="J123" s="27">
        <f t="shared" si="68"/>
      </c>
      <c r="K123" s="28">
        <f t="shared" si="92"/>
      </c>
      <c r="L123" s="29">
        <f t="shared" si="130"/>
      </c>
      <c r="M123" s="28">
        <f t="shared" si="111"/>
      </c>
      <c r="N123" s="28">
        <f t="shared" si="149"/>
      </c>
      <c r="O123" s="29">
        <f t="shared" si="168"/>
      </c>
      <c r="P123" s="28">
        <f t="shared" si="187"/>
      </c>
      <c r="Q123" s="28">
        <f t="shared" si="206"/>
      </c>
      <c r="R123" s="30">
        <f t="shared" si="225"/>
      </c>
      <c r="S123" s="31">
        <f t="shared" si="244"/>
      </c>
      <c r="T123" s="30">
        <f t="shared" si="263"/>
      </c>
      <c r="U123" s="30"/>
      <c r="V123" s="32" t="s">
        <v>35</v>
      </c>
      <c r="W123" s="33" t="s">
        <v>36</v>
      </c>
      <c r="X123" s="33"/>
      <c r="Y123" s="34">
        <v>1</v>
      </c>
      <c r="Z123" s="35">
        <v>62749</v>
      </c>
      <c r="AA123" s="36">
        <v>95</v>
      </c>
      <c r="AB123" s="34">
        <v>76730</v>
      </c>
      <c r="AC123" s="34">
        <v>4618</v>
      </c>
      <c r="AD123" s="34">
        <v>290</v>
      </c>
      <c r="AE123" s="34">
        <v>4</v>
      </c>
    </row>
    <row r="124">
      <c r="A124" s="19"/>
      <c r="B124" s="20" t="s">
        <v>37</v>
      </c>
      <c r="C124" s="21" t="s">
        <v>52</v>
      </c>
      <c r="D124" s="37">
        <f t="shared" si="18"/>
      </c>
      <c r="E124" s="24">
        <v>213.774</v>
      </c>
      <c r="F124" s="37">
        <v>183.621</v>
      </c>
      <c r="G124" s="37">
        <v>1364.734</v>
      </c>
      <c r="H124" s="25">
        <v>0</v>
      </c>
      <c r="I124" s="63">
        <v>0</v>
      </c>
      <c r="J124" s="27">
        <f t="shared" si="68"/>
      </c>
      <c r="K124" s="28">
        <f t="shared" si="92"/>
      </c>
      <c r="L124" s="29">
        <f t="shared" si="130"/>
      </c>
      <c r="M124" s="28">
        <f t="shared" si="111"/>
      </c>
      <c r="N124" s="28">
        <f t="shared" si="149"/>
      </c>
      <c r="O124" s="29">
        <f t="shared" si="168"/>
      </c>
      <c r="P124" s="28">
        <f t="shared" si="187"/>
      </c>
      <c r="Q124" s="28">
        <f t="shared" si="206"/>
      </c>
      <c r="R124" s="30">
        <f t="shared" si="225"/>
      </c>
      <c r="S124" s="31">
        <f t="shared" si="244"/>
      </c>
      <c r="T124" s="30">
        <f t="shared" si="263"/>
      </c>
      <c r="U124" s="30"/>
      <c r="V124" s="32" t="s">
        <v>35</v>
      </c>
      <c r="W124" s="33" t="s">
        <v>36</v>
      </c>
      <c r="X124" s="33"/>
      <c r="Y124" s="34">
        <v>1</v>
      </c>
      <c r="Z124" s="36">
        <v>44130</v>
      </c>
      <c r="AA124" s="36">
        <v>200</v>
      </c>
      <c r="AB124" s="34">
        <v>35904</v>
      </c>
      <c r="AC124" s="34">
        <v>2367</v>
      </c>
      <c r="AD124" s="34">
        <v>218</v>
      </c>
      <c r="AE124" s="34">
        <v>2</v>
      </c>
    </row>
    <row r="125">
      <c r="A125" s="19"/>
      <c r="B125" s="20" t="s">
        <v>38</v>
      </c>
      <c r="C125" s="21" t="s">
        <v>52</v>
      </c>
      <c r="D125" s="37">
        <f t="shared" si="18"/>
      </c>
      <c r="E125" s="24">
        <v>338.759</v>
      </c>
      <c r="F125" s="37">
        <v>439.179</v>
      </c>
      <c r="G125" s="24">
        <v>1074.385</v>
      </c>
      <c r="H125" s="25">
        <v>1</v>
      </c>
      <c r="I125" s="63">
        <v>627</v>
      </c>
      <c r="J125" s="27">
        <f t="shared" si="68"/>
      </c>
      <c r="K125" s="28">
        <f t="shared" si="92"/>
      </c>
      <c r="L125" s="29">
        <f t="shared" si="130"/>
      </c>
      <c r="M125" s="28">
        <f t="shared" si="111"/>
      </c>
      <c r="N125" s="28">
        <f t="shared" si="149"/>
      </c>
      <c r="O125" s="29">
        <f t="shared" si="168"/>
      </c>
      <c r="P125" s="28">
        <f t="shared" si="187"/>
      </c>
      <c r="Q125" s="28">
        <f t="shared" si="206"/>
      </c>
      <c r="R125" s="30">
        <f t="shared" si="225"/>
      </c>
      <c r="S125" s="31">
        <f t="shared" si="244"/>
      </c>
      <c r="T125" s="30">
        <f t="shared" si="263"/>
      </c>
      <c r="U125" s="30"/>
      <c r="V125" s="32" t="s">
        <v>35</v>
      </c>
      <c r="W125" s="33" t="s">
        <v>54</v>
      </c>
      <c r="X125" s="33"/>
      <c r="Y125" s="34">
        <v>1</v>
      </c>
      <c r="Z125" s="35">
        <v>45628</v>
      </c>
      <c r="AA125" s="36">
        <v>133</v>
      </c>
      <c r="AB125" s="34">
        <v>37255</v>
      </c>
      <c r="AC125" s="34">
        <v>2716</v>
      </c>
      <c r="AD125" s="34">
        <v>313</v>
      </c>
      <c r="AE125" s="34">
        <v>2</v>
      </c>
    </row>
    <row r="126">
      <c r="A126" s="19"/>
      <c r="B126" s="20" t="s">
        <v>40</v>
      </c>
      <c r="C126" s="21" t="s">
        <v>52</v>
      </c>
      <c r="D126" s="37">
        <f t="shared" si="18"/>
      </c>
      <c r="E126" s="24">
        <v>294.831</v>
      </c>
      <c r="F126" s="37">
        <v>297.818</v>
      </c>
      <c r="G126" s="37">
        <v>1141.144</v>
      </c>
      <c r="H126" s="25">
        <v>2</v>
      </c>
      <c r="I126" s="63">
        <v>5087.880000000001</v>
      </c>
      <c r="J126" s="27">
        <f t="shared" si="68"/>
      </c>
      <c r="K126" s="28">
        <f t="shared" si="92"/>
      </c>
      <c r="L126" s="29">
        <f t="shared" si="130"/>
      </c>
      <c r="M126" s="28">
        <f t="shared" si="111"/>
      </c>
      <c r="N126" s="28">
        <f t="shared" si="149"/>
      </c>
      <c r="O126" s="29">
        <f t="shared" si="168"/>
      </c>
      <c r="P126" s="28">
        <f t="shared" si="187"/>
      </c>
      <c r="Q126" s="28">
        <f t="shared" si="206"/>
      </c>
      <c r="R126" s="30">
        <f t="shared" si="225"/>
      </c>
      <c r="S126" s="31">
        <f t="shared" si="244"/>
      </c>
      <c r="T126" s="30">
        <f t="shared" si="263"/>
      </c>
      <c r="U126" s="30"/>
      <c r="V126" s="32" t="s">
        <v>35</v>
      </c>
      <c r="W126" s="33" t="s">
        <v>54</v>
      </c>
      <c r="X126" s="33"/>
      <c r="Y126" s="34">
        <v>2</v>
      </c>
      <c r="Z126" s="35">
        <v>38734</v>
      </c>
      <c r="AA126" s="36">
        <v>89</v>
      </c>
      <c r="AB126" s="36">
        <v>32416</v>
      </c>
      <c r="AC126" s="36">
        <v>2272</v>
      </c>
      <c r="AD126" s="34">
        <v>222</v>
      </c>
      <c r="AE126" s="34">
        <v>3</v>
      </c>
    </row>
    <row r="127">
      <c r="A127" s="19"/>
      <c r="B127" s="20" t="s">
        <v>41</v>
      </c>
      <c r="C127" s="21" t="s">
        <v>52</v>
      </c>
      <c r="D127" s="37">
        <f t="shared" si="18"/>
      </c>
      <c r="E127" s="24">
        <v>320.973</v>
      </c>
      <c r="F127" s="37">
        <v>238.173</v>
      </c>
      <c r="G127" s="37">
        <v>1030.281</v>
      </c>
      <c r="H127" s="25">
        <v>0</v>
      </c>
      <c r="I127" s="63">
        <v>0</v>
      </c>
      <c r="J127" s="27">
        <f t="shared" si="68"/>
      </c>
      <c r="K127" s="28">
        <f t="shared" si="92"/>
      </c>
      <c r="L127" s="29">
        <f t="shared" si="130"/>
      </c>
      <c r="M127" s="28">
        <f t="shared" si="111"/>
      </c>
      <c r="N127" s="28">
        <f t="shared" si="149"/>
      </c>
      <c r="O127" s="29">
        <f t="shared" si="168"/>
      </c>
      <c r="P127" s="28">
        <f t="shared" si="187"/>
      </c>
      <c r="Q127" s="28">
        <f t="shared" si="206"/>
      </c>
      <c r="R127" s="30">
        <f t="shared" si="225"/>
      </c>
      <c r="S127" s="31">
        <f t="shared" si="244"/>
      </c>
      <c r="T127" s="30">
        <f t="shared" si="263"/>
      </c>
      <c r="U127" s="30"/>
      <c r="V127" s="32" t="s">
        <v>35</v>
      </c>
      <c r="W127" s="33" t="s">
        <v>54</v>
      </c>
      <c r="X127" s="33"/>
      <c r="Y127" s="34">
        <v>0</v>
      </c>
      <c r="Z127" s="36">
        <v>28612</v>
      </c>
      <c r="AA127" s="36">
        <v>96</v>
      </c>
      <c r="AB127" s="36">
        <v>25828</v>
      </c>
      <c r="AC127" s="36">
        <v>1533</v>
      </c>
      <c r="AD127" s="34">
        <v>159</v>
      </c>
      <c r="AE127" s="34">
        <v>1</v>
      </c>
    </row>
    <row r="128">
      <c r="A128" s="19"/>
      <c r="B128" s="38" t="s">
        <v>42</v>
      </c>
      <c r="C128" s="38"/>
      <c r="D128" s="61">
        <f>SUM(D123:D127)</f>
      </c>
      <c r="E128" s="61">
        <f>SUM(E123:E127)</f>
      </c>
      <c r="F128" s="61">
        <f>SUM(F123:F127)</f>
      </c>
      <c r="G128" s="61">
        <f>SUM(G123:G127)</f>
      </c>
      <c r="H128" s="40">
        <f>SUM(H123:H127)</f>
      </c>
      <c r="I128" s="62">
        <f>SUM(I123:I127)</f>
      </c>
      <c r="J128" s="42">
        <f t="shared" si="68"/>
      </c>
      <c r="K128" s="43">
        <f t="shared" si="92"/>
      </c>
      <c r="L128" s="44">
        <f t="shared" si="130"/>
      </c>
      <c r="M128" s="43">
        <f t="shared" si="111"/>
      </c>
      <c r="N128" s="43">
        <f t="shared" si="149"/>
      </c>
      <c r="O128" s="44">
        <f t="shared" si="168"/>
      </c>
      <c r="P128" s="43">
        <f t="shared" si="187"/>
      </c>
      <c r="Q128" s="43">
        <f t="shared" si="206"/>
      </c>
      <c r="R128" s="45">
        <f t="shared" si="225"/>
      </c>
      <c r="S128" s="46">
        <f t="shared" si="244"/>
      </c>
      <c r="T128" s="45">
        <f t="shared" si="263"/>
      </c>
      <c r="U128" s="45"/>
      <c r="V128" s="47"/>
      <c r="W128" s="47"/>
      <c r="X128" s="47"/>
      <c r="Y128" s="48">
        <f>SUM(Y123:Y127)</f>
      </c>
      <c r="Z128" s="58">
        <f>SUM(Z123:Z127)</f>
      </c>
      <c r="AA128" s="58">
        <f>SUM(AA123:AA127)</f>
      </c>
      <c r="AB128" s="58">
        <f>SUM(AB123:AB127)</f>
      </c>
      <c r="AC128" s="58">
        <f>SUM(AC123:AC127)</f>
      </c>
      <c r="AD128" s="58">
        <f>SUM(AD123:AD127)</f>
      </c>
      <c r="AE128" s="59">
        <f>SUM(AE123:AE127)</f>
      </c>
    </row>
    <row r="129">
      <c r="A129" s="19"/>
      <c r="B129" s="20" t="s">
        <v>53</v>
      </c>
      <c r="C129" s="21" t="s">
        <v>44</v>
      </c>
      <c r="D129" s="22">
        <f t="shared" ref="D129:D133" si="19">E129+F129+G129</f>
      </c>
      <c r="E129" s="24">
        <v>390.566</v>
      </c>
      <c r="F129" s="37">
        <v>104.79</v>
      </c>
      <c r="G129" s="24">
        <v>676.886</v>
      </c>
      <c r="H129" s="25">
        <v>0</v>
      </c>
      <c r="I129" s="63">
        <v>0</v>
      </c>
      <c r="J129" s="27">
        <f t="shared" si="68"/>
      </c>
      <c r="K129" s="28">
        <f t="shared" si="92"/>
      </c>
      <c r="L129" s="29">
        <f t="shared" si="130"/>
      </c>
      <c r="M129" s="28">
        <f t="shared" si="111"/>
      </c>
      <c r="N129" s="28">
        <f t="shared" si="149"/>
      </c>
      <c r="O129" s="29">
        <f t="shared" si="168"/>
      </c>
      <c r="P129" s="28">
        <f t="shared" si="187"/>
      </c>
      <c r="Q129" s="28">
        <f t="shared" si="206"/>
      </c>
      <c r="R129" s="30">
        <f t="shared" si="225"/>
      </c>
      <c r="S129" s="31">
        <f t="shared" si="244"/>
      </c>
      <c r="T129" s="30">
        <f t="shared" si="263"/>
      </c>
      <c r="U129" s="30"/>
      <c r="V129" s="49" t="s">
        <v>35</v>
      </c>
      <c r="W129" s="33" t="s">
        <v>54</v>
      </c>
      <c r="X129" s="33"/>
      <c r="Y129" s="34">
        <v>0</v>
      </c>
      <c r="Z129" s="35">
        <v>18369</v>
      </c>
      <c r="AA129" s="36">
        <v>69</v>
      </c>
      <c r="AB129" s="36">
        <v>10822</v>
      </c>
      <c r="AC129" s="36">
        <v>627</v>
      </c>
      <c r="AD129" s="36">
        <v>81</v>
      </c>
      <c r="AE129" s="34">
        <v>1</v>
      </c>
    </row>
    <row r="130">
      <c r="A130" s="19"/>
      <c r="B130" s="20" t="s">
        <v>43</v>
      </c>
      <c r="C130" s="21" t="s">
        <v>44</v>
      </c>
      <c r="D130" s="22">
        <f t="shared" si="19"/>
      </c>
      <c r="E130" s="24">
        <v>774.546</v>
      </c>
      <c r="F130" s="37">
        <v>70.189</v>
      </c>
      <c r="G130" s="37">
        <v>896.432</v>
      </c>
      <c r="H130" s="25">
        <v>1</v>
      </c>
      <c r="I130" s="63">
        <v>2602.7999999999956</v>
      </c>
      <c r="J130" s="27">
        <f t="shared" si="68"/>
      </c>
      <c r="K130" s="28">
        <f t="shared" si="92"/>
      </c>
      <c r="L130" s="29">
        <f t="shared" si="130"/>
      </c>
      <c r="M130" s="28">
        <f t="shared" si="111"/>
      </c>
      <c r="N130" s="28">
        <f t="shared" si="149"/>
      </c>
      <c r="O130" s="29">
        <f t="shared" si="168"/>
      </c>
      <c r="P130" s="28">
        <f t="shared" si="187"/>
      </c>
      <c r="Q130" s="28">
        <f t="shared" si="206"/>
      </c>
      <c r="R130" s="30">
        <f t="shared" si="225"/>
      </c>
      <c r="S130" s="31">
        <f t="shared" si="244"/>
      </c>
      <c r="T130" s="30">
        <f t="shared" si="263"/>
      </c>
      <c r="U130" s="30"/>
      <c r="V130" s="49" t="s">
        <v>35</v>
      </c>
      <c r="W130" s="33" t="s">
        <v>54</v>
      </c>
      <c r="X130" s="33"/>
      <c r="Y130" s="34">
        <v>1</v>
      </c>
      <c r="Z130" s="36">
        <v>31917</v>
      </c>
      <c r="AA130" s="36">
        <v>69</v>
      </c>
      <c r="AB130" s="36">
        <v>30136</v>
      </c>
      <c r="AC130" s="36">
        <v>1450</v>
      </c>
      <c r="AD130" s="36">
        <v>209</v>
      </c>
      <c r="AE130" s="34">
        <v>4</v>
      </c>
    </row>
    <row r="131">
      <c r="A131" s="19"/>
      <c r="B131" s="20" t="s">
        <v>45</v>
      </c>
      <c r="C131" s="21" t="s">
        <v>44</v>
      </c>
      <c r="D131" s="22">
        <f t="shared" si="19"/>
      </c>
      <c r="E131" s="24">
        <v>1076.292</v>
      </c>
      <c r="F131" s="37">
        <v>29.386</v>
      </c>
      <c r="G131" s="37">
        <v>1313.846</v>
      </c>
      <c r="H131" s="25">
        <v>2</v>
      </c>
      <c r="I131" s="63">
        <v>1081.6800000000076</v>
      </c>
      <c r="J131" s="27">
        <f t="shared" si="68"/>
      </c>
      <c r="K131" s="28">
        <f t="shared" si="92"/>
      </c>
      <c r="L131" s="29">
        <f t="shared" si="130"/>
      </c>
      <c r="M131" s="28">
        <f t="shared" si="111"/>
      </c>
      <c r="N131" s="28">
        <f t="shared" si="149"/>
      </c>
      <c r="O131" s="29">
        <f t="shared" si="168"/>
      </c>
      <c r="P131" s="28">
        <f t="shared" si="187"/>
      </c>
      <c r="Q131" s="28">
        <f t="shared" si="206"/>
      </c>
      <c r="R131" s="30">
        <f t="shared" si="225"/>
      </c>
      <c r="S131" s="31">
        <f t="shared" si="244"/>
      </c>
      <c r="T131" s="30">
        <f t="shared" si="263"/>
      </c>
      <c r="U131" s="30"/>
      <c r="V131" s="49" t="s">
        <v>35</v>
      </c>
      <c r="W131" s="33" t="s">
        <v>54</v>
      </c>
      <c r="X131" s="33"/>
      <c r="Y131" s="34">
        <v>2</v>
      </c>
      <c r="Z131" s="36">
        <v>52450</v>
      </c>
      <c r="AA131" s="36">
        <v>97</v>
      </c>
      <c r="AB131" s="36">
        <v>56865</v>
      </c>
      <c r="AC131" s="36">
        <v>2716</v>
      </c>
      <c r="AD131" s="36">
        <v>300</v>
      </c>
      <c r="AE131" s="34">
        <v>3</v>
      </c>
    </row>
    <row r="132">
      <c r="A132" s="19"/>
      <c r="B132" s="20" t="s">
        <v>46</v>
      </c>
      <c r="C132" s="21" t="s">
        <v>44</v>
      </c>
      <c r="D132" s="22">
        <f t="shared" si="19"/>
      </c>
      <c r="E132" s="24">
        <v>1112.6</v>
      </c>
      <c r="F132" s="37">
        <v>28.633</v>
      </c>
      <c r="G132" s="37">
        <v>742.903</v>
      </c>
      <c r="H132" s="25">
        <v>0</v>
      </c>
      <c r="I132" s="63">
        <v>0</v>
      </c>
      <c r="J132" s="27">
        <f t="shared" si="68"/>
      </c>
      <c r="K132" s="28">
        <f t="shared" si="92"/>
      </c>
      <c r="L132" s="29">
        <f t="shared" si="130"/>
      </c>
      <c r="M132" s="28">
        <f t="shared" si="111"/>
      </c>
      <c r="N132" s="28">
        <f t="shared" si="149"/>
      </c>
      <c r="O132" s="29">
        <f t="shared" si="168"/>
      </c>
      <c r="P132" s="28">
        <f t="shared" si="187"/>
      </c>
      <c r="Q132" s="28">
        <f t="shared" si="206"/>
      </c>
      <c r="R132" s="30">
        <f t="shared" si="225"/>
      </c>
      <c r="S132" s="31">
        <f t="shared" si="244"/>
      </c>
      <c r="T132" s="30">
        <f t="shared" si="263"/>
      </c>
      <c r="U132" s="30"/>
      <c r="V132" s="49" t="s">
        <v>35</v>
      </c>
      <c r="W132" s="33" t="s">
        <v>54</v>
      </c>
      <c r="X132" s="33"/>
      <c r="Y132" s="34">
        <v>0</v>
      </c>
      <c r="Z132" s="36">
        <v>48162</v>
      </c>
      <c r="AA132" s="36">
        <v>110</v>
      </c>
      <c r="AB132" s="36">
        <v>40084</v>
      </c>
      <c r="AC132" s="36">
        <v>1967</v>
      </c>
      <c r="AD132" s="36">
        <v>233</v>
      </c>
      <c r="AE132" s="34">
        <v>2</v>
      </c>
    </row>
    <row r="133">
      <c r="A133" s="19"/>
      <c r="B133" s="20" t="s">
        <v>47</v>
      </c>
      <c r="C133" s="21" t="s">
        <v>44</v>
      </c>
      <c r="D133" s="22">
        <f t="shared" si="19"/>
      </c>
      <c r="E133" s="24">
        <f>720.804+0.001+0.002+0.16</f>
      </c>
      <c r="F133" s="37">
        <v>24.733</v>
      </c>
      <c r="G133" s="37">
        <f>539.869+0.136</f>
      </c>
      <c r="H133" s="25">
        <v>2</v>
      </c>
      <c r="I133" s="63">
        <v>7639.560000000005</v>
      </c>
      <c r="J133" s="27">
        <f t="shared" si="68"/>
      </c>
      <c r="K133" s="28">
        <f t="shared" si="92"/>
      </c>
      <c r="L133" s="29">
        <f t="shared" si="130"/>
      </c>
      <c r="M133" s="28">
        <f t="shared" si="111"/>
      </c>
      <c r="N133" s="28">
        <f t="shared" si="149"/>
      </c>
      <c r="O133" s="29">
        <f t="shared" si="168"/>
      </c>
      <c r="P133" s="28">
        <f t="shared" si="187"/>
      </c>
      <c r="Q133" s="28">
        <f t="shared" si="206"/>
      </c>
      <c r="R133" s="30">
        <f t="shared" si="225"/>
      </c>
      <c r="S133" s="31">
        <f t="shared" si="244"/>
      </c>
      <c r="T133" s="30">
        <f t="shared" si="263"/>
      </c>
      <c r="U133" s="30"/>
      <c r="V133" s="49" t="s">
        <v>35</v>
      </c>
      <c r="W133" s="33" t="s">
        <v>54</v>
      </c>
      <c r="X133" s="33"/>
      <c r="Y133" s="34">
        <v>2</v>
      </c>
      <c r="Z133" s="36">
        <v>35869</v>
      </c>
      <c r="AA133" s="36">
        <v>79</v>
      </c>
      <c r="AB133" s="36">
        <v>38971</v>
      </c>
      <c r="AC133" s="36">
        <v>2128</v>
      </c>
      <c r="AD133" s="36">
        <v>184</v>
      </c>
      <c r="AE133" s="34">
        <v>4</v>
      </c>
    </row>
    <row r="134">
      <c r="A134" s="19"/>
      <c r="B134" s="38" t="s">
        <v>42</v>
      </c>
      <c r="C134" s="38"/>
      <c r="D134" s="61">
        <f>SUM(D129:D133)</f>
      </c>
      <c r="E134" s="61">
        <f>SUM(E129:E133)</f>
      </c>
      <c r="F134" s="61">
        <f>SUM(F129:F133)</f>
      </c>
      <c r="G134" s="61">
        <f>SUM(G129:G133)</f>
      </c>
      <c r="H134" s="40">
        <f>SUM(H129:H133)</f>
      </c>
      <c r="I134" s="62">
        <f>SUM(I129:I133)</f>
      </c>
      <c r="J134" s="42">
        <f t="shared" si="68"/>
      </c>
      <c r="K134" s="43">
        <f t="shared" si="92"/>
      </c>
      <c r="L134" s="44">
        <f t="shared" si="130"/>
      </c>
      <c r="M134" s="43">
        <f t="shared" si="111"/>
      </c>
      <c r="N134" s="43">
        <f t="shared" si="149"/>
      </c>
      <c r="O134" s="44">
        <f t="shared" si="168"/>
      </c>
      <c r="P134" s="43">
        <f t="shared" si="187"/>
      </c>
      <c r="Q134" s="43">
        <f t="shared" si="206"/>
      </c>
      <c r="R134" s="45">
        <f t="shared" si="225"/>
      </c>
      <c r="S134" s="46">
        <f t="shared" si="244"/>
      </c>
      <c r="T134" s="45">
        <f t="shared" si="263"/>
      </c>
      <c r="U134" s="45"/>
      <c r="V134" s="47"/>
      <c r="W134" s="47"/>
      <c r="X134" s="47"/>
      <c r="Y134" s="48">
        <f>SUM(Y129:Y133)</f>
      </c>
      <c r="Z134" s="48">
        <f>SUM(Z129:Z133)</f>
      </c>
      <c r="AA134" s="48">
        <f>SUM(AA129:AA133)</f>
      </c>
      <c r="AB134" s="48">
        <f>SUM(AB129:AB133)</f>
      </c>
      <c r="AC134" s="48">
        <f>SUM(AC129:AC133)</f>
      </c>
      <c r="AD134" s="48">
        <f>SUM(AD129:AD133)</f>
      </c>
      <c r="AE134" s="48">
        <f>SUM(AE129:AE133)</f>
      </c>
    </row>
    <row r="135">
      <c r="A135" s="66"/>
      <c r="B135" s="67" t="s">
        <v>49</v>
      </c>
      <c r="C135" s="67"/>
      <c r="D135" s="68">
        <f>D134+D128+D122</f>
      </c>
      <c r="E135" s="68">
        <f>E134+E128+E122</f>
      </c>
      <c r="F135" s="68">
        <f>F134+F128+F122</f>
      </c>
      <c r="G135" s="68">
        <f>G134+G128+G122</f>
      </c>
      <c r="H135" s="53">
        <f>H134+H128+H122</f>
      </c>
      <c r="I135" s="60">
        <f>I134+I128+I122</f>
      </c>
      <c r="J135" s="54">
        <f t="shared" si="68"/>
      </c>
      <c r="K135" s="55">
        <f t="shared" si="92"/>
      </c>
      <c r="L135" s="54">
        <f t="shared" si="130"/>
      </c>
      <c r="M135" s="55">
        <f t="shared" si="111"/>
      </c>
      <c r="N135" s="55">
        <f t="shared" si="149"/>
      </c>
      <c r="O135" s="54">
        <f t="shared" si="168"/>
      </c>
      <c r="P135" s="55">
        <f t="shared" si="187"/>
      </c>
      <c r="Q135" s="55">
        <f t="shared" si="206"/>
      </c>
      <c r="R135" s="54">
        <f t="shared" si="225"/>
      </c>
      <c r="S135" s="56">
        <f t="shared" si="244"/>
      </c>
      <c r="T135" s="54">
        <f t="shared" si="263"/>
      </c>
      <c r="U135" s="54"/>
      <c r="V135" s="57"/>
      <c r="W135" s="57"/>
      <c r="X135" s="57"/>
      <c r="Y135" s="53">
        <f>Y134+Y128+Y122</f>
      </c>
      <c r="Z135" s="53">
        <f>Z134+Z128+Z122</f>
      </c>
      <c r="AA135" s="53">
        <f>AA134+AA128+AA122</f>
      </c>
      <c r="AB135" s="53">
        <f>AB134+AB128+AB122</f>
      </c>
      <c r="AC135" s="53">
        <f>AC134+AC128+AC122</f>
      </c>
      <c r="AD135" s="53">
        <f>AD134+AD128+AD122</f>
      </c>
      <c r="AE135" s="53">
        <f>AE134+AE128+AE122</f>
      </c>
    </row>
    <row r="136">
      <c r="A136" s="1" t="s">
        <v>1</v>
      </c>
      <c r="B136" s="1"/>
      <c r="C136" s="1"/>
      <c r="D136" s="2" t="s">
        <v>2</v>
      </c>
      <c r="E136" s="2"/>
      <c r="F136" s="2"/>
      <c r="G136" s="2"/>
      <c r="H136" s="2"/>
      <c r="I136" s="2"/>
      <c r="J136" s="2"/>
      <c r="K136" s="3" t="s">
        <v>3</v>
      </c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4"/>
      <c r="W136" s="4"/>
      <c r="X136" s="4"/>
      <c r="Y136" s="5"/>
      <c r="Z136" s="5"/>
      <c r="AA136" s="5"/>
      <c r="AB136" s="5"/>
      <c r="AC136" s="5"/>
      <c r="AD136" s="5"/>
      <c r="AE136" s="5"/>
    </row>
    <row r="137">
      <c r="A137" s="6" t="s">
        <v>4</v>
      </c>
      <c r="B137" s="7" t="s">
        <v>5</v>
      </c>
      <c r="C137" s="7" t="s">
        <v>6</v>
      </c>
      <c r="D137" s="8" t="s">
        <v>7</v>
      </c>
      <c r="E137" s="9" t="s">
        <v>8</v>
      </c>
      <c r="F137" s="9" t="s">
        <v>9</v>
      </c>
      <c r="G137" s="10" t="s">
        <v>10</v>
      </c>
      <c r="H137" s="11" t="s">
        <v>11</v>
      </c>
      <c r="I137" s="11" t="s">
        <v>12</v>
      </c>
      <c r="J137" s="12" t="s">
        <v>13</v>
      </c>
      <c r="K137" s="3" t="s">
        <v>14</v>
      </c>
      <c r="L137" s="3" t="s">
        <v>15</v>
      </c>
      <c r="M137" s="13" t="s">
        <v>16</v>
      </c>
      <c r="N137" s="13" t="s">
        <v>17</v>
      </c>
      <c r="O137" s="3" t="s">
        <v>18</v>
      </c>
      <c r="P137" s="13" t="s">
        <v>19</v>
      </c>
      <c r="Q137" s="13" t="s">
        <v>20</v>
      </c>
      <c r="R137" s="14" t="s">
        <v>21</v>
      </c>
      <c r="S137" s="13" t="s">
        <v>22</v>
      </c>
      <c r="T137" s="14" t="s">
        <v>23</v>
      </c>
      <c r="U137" s="14"/>
      <c r="V137" s="15" t="s">
        <v>24</v>
      </c>
      <c r="W137" s="15" t="s">
        <v>25</v>
      </c>
      <c r="X137" s="15"/>
      <c r="Y137" s="16" t="s">
        <v>26</v>
      </c>
      <c r="Z137" s="17" t="s">
        <v>27</v>
      </c>
      <c r="AA137" s="17" t="s">
        <v>28</v>
      </c>
      <c r="AB137" s="17" t="s">
        <v>29</v>
      </c>
      <c r="AC137" s="17" t="s">
        <v>30</v>
      </c>
      <c r="AD137" s="17" t="s">
        <v>31</v>
      </c>
      <c r="AE137" s="18" t="s">
        <v>32</v>
      </c>
    </row>
    <row r="138">
      <c r="A138" s="19">
        <v>46303</v>
      </c>
      <c r="B138" s="20" t="s">
        <v>58</v>
      </c>
      <c r="C138" s="21" t="s">
        <v>34</v>
      </c>
      <c r="D138" s="37">
        <f t="shared" ref="D138:D142" si="20">E138+F138+G138</f>
      </c>
      <c r="E138" s="24">
        <v>625.691</v>
      </c>
      <c r="F138" s="24">
        <v>114.491</v>
      </c>
      <c r="G138" s="24">
        <v>605.317</v>
      </c>
      <c r="H138" s="25">
        <v>2</v>
      </c>
      <c r="I138" s="63">
        <v>4022.4</v>
      </c>
      <c r="J138" s="27">
        <f t="shared" ref="J138:J156" si="69">I138/D138</f>
      </c>
      <c r="K138" s="28">
        <f t="shared" ref="K138:K156" si="93">AA138/Z138</f>
      </c>
      <c r="L138" s="29">
        <f t="shared" ref="L138:L156" si="131">D138/AB138</f>
      </c>
      <c r="M138" s="28">
        <f t="shared" ref="M138:M156" si="112">AC138/AB138</f>
      </c>
      <c r="N138" s="28">
        <f t="shared" ref="N138:N156" si="150">AD138/AB138</f>
      </c>
      <c r="O138" s="29">
        <f t="shared" ref="O138:O156" si="169">D138/AD138</f>
      </c>
      <c r="P138" s="28">
        <f t="shared" ref="P138:P156" si="188">AE138/AD138</f>
      </c>
      <c r="Q138" s="28">
        <f t="shared" ref="Q138:Q156" si="207">H138/AE138</f>
      </c>
      <c r="R138" s="30">
        <f t="shared" ref="R138:R156" si="226">D138/H138</f>
      </c>
      <c r="S138" s="31">
        <f t="shared" ref="S138:S156" si="245">I138/H138</f>
      </c>
      <c r="T138" s="30">
        <f t="shared" ref="T138:T156" si="264">D138/Y138</f>
      </c>
      <c r="U138" s="30"/>
      <c r="V138" s="32" t="s">
        <v>35</v>
      </c>
      <c r="W138" s="33" t="s">
        <v>48</v>
      </c>
      <c r="X138" s="33"/>
      <c r="Y138" s="34">
        <v>2</v>
      </c>
      <c r="Z138" s="35">
        <v>19986</v>
      </c>
      <c r="AA138" s="36">
        <v>32</v>
      </c>
      <c r="AB138" s="34">
        <v>21521</v>
      </c>
      <c r="AC138" s="34">
        <v>1714</v>
      </c>
      <c r="AD138" s="34">
        <v>196</v>
      </c>
      <c r="AE138" s="34">
        <v>2</v>
      </c>
    </row>
    <row r="139">
      <c r="A139" s="19"/>
      <c r="B139" s="20" t="s">
        <v>56</v>
      </c>
      <c r="C139" s="21" t="s">
        <v>34</v>
      </c>
      <c r="D139" s="37">
        <f t="shared" si="20"/>
      </c>
      <c r="E139" s="24">
        <v>561.309</v>
      </c>
      <c r="F139" s="24">
        <v>228.094</v>
      </c>
      <c r="G139" s="24">
        <v>950.667</v>
      </c>
      <c r="H139" s="25">
        <v>1</v>
      </c>
      <c r="I139" s="63">
        <v>942.8399999999997</v>
      </c>
      <c r="J139" s="27">
        <f t="shared" si="69"/>
      </c>
      <c r="K139" s="28">
        <f t="shared" si="93"/>
      </c>
      <c r="L139" s="29">
        <f t="shared" si="131"/>
      </c>
      <c r="M139" s="28">
        <f t="shared" si="112"/>
      </c>
      <c r="N139" s="28">
        <f t="shared" si="150"/>
      </c>
      <c r="O139" s="29">
        <f t="shared" si="169"/>
      </c>
      <c r="P139" s="28">
        <f t="shared" si="188"/>
      </c>
      <c r="Q139" s="28">
        <f t="shared" si="207"/>
      </c>
      <c r="R139" s="30">
        <f t="shared" si="226"/>
      </c>
      <c r="S139" s="31">
        <f t="shared" si="245"/>
      </c>
      <c r="T139" s="30">
        <f t="shared" si="264"/>
      </c>
      <c r="U139" s="30"/>
      <c r="V139" s="32" t="s">
        <v>35</v>
      </c>
      <c r="W139" s="33" t="s">
        <v>48</v>
      </c>
      <c r="X139" s="33"/>
      <c r="Y139" s="34">
        <v>1</v>
      </c>
      <c r="Z139" s="35">
        <v>33128</v>
      </c>
      <c r="AA139" s="36">
        <v>42</v>
      </c>
      <c r="AB139" s="34">
        <v>32737</v>
      </c>
      <c r="AC139" s="34">
        <v>2525</v>
      </c>
      <c r="AD139" s="34">
        <v>228</v>
      </c>
      <c r="AE139" s="34">
        <v>2</v>
      </c>
    </row>
    <row r="140">
      <c r="A140" s="19"/>
      <c r="B140" s="20" t="s">
        <v>57</v>
      </c>
      <c r="C140" s="21" t="s">
        <v>34</v>
      </c>
      <c r="D140" s="37">
        <f t="shared" si="20"/>
      </c>
      <c r="E140" s="24">
        <v>546.361</v>
      </c>
      <c r="F140" s="24">
        <v>319.284</v>
      </c>
      <c r="G140" s="24">
        <v>1471.329</v>
      </c>
      <c r="H140" s="25">
        <v>0</v>
      </c>
      <c r="I140" s="63">
        <v>0</v>
      </c>
      <c r="J140" s="27">
        <f t="shared" si="69"/>
      </c>
      <c r="K140" s="28">
        <f t="shared" si="93"/>
      </c>
      <c r="L140" s="29">
        <f t="shared" si="131"/>
      </c>
      <c r="M140" s="28">
        <f t="shared" si="112"/>
      </c>
      <c r="N140" s="28">
        <f t="shared" si="150"/>
      </c>
      <c r="O140" s="29">
        <f t="shared" si="169"/>
      </c>
      <c r="P140" s="28">
        <f t="shared" si="188"/>
      </c>
      <c r="Q140" s="28">
        <f t="shared" si="207"/>
      </c>
      <c r="R140" s="30">
        <f t="shared" si="226"/>
      </c>
      <c r="S140" s="31">
        <f t="shared" si="245"/>
      </c>
      <c r="T140" s="30">
        <f t="shared" si="264"/>
      </c>
      <c r="U140" s="30"/>
      <c r="V140" s="32" t="s">
        <v>35</v>
      </c>
      <c r="W140" s="33" t="s">
        <v>48</v>
      </c>
      <c r="X140" s="33"/>
      <c r="Y140" s="34">
        <v>0</v>
      </c>
      <c r="Z140" s="35">
        <v>49920</v>
      </c>
      <c r="AA140" s="36">
        <v>55</v>
      </c>
      <c r="AB140" s="34">
        <v>59383</v>
      </c>
      <c r="AC140" s="34">
        <v>4507</v>
      </c>
      <c r="AD140" s="34">
        <v>188</v>
      </c>
      <c r="AE140" s="34">
        <v>1</v>
      </c>
    </row>
    <row r="141">
      <c r="A141" s="19"/>
      <c r="B141" s="20" t="s">
        <v>50</v>
      </c>
      <c r="C141" s="21" t="s">
        <v>34</v>
      </c>
      <c r="D141" s="37">
        <f t="shared" si="20"/>
      </c>
      <c r="E141" s="24">
        <v>214.618</v>
      </c>
      <c r="F141" s="24">
        <v>197.108</v>
      </c>
      <c r="G141" s="24">
        <v>1083.412</v>
      </c>
      <c r="H141" s="25">
        <v>2</v>
      </c>
      <c r="I141" s="63">
        <v>1943.5200000000004</v>
      </c>
      <c r="J141" s="27">
        <f t="shared" si="69"/>
      </c>
      <c r="K141" s="28">
        <f t="shared" si="93"/>
      </c>
      <c r="L141" s="29">
        <f t="shared" si="131"/>
      </c>
      <c r="M141" s="28">
        <f t="shared" si="112"/>
      </c>
      <c r="N141" s="28">
        <f t="shared" si="150"/>
      </c>
      <c r="O141" s="29">
        <f t="shared" si="169"/>
      </c>
      <c r="P141" s="28">
        <f t="shared" si="188"/>
      </c>
      <c r="Q141" s="28">
        <f t="shared" si="207"/>
      </c>
      <c r="R141" s="30">
        <f t="shared" si="226"/>
      </c>
      <c r="S141" s="31">
        <f t="shared" si="245"/>
      </c>
      <c r="T141" s="30">
        <f t="shared" si="264"/>
      </c>
      <c r="U141" s="30"/>
      <c r="V141" s="32" t="s">
        <v>35</v>
      </c>
      <c r="W141" s="33" t="s">
        <v>48</v>
      </c>
      <c r="X141" s="33"/>
      <c r="Y141" s="34">
        <v>2</v>
      </c>
      <c r="Z141" s="35">
        <v>34410</v>
      </c>
      <c r="AA141" s="36">
        <v>68</v>
      </c>
      <c r="AB141" s="34">
        <v>31700</v>
      </c>
      <c r="AC141" s="34">
        <v>1828</v>
      </c>
      <c r="AD141" s="34">
        <v>211</v>
      </c>
      <c r="AE141" s="34">
        <v>4</v>
      </c>
    </row>
    <row r="142">
      <c r="A142" s="19"/>
      <c r="B142" s="20" t="s">
        <v>51</v>
      </c>
      <c r="C142" s="21" t="s">
        <v>34</v>
      </c>
      <c r="D142" s="37">
        <f t="shared" si="20"/>
      </c>
      <c r="E142" s="24">
        <v>172.987</v>
      </c>
      <c r="F142" s="24">
        <v>116.868</v>
      </c>
      <c r="G142" s="24">
        <v>1804.284</v>
      </c>
      <c r="H142" s="25">
        <v>3</v>
      </c>
      <c r="I142" s="63">
        <v>3549.120000000001</v>
      </c>
      <c r="J142" s="27">
        <f t="shared" si="69"/>
      </c>
      <c r="K142" s="28">
        <f t="shared" si="93"/>
      </c>
      <c r="L142" s="29">
        <f t="shared" si="131"/>
      </c>
      <c r="M142" s="28">
        <f t="shared" si="112"/>
      </c>
      <c r="N142" s="28">
        <f t="shared" si="150"/>
      </c>
      <c r="O142" s="29">
        <f t="shared" si="169"/>
      </c>
      <c r="P142" s="28">
        <f t="shared" si="188"/>
      </c>
      <c r="Q142" s="28">
        <f t="shared" si="207"/>
      </c>
      <c r="R142" s="30">
        <f t="shared" si="226"/>
      </c>
      <c r="S142" s="31">
        <f t="shared" si="245"/>
      </c>
      <c r="T142" s="30">
        <f t="shared" si="264"/>
      </c>
      <c r="U142" s="30"/>
      <c r="V142" s="32" t="s">
        <v>35</v>
      </c>
      <c r="W142" s="33" t="s">
        <v>48</v>
      </c>
      <c r="X142" s="33"/>
      <c r="Y142" s="34">
        <v>3</v>
      </c>
      <c r="Z142" s="36">
        <v>45678</v>
      </c>
      <c r="AA142" s="36">
        <v>114</v>
      </c>
      <c r="AB142" s="36">
        <v>43601</v>
      </c>
      <c r="AC142" s="36">
        <v>2757</v>
      </c>
      <c r="AD142" s="34">
        <v>250</v>
      </c>
      <c r="AE142" s="34">
        <v>4</v>
      </c>
    </row>
    <row r="143">
      <c r="A143" s="19"/>
      <c r="B143" s="38" t="s">
        <v>42</v>
      </c>
      <c r="C143" s="38"/>
      <c r="D143" s="61">
        <f>SUM(D138:D142)</f>
      </c>
      <c r="E143" s="61">
        <f>SUM(E138:E142)</f>
      </c>
      <c r="F143" s="61">
        <f>SUM(F138:F142)</f>
      </c>
      <c r="G143" s="61">
        <f>SUM(G138:G142)</f>
      </c>
      <c r="H143" s="40">
        <f>SUM(H138:H142)</f>
      </c>
      <c r="I143" s="62">
        <f>SUM(I138:I142)</f>
      </c>
      <c r="J143" s="42">
        <f t="shared" si="69"/>
      </c>
      <c r="K143" s="43">
        <f t="shared" si="93"/>
      </c>
      <c r="L143" s="44">
        <f t="shared" si="131"/>
      </c>
      <c r="M143" s="43">
        <f t="shared" si="112"/>
      </c>
      <c r="N143" s="43">
        <f t="shared" si="150"/>
      </c>
      <c r="O143" s="44">
        <f t="shared" si="169"/>
      </c>
      <c r="P143" s="43">
        <f t="shared" si="188"/>
      </c>
      <c r="Q143" s="43">
        <f t="shared" si="207"/>
      </c>
      <c r="R143" s="45">
        <f t="shared" si="226"/>
      </c>
      <c r="S143" s="46">
        <f t="shared" si="245"/>
      </c>
      <c r="T143" s="45">
        <f t="shared" si="264"/>
      </c>
      <c r="U143" s="45"/>
      <c r="V143" s="47"/>
      <c r="W143" s="47"/>
      <c r="X143" s="47"/>
      <c r="Y143" s="48">
        <f>SUM(Y138:Y142)</f>
      </c>
      <c r="Z143" s="48">
        <f>SUM(Z138:Z142)</f>
      </c>
      <c r="AA143" s="48">
        <f>SUM(AA138:AA142)</f>
      </c>
      <c r="AB143" s="48">
        <f>SUM(AB138:AB142)</f>
      </c>
      <c r="AC143" s="48">
        <f>SUM(AC138:AC142)</f>
      </c>
      <c r="AD143" s="48">
        <f>SUM(AD138:AD142)</f>
      </c>
      <c r="AE143" s="48">
        <f>SUM(AE138:AE142)</f>
      </c>
    </row>
    <row r="144">
      <c r="A144" s="19"/>
      <c r="B144" s="20" t="s">
        <v>33</v>
      </c>
      <c r="C144" s="21" t="s">
        <v>52</v>
      </c>
      <c r="D144" s="37">
        <f t="shared" ref="D144:D148" si="21">E144+F144+G144</f>
      </c>
      <c r="E144" s="24">
        <v>102.789</v>
      </c>
      <c r="F144" s="24">
        <v>61.045</v>
      </c>
      <c r="G144" s="24">
        <v>1149.892</v>
      </c>
      <c r="H144" s="25">
        <v>1</v>
      </c>
      <c r="I144" s="63">
        <v>1771.199999999999</v>
      </c>
      <c r="J144" s="27">
        <f t="shared" si="69"/>
      </c>
      <c r="K144" s="28">
        <f t="shared" si="93"/>
      </c>
      <c r="L144" s="29">
        <f t="shared" si="131"/>
      </c>
      <c r="M144" s="28">
        <f t="shared" si="112"/>
      </c>
      <c r="N144" s="28">
        <f t="shared" si="150"/>
      </c>
      <c r="O144" s="29">
        <f t="shared" si="169"/>
      </c>
      <c r="P144" s="28">
        <f t="shared" si="188"/>
      </c>
      <c r="Q144" s="28">
        <f t="shared" si="207"/>
      </c>
      <c r="R144" s="30">
        <f t="shared" si="226"/>
      </c>
      <c r="S144" s="31">
        <f t="shared" si="245"/>
      </c>
      <c r="T144" s="30">
        <f t="shared" si="264"/>
      </c>
      <c r="U144" s="30"/>
      <c r="V144" s="32" t="s">
        <v>35</v>
      </c>
      <c r="W144" s="33" t="s">
        <v>48</v>
      </c>
      <c r="X144" s="33"/>
      <c r="Y144" s="34">
        <v>1</v>
      </c>
      <c r="Z144" s="35">
        <v>30382</v>
      </c>
      <c r="AA144" s="36">
        <v>81</v>
      </c>
      <c r="AB144" s="34">
        <v>20036</v>
      </c>
      <c r="AC144" s="34">
        <v>1425</v>
      </c>
      <c r="AD144" s="34">
        <v>172</v>
      </c>
      <c r="AE144" s="34">
        <v>3</v>
      </c>
    </row>
    <row r="145">
      <c r="A145" s="19"/>
      <c r="B145" s="20" t="s">
        <v>37</v>
      </c>
      <c r="C145" s="21" t="s">
        <v>52</v>
      </c>
      <c r="D145" s="37">
        <f t="shared" si="21"/>
      </c>
      <c r="E145" s="24">
        <v>169.345</v>
      </c>
      <c r="F145" s="37">
        <v>62.323</v>
      </c>
      <c r="G145" s="37">
        <v>923.491</v>
      </c>
      <c r="H145" s="25">
        <v>1</v>
      </c>
      <c r="I145" s="63">
        <v>561.6000000000004</v>
      </c>
      <c r="J145" s="27">
        <f t="shared" si="69"/>
      </c>
      <c r="K145" s="28">
        <f t="shared" si="93"/>
      </c>
      <c r="L145" s="29">
        <f t="shared" si="131"/>
      </c>
      <c r="M145" s="28">
        <f t="shared" si="112"/>
      </c>
      <c r="N145" s="28">
        <f t="shared" si="150"/>
      </c>
      <c r="O145" s="29">
        <f t="shared" si="169"/>
      </c>
      <c r="P145" s="28">
        <f t="shared" si="188"/>
      </c>
      <c r="Q145" s="28">
        <f t="shared" si="207"/>
      </c>
      <c r="R145" s="30">
        <f t="shared" si="226"/>
      </c>
      <c r="S145" s="31">
        <f t="shared" si="245"/>
      </c>
      <c r="T145" s="30">
        <f t="shared" si="264"/>
      </c>
      <c r="U145" s="30"/>
      <c r="V145" s="32" t="s">
        <v>35</v>
      </c>
      <c r="W145" s="33" t="s">
        <v>39</v>
      </c>
      <c r="X145" s="33"/>
      <c r="Y145" s="34">
        <v>1</v>
      </c>
      <c r="Z145" s="36">
        <v>20463</v>
      </c>
      <c r="AA145" s="36">
        <v>43</v>
      </c>
      <c r="AB145" s="34">
        <v>12368</v>
      </c>
      <c r="AC145" s="34">
        <v>908</v>
      </c>
      <c r="AD145" s="34">
        <v>141</v>
      </c>
      <c r="AE145" s="34">
        <v>3</v>
      </c>
    </row>
    <row r="146">
      <c r="A146" s="19"/>
      <c r="B146" s="20" t="s">
        <v>38</v>
      </c>
      <c r="C146" s="21" t="s">
        <v>52</v>
      </c>
      <c r="D146" s="37">
        <f t="shared" si="21"/>
      </c>
      <c r="E146" s="24">
        <v>232.05</v>
      </c>
      <c r="F146" s="37">
        <v>169.399</v>
      </c>
      <c r="G146" s="24">
        <v>779.199</v>
      </c>
      <c r="H146" s="25">
        <v>1</v>
      </c>
      <c r="I146" s="63">
        <v>909.9599999999991</v>
      </c>
      <c r="J146" s="27">
        <f t="shared" si="69"/>
      </c>
      <c r="K146" s="28">
        <f t="shared" si="93"/>
      </c>
      <c r="L146" s="29">
        <f t="shared" si="131"/>
      </c>
      <c r="M146" s="28">
        <f t="shared" si="112"/>
      </c>
      <c r="N146" s="28">
        <f t="shared" si="150"/>
      </c>
      <c r="O146" s="29">
        <f t="shared" si="169"/>
      </c>
      <c r="P146" s="28">
        <f t="shared" si="188"/>
      </c>
      <c r="Q146" s="28">
        <f t="shared" si="207"/>
      </c>
      <c r="R146" s="30">
        <f t="shared" si="226"/>
      </c>
      <c r="S146" s="31">
        <f t="shared" si="245"/>
      </c>
      <c r="T146" s="30">
        <f t="shared" si="264"/>
      </c>
      <c r="U146" s="30"/>
      <c r="V146" s="32" t="s">
        <v>35</v>
      </c>
      <c r="W146" s="33" t="s">
        <v>59</v>
      </c>
      <c r="X146" s="33"/>
      <c r="Y146" s="34">
        <v>1</v>
      </c>
      <c r="Z146" s="35">
        <v>19795</v>
      </c>
      <c r="AA146" s="36">
        <v>37</v>
      </c>
      <c r="AB146" s="34">
        <v>15916</v>
      </c>
      <c r="AC146" s="34">
        <v>1114</v>
      </c>
      <c r="AD146" s="34">
        <v>157</v>
      </c>
      <c r="AE146" s="34">
        <v>3</v>
      </c>
    </row>
    <row r="147">
      <c r="A147" s="19"/>
      <c r="B147" s="20" t="s">
        <v>40</v>
      </c>
      <c r="C147" s="21" t="s">
        <v>52</v>
      </c>
      <c r="D147" s="37">
        <f t="shared" si="21"/>
      </c>
      <c r="E147" s="24">
        <v>347.415</v>
      </c>
      <c r="F147" s="37">
        <v>554.867</v>
      </c>
      <c r="G147" s="37">
        <v>1003.877</v>
      </c>
      <c r="H147" s="25">
        <v>5</v>
      </c>
      <c r="I147" s="63">
        <v>22741.630000000005</v>
      </c>
      <c r="J147" s="27">
        <f t="shared" si="69"/>
      </c>
      <c r="K147" s="28">
        <f t="shared" si="93"/>
      </c>
      <c r="L147" s="29">
        <f t="shared" si="131"/>
      </c>
      <c r="M147" s="28">
        <f t="shared" si="112"/>
      </c>
      <c r="N147" s="28">
        <f t="shared" si="150"/>
      </c>
      <c r="O147" s="29">
        <f t="shared" si="169"/>
      </c>
      <c r="P147" s="28">
        <f t="shared" si="188"/>
      </c>
      <c r="Q147" s="28">
        <f t="shared" si="207"/>
      </c>
      <c r="R147" s="30">
        <f t="shared" si="226"/>
      </c>
      <c r="S147" s="31">
        <f t="shared" si="245"/>
      </c>
      <c r="T147" s="30">
        <f t="shared" si="264"/>
      </c>
      <c r="U147" s="30"/>
      <c r="V147" s="32" t="s">
        <v>35</v>
      </c>
      <c r="W147" s="33" t="s">
        <v>59</v>
      </c>
      <c r="X147" s="33"/>
      <c r="Y147" s="34">
        <v>5</v>
      </c>
      <c r="Z147" s="35">
        <v>31992</v>
      </c>
      <c r="AA147" s="36">
        <v>69</v>
      </c>
      <c r="AB147" s="36">
        <v>31499</v>
      </c>
      <c r="AC147" s="36">
        <v>2173</v>
      </c>
      <c r="AD147" s="34">
        <v>212</v>
      </c>
      <c r="AE147" s="34">
        <v>8</v>
      </c>
    </row>
    <row r="148">
      <c r="A148" s="19"/>
      <c r="B148" s="20" t="s">
        <v>41</v>
      </c>
      <c r="C148" s="21" t="s">
        <v>52</v>
      </c>
      <c r="D148" s="37">
        <f t="shared" si="21"/>
      </c>
      <c r="E148" s="24">
        <v>538.953</v>
      </c>
      <c r="F148" s="37">
        <v>671.836</v>
      </c>
      <c r="G148" s="37">
        <v>1314.91</v>
      </c>
      <c r="H148" s="25">
        <v>1</v>
      </c>
      <c r="I148" s="63">
        <v>2602.7999999999956</v>
      </c>
      <c r="J148" s="27">
        <f t="shared" si="69"/>
      </c>
      <c r="K148" s="28">
        <f t="shared" si="93"/>
      </c>
      <c r="L148" s="29">
        <f t="shared" si="131"/>
      </c>
      <c r="M148" s="28">
        <f t="shared" si="112"/>
      </c>
      <c r="N148" s="28">
        <f t="shared" si="150"/>
      </c>
      <c r="O148" s="29">
        <f t="shared" si="169"/>
      </c>
      <c r="P148" s="28">
        <f t="shared" si="188"/>
      </c>
      <c r="Q148" s="28">
        <f t="shared" si="207"/>
      </c>
      <c r="R148" s="30">
        <f t="shared" si="226"/>
      </c>
      <c r="S148" s="31">
        <f t="shared" si="245"/>
      </c>
      <c r="T148" s="30">
        <f t="shared" si="264"/>
      </c>
      <c r="U148" s="30"/>
      <c r="V148" s="32" t="s">
        <v>35</v>
      </c>
      <c r="W148" s="33" t="s">
        <v>59</v>
      </c>
      <c r="X148" s="33"/>
      <c r="Y148" s="34">
        <v>1</v>
      </c>
      <c r="Z148" s="36">
        <v>49450</v>
      </c>
      <c r="AA148" s="36">
        <v>89</v>
      </c>
      <c r="AB148" s="36">
        <v>54801</v>
      </c>
      <c r="AC148" s="36">
        <v>3335</v>
      </c>
      <c r="AD148" s="34">
        <v>372</v>
      </c>
      <c r="AE148" s="34">
        <v>1</v>
      </c>
    </row>
    <row r="149">
      <c r="A149" s="19"/>
      <c r="B149" s="38" t="s">
        <v>42</v>
      </c>
      <c r="C149" s="38"/>
      <c r="D149" s="61">
        <f>SUM(D144:D148)</f>
      </c>
      <c r="E149" s="61">
        <f>SUM(E144:E148)</f>
      </c>
      <c r="F149" s="61">
        <f>SUM(F144:F148)</f>
      </c>
      <c r="G149" s="61">
        <f>SUM(G144:G148)</f>
      </c>
      <c r="H149" s="40">
        <f>SUM(H144:H148)</f>
      </c>
      <c r="I149" s="62">
        <f>SUM(I144:I148)</f>
      </c>
      <c r="J149" s="42">
        <f t="shared" si="69"/>
      </c>
      <c r="K149" s="43">
        <f t="shared" si="93"/>
      </c>
      <c r="L149" s="44">
        <f t="shared" si="131"/>
      </c>
      <c r="M149" s="43">
        <f t="shared" si="112"/>
      </c>
      <c r="N149" s="43">
        <f t="shared" si="150"/>
      </c>
      <c r="O149" s="44">
        <f t="shared" si="169"/>
      </c>
      <c r="P149" s="43">
        <f t="shared" si="188"/>
      </c>
      <c r="Q149" s="43">
        <f t="shared" si="207"/>
      </c>
      <c r="R149" s="45">
        <f t="shared" si="226"/>
      </c>
      <c r="S149" s="46">
        <f t="shared" si="245"/>
      </c>
      <c r="T149" s="45">
        <f t="shared" si="264"/>
      </c>
      <c r="U149" s="45"/>
      <c r="V149" s="47"/>
      <c r="W149" s="47"/>
      <c r="X149" s="47"/>
      <c r="Y149" s="48">
        <f>SUM(Y144:Y148)</f>
      </c>
      <c r="Z149" s="58">
        <f>SUM(Z144:Z148)</f>
      </c>
      <c r="AA149" s="58">
        <f>SUM(AA144:AA148)</f>
      </c>
      <c r="AB149" s="58">
        <f>SUM(AB144:AB148)</f>
      </c>
      <c r="AC149" s="58">
        <f>SUM(AC144:AC148)</f>
      </c>
      <c r="AD149" s="58">
        <f>SUM(AD144:AD148)</f>
      </c>
      <c r="AE149" s="59">
        <f>SUM(AE144:AE148)</f>
      </c>
    </row>
    <row r="150">
      <c r="A150" s="19"/>
      <c r="B150" s="20" t="s">
        <v>53</v>
      </c>
      <c r="C150" s="21" t="s">
        <v>44</v>
      </c>
      <c r="D150" s="22">
        <f t="shared" ref="D150:D154" si="22">E150+F150+G150</f>
      </c>
      <c r="E150" s="24">
        <v>442.243</v>
      </c>
      <c r="F150" s="37">
        <v>995.695</v>
      </c>
      <c r="G150" s="24">
        <v>954.431</v>
      </c>
      <c r="H150" s="25">
        <v>2</v>
      </c>
      <c r="I150" s="63">
        <v>5801.519999999997</v>
      </c>
      <c r="J150" s="27">
        <f t="shared" si="69"/>
      </c>
      <c r="K150" s="28">
        <f t="shared" si="93"/>
      </c>
      <c r="L150" s="29">
        <f t="shared" si="131"/>
      </c>
      <c r="M150" s="28">
        <f t="shared" si="112"/>
      </c>
      <c r="N150" s="28">
        <f t="shared" si="150"/>
      </c>
      <c r="O150" s="29">
        <f t="shared" si="169"/>
      </c>
      <c r="P150" s="28">
        <f t="shared" si="188"/>
      </c>
      <c r="Q150" s="28">
        <f t="shared" si="207"/>
      </c>
      <c r="R150" s="30">
        <f t="shared" si="226"/>
      </c>
      <c r="S150" s="31">
        <f t="shared" si="245"/>
      </c>
      <c r="T150" s="30">
        <f t="shared" si="264"/>
      </c>
      <c r="U150" s="30"/>
      <c r="V150" s="49" t="s">
        <v>35</v>
      </c>
      <c r="W150" s="33" t="s">
        <v>59</v>
      </c>
      <c r="X150" s="33"/>
      <c r="Y150" s="34">
        <v>2</v>
      </c>
      <c r="Z150" s="35">
        <v>53410</v>
      </c>
      <c r="AA150" s="36">
        <v>71</v>
      </c>
      <c r="AB150" s="36">
        <v>66813</v>
      </c>
      <c r="AC150" s="36">
        <v>3277</v>
      </c>
      <c r="AD150" s="36">
        <v>347</v>
      </c>
      <c r="AE150" s="34">
        <v>4</v>
      </c>
    </row>
    <row r="151">
      <c r="A151" s="19"/>
      <c r="B151" s="20" t="s">
        <v>43</v>
      </c>
      <c r="C151" s="21" t="s">
        <v>44</v>
      </c>
      <c r="D151" s="22">
        <f t="shared" si="22"/>
      </c>
      <c r="E151" s="24">
        <v>965.278</v>
      </c>
      <c r="F151" s="37">
        <v>1310.81</v>
      </c>
      <c r="G151" s="37">
        <v>1199.76</v>
      </c>
      <c r="H151" s="25">
        <v>3</v>
      </c>
      <c r="I151" s="63">
        <v>7572.960000000006</v>
      </c>
      <c r="J151" s="27">
        <f t="shared" si="69"/>
      </c>
      <c r="K151" s="28">
        <f t="shared" si="93"/>
      </c>
      <c r="L151" s="29">
        <f t="shared" si="131"/>
      </c>
      <c r="M151" s="28">
        <f t="shared" si="112"/>
      </c>
      <c r="N151" s="28">
        <f t="shared" si="150"/>
      </c>
      <c r="O151" s="29">
        <f t="shared" si="169"/>
      </c>
      <c r="P151" s="28">
        <f t="shared" si="188"/>
      </c>
      <c r="Q151" s="28">
        <f t="shared" si="207"/>
      </c>
      <c r="R151" s="30">
        <f t="shared" si="226"/>
      </c>
      <c r="S151" s="31">
        <f t="shared" si="245"/>
      </c>
      <c r="T151" s="30">
        <f t="shared" si="264"/>
      </c>
      <c r="U151" s="30"/>
      <c r="V151" s="49" t="s">
        <v>35</v>
      </c>
      <c r="W151" s="33" t="s">
        <v>59</v>
      </c>
      <c r="X151" s="33"/>
      <c r="Y151" s="34">
        <v>4</v>
      </c>
      <c r="Z151" s="36">
        <v>82103</v>
      </c>
      <c r="AA151" s="36">
        <v>109</v>
      </c>
      <c r="AB151" s="36">
        <v>100999</v>
      </c>
      <c r="AC151" s="36">
        <v>4674</v>
      </c>
      <c r="AD151" s="36">
        <v>362</v>
      </c>
      <c r="AE151" s="34">
        <v>4</v>
      </c>
    </row>
    <row r="152">
      <c r="A152" s="19"/>
      <c r="B152" s="20" t="s">
        <v>45</v>
      </c>
      <c r="C152" s="21" t="s">
        <v>44</v>
      </c>
      <c r="D152" s="22">
        <f t="shared" si="22"/>
      </c>
      <c r="E152" s="24">
        <v>855.338</v>
      </c>
      <c r="F152" s="37">
        <v>747.747</v>
      </c>
      <c r="G152" s="37">
        <v>934.3</v>
      </c>
      <c r="H152" s="25">
        <v>2</v>
      </c>
      <c r="I152" s="63">
        <v>4043.149999999994</v>
      </c>
      <c r="J152" s="27">
        <f t="shared" si="69"/>
      </c>
      <c r="K152" s="28">
        <f t="shared" si="93"/>
      </c>
      <c r="L152" s="29">
        <f t="shared" si="131"/>
      </c>
      <c r="M152" s="28">
        <f t="shared" si="112"/>
      </c>
      <c r="N152" s="28">
        <f t="shared" si="150"/>
      </c>
      <c r="O152" s="29">
        <f t="shared" si="169"/>
      </c>
      <c r="P152" s="28">
        <f t="shared" si="188"/>
      </c>
      <c r="Q152" s="28">
        <f t="shared" si="207"/>
      </c>
      <c r="R152" s="30">
        <f t="shared" si="226"/>
      </c>
      <c r="S152" s="31">
        <f t="shared" si="245"/>
      </c>
      <c r="T152" s="30">
        <f t="shared" si="264"/>
      </c>
      <c r="U152" s="30"/>
      <c r="V152" s="49" t="s">
        <v>35</v>
      </c>
      <c r="W152" s="33" t="s">
        <v>59</v>
      </c>
      <c r="X152" s="33"/>
      <c r="Y152" s="34">
        <v>1</v>
      </c>
      <c r="Z152" s="36">
        <v>65770</v>
      </c>
      <c r="AA152" s="36">
        <v>86</v>
      </c>
      <c r="AB152" s="36">
        <v>70291</v>
      </c>
      <c r="AC152" s="36">
        <v>3489</v>
      </c>
      <c r="AD152" s="36">
        <v>353</v>
      </c>
      <c r="AE152" s="34">
        <v>3</v>
      </c>
    </row>
    <row r="153">
      <c r="A153" s="19"/>
      <c r="B153" s="20" t="s">
        <v>46</v>
      </c>
      <c r="C153" s="21" t="s">
        <v>44</v>
      </c>
      <c r="D153" s="22">
        <f t="shared" si="22"/>
      </c>
      <c r="E153" s="24">
        <v>485.285</v>
      </c>
      <c r="F153" s="37">
        <v>247.273</v>
      </c>
      <c r="G153" s="37">
        <v>691.826</v>
      </c>
      <c r="H153" s="25">
        <v>1</v>
      </c>
      <c r="I153" s="63">
        <v>2602.800000000003</v>
      </c>
      <c r="J153" s="27">
        <f t="shared" si="69"/>
      </c>
      <c r="K153" s="28">
        <f t="shared" si="93"/>
      </c>
      <c r="L153" s="29">
        <f t="shared" si="131"/>
      </c>
      <c r="M153" s="28">
        <f t="shared" si="112"/>
      </c>
      <c r="N153" s="28">
        <f t="shared" si="150"/>
      </c>
      <c r="O153" s="29">
        <f t="shared" si="169"/>
      </c>
      <c r="P153" s="28">
        <f t="shared" si="188"/>
      </c>
      <c r="Q153" s="28">
        <f t="shared" si="207"/>
      </c>
      <c r="R153" s="30">
        <f t="shared" si="226"/>
      </c>
      <c r="S153" s="31">
        <f t="shared" si="245"/>
      </c>
      <c r="T153" s="30">
        <f t="shared" si="264"/>
      </c>
      <c r="U153" s="30"/>
      <c r="V153" s="49" t="s">
        <v>35</v>
      </c>
      <c r="W153" s="33" t="s">
        <v>59</v>
      </c>
      <c r="X153" s="33"/>
      <c r="Y153" s="34">
        <v>0</v>
      </c>
      <c r="Z153" s="36">
        <v>45144</v>
      </c>
      <c r="AA153" s="36">
        <v>120</v>
      </c>
      <c r="AB153" s="36">
        <v>38506</v>
      </c>
      <c r="AC153" s="36">
        <v>1989</v>
      </c>
      <c r="AD153" s="36">
        <v>239</v>
      </c>
      <c r="AE153" s="34">
        <v>2</v>
      </c>
    </row>
    <row r="154">
      <c r="A154" s="19"/>
      <c r="B154" s="20" t="s">
        <v>47</v>
      </c>
      <c r="C154" s="21" t="s">
        <v>44</v>
      </c>
      <c r="D154" s="22">
        <f t="shared" si="22"/>
      </c>
      <c r="E154" s="24">
        <f>303.215+0.004+0.01+0.007+0.008+0.016+0.052+0.017+0.363</f>
      </c>
      <c r="F154" s="37">
        <f>287.19+0.015</f>
      </c>
      <c r="G154" s="37">
        <f>473.074+0.004+0.004+0.148</f>
      </c>
      <c r="H154" s="25">
        <v>3</v>
      </c>
      <c r="I154" s="63">
        <v>3917.519999999997</v>
      </c>
      <c r="J154" s="27">
        <f t="shared" si="69"/>
      </c>
      <c r="K154" s="28">
        <f t="shared" si="93"/>
      </c>
      <c r="L154" s="29">
        <f t="shared" si="131"/>
      </c>
      <c r="M154" s="28">
        <f t="shared" si="112"/>
      </c>
      <c r="N154" s="28">
        <f t="shared" si="150"/>
      </c>
      <c r="O154" s="29">
        <f t="shared" si="169"/>
      </c>
      <c r="P154" s="28">
        <f t="shared" si="188"/>
      </c>
      <c r="Q154" s="28">
        <f t="shared" si="207"/>
      </c>
      <c r="R154" s="30">
        <f t="shared" si="226"/>
      </c>
      <c r="S154" s="31">
        <f t="shared" si="245"/>
      </c>
      <c r="T154" s="30">
        <f t="shared" si="264"/>
      </c>
      <c r="U154" s="30"/>
      <c r="V154" s="49" t="s">
        <v>35</v>
      </c>
      <c r="W154" s="33" t="s">
        <v>59</v>
      </c>
      <c r="X154" s="33"/>
      <c r="Y154" s="34">
        <v>4</v>
      </c>
      <c r="Z154" s="36">
        <v>34191</v>
      </c>
      <c r="AA154" s="36">
        <v>124</v>
      </c>
      <c r="AB154" s="36">
        <v>28328</v>
      </c>
      <c r="AC154" s="36">
        <v>1600</v>
      </c>
      <c r="AD154" s="36">
        <v>231</v>
      </c>
      <c r="AE154" s="34">
        <v>3</v>
      </c>
    </row>
    <row r="155">
      <c r="A155" s="19"/>
      <c r="B155" s="38" t="s">
        <v>42</v>
      </c>
      <c r="C155" s="38"/>
      <c r="D155" s="61">
        <f>SUM(D150:D154)</f>
      </c>
      <c r="E155" s="61">
        <f>SUM(E150:E154)</f>
      </c>
      <c r="F155" s="61">
        <f>SUM(F150:F154)</f>
      </c>
      <c r="G155" s="61">
        <f>SUM(G150:G154)</f>
      </c>
      <c r="H155" s="40">
        <f>SUM(H150:H154)</f>
      </c>
      <c r="I155" s="62">
        <f>SUM(I150:I154)</f>
      </c>
      <c r="J155" s="42">
        <f t="shared" si="69"/>
      </c>
      <c r="K155" s="43">
        <f t="shared" si="93"/>
      </c>
      <c r="L155" s="44">
        <f t="shared" si="131"/>
      </c>
      <c r="M155" s="43">
        <f t="shared" si="112"/>
      </c>
      <c r="N155" s="43">
        <f t="shared" si="150"/>
      </c>
      <c r="O155" s="44">
        <f t="shared" si="169"/>
      </c>
      <c r="P155" s="43">
        <f t="shared" si="188"/>
      </c>
      <c r="Q155" s="43">
        <f t="shared" si="207"/>
      </c>
      <c r="R155" s="45">
        <f t="shared" si="226"/>
      </c>
      <c r="S155" s="46">
        <f t="shared" si="245"/>
      </c>
      <c r="T155" s="45">
        <f t="shared" si="264"/>
      </c>
      <c r="U155" s="45"/>
      <c r="V155" s="47"/>
      <c r="W155" s="47"/>
      <c r="X155" s="47"/>
      <c r="Y155" s="48">
        <f>SUM(Y150:Y154)</f>
      </c>
      <c r="Z155" s="48">
        <f>SUM(Z150:Z154)</f>
      </c>
      <c r="AA155" s="48">
        <f>SUM(AA150:AA154)</f>
      </c>
      <c r="AB155" s="48">
        <f>SUM(AB150:AB154)</f>
      </c>
      <c r="AC155" s="48">
        <f>SUM(AC150:AC154)</f>
      </c>
      <c r="AD155" s="48">
        <f>SUM(AD150:AD154)</f>
      </c>
      <c r="AE155" s="48">
        <f>SUM(AE150:AE154)</f>
      </c>
    </row>
    <row r="156">
      <c r="A156" s="69"/>
      <c r="B156" s="70" t="s">
        <v>49</v>
      </c>
      <c r="C156" s="70"/>
      <c r="D156" s="71">
        <f>D155+D149+D143</f>
      </c>
      <c r="E156" s="68">
        <f>E155+E149+E143</f>
      </c>
      <c r="F156" s="68">
        <f>F155+F149+F143</f>
      </c>
      <c r="G156" s="68">
        <f>G155+G149+G143</f>
      </c>
      <c r="H156" s="53">
        <f>H155+H149+H143</f>
      </c>
      <c r="I156" s="60">
        <f>I155+I149+I143</f>
      </c>
      <c r="J156" s="54">
        <f t="shared" si="69"/>
      </c>
      <c r="K156" s="55">
        <f t="shared" si="93"/>
      </c>
      <c r="L156" s="54">
        <f t="shared" si="131"/>
      </c>
      <c r="M156" s="55">
        <f t="shared" si="112"/>
      </c>
      <c r="N156" s="55">
        <f t="shared" si="150"/>
      </c>
      <c r="O156" s="54">
        <f t="shared" si="169"/>
      </c>
      <c r="P156" s="55">
        <f t="shared" si="188"/>
      </c>
      <c r="Q156" s="55">
        <f t="shared" si="207"/>
      </c>
      <c r="R156" s="54">
        <f t="shared" si="226"/>
      </c>
      <c r="S156" s="56">
        <f t="shared" si="245"/>
      </c>
      <c r="T156" s="54">
        <f t="shared" si="264"/>
      </c>
      <c r="U156" s="54"/>
      <c r="V156" s="57"/>
      <c r="W156" s="57"/>
      <c r="X156" s="57"/>
      <c r="Y156" s="53">
        <f>Y155+Y149+Y143</f>
      </c>
      <c r="Z156" s="53">
        <f>Z155+Z149+Z143</f>
      </c>
      <c r="AA156" s="53">
        <f>AA155+AA149+AA143</f>
      </c>
      <c r="AB156" s="53">
        <f>AB155+AB149+AB143</f>
      </c>
      <c r="AC156" s="53">
        <f>AC155+AC149+AC143</f>
      </c>
      <c r="AD156" s="53">
        <f>AD155+AD149+AD143</f>
      </c>
      <c r="AE156" s="53">
        <f>AE155+AE149+AE143</f>
      </c>
    </row>
    <row r="157">
      <c r="A157" s="1" t="s">
        <v>1</v>
      </c>
      <c r="B157" s="72"/>
      <c r="C157" s="72"/>
      <c r="D157" s="2" t="s">
        <v>2</v>
      </c>
      <c r="E157" s="2"/>
      <c r="F157" s="2"/>
      <c r="G157" s="2"/>
      <c r="H157" s="2"/>
      <c r="I157" s="2"/>
      <c r="J157" s="2"/>
      <c r="K157" s="3" t="s">
        <v>3</v>
      </c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4"/>
      <c r="W157" s="4"/>
      <c r="X157" s="4"/>
      <c r="Y157" s="5"/>
      <c r="Z157" s="5"/>
      <c r="AA157" s="5"/>
      <c r="AB157" s="5"/>
      <c r="AC157" s="5"/>
      <c r="AD157" s="5"/>
      <c r="AE157" s="5"/>
    </row>
    <row r="158">
      <c r="A158" s="6" t="s">
        <v>4</v>
      </c>
      <c r="B158" s="7" t="s">
        <v>5</v>
      </c>
      <c r="C158" s="7" t="s">
        <v>6</v>
      </c>
      <c r="D158" s="8" t="s">
        <v>7</v>
      </c>
      <c r="E158" s="9" t="s">
        <v>8</v>
      </c>
      <c r="F158" s="9" t="s">
        <v>9</v>
      </c>
      <c r="G158" s="10" t="s">
        <v>10</v>
      </c>
      <c r="H158" s="11" t="s">
        <v>11</v>
      </c>
      <c r="I158" s="11" t="s">
        <v>12</v>
      </c>
      <c r="J158" s="12" t="s">
        <v>13</v>
      </c>
      <c r="K158" s="3" t="s">
        <v>14</v>
      </c>
      <c r="L158" s="3" t="s">
        <v>15</v>
      </c>
      <c r="M158" s="13" t="s">
        <v>16</v>
      </c>
      <c r="N158" s="13" t="s">
        <v>17</v>
      </c>
      <c r="O158" s="3" t="s">
        <v>18</v>
      </c>
      <c r="P158" s="13" t="s">
        <v>19</v>
      </c>
      <c r="Q158" s="13" t="s">
        <v>20</v>
      </c>
      <c r="R158" s="14" t="s">
        <v>21</v>
      </c>
      <c r="S158" s="13" t="s">
        <v>22</v>
      </c>
      <c r="T158" s="14" t="s">
        <v>23</v>
      </c>
      <c r="U158" s="14"/>
      <c r="V158" s="15" t="s">
        <v>24</v>
      </c>
      <c r="W158" s="15" t="s">
        <v>25</v>
      </c>
      <c r="X158" s="15"/>
      <c r="Y158" s="16" t="s">
        <v>26</v>
      </c>
      <c r="Z158" s="17" t="s">
        <v>27</v>
      </c>
      <c r="AA158" s="17" t="s">
        <v>28</v>
      </c>
      <c r="AB158" s="17" t="s">
        <v>29</v>
      </c>
      <c r="AC158" s="17" t="s">
        <v>30</v>
      </c>
      <c r="AD158" s="17" t="s">
        <v>31</v>
      </c>
      <c r="AE158" s="18" t="s">
        <v>32</v>
      </c>
    </row>
    <row r="159">
      <c r="A159" s="19">
        <v>46304</v>
      </c>
      <c r="B159" s="20" t="s">
        <v>58</v>
      </c>
      <c r="C159" s="21" t="s">
        <v>34</v>
      </c>
      <c r="D159" s="37">
        <f t="shared" ref="D159:D163" si="23">E159+F159+G159</f>
      </c>
      <c r="E159" s="24">
        <v>277.567</v>
      </c>
      <c r="F159" s="24">
        <v>1188.571</v>
      </c>
      <c r="G159" s="24">
        <v>860.403</v>
      </c>
      <c r="H159" s="25">
        <v>2</v>
      </c>
      <c r="I159" s="63">
        <v>1062.2400000000002</v>
      </c>
      <c r="J159" s="27">
        <f t="shared" ref="J159:J177" si="70">I159/D159</f>
      </c>
      <c r="K159" s="28">
        <f t="shared" ref="K159:K177" si="94">AA159/Z159</f>
      </c>
      <c r="L159" s="29">
        <f t="shared" ref="L159:L177" si="132">D159/AB159</f>
      </c>
      <c r="M159" s="28">
        <f t="shared" ref="M159:M177" si="113">AC159/AB159</f>
      </c>
      <c r="N159" s="28">
        <f t="shared" ref="N159:N177" si="151">AD159/AB159</f>
      </c>
      <c r="O159" s="29">
        <f t="shared" ref="O159:O177" si="170">D159/AD159</f>
      </c>
      <c r="P159" s="28">
        <f t="shared" ref="P159:P177" si="189">AE159/AD159</f>
      </c>
      <c r="Q159" s="28">
        <f t="shared" ref="Q159:Q177" si="208">H159/AE159</f>
      </c>
      <c r="R159" s="30">
        <f t="shared" ref="R159:R177" si="227">D159/H159</f>
      </c>
      <c r="S159" s="31">
        <f t="shared" ref="S159:S177" si="246">I159/H159</f>
      </c>
      <c r="T159" s="30">
        <f t="shared" ref="T159:T177" si="265">D159/Y159</f>
      </c>
      <c r="U159" s="30"/>
      <c r="V159" s="32" t="s">
        <v>35</v>
      </c>
      <c r="W159" s="33" t="s">
        <v>54</v>
      </c>
      <c r="X159" s="33"/>
      <c r="Y159" s="34">
        <v>2</v>
      </c>
      <c r="Z159" s="35">
        <v>43368</v>
      </c>
      <c r="AA159" s="36">
        <v>60</v>
      </c>
      <c r="AB159" s="34">
        <v>46885</v>
      </c>
      <c r="AC159" s="34">
        <v>3178</v>
      </c>
      <c r="AD159" s="34">
        <v>242</v>
      </c>
      <c r="AE159" s="34">
        <v>4</v>
      </c>
    </row>
    <row r="160">
      <c r="A160" s="19"/>
      <c r="B160" s="20" t="s">
        <v>56</v>
      </c>
      <c r="C160" s="21" t="s">
        <v>34</v>
      </c>
      <c r="D160" s="37">
        <f t="shared" si="23"/>
      </c>
      <c r="E160" s="24">
        <v>218.7</v>
      </c>
      <c r="F160" s="24">
        <v>1133.645</v>
      </c>
      <c r="G160" s="24">
        <v>845.578</v>
      </c>
      <c r="H160" s="25">
        <v>1</v>
      </c>
      <c r="I160" s="63">
        <v>183.4799999999998</v>
      </c>
      <c r="J160" s="27">
        <f t="shared" si="70"/>
      </c>
      <c r="K160" s="28">
        <f t="shared" si="94"/>
      </c>
      <c r="L160" s="29">
        <f t="shared" si="132"/>
      </c>
      <c r="M160" s="28">
        <f t="shared" si="113"/>
      </c>
      <c r="N160" s="28">
        <f t="shared" si="151"/>
      </c>
      <c r="O160" s="29">
        <f t="shared" si="170"/>
      </c>
      <c r="P160" s="28">
        <f t="shared" si="189"/>
      </c>
      <c r="Q160" s="28">
        <f t="shared" si="208"/>
      </c>
      <c r="R160" s="30">
        <f t="shared" si="227"/>
      </c>
      <c r="S160" s="31">
        <f t="shared" si="246"/>
      </c>
      <c r="T160" s="30">
        <f t="shared" si="265"/>
      </c>
      <c r="U160" s="30"/>
      <c r="V160" s="32" t="s">
        <v>35</v>
      </c>
      <c r="W160" s="33" t="s">
        <v>54</v>
      </c>
      <c r="X160" s="33"/>
      <c r="Y160" s="34">
        <v>1</v>
      </c>
      <c r="Z160" s="35">
        <v>41141</v>
      </c>
      <c r="AA160" s="36">
        <v>72</v>
      </c>
      <c r="AB160" s="34">
        <v>40872</v>
      </c>
      <c r="AC160" s="34">
        <v>3164</v>
      </c>
      <c r="AD160" s="34">
        <v>246</v>
      </c>
      <c r="AE160" s="34">
        <v>3</v>
      </c>
    </row>
    <row r="161">
      <c r="A161" s="19"/>
      <c r="B161" s="20" t="s">
        <v>57</v>
      </c>
      <c r="C161" s="21" t="s">
        <v>34</v>
      </c>
      <c r="D161" s="37">
        <f t="shared" si="23"/>
      </c>
      <c r="E161" s="24">
        <v>255.097</v>
      </c>
      <c r="F161" s="24">
        <v>358.391</v>
      </c>
      <c r="G161" s="24">
        <v>570.82</v>
      </c>
      <c r="H161" s="25">
        <v>2</v>
      </c>
      <c r="I161" s="63">
        <v>3012.24</v>
      </c>
      <c r="J161" s="27">
        <f t="shared" si="70"/>
      </c>
      <c r="K161" s="28">
        <f t="shared" si="94"/>
      </c>
      <c r="L161" s="29">
        <f t="shared" si="132"/>
      </c>
      <c r="M161" s="28">
        <f t="shared" si="113"/>
      </c>
      <c r="N161" s="28">
        <f t="shared" si="151"/>
      </c>
      <c r="O161" s="29">
        <f t="shared" si="170"/>
      </c>
      <c r="P161" s="28">
        <f t="shared" si="189"/>
      </c>
      <c r="Q161" s="28">
        <f t="shared" si="208"/>
      </c>
      <c r="R161" s="30">
        <f t="shared" si="227"/>
      </c>
      <c r="S161" s="31">
        <f t="shared" si="246"/>
      </c>
      <c r="T161" s="30">
        <f t="shared" si="265"/>
      </c>
      <c r="U161" s="30"/>
      <c r="V161" s="32" t="s">
        <v>35</v>
      </c>
      <c r="W161" s="33" t="s">
        <v>54</v>
      </c>
      <c r="X161" s="33"/>
      <c r="Y161" s="34">
        <v>3</v>
      </c>
      <c r="Z161" s="35">
        <v>19329</v>
      </c>
      <c r="AA161" s="36">
        <v>65</v>
      </c>
      <c r="AB161" s="34">
        <v>17094</v>
      </c>
      <c r="AC161" s="34">
        <v>1267</v>
      </c>
      <c r="AD161" s="34">
        <v>181</v>
      </c>
      <c r="AE161" s="34">
        <v>2</v>
      </c>
    </row>
    <row r="162">
      <c r="A162" s="19"/>
      <c r="B162" s="20" t="s">
        <v>50</v>
      </c>
      <c r="C162" s="21" t="s">
        <v>34</v>
      </c>
      <c r="D162" s="37">
        <f t="shared" si="23"/>
      </c>
      <c r="E162" s="24">
        <v>469.588</v>
      </c>
      <c r="F162" s="24">
        <v>204.61</v>
      </c>
      <c r="G162" s="24">
        <v>485.85</v>
      </c>
      <c r="H162" s="25">
        <v>1</v>
      </c>
      <c r="I162" s="63">
        <v>5645.400000000001</v>
      </c>
      <c r="J162" s="27">
        <f t="shared" si="70"/>
      </c>
      <c r="K162" s="28">
        <f t="shared" si="94"/>
      </c>
      <c r="L162" s="29">
        <f t="shared" si="132"/>
      </c>
      <c r="M162" s="28">
        <f t="shared" si="113"/>
      </c>
      <c r="N162" s="28">
        <f t="shared" si="151"/>
      </c>
      <c r="O162" s="29">
        <f t="shared" si="170"/>
      </c>
      <c r="P162" s="28">
        <f t="shared" si="189"/>
      </c>
      <c r="Q162" s="28">
        <f t="shared" si="208"/>
      </c>
      <c r="R162" s="30">
        <f t="shared" si="227"/>
      </c>
      <c r="S162" s="31">
        <f t="shared" si="246"/>
      </c>
      <c r="T162" s="30">
        <f t="shared" si="265"/>
      </c>
      <c r="U162" s="30"/>
      <c r="V162" s="32" t="s">
        <v>35</v>
      </c>
      <c r="W162" s="33" t="s">
        <v>54</v>
      </c>
      <c r="X162" s="33"/>
      <c r="Y162" s="34">
        <v>1</v>
      </c>
      <c r="Z162" s="35">
        <v>28121</v>
      </c>
      <c r="AA162" s="36">
        <v>80</v>
      </c>
      <c r="AB162" s="34">
        <v>21463</v>
      </c>
      <c r="AC162" s="34">
        <v>1298</v>
      </c>
      <c r="AD162" s="34">
        <v>214</v>
      </c>
      <c r="AE162" s="34">
        <v>1</v>
      </c>
    </row>
    <row r="163">
      <c r="A163" s="19"/>
      <c r="B163" s="20" t="s">
        <v>51</v>
      </c>
      <c r="C163" s="21" t="s">
        <v>34</v>
      </c>
      <c r="D163" s="37">
        <f t="shared" si="23"/>
      </c>
      <c r="E163" s="24">
        <v>650.938</v>
      </c>
      <c r="F163" s="24">
        <v>218.679</v>
      </c>
      <c r="G163" s="24">
        <v>920.254</v>
      </c>
      <c r="H163" s="25">
        <v>2</v>
      </c>
      <c r="I163" s="63">
        <v>1418.3999999999978</v>
      </c>
      <c r="J163" s="27">
        <f t="shared" si="70"/>
      </c>
      <c r="K163" s="28">
        <f t="shared" si="94"/>
      </c>
      <c r="L163" s="29">
        <f t="shared" si="132"/>
      </c>
      <c r="M163" s="28">
        <f t="shared" si="113"/>
      </c>
      <c r="N163" s="28">
        <f t="shared" si="151"/>
      </c>
      <c r="O163" s="29">
        <f t="shared" si="170"/>
      </c>
      <c r="P163" s="28">
        <f t="shared" si="189"/>
      </c>
      <c r="Q163" s="28">
        <f t="shared" si="208"/>
      </c>
      <c r="R163" s="30">
        <f t="shared" si="227"/>
      </c>
      <c r="S163" s="31">
        <f t="shared" si="246"/>
      </c>
      <c r="T163" s="30">
        <f t="shared" si="265"/>
      </c>
      <c r="U163" s="30"/>
      <c r="V163" s="32" t="s">
        <v>35</v>
      </c>
      <c r="W163" s="33" t="s">
        <v>54</v>
      </c>
      <c r="X163" s="33"/>
      <c r="Y163" s="34">
        <v>2</v>
      </c>
      <c r="Z163" s="36">
        <v>48079</v>
      </c>
      <c r="AA163" s="36">
        <v>82</v>
      </c>
      <c r="AB163" s="36">
        <v>43685</v>
      </c>
      <c r="AC163" s="36">
        <v>2958</v>
      </c>
      <c r="AD163" s="34">
        <v>282</v>
      </c>
      <c r="AE163" s="34">
        <v>3</v>
      </c>
    </row>
    <row r="164">
      <c r="A164" s="19"/>
      <c r="B164" s="38" t="s">
        <v>42</v>
      </c>
      <c r="C164" s="38"/>
      <c r="D164" s="61">
        <f>SUM(D159:D163)</f>
      </c>
      <c r="E164" s="61">
        <f>SUM(E159:E163)</f>
      </c>
      <c r="F164" s="61">
        <f>SUM(F159:F163)</f>
      </c>
      <c r="G164" s="61">
        <f>SUM(G159:G163)</f>
      </c>
      <c r="H164" s="40">
        <f>SUM(H159:H163)</f>
      </c>
      <c r="I164" s="62">
        <f>SUM(I159:I163)</f>
      </c>
      <c r="J164" s="42">
        <f t="shared" si="70"/>
      </c>
      <c r="K164" s="43">
        <f t="shared" si="94"/>
      </c>
      <c r="L164" s="44">
        <f t="shared" si="132"/>
      </c>
      <c r="M164" s="43">
        <f t="shared" si="113"/>
      </c>
      <c r="N164" s="43">
        <f t="shared" si="151"/>
      </c>
      <c r="O164" s="44">
        <f t="shared" si="170"/>
      </c>
      <c r="P164" s="43">
        <f t="shared" si="189"/>
      </c>
      <c r="Q164" s="43">
        <f t="shared" si="208"/>
      </c>
      <c r="R164" s="45">
        <f t="shared" si="227"/>
      </c>
      <c r="S164" s="46">
        <f t="shared" si="246"/>
      </c>
      <c r="T164" s="45">
        <f t="shared" si="265"/>
      </c>
      <c r="U164" s="45"/>
      <c r="V164" s="47"/>
      <c r="W164" s="47"/>
      <c r="X164" s="47"/>
      <c r="Y164" s="48">
        <f>SUM(Y159:Y163)</f>
      </c>
      <c r="Z164" s="48">
        <f>SUM(Z159:Z163)</f>
      </c>
      <c r="AA164" s="48">
        <f>SUM(AA159:AA163)</f>
      </c>
      <c r="AB164" s="48">
        <f>SUM(AB159:AB163)</f>
      </c>
      <c r="AC164" s="48">
        <f>SUM(AC159:AC163)</f>
      </c>
      <c r="AD164" s="48">
        <f>SUM(AD159:AD163)</f>
      </c>
      <c r="AE164" s="48">
        <f>SUM(AE159:AE163)</f>
      </c>
    </row>
    <row r="165">
      <c r="A165" s="19"/>
      <c r="B165" s="20" t="s">
        <v>33</v>
      </c>
      <c r="C165" s="21" t="s">
        <v>44</v>
      </c>
      <c r="D165" s="37">
        <f t="shared" ref="D165:D169" si="24">E165+F165+G165</f>
      </c>
      <c r="E165" s="24">
        <v>468.969</v>
      </c>
      <c r="F165" s="24">
        <v>237.486</v>
      </c>
      <c r="G165" s="24">
        <v>1132.286</v>
      </c>
      <c r="H165" s="25">
        <v>0</v>
      </c>
      <c r="I165" s="63">
        <v>0</v>
      </c>
      <c r="J165" s="27">
        <f t="shared" si="70"/>
      </c>
      <c r="K165" s="28">
        <f t="shared" si="94"/>
      </c>
      <c r="L165" s="29">
        <f t="shared" si="132"/>
      </c>
      <c r="M165" s="28">
        <f t="shared" si="113"/>
      </c>
      <c r="N165" s="28">
        <f t="shared" si="151"/>
      </c>
      <c r="O165" s="29">
        <f t="shared" si="170"/>
      </c>
      <c r="P165" s="28">
        <f t="shared" si="189"/>
      </c>
      <c r="Q165" s="28">
        <f t="shared" si="208"/>
      </c>
      <c r="R165" s="30">
        <f t="shared" si="227"/>
      </c>
      <c r="S165" s="31">
        <f t="shared" si="246"/>
      </c>
      <c r="T165" s="30">
        <f t="shared" si="265"/>
      </c>
      <c r="U165" s="30"/>
      <c r="V165" s="32" t="s">
        <v>35</v>
      </c>
      <c r="W165" s="33" t="s">
        <v>54</v>
      </c>
      <c r="X165" s="33"/>
      <c r="Y165" s="34">
        <v>0</v>
      </c>
      <c r="Z165" s="35">
        <v>52009</v>
      </c>
      <c r="AA165" s="36">
        <v>84</v>
      </c>
      <c r="AB165" s="34">
        <v>53577</v>
      </c>
      <c r="AC165" s="34">
        <v>3354</v>
      </c>
      <c r="AD165" s="34">
        <v>319</v>
      </c>
      <c r="AE165" s="34">
        <v>2</v>
      </c>
    </row>
    <row r="166">
      <c r="A166" s="19"/>
      <c r="B166" s="20" t="s">
        <v>37</v>
      </c>
      <c r="C166" s="21" t="s">
        <v>44</v>
      </c>
      <c r="D166" s="37">
        <f t="shared" si="24"/>
      </c>
      <c r="E166" s="24">
        <v>287.705</v>
      </c>
      <c r="F166" s="37">
        <v>200.72</v>
      </c>
      <c r="G166" s="37">
        <v>969.235</v>
      </c>
      <c r="H166" s="25">
        <v>1</v>
      </c>
      <c r="I166" s="63">
        <v>2170.0800000000017</v>
      </c>
      <c r="J166" s="27">
        <f t="shared" si="70"/>
      </c>
      <c r="K166" s="28">
        <f t="shared" si="94"/>
      </c>
      <c r="L166" s="29">
        <f t="shared" si="132"/>
      </c>
      <c r="M166" s="28">
        <f t="shared" si="113"/>
      </c>
      <c r="N166" s="28">
        <f t="shared" si="151"/>
      </c>
      <c r="O166" s="29">
        <f t="shared" si="170"/>
      </c>
      <c r="P166" s="28">
        <f t="shared" si="189"/>
      </c>
      <c r="Q166" s="28">
        <f t="shared" si="208"/>
      </c>
      <c r="R166" s="30">
        <f t="shared" si="227"/>
      </c>
      <c r="S166" s="31">
        <f t="shared" si="246"/>
      </c>
      <c r="T166" s="30">
        <f t="shared" si="265"/>
      </c>
      <c r="U166" s="30"/>
      <c r="V166" s="32" t="s">
        <v>35</v>
      </c>
      <c r="W166" s="33" t="s">
        <v>54</v>
      </c>
      <c r="X166" s="33"/>
      <c r="Y166" s="34">
        <v>1</v>
      </c>
      <c r="Z166" s="36">
        <v>41652</v>
      </c>
      <c r="AA166" s="36">
        <v>56</v>
      </c>
      <c r="AB166" s="34">
        <v>38063</v>
      </c>
      <c r="AC166" s="34">
        <v>2433</v>
      </c>
      <c r="AD166" s="34">
        <v>166</v>
      </c>
      <c r="AE166" s="34">
        <v>3</v>
      </c>
    </row>
    <row r="167">
      <c r="A167" s="19"/>
      <c r="B167" s="20" t="s">
        <v>38</v>
      </c>
      <c r="C167" s="21" t="s">
        <v>44</v>
      </c>
      <c r="D167" s="37">
        <f t="shared" si="24"/>
      </c>
      <c r="E167" s="24">
        <v>153.688</v>
      </c>
      <c r="F167" s="37">
        <v>282.348</v>
      </c>
      <c r="G167" s="24">
        <v>491.54</v>
      </c>
      <c r="H167" s="25">
        <v>0</v>
      </c>
      <c r="I167" s="63">
        <v>0</v>
      </c>
      <c r="J167" s="27">
        <f t="shared" si="70"/>
      </c>
      <c r="K167" s="28">
        <f t="shared" si="94"/>
      </c>
      <c r="L167" s="29">
        <f t="shared" si="132"/>
      </c>
      <c r="M167" s="28">
        <f t="shared" si="113"/>
      </c>
      <c r="N167" s="28">
        <f t="shared" si="151"/>
      </c>
      <c r="O167" s="29">
        <f t="shared" si="170"/>
      </c>
      <c r="P167" s="28">
        <f t="shared" si="189"/>
      </c>
      <c r="Q167" s="28">
        <f t="shared" si="208"/>
      </c>
      <c r="R167" s="30">
        <f t="shared" si="227"/>
      </c>
      <c r="S167" s="31">
        <f t="shared" si="246"/>
      </c>
      <c r="T167" s="30">
        <f t="shared" si="265"/>
      </c>
      <c r="U167" s="30"/>
      <c r="V167" s="32" t="s">
        <v>35</v>
      </c>
      <c r="W167" s="33" t="s">
        <v>59</v>
      </c>
      <c r="X167" s="33"/>
      <c r="Y167" s="34">
        <v>0</v>
      </c>
      <c r="Z167" s="35">
        <v>22701</v>
      </c>
      <c r="AA167" s="36">
        <v>38</v>
      </c>
      <c r="AB167" s="34">
        <v>19387</v>
      </c>
      <c r="AC167" s="34">
        <v>1236</v>
      </c>
      <c r="AD167" s="34">
        <v>123</v>
      </c>
      <c r="AE167" s="34">
        <v>0</v>
      </c>
    </row>
    <row r="168">
      <c r="A168" s="19"/>
      <c r="B168" s="20" t="s">
        <v>40</v>
      </c>
      <c r="C168" s="21" t="s">
        <v>44</v>
      </c>
      <c r="D168" s="37">
        <f t="shared" si="24"/>
      </c>
      <c r="E168" s="24">
        <v>177.096</v>
      </c>
      <c r="F168" s="37">
        <v>391.038</v>
      </c>
      <c r="G168" s="37">
        <v>419.433</v>
      </c>
      <c r="H168" s="25">
        <v>1</v>
      </c>
      <c r="I168" s="63">
        <v>604.7999999999993</v>
      </c>
      <c r="J168" s="27">
        <f t="shared" si="70"/>
      </c>
      <c r="K168" s="28">
        <f t="shared" si="94"/>
      </c>
      <c r="L168" s="29">
        <f t="shared" si="132"/>
      </c>
      <c r="M168" s="28">
        <f t="shared" si="113"/>
      </c>
      <c r="N168" s="28">
        <f t="shared" si="151"/>
      </c>
      <c r="O168" s="29">
        <f t="shared" si="170"/>
      </c>
      <c r="P168" s="28">
        <f t="shared" si="189"/>
      </c>
      <c r="Q168" s="28">
        <f t="shared" si="208"/>
      </c>
      <c r="R168" s="30">
        <f t="shared" si="227"/>
      </c>
      <c r="S168" s="31">
        <f t="shared" si="246"/>
      </c>
      <c r="T168" s="30">
        <f t="shared" si="265"/>
      </c>
      <c r="U168" s="30"/>
      <c r="V168" s="32" t="s">
        <v>35</v>
      </c>
      <c r="W168" s="33" t="s">
        <v>59</v>
      </c>
      <c r="X168" s="33"/>
      <c r="Y168" s="34">
        <v>0</v>
      </c>
      <c r="Z168" s="35">
        <v>18247</v>
      </c>
      <c r="AA168" s="36">
        <v>47</v>
      </c>
      <c r="AB168" s="36">
        <v>19112</v>
      </c>
      <c r="AC168" s="36">
        <v>1545</v>
      </c>
      <c r="AD168" s="34">
        <v>159</v>
      </c>
      <c r="AE168" s="34">
        <v>1</v>
      </c>
    </row>
    <row r="169">
      <c r="A169" s="19"/>
      <c r="B169" s="20" t="s">
        <v>41</v>
      </c>
      <c r="C169" s="21" t="s">
        <v>44</v>
      </c>
      <c r="D169" s="37">
        <f t="shared" si="24"/>
      </c>
      <c r="E169" s="24">
        <v>136.339</v>
      </c>
      <c r="F169" s="37">
        <v>423.569</v>
      </c>
      <c r="G169" s="37">
        <v>564.885</v>
      </c>
      <c r="H169" s="25">
        <v>1</v>
      </c>
      <c r="I169" s="63">
        <v>3669.84</v>
      </c>
      <c r="J169" s="27">
        <f t="shared" si="70"/>
      </c>
      <c r="K169" s="28">
        <f t="shared" si="94"/>
      </c>
      <c r="L169" s="29">
        <f t="shared" si="132"/>
      </c>
      <c r="M169" s="28">
        <f t="shared" si="113"/>
      </c>
      <c r="N169" s="28">
        <f t="shared" si="151"/>
      </c>
      <c r="O169" s="29">
        <f t="shared" si="170"/>
      </c>
      <c r="P169" s="28">
        <f t="shared" si="189"/>
      </c>
      <c r="Q169" s="28">
        <f t="shared" si="208"/>
      </c>
      <c r="R169" s="30">
        <f t="shared" si="227"/>
      </c>
      <c r="S169" s="31">
        <f t="shared" si="246"/>
      </c>
      <c r="T169" s="30">
        <f t="shared" si="265"/>
      </c>
      <c r="U169" s="30"/>
      <c r="V169" s="32" t="s">
        <v>35</v>
      </c>
      <c r="W169" s="33" t="s">
        <v>59</v>
      </c>
      <c r="X169" s="33"/>
      <c r="Y169" s="34">
        <v>3</v>
      </c>
      <c r="Z169" s="36">
        <v>27028</v>
      </c>
      <c r="AA169" s="36">
        <v>63</v>
      </c>
      <c r="AB169" s="36">
        <v>22167</v>
      </c>
      <c r="AC169" s="36">
        <v>1519</v>
      </c>
      <c r="AD169" s="34">
        <v>137</v>
      </c>
      <c r="AE169" s="34">
        <v>2</v>
      </c>
    </row>
    <row r="170">
      <c r="A170" s="19"/>
      <c r="B170" s="38" t="s">
        <v>42</v>
      </c>
      <c r="C170" s="38"/>
      <c r="D170" s="61">
        <f>SUM(D165:D169)</f>
      </c>
      <c r="E170" s="61">
        <f>SUM(E165:E169)</f>
      </c>
      <c r="F170" s="61">
        <f>SUM(F165:F169)</f>
      </c>
      <c r="G170" s="61">
        <f>SUM(G165:G169)</f>
      </c>
      <c r="H170" s="40">
        <f>SUM(H165:H169)</f>
      </c>
      <c r="I170" s="62">
        <f>SUM(I165:I169)</f>
      </c>
      <c r="J170" s="42">
        <f t="shared" si="70"/>
      </c>
      <c r="K170" s="43">
        <f t="shared" si="94"/>
      </c>
      <c r="L170" s="44">
        <f t="shared" si="132"/>
      </c>
      <c r="M170" s="43">
        <f t="shared" si="113"/>
      </c>
      <c r="N170" s="43">
        <f t="shared" si="151"/>
      </c>
      <c r="O170" s="44">
        <f t="shared" si="170"/>
      </c>
      <c r="P170" s="43">
        <f t="shared" si="189"/>
      </c>
      <c r="Q170" s="43">
        <f t="shared" si="208"/>
      </c>
      <c r="R170" s="45">
        <f t="shared" si="227"/>
      </c>
      <c r="S170" s="46">
        <f t="shared" si="246"/>
      </c>
      <c r="T170" s="45">
        <f t="shared" si="265"/>
      </c>
      <c r="U170" s="45"/>
      <c r="V170" s="47"/>
      <c r="W170" s="47"/>
      <c r="X170" s="47"/>
      <c r="Y170" s="48">
        <f>SUM(Y165:Y169)</f>
      </c>
      <c r="Z170" s="58">
        <f>SUM(Z165:Z169)</f>
      </c>
      <c r="AA170" s="58">
        <f>SUM(AA165:AA169)</f>
      </c>
      <c r="AB170" s="58">
        <f>SUM(AB165:AB169)</f>
      </c>
      <c r="AC170" s="58">
        <f>SUM(AC165:AC169)</f>
      </c>
      <c r="AD170" s="58">
        <f>SUM(AD165:AD169)</f>
      </c>
      <c r="AE170" s="59">
        <f>SUM(AE165:AE169)</f>
      </c>
    </row>
    <row r="171">
      <c r="A171" s="19"/>
      <c r="B171" s="20" t="s">
        <v>53</v>
      </c>
      <c r="C171" s="21" t="s">
        <v>52</v>
      </c>
      <c r="D171" s="22">
        <f t="shared" ref="D171:D175" si="25">E171+F171+G171</f>
      </c>
      <c r="E171" s="24">
        <v>110.627</v>
      </c>
      <c r="F171" s="37">
        <v>442.222</v>
      </c>
      <c r="G171" s="24">
        <v>1226.385</v>
      </c>
      <c r="H171" s="25">
        <v>1</v>
      </c>
      <c r="I171" s="63">
        <v>5120.16</v>
      </c>
      <c r="J171" s="27">
        <f t="shared" si="70"/>
      </c>
      <c r="K171" s="28">
        <f t="shared" si="94"/>
      </c>
      <c r="L171" s="29">
        <f t="shared" si="132"/>
      </c>
      <c r="M171" s="28">
        <f t="shared" si="113"/>
      </c>
      <c r="N171" s="28">
        <f t="shared" si="151"/>
      </c>
      <c r="O171" s="29">
        <f t="shared" si="170"/>
      </c>
      <c r="P171" s="28">
        <f t="shared" si="189"/>
      </c>
      <c r="Q171" s="28">
        <f t="shared" si="208"/>
      </c>
      <c r="R171" s="30">
        <f t="shared" si="227"/>
      </c>
      <c r="S171" s="31">
        <f t="shared" si="246"/>
      </c>
      <c r="T171" s="30">
        <f t="shared" si="265"/>
      </c>
      <c r="U171" s="30"/>
      <c r="V171" s="49" t="s">
        <v>35</v>
      </c>
      <c r="W171" s="33" t="s">
        <v>59</v>
      </c>
      <c r="X171" s="33"/>
      <c r="Y171" s="34">
        <v>2</v>
      </c>
      <c r="Z171" s="35">
        <v>44164</v>
      </c>
      <c r="AA171" s="36">
        <v>78</v>
      </c>
      <c r="AB171" s="36">
        <v>33771</v>
      </c>
      <c r="AC171" s="36">
        <v>1845</v>
      </c>
      <c r="AD171" s="36">
        <v>189</v>
      </c>
      <c r="AE171" s="34">
        <v>1</v>
      </c>
    </row>
    <row r="172">
      <c r="A172" s="19"/>
      <c r="B172" s="20" t="s">
        <v>43</v>
      </c>
      <c r="C172" s="21" t="s">
        <v>52</v>
      </c>
      <c r="D172" s="22">
        <f t="shared" si="25"/>
      </c>
      <c r="E172" s="24">
        <v>146.314</v>
      </c>
      <c r="F172" s="37">
        <v>561.924</v>
      </c>
      <c r="G172" s="37">
        <v>1310.102</v>
      </c>
      <c r="H172" s="25">
        <v>0</v>
      </c>
      <c r="I172" s="63">
        <v>0</v>
      </c>
      <c r="J172" s="27">
        <f t="shared" si="70"/>
      </c>
      <c r="K172" s="28">
        <f t="shared" si="94"/>
      </c>
      <c r="L172" s="29">
        <f t="shared" si="132"/>
      </c>
      <c r="M172" s="28">
        <f t="shared" si="113"/>
      </c>
      <c r="N172" s="28">
        <f t="shared" si="151"/>
      </c>
      <c r="O172" s="29">
        <f t="shared" si="170"/>
      </c>
      <c r="P172" s="28">
        <f t="shared" si="189"/>
      </c>
      <c r="Q172" s="28">
        <f t="shared" si="208"/>
      </c>
      <c r="R172" s="30">
        <f t="shared" si="227"/>
      </c>
      <c r="S172" s="31">
        <f t="shared" si="246"/>
      </c>
      <c r="T172" s="30">
        <f t="shared" si="265"/>
      </c>
      <c r="U172" s="30"/>
      <c r="V172" s="49" t="s">
        <v>35</v>
      </c>
      <c r="W172" s="33" t="s">
        <v>59</v>
      </c>
      <c r="X172" s="33"/>
      <c r="Y172" s="34">
        <v>0</v>
      </c>
      <c r="Z172" s="36">
        <v>51298</v>
      </c>
      <c r="AA172" s="36">
        <v>92</v>
      </c>
      <c r="AB172" s="36">
        <v>44553</v>
      </c>
      <c r="AC172" s="36">
        <v>2417</v>
      </c>
      <c r="AD172" s="36">
        <v>205</v>
      </c>
      <c r="AE172" s="34">
        <v>0</v>
      </c>
    </row>
    <row r="173">
      <c r="A173" s="19"/>
      <c r="B173" s="20" t="s">
        <v>45</v>
      </c>
      <c r="C173" s="21" t="s">
        <v>52</v>
      </c>
      <c r="D173" s="22">
        <f t="shared" si="25"/>
      </c>
      <c r="E173" s="24">
        <v>55.678</v>
      </c>
      <c r="F173" s="37">
        <v>617.321</v>
      </c>
      <c r="G173" s="37">
        <v>865.896</v>
      </c>
      <c r="H173" s="25">
        <v>1</v>
      </c>
      <c r="I173" s="63">
        <v>1293.7200000000012</v>
      </c>
      <c r="J173" s="27">
        <f t="shared" si="70"/>
      </c>
      <c r="K173" s="28">
        <f t="shared" si="94"/>
      </c>
      <c r="L173" s="29">
        <f t="shared" si="132"/>
      </c>
      <c r="M173" s="28">
        <f t="shared" si="113"/>
      </c>
      <c r="N173" s="28">
        <f t="shared" si="151"/>
      </c>
      <c r="O173" s="29">
        <f t="shared" si="170"/>
      </c>
      <c r="P173" s="28">
        <f t="shared" si="189"/>
      </c>
      <c r="Q173" s="28">
        <f t="shared" si="208"/>
      </c>
      <c r="R173" s="30">
        <f t="shared" si="227"/>
      </c>
      <c r="S173" s="31">
        <f t="shared" si="246"/>
      </c>
      <c r="T173" s="30">
        <f t="shared" si="265"/>
      </c>
      <c r="U173" s="30"/>
      <c r="V173" s="49" t="s">
        <v>35</v>
      </c>
      <c r="W173" s="33" t="s">
        <v>59</v>
      </c>
      <c r="X173" s="33"/>
      <c r="Y173" s="34">
        <v>1</v>
      </c>
      <c r="Z173" s="36">
        <v>37972</v>
      </c>
      <c r="AA173" s="36">
        <v>100</v>
      </c>
      <c r="AB173" s="36">
        <v>39218</v>
      </c>
      <c r="AC173" s="36">
        <v>2006</v>
      </c>
      <c r="AD173" s="36">
        <v>193</v>
      </c>
      <c r="AE173" s="34">
        <v>2</v>
      </c>
    </row>
    <row r="174">
      <c r="A174" s="19"/>
      <c r="B174" s="20" t="s">
        <v>46</v>
      </c>
      <c r="C174" s="21" t="s">
        <v>52</v>
      </c>
      <c r="D174" s="22">
        <f t="shared" si="25"/>
      </c>
      <c r="E174" s="24">
        <v>28.287</v>
      </c>
      <c r="F174" s="37">
        <v>430.745</v>
      </c>
      <c r="G174" s="24">
        <v>994.844</v>
      </c>
      <c r="H174" s="25">
        <v>0</v>
      </c>
      <c r="I174" s="63">
        <v>0</v>
      </c>
      <c r="J174" s="27">
        <f t="shared" si="70"/>
      </c>
      <c r="K174" s="28">
        <f t="shared" si="94"/>
      </c>
      <c r="L174" s="29">
        <f t="shared" si="132"/>
      </c>
      <c r="M174" s="28">
        <f t="shared" si="113"/>
      </c>
      <c r="N174" s="28">
        <f t="shared" si="151"/>
      </c>
      <c r="O174" s="29">
        <f t="shared" si="170"/>
      </c>
      <c r="P174" s="28">
        <f t="shared" si="189"/>
      </c>
      <c r="Q174" s="28">
        <f t="shared" si="208"/>
      </c>
      <c r="R174" s="30">
        <f t="shared" si="227"/>
      </c>
      <c r="S174" s="31">
        <f t="shared" si="246"/>
      </c>
      <c r="T174" s="30">
        <f t="shared" si="265"/>
      </c>
      <c r="U174" s="30"/>
      <c r="V174" s="49" t="s">
        <v>35</v>
      </c>
      <c r="W174" s="33" t="s">
        <v>59</v>
      </c>
      <c r="X174" s="33"/>
      <c r="Y174" s="34">
        <v>1</v>
      </c>
      <c r="Z174" s="36">
        <v>47390</v>
      </c>
      <c r="AA174" s="36">
        <v>76</v>
      </c>
      <c r="AB174" s="36">
        <v>40770</v>
      </c>
      <c r="AC174" s="36">
        <v>1847</v>
      </c>
      <c r="AD174" s="36">
        <v>139</v>
      </c>
      <c r="AE174" s="34">
        <v>0</v>
      </c>
    </row>
    <row r="175">
      <c r="A175" s="19"/>
      <c r="B175" s="20" t="s">
        <v>47</v>
      </c>
      <c r="C175" s="21" t="s">
        <v>52</v>
      </c>
      <c r="D175" s="22">
        <f t="shared" si="25"/>
      </c>
      <c r="E175" s="24">
        <v>35.415</v>
      </c>
      <c r="F175" s="37">
        <f>308.009+0.001+0.004</f>
      </c>
      <c r="G175" s="37">
        <f>616.142+0.11+0.004+0.008+0.11+0.004+0.004+0.023+0.008</f>
      </c>
      <c r="H175" s="25">
        <v>0</v>
      </c>
      <c r="I175" s="63">
        <v>0</v>
      </c>
      <c r="J175" s="27">
        <f t="shared" si="70"/>
      </c>
      <c r="K175" s="28">
        <f t="shared" si="94"/>
      </c>
      <c r="L175" s="29">
        <f t="shared" si="132"/>
      </c>
      <c r="M175" s="28">
        <f t="shared" si="113"/>
      </c>
      <c r="N175" s="28">
        <f t="shared" si="151"/>
      </c>
      <c r="O175" s="29">
        <f t="shared" si="170"/>
      </c>
      <c r="P175" s="28">
        <f t="shared" si="189"/>
      </c>
      <c r="Q175" s="28">
        <f t="shared" si="208"/>
      </c>
      <c r="R175" s="30">
        <f t="shared" si="227"/>
      </c>
      <c r="S175" s="31">
        <f t="shared" si="246"/>
      </c>
      <c r="T175" s="30">
        <f t="shared" si="265"/>
      </c>
      <c r="U175" s="30"/>
      <c r="V175" s="49" t="s">
        <v>35</v>
      </c>
      <c r="W175" s="33" t="s">
        <v>59</v>
      </c>
      <c r="X175" s="33"/>
      <c r="Y175" s="34">
        <v>1</v>
      </c>
      <c r="Z175" s="36">
        <v>26378</v>
      </c>
      <c r="AA175" s="36">
        <v>97</v>
      </c>
      <c r="AB175" s="36">
        <v>23551</v>
      </c>
      <c r="AC175" s="36">
        <v>1340</v>
      </c>
      <c r="AD175" s="36">
        <v>121</v>
      </c>
      <c r="AE175" s="34">
        <v>1</v>
      </c>
    </row>
    <row r="176">
      <c r="A176" s="19"/>
      <c r="B176" s="38" t="s">
        <v>42</v>
      </c>
      <c r="C176" s="38"/>
      <c r="D176" s="73">
        <f>SUM(D171:D175)</f>
      </c>
      <c r="E176" s="73">
        <f>SUM(E171:E175)</f>
      </c>
      <c r="F176" s="73">
        <f>SUM(F171:F175)</f>
      </c>
      <c r="G176" s="73">
        <f>SUM(G171:G175)</f>
      </c>
      <c r="H176" s="40">
        <f>SUM(H171:H175)</f>
      </c>
      <c r="I176" s="62">
        <f>SUM(I171:I175)</f>
      </c>
      <c r="J176" s="42">
        <f t="shared" si="70"/>
      </c>
      <c r="K176" s="43">
        <f t="shared" si="94"/>
      </c>
      <c r="L176" s="44">
        <f t="shared" si="132"/>
      </c>
      <c r="M176" s="43">
        <f t="shared" si="113"/>
      </c>
      <c r="N176" s="43">
        <f t="shared" si="151"/>
      </c>
      <c r="O176" s="44">
        <f t="shared" si="170"/>
      </c>
      <c r="P176" s="43">
        <f t="shared" si="189"/>
      </c>
      <c r="Q176" s="43">
        <f t="shared" si="208"/>
      </c>
      <c r="R176" s="45">
        <f t="shared" si="227"/>
      </c>
      <c r="S176" s="46">
        <f t="shared" si="246"/>
      </c>
      <c r="T176" s="45">
        <f t="shared" si="265"/>
      </c>
      <c r="U176" s="45"/>
      <c r="V176" s="47"/>
      <c r="W176" s="47"/>
      <c r="X176" s="47"/>
      <c r="Y176" s="48">
        <f>SUM(Y171:Y175)</f>
      </c>
      <c r="Z176" s="48">
        <f>SUM(Z171:Z175)</f>
      </c>
      <c r="AA176" s="48">
        <f>SUM(AA171:AA175)</f>
      </c>
      <c r="AB176" s="48">
        <f>SUM(AB171:AB175)</f>
      </c>
      <c r="AC176" s="48">
        <f>SUM(AC171:AC175)</f>
      </c>
      <c r="AD176" s="48">
        <f>SUM(AD171:AD175)</f>
      </c>
      <c r="AE176" s="48">
        <f>SUM(AE171:AE175)</f>
      </c>
    </row>
    <row r="177">
      <c r="A177" s="69"/>
      <c r="B177" s="70" t="s">
        <v>49</v>
      </c>
      <c r="C177" s="70"/>
      <c r="D177" s="74">
        <f>D176+D170+D164</f>
      </c>
      <c r="E177" s="74">
        <f>E176+E170+E164</f>
      </c>
      <c r="F177" s="74">
        <f>F176+F170+F164</f>
      </c>
      <c r="G177" s="74">
        <f>G176+G170+G164</f>
      </c>
      <c r="H177" s="75">
        <f>H176+H170+H164</f>
      </c>
      <c r="I177" s="60">
        <f>I176+I170+I164</f>
      </c>
      <c r="J177" s="54">
        <f t="shared" si="70"/>
      </c>
      <c r="K177" s="55">
        <f t="shared" si="94"/>
      </c>
      <c r="L177" s="54">
        <f t="shared" si="132"/>
      </c>
      <c r="M177" s="55">
        <f t="shared" si="113"/>
      </c>
      <c r="N177" s="55">
        <f t="shared" si="151"/>
      </c>
      <c r="O177" s="54">
        <f t="shared" si="170"/>
      </c>
      <c r="P177" s="55">
        <f t="shared" si="189"/>
      </c>
      <c r="Q177" s="55">
        <f t="shared" si="208"/>
      </c>
      <c r="R177" s="54">
        <f t="shared" si="227"/>
      </c>
      <c r="S177" s="56">
        <f t="shared" si="246"/>
      </c>
      <c r="T177" s="54">
        <f t="shared" si="265"/>
      </c>
      <c r="U177" s="54"/>
      <c r="V177" s="57"/>
      <c r="W177" s="57"/>
      <c r="X177" s="57"/>
      <c r="Y177" s="53">
        <f>Y176+Y170+Y164</f>
      </c>
      <c r="Z177" s="53">
        <f>Z176+Z170+Z164</f>
      </c>
      <c r="AA177" s="53">
        <f>AA176+AA170+AA164</f>
      </c>
      <c r="AB177" s="53">
        <f>AB176+AB170+AB164</f>
      </c>
      <c r="AC177" s="53">
        <f>AC176+AC170+AC164</f>
      </c>
      <c r="AD177" s="53">
        <f>AD176+AD170+AD164</f>
      </c>
      <c r="AE177" s="53">
        <f>AE176+AE170+AE164</f>
      </c>
    </row>
    <row r="178">
      <c r="A178" s="1" t="s">
        <v>1</v>
      </c>
      <c r="B178" s="1"/>
      <c r="C178" s="1"/>
      <c r="D178" s="2" t="s">
        <v>2</v>
      </c>
      <c r="E178" s="2"/>
      <c r="F178" s="2"/>
      <c r="G178" s="2"/>
      <c r="H178" s="2"/>
      <c r="I178" s="2"/>
      <c r="J178" s="2"/>
      <c r="K178" s="3" t="s">
        <v>3</v>
      </c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4"/>
      <c r="W178" s="4"/>
      <c r="X178" s="4"/>
      <c r="Y178" s="5"/>
      <c r="Z178" s="5"/>
      <c r="AA178" s="5"/>
      <c r="AB178" s="5"/>
      <c r="AC178" s="5"/>
      <c r="AD178" s="5"/>
      <c r="AE178" s="5"/>
    </row>
    <row r="179">
      <c r="A179" s="6" t="s">
        <v>4</v>
      </c>
      <c r="B179" s="7" t="s">
        <v>5</v>
      </c>
      <c r="C179" s="7" t="s">
        <v>6</v>
      </c>
      <c r="D179" s="8" t="s">
        <v>7</v>
      </c>
      <c r="E179" s="9" t="s">
        <v>8</v>
      </c>
      <c r="F179" s="9" t="s">
        <v>9</v>
      </c>
      <c r="G179" s="10" t="s">
        <v>10</v>
      </c>
      <c r="H179" s="11" t="s">
        <v>11</v>
      </c>
      <c r="I179" s="11" t="s">
        <v>12</v>
      </c>
      <c r="J179" s="12" t="s">
        <v>13</v>
      </c>
      <c r="K179" s="3" t="s">
        <v>14</v>
      </c>
      <c r="L179" s="3" t="s">
        <v>15</v>
      </c>
      <c r="M179" s="13" t="s">
        <v>16</v>
      </c>
      <c r="N179" s="13" t="s">
        <v>17</v>
      </c>
      <c r="O179" s="3" t="s">
        <v>18</v>
      </c>
      <c r="P179" s="13" t="s">
        <v>19</v>
      </c>
      <c r="Q179" s="13" t="s">
        <v>20</v>
      </c>
      <c r="R179" s="14" t="s">
        <v>21</v>
      </c>
      <c r="S179" s="13" t="s">
        <v>22</v>
      </c>
      <c r="T179" s="14" t="s">
        <v>23</v>
      </c>
      <c r="U179" s="14"/>
      <c r="V179" s="15" t="s">
        <v>24</v>
      </c>
      <c r="W179" s="15" t="s">
        <v>25</v>
      </c>
      <c r="X179" s="15"/>
      <c r="Y179" s="16" t="s">
        <v>26</v>
      </c>
      <c r="Z179" s="17" t="s">
        <v>27</v>
      </c>
      <c r="AA179" s="17" t="s">
        <v>28</v>
      </c>
      <c r="AB179" s="17" t="s">
        <v>29</v>
      </c>
      <c r="AC179" s="17" t="s">
        <v>30</v>
      </c>
      <c r="AD179" s="17" t="s">
        <v>31</v>
      </c>
      <c r="AE179" s="18" t="s">
        <v>32</v>
      </c>
    </row>
    <row r="180">
      <c r="A180" s="19">
        <v>46305</v>
      </c>
      <c r="B180" s="20" t="s">
        <v>58</v>
      </c>
      <c r="C180" s="21" t="s">
        <v>44</v>
      </c>
      <c r="D180" s="37">
        <f t="shared" ref="D180:D184" si="26">E180+F180+G180</f>
      </c>
      <c r="E180" s="24">
        <v>58.308</v>
      </c>
      <c r="F180" s="24">
        <v>327.009</v>
      </c>
      <c r="G180" s="24">
        <v>1168.084</v>
      </c>
      <c r="H180" s="25">
        <v>0</v>
      </c>
      <c r="I180" s="63">
        <v>0</v>
      </c>
      <c r="J180" s="27">
        <f t="shared" ref="J180:J198" si="71">I180/D180</f>
      </c>
      <c r="K180" s="28">
        <f t="shared" ref="K180:K198" si="95">AA180/Z180</f>
      </c>
      <c r="L180" s="29">
        <f t="shared" ref="L180:L198" si="133">D180/AB180</f>
      </c>
      <c r="M180" s="28">
        <f t="shared" ref="M180:M198" si="114">AC180/AB180</f>
      </c>
      <c r="N180" s="28">
        <f t="shared" ref="N180:N198" si="152">AD180/AB180</f>
      </c>
      <c r="O180" s="29">
        <f t="shared" ref="O180:O198" si="171">D180/AD180</f>
      </c>
      <c r="P180" s="28">
        <f t="shared" ref="P180:P198" si="190">AE180/AD180</f>
      </c>
      <c r="Q180" s="28">
        <f t="shared" ref="Q180:Q198" si="209">H180/AE180</f>
      </c>
      <c r="R180" s="30">
        <f t="shared" ref="R180:R198" si="228">D180/H180</f>
      </c>
      <c r="S180" s="31">
        <f t="shared" ref="S180:S198" si="247">I180/H180</f>
      </c>
      <c r="T180" s="30">
        <f t="shared" ref="T180:T198" si="266">D180/Y180</f>
      </c>
      <c r="U180" s="30"/>
      <c r="V180" s="32" t="s">
        <v>35</v>
      </c>
      <c r="W180" s="33" t="s">
        <v>54</v>
      </c>
      <c r="X180" s="33"/>
      <c r="Y180" s="34">
        <v>0</v>
      </c>
      <c r="Z180" s="35">
        <v>30324</v>
      </c>
      <c r="AA180" s="36">
        <v>40</v>
      </c>
      <c r="AB180" s="34">
        <v>18763</v>
      </c>
      <c r="AC180" s="34">
        <v>1539</v>
      </c>
      <c r="AD180" s="34">
        <v>172</v>
      </c>
      <c r="AE180" s="34">
        <v>3</v>
      </c>
    </row>
    <row r="181">
      <c r="A181" s="19"/>
      <c r="B181" s="20" t="s">
        <v>56</v>
      </c>
      <c r="C181" s="21" t="s">
        <v>44</v>
      </c>
      <c r="D181" s="37">
        <f t="shared" si="26"/>
      </c>
      <c r="E181" s="24">
        <v>73.816</v>
      </c>
      <c r="F181" s="24">
        <v>444.936</v>
      </c>
      <c r="G181" s="24">
        <v>1221.941</v>
      </c>
      <c r="H181" s="25">
        <v>3</v>
      </c>
      <c r="I181" s="63">
        <v>2224.2</v>
      </c>
      <c r="J181" s="27">
        <f t="shared" si="71"/>
      </c>
      <c r="K181" s="28">
        <f t="shared" si="95"/>
      </c>
      <c r="L181" s="29">
        <f t="shared" si="133"/>
      </c>
      <c r="M181" s="28">
        <f t="shared" si="114"/>
      </c>
      <c r="N181" s="28">
        <f t="shared" si="152"/>
      </c>
      <c r="O181" s="29">
        <f t="shared" si="171"/>
      </c>
      <c r="P181" s="28">
        <f t="shared" si="190"/>
      </c>
      <c r="Q181" s="28">
        <f t="shared" si="209"/>
      </c>
      <c r="R181" s="30">
        <f t="shared" si="228"/>
      </c>
      <c r="S181" s="31">
        <f t="shared" si="247"/>
      </c>
      <c r="T181" s="30">
        <f t="shared" si="266"/>
      </c>
      <c r="U181" s="30"/>
      <c r="V181" s="32" t="s">
        <v>35</v>
      </c>
      <c r="W181" s="33" t="s">
        <v>54</v>
      </c>
      <c r="X181" s="33"/>
      <c r="Y181" s="34">
        <v>2</v>
      </c>
      <c r="Z181" s="35">
        <v>37037</v>
      </c>
      <c r="AA181" s="36">
        <v>40</v>
      </c>
      <c r="AB181" s="34">
        <v>23974</v>
      </c>
      <c r="AC181" s="34">
        <v>2059</v>
      </c>
      <c r="AD181" s="34">
        <v>170</v>
      </c>
      <c r="AE181" s="34">
        <v>5</v>
      </c>
    </row>
    <row r="182">
      <c r="A182" s="19"/>
      <c r="B182" s="20" t="s">
        <v>57</v>
      </c>
      <c r="C182" s="21" t="s">
        <v>44</v>
      </c>
      <c r="D182" s="37">
        <f t="shared" si="26"/>
      </c>
      <c r="E182" s="24">
        <v>57.671</v>
      </c>
      <c r="F182" s="24">
        <v>869.229</v>
      </c>
      <c r="G182" s="24">
        <v>985.12</v>
      </c>
      <c r="H182" s="25">
        <v>1</v>
      </c>
      <c r="I182" s="63">
        <v>259.9000000000001</v>
      </c>
      <c r="J182" s="27">
        <f t="shared" si="71"/>
      </c>
      <c r="K182" s="28">
        <f t="shared" si="95"/>
      </c>
      <c r="L182" s="29">
        <f t="shared" si="133"/>
      </c>
      <c r="M182" s="28">
        <f t="shared" si="114"/>
      </c>
      <c r="N182" s="28">
        <f t="shared" si="152"/>
      </c>
      <c r="O182" s="29">
        <f t="shared" si="171"/>
      </c>
      <c r="P182" s="28">
        <f t="shared" si="190"/>
      </c>
      <c r="Q182" s="28">
        <f t="shared" si="209"/>
      </c>
      <c r="R182" s="30">
        <f t="shared" si="228"/>
      </c>
      <c r="S182" s="31">
        <f t="shared" si="247"/>
      </c>
      <c r="T182" s="30">
        <f t="shared" si="266"/>
      </c>
      <c r="U182" s="30"/>
      <c r="V182" s="32" t="s">
        <v>35</v>
      </c>
      <c r="W182" s="33" t="s">
        <v>54</v>
      </c>
      <c r="X182" s="33"/>
      <c r="Y182" s="34">
        <v>1</v>
      </c>
      <c r="Z182" s="35">
        <v>36192</v>
      </c>
      <c r="AA182" s="36">
        <v>29</v>
      </c>
      <c r="AB182" s="34">
        <v>27078</v>
      </c>
      <c r="AC182" s="34">
        <v>1968</v>
      </c>
      <c r="AD182" s="34">
        <v>159</v>
      </c>
      <c r="AE182" s="34">
        <v>2</v>
      </c>
    </row>
    <row r="183">
      <c r="A183" s="19"/>
      <c r="B183" s="20" t="s">
        <v>50</v>
      </c>
      <c r="C183" s="21" t="s">
        <v>44</v>
      </c>
      <c r="D183" s="37">
        <f t="shared" si="26"/>
      </c>
      <c r="E183" s="24">
        <v>52.745</v>
      </c>
      <c r="F183" s="24">
        <v>952.938</v>
      </c>
      <c r="G183" s="24">
        <v>788.715</v>
      </c>
      <c r="H183" s="25">
        <v>2</v>
      </c>
      <c r="I183" s="63">
        <v>1477.1999999999998</v>
      </c>
      <c r="J183" s="27">
        <f t="shared" si="71"/>
      </c>
      <c r="K183" s="28">
        <f t="shared" si="95"/>
      </c>
      <c r="L183" s="29">
        <f t="shared" si="133"/>
      </c>
      <c r="M183" s="28">
        <f t="shared" si="114"/>
      </c>
      <c r="N183" s="28">
        <f t="shared" si="152"/>
      </c>
      <c r="O183" s="29">
        <f t="shared" si="171"/>
      </c>
      <c r="P183" s="28">
        <f t="shared" si="190"/>
      </c>
      <c r="Q183" s="28">
        <f t="shared" si="209"/>
      </c>
      <c r="R183" s="30">
        <f t="shared" si="228"/>
      </c>
      <c r="S183" s="31">
        <f t="shared" si="247"/>
      </c>
      <c r="T183" s="30">
        <f t="shared" si="266"/>
      </c>
      <c r="U183" s="30"/>
      <c r="V183" s="32" t="s">
        <v>35</v>
      </c>
      <c r="W183" s="33" t="s">
        <v>54</v>
      </c>
      <c r="X183" s="33"/>
      <c r="Y183" s="34">
        <v>2</v>
      </c>
      <c r="Z183" s="35">
        <v>44205</v>
      </c>
      <c r="AA183" s="36">
        <v>21</v>
      </c>
      <c r="AB183" s="34">
        <v>32520</v>
      </c>
      <c r="AC183" s="34">
        <v>2259</v>
      </c>
      <c r="AD183" s="34">
        <v>207</v>
      </c>
      <c r="AE183" s="34">
        <v>3</v>
      </c>
    </row>
    <row r="184">
      <c r="A184" s="19"/>
      <c r="B184" s="20" t="s">
        <v>51</v>
      </c>
      <c r="C184" s="21" t="s">
        <v>44</v>
      </c>
      <c r="D184" s="37">
        <f t="shared" si="26"/>
      </c>
      <c r="E184" s="24">
        <v>219.661</v>
      </c>
      <c r="F184" s="24">
        <v>583.567</v>
      </c>
      <c r="G184" s="24">
        <v>323.107</v>
      </c>
      <c r="H184" s="25">
        <v>0</v>
      </c>
      <c r="I184" s="63">
        <v>0</v>
      </c>
      <c r="J184" s="27">
        <f t="shared" si="71"/>
      </c>
      <c r="K184" s="28">
        <f t="shared" si="95"/>
      </c>
      <c r="L184" s="29">
        <f t="shared" si="133"/>
      </c>
      <c r="M184" s="28">
        <f t="shared" si="114"/>
      </c>
      <c r="N184" s="28">
        <f t="shared" si="152"/>
      </c>
      <c r="O184" s="29">
        <f t="shared" si="171"/>
      </c>
      <c r="P184" s="28">
        <f t="shared" si="190"/>
      </c>
      <c r="Q184" s="28">
        <f t="shared" si="209"/>
      </c>
      <c r="R184" s="30">
        <f t="shared" si="228"/>
      </c>
      <c r="S184" s="31">
        <f t="shared" si="247"/>
      </c>
      <c r="T184" s="30">
        <f t="shared" si="266"/>
      </c>
      <c r="U184" s="30"/>
      <c r="V184" s="32" t="s">
        <v>35</v>
      </c>
      <c r="W184" s="33" t="s">
        <v>54</v>
      </c>
      <c r="X184" s="33"/>
      <c r="Y184" s="34">
        <v>0</v>
      </c>
      <c r="Z184" s="36">
        <v>24599</v>
      </c>
      <c r="AA184" s="36">
        <v>48</v>
      </c>
      <c r="AB184" s="36">
        <v>15362</v>
      </c>
      <c r="AC184" s="36">
        <v>1089</v>
      </c>
      <c r="AD184" s="34">
        <v>206</v>
      </c>
      <c r="AE184" s="34">
        <v>1</v>
      </c>
    </row>
    <row r="185">
      <c r="A185" s="19"/>
      <c r="B185" s="38" t="s">
        <v>42</v>
      </c>
      <c r="C185" s="38"/>
      <c r="D185" s="61">
        <f>SUM(D180:D184)</f>
      </c>
      <c r="E185" s="61">
        <f>SUM(E180:E184)</f>
      </c>
      <c r="F185" s="61">
        <f>SUM(F180:F184)</f>
      </c>
      <c r="G185" s="61">
        <f>SUM(G180:G184)</f>
      </c>
      <c r="H185" s="40">
        <f>SUM(H180:H184)</f>
      </c>
      <c r="I185" s="62">
        <f>SUM(I180:I184)</f>
      </c>
      <c r="J185" s="42">
        <f t="shared" si="71"/>
      </c>
      <c r="K185" s="43">
        <f t="shared" si="95"/>
      </c>
      <c r="L185" s="44">
        <f t="shared" si="133"/>
      </c>
      <c r="M185" s="43">
        <f t="shared" si="114"/>
      </c>
      <c r="N185" s="43">
        <f t="shared" si="152"/>
      </c>
      <c r="O185" s="44">
        <f t="shared" si="171"/>
      </c>
      <c r="P185" s="43">
        <f t="shared" si="190"/>
      </c>
      <c r="Q185" s="43">
        <f t="shared" si="209"/>
      </c>
      <c r="R185" s="45">
        <f t="shared" si="228"/>
      </c>
      <c r="S185" s="46">
        <f t="shared" si="247"/>
      </c>
      <c r="T185" s="45">
        <f t="shared" si="266"/>
      </c>
      <c r="U185" s="45"/>
      <c r="V185" s="47"/>
      <c r="W185" s="47"/>
      <c r="X185" s="47"/>
      <c r="Y185" s="48">
        <f>SUM(Y180:Y184)</f>
      </c>
      <c r="Z185" s="48">
        <f>SUM(Z180:Z184)</f>
      </c>
      <c r="AA185" s="48">
        <f>SUM(AA180:AA184)</f>
      </c>
      <c r="AB185" s="48">
        <f>SUM(AB180:AB184)</f>
      </c>
      <c r="AC185" s="48">
        <f>SUM(AC180:AC184)</f>
      </c>
      <c r="AD185" s="48">
        <f>SUM(AD180:AD184)</f>
      </c>
      <c r="AE185" s="48">
        <f>SUM(AE180:AE184)</f>
      </c>
    </row>
    <row r="186">
      <c r="A186" s="19"/>
      <c r="B186" s="20" t="s">
        <v>33</v>
      </c>
      <c r="C186" s="21" t="s">
        <v>52</v>
      </c>
      <c r="D186" s="37">
        <f t="shared" ref="D186:D190" si="27">E186+F186+G186</f>
      </c>
      <c r="E186" s="24">
        <v>80.11</v>
      </c>
      <c r="F186" s="24">
        <v>438.268</v>
      </c>
      <c r="G186" s="24">
        <v>214.773</v>
      </c>
      <c r="H186" s="25">
        <v>1</v>
      </c>
      <c r="I186" s="63">
        <v>1136.9999999999995</v>
      </c>
      <c r="J186" s="27">
        <f t="shared" si="71"/>
      </c>
      <c r="K186" s="28">
        <f t="shared" si="95"/>
      </c>
      <c r="L186" s="29">
        <f t="shared" si="133"/>
      </c>
      <c r="M186" s="28">
        <f t="shared" si="114"/>
      </c>
      <c r="N186" s="28">
        <f t="shared" si="152"/>
      </c>
      <c r="O186" s="29">
        <f t="shared" si="171"/>
      </c>
      <c r="P186" s="28">
        <f t="shared" si="190"/>
      </c>
      <c r="Q186" s="28">
        <f t="shared" si="209"/>
      </c>
      <c r="R186" s="30">
        <f t="shared" si="228"/>
      </c>
      <c r="S186" s="31">
        <f t="shared" si="247"/>
      </c>
      <c r="T186" s="30">
        <f t="shared" si="266"/>
      </c>
      <c r="U186" s="30"/>
      <c r="V186" s="32" t="s">
        <v>35</v>
      </c>
      <c r="W186" s="33" t="s">
        <v>54</v>
      </c>
      <c r="X186" s="33"/>
      <c r="Y186" s="34">
        <v>1</v>
      </c>
      <c r="Z186" s="35">
        <v>16377</v>
      </c>
      <c r="AA186" s="36">
        <v>47</v>
      </c>
      <c r="AB186" s="34">
        <v>6740</v>
      </c>
      <c r="AC186" s="34">
        <v>442</v>
      </c>
      <c r="AD186" s="34">
        <v>128</v>
      </c>
      <c r="AE186" s="34">
        <v>2</v>
      </c>
    </row>
    <row r="187">
      <c r="A187" s="19"/>
      <c r="B187" s="20" t="s">
        <v>37</v>
      </c>
      <c r="C187" s="21" t="s">
        <v>52</v>
      </c>
      <c r="D187" s="37">
        <f t="shared" si="27"/>
      </c>
      <c r="E187" s="24">
        <v>30.87</v>
      </c>
      <c r="F187" s="24">
        <v>906.096</v>
      </c>
      <c r="G187" s="24">
        <v>192.937</v>
      </c>
      <c r="H187" s="25">
        <v>0</v>
      </c>
      <c r="I187" s="63">
        <v>0</v>
      </c>
      <c r="J187" s="27">
        <f t="shared" si="71"/>
      </c>
      <c r="K187" s="28">
        <f t="shared" si="95"/>
      </c>
      <c r="L187" s="29">
        <f t="shared" si="133"/>
      </c>
      <c r="M187" s="28">
        <f t="shared" si="114"/>
      </c>
      <c r="N187" s="28">
        <f t="shared" si="152"/>
      </c>
      <c r="O187" s="29">
        <f t="shared" si="171"/>
      </c>
      <c r="P187" s="28">
        <f t="shared" si="190"/>
      </c>
      <c r="Q187" s="28">
        <f t="shared" si="209"/>
      </c>
      <c r="R187" s="30">
        <f t="shared" si="228"/>
      </c>
      <c r="S187" s="31">
        <f t="shared" si="247"/>
      </c>
      <c r="T187" s="30">
        <f t="shared" si="266"/>
      </c>
      <c r="U187" s="30"/>
      <c r="V187" s="32" t="s">
        <v>35</v>
      </c>
      <c r="W187" s="33" t="s">
        <v>54</v>
      </c>
      <c r="X187" s="33"/>
      <c r="Y187" s="34">
        <v>0</v>
      </c>
      <c r="Z187" s="36">
        <v>15296</v>
      </c>
      <c r="AA187" s="36">
        <v>26</v>
      </c>
      <c r="AB187" s="34">
        <v>11226</v>
      </c>
      <c r="AC187" s="34">
        <v>952</v>
      </c>
      <c r="AD187" s="34">
        <v>104</v>
      </c>
      <c r="AE187" s="34">
        <v>0</v>
      </c>
    </row>
    <row r="188">
      <c r="A188" s="19"/>
      <c r="B188" s="20" t="s">
        <v>38</v>
      </c>
      <c r="C188" s="21" t="s">
        <v>52</v>
      </c>
      <c r="D188" s="37">
        <f t="shared" si="27"/>
      </c>
      <c r="E188" s="24">
        <v>255.292</v>
      </c>
      <c r="F188" s="24">
        <v>1040.404</v>
      </c>
      <c r="G188" s="24">
        <v>160.023</v>
      </c>
      <c r="H188" s="25">
        <v>2</v>
      </c>
      <c r="I188" s="63">
        <v>2710.92</v>
      </c>
      <c r="J188" s="27">
        <f t="shared" si="71"/>
      </c>
      <c r="K188" s="28">
        <f t="shared" si="95"/>
      </c>
      <c r="L188" s="29">
        <f t="shared" si="133"/>
      </c>
      <c r="M188" s="28">
        <f t="shared" si="114"/>
      </c>
      <c r="N188" s="28">
        <f t="shared" si="152"/>
      </c>
      <c r="O188" s="29">
        <f t="shared" si="171"/>
      </c>
      <c r="P188" s="28">
        <f t="shared" si="190"/>
      </c>
      <c r="Q188" s="28">
        <f t="shared" si="209"/>
      </c>
      <c r="R188" s="30">
        <f t="shared" si="228"/>
      </c>
      <c r="S188" s="31">
        <f t="shared" si="247"/>
      </c>
      <c r="T188" s="30">
        <f t="shared" si="266"/>
      </c>
      <c r="U188" s="30"/>
      <c r="V188" s="32" t="s">
        <v>35</v>
      </c>
      <c r="W188" s="33" t="s">
        <v>36</v>
      </c>
      <c r="X188" s="33"/>
      <c r="Y188" s="34">
        <v>2</v>
      </c>
      <c r="Z188" s="35">
        <v>20278</v>
      </c>
      <c r="AA188" s="36">
        <v>48</v>
      </c>
      <c r="AB188" s="34">
        <v>19429</v>
      </c>
      <c r="AC188" s="34">
        <v>1600</v>
      </c>
      <c r="AD188" s="34">
        <v>255</v>
      </c>
      <c r="AE188" s="34">
        <v>2</v>
      </c>
    </row>
    <row r="189">
      <c r="A189" s="19"/>
      <c r="B189" s="20" t="s">
        <v>40</v>
      </c>
      <c r="C189" s="21" t="s">
        <v>52</v>
      </c>
      <c r="D189" s="37">
        <f t="shared" si="27"/>
      </c>
      <c r="E189" s="24">
        <v>397.702</v>
      </c>
      <c r="F189" s="24">
        <v>1032.111</v>
      </c>
      <c r="G189" s="24">
        <v>253.071</v>
      </c>
      <c r="H189" s="25">
        <v>1</v>
      </c>
      <c r="I189" s="63">
        <v>2602.800000000001</v>
      </c>
      <c r="J189" s="27">
        <f t="shared" si="71"/>
      </c>
      <c r="K189" s="28">
        <f t="shared" si="95"/>
      </c>
      <c r="L189" s="29">
        <f t="shared" si="133"/>
      </c>
      <c r="M189" s="28">
        <f t="shared" si="114"/>
      </c>
      <c r="N189" s="28">
        <f t="shared" si="152"/>
      </c>
      <c r="O189" s="29">
        <f t="shared" si="171"/>
      </c>
      <c r="P189" s="28">
        <f t="shared" si="190"/>
      </c>
      <c r="Q189" s="28">
        <f t="shared" si="209"/>
      </c>
      <c r="R189" s="30">
        <f t="shared" si="228"/>
      </c>
      <c r="S189" s="31">
        <f t="shared" si="247"/>
      </c>
      <c r="T189" s="30">
        <f t="shared" si="266"/>
      </c>
      <c r="U189" s="30"/>
      <c r="V189" s="32" t="s">
        <v>35</v>
      </c>
      <c r="W189" s="33" t="s">
        <v>36</v>
      </c>
      <c r="X189" s="33"/>
      <c r="Y189" s="34">
        <v>1</v>
      </c>
      <c r="Z189" s="35">
        <v>20846</v>
      </c>
      <c r="AA189" s="36">
        <v>37</v>
      </c>
      <c r="AB189" s="36">
        <v>19094</v>
      </c>
      <c r="AC189" s="36">
        <v>1622</v>
      </c>
      <c r="AD189" s="34">
        <v>376</v>
      </c>
      <c r="AE189" s="34">
        <v>3</v>
      </c>
    </row>
    <row r="190">
      <c r="A190" s="19"/>
      <c r="B190" s="20" t="s">
        <v>41</v>
      </c>
      <c r="C190" s="21" t="s">
        <v>52</v>
      </c>
      <c r="D190" s="37">
        <f t="shared" si="27"/>
      </c>
      <c r="E190" s="24">
        <v>387.5</v>
      </c>
      <c r="F190" s="24">
        <v>821.494</v>
      </c>
      <c r="G190" s="24">
        <v>208.817</v>
      </c>
      <c r="H190" s="25">
        <v>1</v>
      </c>
      <c r="I190" s="63">
        <v>507.47999999999956</v>
      </c>
      <c r="J190" s="27">
        <f t="shared" si="71"/>
      </c>
      <c r="K190" s="28">
        <f t="shared" si="95"/>
      </c>
      <c r="L190" s="29">
        <f t="shared" si="133"/>
      </c>
      <c r="M190" s="28">
        <f t="shared" si="114"/>
      </c>
      <c r="N190" s="28">
        <f t="shared" si="152"/>
      </c>
      <c r="O190" s="29">
        <f t="shared" si="171"/>
      </c>
      <c r="P190" s="28">
        <f t="shared" si="190"/>
      </c>
      <c r="Q190" s="28">
        <f t="shared" si="209"/>
      </c>
      <c r="R190" s="30">
        <f t="shared" si="228"/>
      </c>
      <c r="S190" s="31">
        <f t="shared" si="247"/>
      </c>
      <c r="T190" s="30">
        <f t="shared" si="266"/>
      </c>
      <c r="U190" s="30"/>
      <c r="V190" s="32" t="s">
        <v>35</v>
      </c>
      <c r="W190" s="33" t="s">
        <v>36</v>
      </c>
      <c r="X190" s="33"/>
      <c r="Y190" s="34">
        <v>1</v>
      </c>
      <c r="Z190" s="36">
        <v>21167</v>
      </c>
      <c r="AA190" s="36">
        <v>57</v>
      </c>
      <c r="AB190" s="36">
        <v>15749</v>
      </c>
      <c r="AC190" s="36">
        <v>1250</v>
      </c>
      <c r="AD190" s="34">
        <v>229</v>
      </c>
      <c r="AE190" s="34">
        <v>1</v>
      </c>
    </row>
    <row r="191">
      <c r="A191" s="19"/>
      <c r="B191" s="38" t="s">
        <v>42</v>
      </c>
      <c r="C191" s="38"/>
      <c r="D191" s="61">
        <f>SUM(D186:D190)</f>
      </c>
      <c r="E191" s="61">
        <f>SUM(E186:E190)</f>
      </c>
      <c r="F191" s="61">
        <f>SUM(F186:F190)</f>
      </c>
      <c r="G191" s="61">
        <f>SUM(G186:G190)</f>
      </c>
      <c r="H191" s="40">
        <f>SUM(H186:H190)</f>
      </c>
      <c r="I191" s="62">
        <f>SUM(I186:I190)</f>
      </c>
      <c r="J191" s="42">
        <f t="shared" si="71"/>
      </c>
      <c r="K191" s="43">
        <f t="shared" si="95"/>
      </c>
      <c r="L191" s="44">
        <f t="shared" si="133"/>
      </c>
      <c r="M191" s="43">
        <f t="shared" si="114"/>
      </c>
      <c r="N191" s="43">
        <f t="shared" si="152"/>
      </c>
      <c r="O191" s="44">
        <f t="shared" si="171"/>
      </c>
      <c r="P191" s="43">
        <f t="shared" si="190"/>
      </c>
      <c r="Q191" s="43">
        <f t="shared" si="209"/>
      </c>
      <c r="R191" s="45">
        <f t="shared" si="228"/>
      </c>
      <c r="S191" s="46">
        <f t="shared" si="247"/>
      </c>
      <c r="T191" s="45">
        <f t="shared" si="266"/>
      </c>
      <c r="U191" s="45"/>
      <c r="V191" s="47"/>
      <c r="W191" s="47"/>
      <c r="X191" s="47"/>
      <c r="Y191" s="48">
        <f>SUM(Y186:Y190)</f>
      </c>
      <c r="Z191" s="59">
        <f>SUM(Z186:Z190)</f>
      </c>
      <c r="AA191" s="59">
        <f>SUM(AA186:AA190)</f>
      </c>
      <c r="AB191" s="59">
        <f>SUM(AB186:AB190)</f>
      </c>
      <c r="AC191" s="59">
        <f>SUM(AC186:AC190)</f>
      </c>
      <c r="AD191" s="59">
        <f>SUM(AD186:AD190)</f>
      </c>
      <c r="AE191" s="59">
        <f>SUM(AE186:AE190)</f>
      </c>
    </row>
    <row r="192">
      <c r="A192" s="19"/>
      <c r="B192" s="20" t="s">
        <v>53</v>
      </c>
      <c r="C192" s="21" t="s">
        <v>34</v>
      </c>
      <c r="D192" s="22">
        <f t="shared" ref="D192:D196" si="28">E192+F192+G192</f>
      </c>
      <c r="E192" s="24">
        <v>475.043</v>
      </c>
      <c r="F192" s="24">
        <v>807.239</v>
      </c>
      <c r="G192" s="24">
        <v>181.315</v>
      </c>
      <c r="H192" s="25">
        <v>2</v>
      </c>
      <c r="I192" s="63">
        <v>8326.079999999998</v>
      </c>
      <c r="J192" s="27">
        <f t="shared" si="71"/>
      </c>
      <c r="K192" s="28">
        <f t="shared" si="95"/>
      </c>
      <c r="L192" s="29">
        <f t="shared" si="133"/>
      </c>
      <c r="M192" s="28">
        <f t="shared" si="114"/>
      </c>
      <c r="N192" s="28">
        <f t="shared" si="152"/>
      </c>
      <c r="O192" s="29">
        <f t="shared" si="171"/>
      </c>
      <c r="P192" s="28">
        <f t="shared" si="190"/>
      </c>
      <c r="Q192" s="28">
        <f t="shared" si="209"/>
      </c>
      <c r="R192" s="30">
        <f t="shared" si="228"/>
      </c>
      <c r="S192" s="31">
        <f t="shared" si="247"/>
      </c>
      <c r="T192" s="30">
        <f t="shared" si="266"/>
      </c>
      <c r="U192" s="30"/>
      <c r="V192" s="49" t="s">
        <v>35</v>
      </c>
      <c r="W192" s="33" t="s">
        <v>36</v>
      </c>
      <c r="X192" s="33"/>
      <c r="Y192" s="34">
        <v>2</v>
      </c>
      <c r="Z192" s="35">
        <v>22060</v>
      </c>
      <c r="AA192" s="36">
        <v>37</v>
      </c>
      <c r="AB192" s="36">
        <v>17121</v>
      </c>
      <c r="AC192" s="36">
        <v>1012</v>
      </c>
      <c r="AD192" s="36">
        <v>266</v>
      </c>
      <c r="AE192" s="34">
        <v>4</v>
      </c>
    </row>
    <row r="193">
      <c r="A193" s="19"/>
      <c r="B193" s="20" t="s">
        <v>43</v>
      </c>
      <c r="C193" s="21" t="s">
        <v>34</v>
      </c>
      <c r="D193" s="22">
        <f t="shared" si="28"/>
      </c>
      <c r="E193" s="24">
        <v>539.27</v>
      </c>
      <c r="F193" s="24">
        <v>842.876</v>
      </c>
      <c r="G193" s="24">
        <v>160.439</v>
      </c>
      <c r="H193" s="25">
        <v>1</v>
      </c>
      <c r="I193" s="63">
        <v>400.2000000000007</v>
      </c>
      <c r="J193" s="27">
        <f t="shared" si="71"/>
      </c>
      <c r="K193" s="28">
        <f t="shared" si="95"/>
      </c>
      <c r="L193" s="29">
        <f t="shared" si="133"/>
      </c>
      <c r="M193" s="28">
        <f t="shared" si="114"/>
      </c>
      <c r="N193" s="28">
        <f t="shared" si="152"/>
      </c>
      <c r="O193" s="29">
        <f t="shared" si="171"/>
      </c>
      <c r="P193" s="28">
        <f t="shared" si="190"/>
      </c>
      <c r="Q193" s="28">
        <f t="shared" si="209"/>
      </c>
      <c r="R193" s="30">
        <f t="shared" si="228"/>
      </c>
      <c r="S193" s="31">
        <f t="shared" si="247"/>
      </c>
      <c r="T193" s="30">
        <f t="shared" si="266"/>
      </c>
      <c r="U193" s="30"/>
      <c r="V193" s="49" t="s">
        <v>35</v>
      </c>
      <c r="W193" s="33" t="s">
        <v>36</v>
      </c>
      <c r="X193" s="33"/>
      <c r="Y193" s="34">
        <v>1</v>
      </c>
      <c r="Z193" s="36">
        <v>29854</v>
      </c>
      <c r="AA193" s="36">
        <v>73</v>
      </c>
      <c r="AB193" s="36">
        <v>27113</v>
      </c>
      <c r="AC193" s="36">
        <v>1480</v>
      </c>
      <c r="AD193" s="36">
        <v>359</v>
      </c>
      <c r="AE193" s="34">
        <v>2</v>
      </c>
    </row>
    <row r="194">
      <c r="A194" s="19"/>
      <c r="B194" s="20" t="s">
        <v>45</v>
      </c>
      <c r="C194" s="21" t="s">
        <v>34</v>
      </c>
      <c r="D194" s="22">
        <f t="shared" si="28"/>
      </c>
      <c r="E194" s="24">
        <v>540.052</v>
      </c>
      <c r="F194" s="24">
        <v>1182.996</v>
      </c>
      <c r="G194" s="24">
        <v>143.493</v>
      </c>
      <c r="H194" s="25">
        <v>0</v>
      </c>
      <c r="I194" s="63">
        <v>0</v>
      </c>
      <c r="J194" s="27">
        <f t="shared" si="71"/>
      </c>
      <c r="K194" s="28">
        <f t="shared" si="95"/>
      </c>
      <c r="L194" s="29">
        <f t="shared" si="133"/>
      </c>
      <c r="M194" s="28">
        <f t="shared" si="114"/>
      </c>
      <c r="N194" s="28">
        <f t="shared" si="152"/>
      </c>
      <c r="O194" s="29">
        <f t="shared" si="171"/>
      </c>
      <c r="P194" s="28">
        <f t="shared" si="190"/>
      </c>
      <c r="Q194" s="28">
        <f t="shared" si="209"/>
      </c>
      <c r="R194" s="30">
        <f t="shared" si="228"/>
      </c>
      <c r="S194" s="31">
        <f t="shared" si="247"/>
      </c>
      <c r="T194" s="30">
        <f t="shared" si="266"/>
      </c>
      <c r="U194" s="30"/>
      <c r="V194" s="49" t="s">
        <v>35</v>
      </c>
      <c r="W194" s="33" t="s">
        <v>36</v>
      </c>
      <c r="X194" s="33"/>
      <c r="Y194" s="34">
        <v>0</v>
      </c>
      <c r="Z194" s="36">
        <v>41762</v>
      </c>
      <c r="AA194" s="36">
        <v>63</v>
      </c>
      <c r="AB194" s="36">
        <v>46088</v>
      </c>
      <c r="AC194" s="36">
        <v>2546</v>
      </c>
      <c r="AD194" s="36">
        <v>319</v>
      </c>
      <c r="AE194" s="34">
        <v>0</v>
      </c>
    </row>
    <row r="195">
      <c r="A195" s="19"/>
      <c r="B195" s="20" t="s">
        <v>46</v>
      </c>
      <c r="C195" s="21" t="s">
        <v>34</v>
      </c>
      <c r="D195" s="22">
        <f t="shared" si="28"/>
      </c>
      <c r="E195" s="24">
        <v>185.029</v>
      </c>
      <c r="F195" s="24">
        <v>943.273</v>
      </c>
      <c r="G195" s="24">
        <v>142.567</v>
      </c>
      <c r="H195" s="25">
        <v>3</v>
      </c>
      <c r="I195" s="63">
        <v>7527.479999999996</v>
      </c>
      <c r="J195" s="27">
        <f t="shared" si="71"/>
      </c>
      <c r="K195" s="28">
        <f t="shared" si="95"/>
      </c>
      <c r="L195" s="29">
        <f t="shared" si="133"/>
      </c>
      <c r="M195" s="28">
        <f t="shared" si="114"/>
      </c>
      <c r="N195" s="28">
        <f t="shared" si="152"/>
      </c>
      <c r="O195" s="29">
        <f t="shared" si="171"/>
      </c>
      <c r="P195" s="28">
        <f t="shared" si="190"/>
      </c>
      <c r="Q195" s="28">
        <f t="shared" si="209"/>
      </c>
      <c r="R195" s="30">
        <f t="shared" si="228"/>
      </c>
      <c r="S195" s="31">
        <f t="shared" si="247"/>
      </c>
      <c r="T195" s="30">
        <f t="shared" si="266"/>
      </c>
      <c r="U195" s="30"/>
      <c r="V195" s="49" t="s">
        <v>35</v>
      </c>
      <c r="W195" s="33" t="s">
        <v>36</v>
      </c>
      <c r="X195" s="33"/>
      <c r="Y195" s="34">
        <v>3</v>
      </c>
      <c r="Z195" s="36">
        <v>37241</v>
      </c>
      <c r="AA195" s="36">
        <v>89</v>
      </c>
      <c r="AB195" s="36">
        <v>19135</v>
      </c>
      <c r="AC195" s="36">
        <v>1118</v>
      </c>
      <c r="AD195" s="36">
        <v>239</v>
      </c>
      <c r="AE195" s="34">
        <v>3</v>
      </c>
    </row>
    <row r="196">
      <c r="A196" s="19"/>
      <c r="B196" s="20" t="s">
        <v>47</v>
      </c>
      <c r="C196" s="21" t="s">
        <v>34</v>
      </c>
      <c r="D196" s="22">
        <f t="shared" si="28"/>
      </c>
      <c r="E196" s="24">
        <f>192.024+0.04</f>
      </c>
      <c r="F196" s="24">
        <f>1063.01+0.209</f>
      </c>
      <c r="G196" s="24">
        <f>232.899+0.003+0.006+0.183</f>
      </c>
      <c r="H196" s="25">
        <v>3</v>
      </c>
      <c r="I196" s="63">
        <v>4754.640000000003</v>
      </c>
      <c r="J196" s="27">
        <f t="shared" si="71"/>
      </c>
      <c r="K196" s="28">
        <f t="shared" si="95"/>
      </c>
      <c r="L196" s="29">
        <f t="shared" si="133"/>
      </c>
      <c r="M196" s="28">
        <f t="shared" si="114"/>
      </c>
      <c r="N196" s="28">
        <f t="shared" si="152"/>
      </c>
      <c r="O196" s="29">
        <f t="shared" si="171"/>
      </c>
      <c r="P196" s="28">
        <f t="shared" si="190"/>
      </c>
      <c r="Q196" s="28">
        <f t="shared" si="209"/>
      </c>
      <c r="R196" s="30">
        <f t="shared" si="228"/>
      </c>
      <c r="S196" s="31">
        <f t="shared" si="247"/>
      </c>
      <c r="T196" s="30">
        <f t="shared" si="266"/>
      </c>
      <c r="U196" s="30"/>
      <c r="V196" s="49" t="s">
        <v>35</v>
      </c>
      <c r="W196" s="33" t="s">
        <v>36</v>
      </c>
      <c r="X196" s="33"/>
      <c r="Y196" s="34">
        <v>3</v>
      </c>
      <c r="Z196" s="36">
        <v>46358</v>
      </c>
      <c r="AA196" s="36">
        <v>106</v>
      </c>
      <c r="AB196" s="36">
        <v>25233</v>
      </c>
      <c r="AC196" s="36">
        <v>1588</v>
      </c>
      <c r="AD196" s="36">
        <v>222</v>
      </c>
      <c r="AE196" s="34">
        <v>3</v>
      </c>
    </row>
    <row r="197">
      <c r="A197" s="19"/>
      <c r="B197" s="38" t="s">
        <v>42</v>
      </c>
      <c r="C197" s="38"/>
      <c r="D197" s="73">
        <f>SUM(D192:D196)</f>
      </c>
      <c r="E197" s="73">
        <f>SUM(E192:E196)</f>
      </c>
      <c r="F197" s="73">
        <f>SUM(F192:F196)</f>
      </c>
      <c r="G197" s="73">
        <f>SUM(G192:G196)</f>
      </c>
      <c r="H197" s="40">
        <f>SUM(H192:H196)</f>
      </c>
      <c r="I197" s="62">
        <f>SUM(I192:I196)</f>
      </c>
      <c r="J197" s="42">
        <f t="shared" si="71"/>
      </c>
      <c r="K197" s="43">
        <f t="shared" si="95"/>
      </c>
      <c r="L197" s="44">
        <f t="shared" si="133"/>
      </c>
      <c r="M197" s="43">
        <f t="shared" si="114"/>
      </c>
      <c r="N197" s="43">
        <f t="shared" si="152"/>
      </c>
      <c r="O197" s="44">
        <f t="shared" si="171"/>
      </c>
      <c r="P197" s="43">
        <f t="shared" si="190"/>
      </c>
      <c r="Q197" s="43">
        <f t="shared" si="209"/>
      </c>
      <c r="R197" s="45">
        <f t="shared" si="228"/>
      </c>
      <c r="S197" s="46">
        <f t="shared" si="247"/>
      </c>
      <c r="T197" s="45">
        <f t="shared" si="266"/>
      </c>
      <c r="U197" s="45"/>
      <c r="V197" s="47"/>
      <c r="W197" s="47"/>
      <c r="X197" s="47"/>
      <c r="Y197" s="48">
        <f>SUM(Y192:Y196)</f>
      </c>
      <c r="Z197" s="48">
        <f>SUM(Z192:Z196)</f>
      </c>
      <c r="AA197" s="48">
        <f>SUM(AA192:AA196)</f>
      </c>
      <c r="AB197" s="48">
        <f>SUM(AB192:AB196)</f>
      </c>
      <c r="AC197" s="48">
        <f>SUM(AC192:AC196)</f>
      </c>
      <c r="AD197" s="48">
        <f>SUM(AD192:AD196)</f>
      </c>
      <c r="AE197" s="48">
        <f>SUM(AE192:AE196)</f>
      </c>
    </row>
    <row r="198">
      <c r="A198" s="19"/>
      <c r="B198" s="70" t="s">
        <v>49</v>
      </c>
      <c r="C198" s="70"/>
      <c r="D198" s="74">
        <f>D197+D191+D185</f>
      </c>
      <c r="E198" s="74">
        <f>E197+E191+E185</f>
      </c>
      <c r="F198" s="74">
        <f>F197+F191+F185</f>
      </c>
      <c r="G198" s="74">
        <f>G197+G191+G185</f>
      </c>
      <c r="H198" s="75">
        <f>H197+H191+H185</f>
      </c>
      <c r="I198" s="60">
        <f>I197+I191+I185</f>
      </c>
      <c r="J198" s="54">
        <f t="shared" si="71"/>
      </c>
      <c r="K198" s="55">
        <f t="shared" si="95"/>
      </c>
      <c r="L198" s="54">
        <f t="shared" si="133"/>
      </c>
      <c r="M198" s="55">
        <f t="shared" si="114"/>
      </c>
      <c r="N198" s="55">
        <f t="shared" si="152"/>
      </c>
      <c r="O198" s="54">
        <f t="shared" si="171"/>
      </c>
      <c r="P198" s="55">
        <f t="shared" si="190"/>
      </c>
      <c r="Q198" s="55">
        <f t="shared" si="209"/>
      </c>
      <c r="R198" s="54">
        <f t="shared" si="228"/>
      </c>
      <c r="S198" s="56">
        <f t="shared" si="247"/>
      </c>
      <c r="T198" s="54">
        <f t="shared" si="266"/>
      </c>
      <c r="U198" s="54"/>
      <c r="V198" s="57"/>
      <c r="W198" s="57"/>
      <c r="X198" s="57"/>
      <c r="Y198" s="53">
        <f>Y197+Y191+Y185</f>
      </c>
      <c r="Z198" s="53">
        <f>Z197+Z191+Z185</f>
      </c>
      <c r="AA198" s="53">
        <f>AA197+AA191+AA185</f>
      </c>
      <c r="AB198" s="53">
        <f>AB197+AB191+AB185</f>
      </c>
      <c r="AC198" s="53">
        <f>AC197+AC191+AC185</f>
      </c>
      <c r="AD198" s="53">
        <f>AD197+AD191+AD185</f>
      </c>
      <c r="AE198" s="53">
        <f>AE197+AE191+AE185</f>
      </c>
    </row>
    <row customHeight="true" ht="18.452380952380953" r="199">
      <c r="A199" s="1" t="s">
        <v>1</v>
      </c>
      <c r="B199" s="1"/>
      <c r="C199" s="1"/>
      <c r="D199" s="2" t="s">
        <v>2</v>
      </c>
      <c r="E199" s="2"/>
      <c r="F199" s="2"/>
      <c r="G199" s="2"/>
      <c r="H199" s="2"/>
      <c r="I199" s="2"/>
      <c r="J199" s="2"/>
      <c r="K199" s="3" t="s">
        <v>3</v>
      </c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4"/>
      <c r="W199" s="4"/>
      <c r="X199" s="4"/>
      <c r="Y199" s="5"/>
      <c r="Z199" s="5"/>
      <c r="AA199" s="5"/>
      <c r="AB199" s="5"/>
      <c r="AC199" s="5"/>
      <c r="AD199" s="5"/>
      <c r="AE199" s="5"/>
    </row>
    <row customHeight="true" ht="18.452380952380953" r="200">
      <c r="A200" s="6" t="s">
        <v>4</v>
      </c>
      <c r="B200" s="7" t="s">
        <v>5</v>
      </c>
      <c r="C200" s="7" t="s">
        <v>6</v>
      </c>
      <c r="D200" s="8" t="s">
        <v>7</v>
      </c>
      <c r="E200" s="9" t="s">
        <v>8</v>
      </c>
      <c r="F200" s="9" t="s">
        <v>9</v>
      </c>
      <c r="G200" s="10" t="s">
        <v>10</v>
      </c>
      <c r="H200" s="11" t="s">
        <v>11</v>
      </c>
      <c r="I200" s="11" t="s">
        <v>12</v>
      </c>
      <c r="J200" s="12" t="s">
        <v>13</v>
      </c>
      <c r="K200" s="3" t="s">
        <v>14</v>
      </c>
      <c r="L200" s="3" t="s">
        <v>15</v>
      </c>
      <c r="M200" s="13" t="s">
        <v>16</v>
      </c>
      <c r="N200" s="13" t="s">
        <v>17</v>
      </c>
      <c r="O200" s="3" t="s">
        <v>18</v>
      </c>
      <c r="P200" s="13" t="s">
        <v>19</v>
      </c>
      <c r="Q200" s="13" t="s">
        <v>20</v>
      </c>
      <c r="R200" s="14" t="s">
        <v>21</v>
      </c>
      <c r="S200" s="13" t="s">
        <v>22</v>
      </c>
      <c r="T200" s="14" t="s">
        <v>23</v>
      </c>
      <c r="U200" s="14"/>
      <c r="V200" s="15" t="s">
        <v>24</v>
      </c>
      <c r="W200" s="15" t="s">
        <v>25</v>
      </c>
      <c r="X200" s="15"/>
      <c r="Y200" s="16" t="s">
        <v>26</v>
      </c>
      <c r="Z200" s="17" t="s">
        <v>27</v>
      </c>
      <c r="AA200" s="17" t="s">
        <v>28</v>
      </c>
      <c r="AB200" s="17" t="s">
        <v>29</v>
      </c>
      <c r="AC200" s="17" t="s">
        <v>30</v>
      </c>
      <c r="AD200" s="17" t="s">
        <v>31</v>
      </c>
      <c r="AE200" s="18" t="s">
        <v>32</v>
      </c>
    </row>
    <row customHeight="true" ht="18.452380952380953" r="201">
      <c r="A201" s="19">
        <v>46306</v>
      </c>
      <c r="B201" s="20" t="s">
        <v>58</v>
      </c>
      <c r="C201" s="21" t="s">
        <v>34</v>
      </c>
      <c r="D201" s="37">
        <f t="shared" ref="D201:D205" si="29">E201+F201+G201</f>
      </c>
      <c r="E201" s="24">
        <v>131.92</v>
      </c>
      <c r="F201" s="24">
        <v>1018.409</v>
      </c>
      <c r="G201" s="24">
        <v>229.762</v>
      </c>
      <c r="H201" s="25">
        <v>0</v>
      </c>
      <c r="I201" s="63">
        <v>0</v>
      </c>
      <c r="J201" s="27">
        <f t="shared" ref="J201:J219" si="72">I201/D201</f>
      </c>
      <c r="K201" s="28">
        <f t="shared" ref="K201:K219" si="96">AA201/Z201</f>
      </c>
      <c r="L201" s="29">
        <f t="shared" ref="L201:L219" si="134">D201/AB201</f>
      </c>
      <c r="M201" s="28">
        <f t="shared" ref="M201:M219" si="115">AC201/AB201</f>
      </c>
      <c r="N201" s="28">
        <f t="shared" ref="N201:N219" si="153">AD201/AB201</f>
      </c>
      <c r="O201" s="29">
        <f t="shared" ref="O201:O219" si="172">D201/AD201</f>
      </c>
      <c r="P201" s="28">
        <f t="shared" ref="P201:P219" si="191">AE201/AD201</f>
      </c>
      <c r="Q201" s="28">
        <f t="shared" ref="Q201:Q219" si="210">H201/AE201</f>
      </c>
      <c r="R201" s="30">
        <f t="shared" ref="R201:R219" si="229">D201/H201</f>
      </c>
      <c r="S201" s="31">
        <f t="shared" ref="S201:S219" si="248">I201/H201</f>
      </c>
      <c r="T201" s="30">
        <f t="shared" ref="T201:T219" si="267">D201/Y201</f>
      </c>
      <c r="U201" s="30"/>
      <c r="V201" s="32" t="s">
        <v>35</v>
      </c>
      <c r="W201" s="33" t="s">
        <v>39</v>
      </c>
      <c r="X201" s="33"/>
      <c r="Y201" s="34">
        <v>0</v>
      </c>
      <c r="Z201" s="35">
        <v>27870</v>
      </c>
      <c r="AA201" s="36">
        <v>51</v>
      </c>
      <c r="AB201" s="34">
        <v>22834</v>
      </c>
      <c r="AC201" s="34">
        <v>1863</v>
      </c>
      <c r="AD201" s="34">
        <v>155</v>
      </c>
      <c r="AE201" s="34">
        <v>1</v>
      </c>
    </row>
    <row customHeight="true" ht="18.452380952380953" r="202">
      <c r="A202" s="19"/>
      <c r="B202" s="20" t="s">
        <v>56</v>
      </c>
      <c r="C202" s="21" t="s">
        <v>34</v>
      </c>
      <c r="D202" s="37">
        <f t="shared" si="29"/>
      </c>
      <c r="E202" s="24">
        <v>81.016</v>
      </c>
      <c r="F202" s="24">
        <v>1119.289</v>
      </c>
      <c r="G202" s="24">
        <v>330.966</v>
      </c>
      <c r="H202" s="25">
        <v>5</v>
      </c>
      <c r="I202" s="63">
        <v>7886.160000000001</v>
      </c>
      <c r="J202" s="27">
        <f t="shared" si="72"/>
      </c>
      <c r="K202" s="28">
        <f t="shared" si="96"/>
      </c>
      <c r="L202" s="29">
        <f t="shared" si="134"/>
      </c>
      <c r="M202" s="28">
        <f t="shared" si="115"/>
      </c>
      <c r="N202" s="28">
        <f t="shared" si="153"/>
      </c>
      <c r="O202" s="29">
        <f t="shared" si="172"/>
      </c>
      <c r="P202" s="28">
        <f t="shared" si="191"/>
      </c>
      <c r="Q202" s="28">
        <f t="shared" si="210"/>
      </c>
      <c r="R202" s="30">
        <f t="shared" si="229"/>
      </c>
      <c r="S202" s="31">
        <f t="shared" si="248"/>
      </c>
      <c r="T202" s="30">
        <f t="shared" si="267"/>
      </c>
      <c r="U202" s="30"/>
      <c r="V202" s="32" t="s">
        <v>35</v>
      </c>
      <c r="W202" s="33" t="s">
        <v>39</v>
      </c>
      <c r="X202" s="33"/>
      <c r="Y202" s="34">
        <v>4</v>
      </c>
      <c r="Z202" s="35">
        <v>27805</v>
      </c>
      <c r="AA202" s="36">
        <v>55</v>
      </c>
      <c r="AB202" s="34">
        <v>28467</v>
      </c>
      <c r="AC202" s="34">
        <v>2364</v>
      </c>
      <c r="AD202" s="34">
        <v>193</v>
      </c>
      <c r="AE202" s="34">
        <v>8</v>
      </c>
    </row>
    <row customHeight="true" ht="18.452380952380953" r="203">
      <c r="A203" s="19"/>
      <c r="B203" s="20" t="s">
        <v>57</v>
      </c>
      <c r="C203" s="21" t="s">
        <v>34</v>
      </c>
      <c r="D203" s="37">
        <f t="shared" si="29"/>
      </c>
      <c r="E203" s="24">
        <v>65.529</v>
      </c>
      <c r="F203" s="24">
        <v>1659.376</v>
      </c>
      <c r="G203" s="24">
        <v>434.56</v>
      </c>
      <c r="H203" s="25">
        <v>4</v>
      </c>
      <c r="I203" s="63">
        <v>10283.760000000002</v>
      </c>
      <c r="J203" s="27">
        <f t="shared" si="72"/>
      </c>
      <c r="K203" s="28">
        <f t="shared" si="96"/>
      </c>
      <c r="L203" s="29">
        <f t="shared" si="134"/>
      </c>
      <c r="M203" s="28">
        <f t="shared" si="115"/>
      </c>
      <c r="N203" s="28">
        <f t="shared" si="153"/>
      </c>
      <c r="O203" s="29">
        <f t="shared" si="172"/>
      </c>
      <c r="P203" s="28">
        <f t="shared" si="191"/>
      </c>
      <c r="Q203" s="28">
        <f t="shared" si="210"/>
      </c>
      <c r="R203" s="30">
        <f t="shared" si="229"/>
      </c>
      <c r="S203" s="31">
        <f t="shared" si="248"/>
      </c>
      <c r="T203" s="30">
        <f t="shared" si="267"/>
      </c>
      <c r="U203" s="30"/>
      <c r="V203" s="32" t="s">
        <v>35</v>
      </c>
      <c r="W203" s="33" t="s">
        <v>39</v>
      </c>
      <c r="X203" s="33"/>
      <c r="Y203" s="34">
        <v>3</v>
      </c>
      <c r="Z203" s="35">
        <v>43291</v>
      </c>
      <c r="AA203" s="36">
        <v>36</v>
      </c>
      <c r="AB203" s="34">
        <v>53376</v>
      </c>
      <c r="AC203" s="34">
        <v>4597</v>
      </c>
      <c r="AD203" s="34">
        <v>241</v>
      </c>
      <c r="AE203" s="34">
        <v>6</v>
      </c>
    </row>
    <row customHeight="true" ht="18.452380952380953" r="204">
      <c r="A204" s="19"/>
      <c r="B204" s="20" t="s">
        <v>50</v>
      </c>
      <c r="C204" s="21" t="s">
        <v>34</v>
      </c>
      <c r="D204" s="37">
        <f t="shared" si="29"/>
      </c>
      <c r="E204" s="24">
        <v>111.337</v>
      </c>
      <c r="F204" s="24">
        <v>1166.347</v>
      </c>
      <c r="G204" s="24">
        <v>450.68</v>
      </c>
      <c r="H204" s="25">
        <v>2</v>
      </c>
      <c r="I204" s="63">
        <v>4916.880000000001</v>
      </c>
      <c r="J204" s="27">
        <f t="shared" si="72"/>
      </c>
      <c r="K204" s="28">
        <f t="shared" si="96"/>
      </c>
      <c r="L204" s="29">
        <f t="shared" si="134"/>
      </c>
      <c r="M204" s="28">
        <f t="shared" si="115"/>
      </c>
      <c r="N204" s="28">
        <f t="shared" si="153"/>
      </c>
      <c r="O204" s="29">
        <f t="shared" si="172"/>
      </c>
      <c r="P204" s="28">
        <f t="shared" si="191"/>
      </c>
      <c r="Q204" s="28">
        <f t="shared" si="210"/>
      </c>
      <c r="R204" s="30">
        <f t="shared" si="229"/>
      </c>
      <c r="S204" s="31">
        <f t="shared" si="248"/>
      </c>
      <c r="T204" s="30">
        <f t="shared" si="267"/>
      </c>
      <c r="U204" s="30"/>
      <c r="V204" s="32" t="s">
        <v>35</v>
      </c>
      <c r="W204" s="33" t="s">
        <v>39</v>
      </c>
      <c r="X204" s="33"/>
      <c r="Y204" s="34">
        <v>2</v>
      </c>
      <c r="Z204" s="35">
        <v>35326</v>
      </c>
      <c r="AA204" s="36">
        <v>34</v>
      </c>
      <c r="AB204" s="34">
        <v>38508</v>
      </c>
      <c r="AC204" s="34">
        <v>2802</v>
      </c>
      <c r="AD204" s="34">
        <v>174</v>
      </c>
      <c r="AE204" s="34">
        <v>2</v>
      </c>
    </row>
    <row customHeight="true" ht="18.452380952380953" r="205">
      <c r="A205" s="19"/>
      <c r="B205" s="20" t="s">
        <v>51</v>
      </c>
      <c r="C205" s="21" t="s">
        <v>34</v>
      </c>
      <c r="D205" s="37">
        <f t="shared" si="29"/>
      </c>
      <c r="E205" s="24">
        <v>97.479</v>
      </c>
      <c r="F205" s="24">
        <v>1336.008</v>
      </c>
      <c r="G205" s="24">
        <v>412.257</v>
      </c>
      <c r="H205" s="25">
        <v>2</v>
      </c>
      <c r="I205" s="63">
        <v>3222.720000000001</v>
      </c>
      <c r="J205" s="27">
        <f t="shared" si="72"/>
      </c>
      <c r="K205" s="28">
        <f t="shared" si="96"/>
      </c>
      <c r="L205" s="29">
        <f t="shared" si="134"/>
      </c>
      <c r="M205" s="28">
        <f t="shared" si="115"/>
      </c>
      <c r="N205" s="28">
        <f t="shared" si="153"/>
      </c>
      <c r="O205" s="29">
        <f t="shared" si="172"/>
      </c>
      <c r="P205" s="28">
        <f t="shared" si="191"/>
      </c>
      <c r="Q205" s="28">
        <f t="shared" si="210"/>
      </c>
      <c r="R205" s="30">
        <f t="shared" si="229"/>
      </c>
      <c r="S205" s="31">
        <f t="shared" si="248"/>
      </c>
      <c r="T205" s="30">
        <f t="shared" si="267"/>
      </c>
      <c r="U205" s="30"/>
      <c r="V205" s="32" t="s">
        <v>35</v>
      </c>
      <c r="W205" s="33" t="s">
        <v>39</v>
      </c>
      <c r="X205" s="33"/>
      <c r="Y205" s="34">
        <v>1</v>
      </c>
      <c r="Z205" s="36">
        <v>49137</v>
      </c>
      <c r="AA205" s="36">
        <v>44</v>
      </c>
      <c r="AB205" s="36">
        <v>40538</v>
      </c>
      <c r="AC205" s="36">
        <v>3076</v>
      </c>
      <c r="AD205" s="34">
        <v>231</v>
      </c>
      <c r="AE205" s="34">
        <v>3</v>
      </c>
    </row>
    <row customHeight="true" ht="18.452380952380953" r="206">
      <c r="A206" s="19"/>
      <c r="B206" s="38" t="s">
        <v>42</v>
      </c>
      <c r="C206" s="38"/>
      <c r="D206" s="61">
        <f>SUM(D201:D205)</f>
      </c>
      <c r="E206" s="61">
        <f>SUM(E201:E205)</f>
      </c>
      <c r="F206" s="61">
        <f>SUM(F201:F205)</f>
      </c>
      <c r="G206" s="61">
        <f>SUM(G201:G205)</f>
      </c>
      <c r="H206" s="40">
        <f>SUM(H201:H205)</f>
      </c>
      <c r="I206" s="62">
        <f>SUM(I201:I205)</f>
      </c>
      <c r="J206" s="42">
        <f t="shared" si="72"/>
      </c>
      <c r="K206" s="43">
        <f t="shared" si="96"/>
      </c>
      <c r="L206" s="44">
        <f t="shared" si="134"/>
      </c>
      <c r="M206" s="43">
        <f t="shared" si="115"/>
      </c>
      <c r="N206" s="43">
        <f t="shared" si="153"/>
      </c>
      <c r="O206" s="44">
        <f t="shared" si="172"/>
      </c>
      <c r="P206" s="43">
        <f t="shared" si="191"/>
      </c>
      <c r="Q206" s="43">
        <f t="shared" si="210"/>
      </c>
      <c r="R206" s="45">
        <f t="shared" si="229"/>
      </c>
      <c r="S206" s="46">
        <f t="shared" si="248"/>
      </c>
      <c r="T206" s="45">
        <f t="shared" si="267"/>
      </c>
      <c r="U206" s="45"/>
      <c r="V206" s="47"/>
      <c r="W206" s="47"/>
      <c r="X206" s="47"/>
      <c r="Y206" s="48">
        <f>SUM(Y201:Y205)</f>
      </c>
      <c r="Z206" s="48">
        <f>SUM(Z201:Z205)</f>
      </c>
      <c r="AA206" s="48">
        <f>SUM(AA201:AA205)</f>
      </c>
      <c r="AB206" s="48">
        <f>SUM(AB201:AB205)</f>
      </c>
      <c r="AC206" s="48">
        <f>SUM(AC201:AC205)</f>
      </c>
      <c r="AD206" s="48">
        <f>SUM(AD201:AD205)</f>
      </c>
      <c r="AE206" s="48">
        <f>SUM(AE201:AE205)</f>
      </c>
    </row>
    <row customHeight="true" ht="18.452380952380953" r="207">
      <c r="A207" s="19"/>
      <c r="B207" s="20" t="s">
        <v>33</v>
      </c>
      <c r="C207" s="21" t="s">
        <v>52</v>
      </c>
      <c r="D207" s="37">
        <f t="shared" ref="D207:D211" si="30">E207+F207+G207</f>
      </c>
      <c r="E207" s="24">
        <v>131.071</v>
      </c>
      <c r="F207" s="24">
        <v>1776.14</v>
      </c>
      <c r="G207" s="24">
        <v>745.725</v>
      </c>
      <c r="H207" s="25">
        <v>0</v>
      </c>
      <c r="I207" s="63">
        <v>0</v>
      </c>
      <c r="J207" s="27">
        <f t="shared" si="72"/>
      </c>
      <c r="K207" s="28">
        <f t="shared" si="96"/>
      </c>
      <c r="L207" s="29">
        <f t="shared" si="134"/>
      </c>
      <c r="M207" s="28">
        <f t="shared" si="115"/>
      </c>
      <c r="N207" s="28">
        <f t="shared" si="153"/>
      </c>
      <c r="O207" s="29">
        <f t="shared" si="172"/>
      </c>
      <c r="P207" s="28">
        <f t="shared" si="191"/>
      </c>
      <c r="Q207" s="28">
        <f t="shared" si="210"/>
      </c>
      <c r="R207" s="30">
        <f t="shared" si="229"/>
      </c>
      <c r="S207" s="31">
        <f t="shared" si="248"/>
      </c>
      <c r="T207" s="30">
        <f t="shared" si="267"/>
      </c>
      <c r="U207" s="30"/>
      <c r="V207" s="32" t="s">
        <v>35</v>
      </c>
      <c r="W207" s="33" t="s">
        <v>39</v>
      </c>
      <c r="X207" s="33"/>
      <c r="Y207" s="34">
        <v>0</v>
      </c>
      <c r="Z207" s="35">
        <v>65928</v>
      </c>
      <c r="AA207" s="36">
        <v>86</v>
      </c>
      <c r="AB207" s="34">
        <v>50956</v>
      </c>
      <c r="AC207" s="34">
        <v>3782</v>
      </c>
      <c r="AD207" s="34">
        <v>298</v>
      </c>
      <c r="AE207" s="34">
        <v>1</v>
      </c>
    </row>
    <row customHeight="true" ht="18.452380952380953" r="208">
      <c r="A208" s="19"/>
      <c r="B208" s="20" t="s">
        <v>37</v>
      </c>
      <c r="C208" s="21" t="s">
        <v>52</v>
      </c>
      <c r="D208" s="37">
        <f t="shared" si="30"/>
      </c>
      <c r="E208" s="24">
        <v>101.048</v>
      </c>
      <c r="F208" s="24">
        <v>748.439</v>
      </c>
      <c r="G208" s="24">
        <v>828.635</v>
      </c>
      <c r="H208" s="25">
        <v>0</v>
      </c>
      <c r="I208" s="63">
        <v>0</v>
      </c>
      <c r="J208" s="27">
        <f t="shared" si="72"/>
      </c>
      <c r="K208" s="28">
        <f t="shared" si="96"/>
      </c>
      <c r="L208" s="29">
        <f t="shared" si="134"/>
      </c>
      <c r="M208" s="28">
        <f t="shared" si="115"/>
      </c>
      <c r="N208" s="28">
        <f t="shared" si="153"/>
      </c>
      <c r="O208" s="29">
        <f t="shared" si="172"/>
      </c>
      <c r="P208" s="28">
        <f t="shared" si="191"/>
      </c>
      <c r="Q208" s="28">
        <f t="shared" si="210"/>
      </c>
      <c r="R208" s="30">
        <f t="shared" si="229"/>
      </c>
      <c r="S208" s="31">
        <f t="shared" si="248"/>
      </c>
      <c r="T208" s="30">
        <f t="shared" si="267"/>
      </c>
      <c r="U208" s="30"/>
      <c r="V208" s="32" t="s">
        <v>35</v>
      </c>
      <c r="W208" s="33" t="s">
        <v>39</v>
      </c>
      <c r="X208" s="33"/>
      <c r="Y208" s="34">
        <v>0</v>
      </c>
      <c r="Z208" s="36">
        <v>46208</v>
      </c>
      <c r="AA208" s="36">
        <v>87</v>
      </c>
      <c r="AB208" s="34">
        <v>27238</v>
      </c>
      <c r="AC208" s="34">
        <v>1985</v>
      </c>
      <c r="AD208" s="34">
        <v>213</v>
      </c>
      <c r="AE208" s="34">
        <v>0</v>
      </c>
    </row>
    <row customHeight="true" ht="18.452380952380953" r="209">
      <c r="A209" s="19"/>
      <c r="B209" s="20" t="s">
        <v>38</v>
      </c>
      <c r="C209" s="21" t="s">
        <v>52</v>
      </c>
      <c r="D209" s="37">
        <f t="shared" si="30"/>
      </c>
      <c r="E209" s="24">
        <v>94.424</v>
      </c>
      <c r="F209" s="24">
        <v>465.266</v>
      </c>
      <c r="G209" s="24">
        <v>639.712</v>
      </c>
      <c r="H209" s="25">
        <v>1</v>
      </c>
      <c r="I209" s="63">
        <v>207</v>
      </c>
      <c r="J209" s="27">
        <f t="shared" si="72"/>
      </c>
      <c r="K209" s="28">
        <f t="shared" si="96"/>
      </c>
      <c r="L209" s="29">
        <f t="shared" si="134"/>
      </c>
      <c r="M209" s="28">
        <f t="shared" si="115"/>
      </c>
      <c r="N209" s="28">
        <f t="shared" si="153"/>
      </c>
      <c r="O209" s="29">
        <f t="shared" si="172"/>
      </c>
      <c r="P209" s="28">
        <f t="shared" si="191"/>
      </c>
      <c r="Q209" s="28">
        <f t="shared" si="210"/>
      </c>
      <c r="R209" s="30">
        <f t="shared" si="229"/>
      </c>
      <c r="S209" s="31">
        <f t="shared" si="248"/>
      </c>
      <c r="T209" s="30">
        <f t="shared" si="267"/>
      </c>
      <c r="U209" s="30"/>
      <c r="V209" s="32" t="s">
        <v>35</v>
      </c>
      <c r="W209" s="33" t="s">
        <v>36</v>
      </c>
      <c r="X209" s="33"/>
      <c r="Y209" s="34">
        <v>1</v>
      </c>
      <c r="Z209" s="35">
        <v>32683</v>
      </c>
      <c r="AA209" s="36">
        <v>60</v>
      </c>
      <c r="AB209" s="34">
        <v>15253</v>
      </c>
      <c r="AC209" s="34">
        <v>1214</v>
      </c>
      <c r="AD209" s="34">
        <v>149</v>
      </c>
      <c r="AE209" s="34">
        <v>1</v>
      </c>
    </row>
    <row customHeight="true" ht="18.452380952380953" r="210">
      <c r="A210" s="19"/>
      <c r="B210" s="20" t="s">
        <v>40</v>
      </c>
      <c r="C210" s="21" t="s">
        <v>52</v>
      </c>
      <c r="D210" s="37">
        <f t="shared" si="30"/>
      </c>
      <c r="E210" s="24">
        <v>98.196</v>
      </c>
      <c r="F210" s="24">
        <v>735.947</v>
      </c>
      <c r="G210" s="24">
        <v>670.793</v>
      </c>
      <c r="H210" s="25">
        <v>2</v>
      </c>
      <c r="I210" s="63">
        <v>1308.3600000000006</v>
      </c>
      <c r="J210" s="27">
        <f t="shared" si="72"/>
      </c>
      <c r="K210" s="28">
        <f t="shared" si="96"/>
      </c>
      <c r="L210" s="29">
        <f t="shared" si="134"/>
      </c>
      <c r="M210" s="28">
        <f t="shared" si="115"/>
      </c>
      <c r="N210" s="28">
        <f t="shared" si="153"/>
      </c>
      <c r="O210" s="29">
        <f t="shared" si="172"/>
      </c>
      <c r="P210" s="28">
        <f t="shared" si="191"/>
      </c>
      <c r="Q210" s="28">
        <f t="shared" si="210"/>
      </c>
      <c r="R210" s="30">
        <f t="shared" si="229"/>
      </c>
      <c r="S210" s="31">
        <f t="shared" si="248"/>
      </c>
      <c r="T210" s="30">
        <f t="shared" si="267"/>
      </c>
      <c r="U210" s="30"/>
      <c r="V210" s="32" t="s">
        <v>35</v>
      </c>
      <c r="W210" s="33" t="s">
        <v>36</v>
      </c>
      <c r="X210" s="33"/>
      <c r="Y210" s="34">
        <v>1</v>
      </c>
      <c r="Z210" s="35">
        <v>44316</v>
      </c>
      <c r="AA210" s="36">
        <v>77</v>
      </c>
      <c r="AB210" s="36">
        <v>26449</v>
      </c>
      <c r="AC210" s="36">
        <v>2157</v>
      </c>
      <c r="AD210" s="34">
        <v>205</v>
      </c>
      <c r="AE210" s="34">
        <v>2</v>
      </c>
    </row>
    <row customHeight="true" ht="18.452380952380953" r="211">
      <c r="A211" s="19"/>
      <c r="B211" s="20" t="s">
        <v>41</v>
      </c>
      <c r="C211" s="21" t="s">
        <v>52</v>
      </c>
      <c r="D211" s="37">
        <f t="shared" si="30"/>
      </c>
      <c r="E211" s="24">
        <v>115.476</v>
      </c>
      <c r="F211" s="24">
        <v>687.939</v>
      </c>
      <c r="G211" s="24">
        <v>1046.476</v>
      </c>
      <c r="H211" s="25">
        <v>1</v>
      </c>
      <c r="I211" s="63">
        <v>1174.079999999998</v>
      </c>
      <c r="J211" s="27">
        <f t="shared" si="72"/>
      </c>
      <c r="K211" s="28">
        <f t="shared" si="96"/>
      </c>
      <c r="L211" s="29">
        <f t="shared" si="134"/>
      </c>
      <c r="M211" s="28">
        <f t="shared" si="115"/>
      </c>
      <c r="N211" s="28">
        <f t="shared" si="153"/>
      </c>
      <c r="O211" s="29">
        <f t="shared" si="172"/>
      </c>
      <c r="P211" s="28">
        <f t="shared" si="191"/>
      </c>
      <c r="Q211" s="28">
        <f t="shared" si="210"/>
      </c>
      <c r="R211" s="30">
        <f t="shared" si="229"/>
      </c>
      <c r="S211" s="31">
        <f t="shared" si="248"/>
      </c>
      <c r="T211" s="30">
        <f t="shared" si="267"/>
      </c>
      <c r="U211" s="30"/>
      <c r="V211" s="32" t="s">
        <v>35</v>
      </c>
      <c r="W211" s="33" t="s">
        <v>36</v>
      </c>
      <c r="X211" s="33"/>
      <c r="Y211" s="34">
        <v>1</v>
      </c>
      <c r="Z211" s="36">
        <v>51606</v>
      </c>
      <c r="AA211" s="36">
        <v>90</v>
      </c>
      <c r="AB211" s="36">
        <v>31230</v>
      </c>
      <c r="AC211" s="36">
        <v>2071</v>
      </c>
      <c r="AD211" s="34">
        <v>232</v>
      </c>
      <c r="AE211" s="34">
        <v>1</v>
      </c>
    </row>
    <row customHeight="true" ht="18.452380952380953" r="212">
      <c r="A212" s="19"/>
      <c r="B212" s="38" t="s">
        <v>42</v>
      </c>
      <c r="C212" s="38"/>
      <c r="D212" s="61">
        <f>SUM(D207:D211)</f>
      </c>
      <c r="E212" s="61">
        <f>SUM(E207:E211)</f>
      </c>
      <c r="F212" s="61">
        <f>SUM(F207:F211)</f>
      </c>
      <c r="G212" s="61">
        <f>SUM(G207:G211)</f>
      </c>
      <c r="H212" s="40">
        <f>SUM(H207:H211)</f>
      </c>
      <c r="I212" s="62">
        <f>SUM(I207:I211)</f>
      </c>
      <c r="J212" s="42">
        <f t="shared" si="72"/>
      </c>
      <c r="K212" s="43">
        <f t="shared" si="96"/>
      </c>
      <c r="L212" s="44">
        <f t="shared" si="134"/>
      </c>
      <c r="M212" s="43">
        <f t="shared" si="115"/>
      </c>
      <c r="N212" s="43">
        <f t="shared" si="153"/>
      </c>
      <c r="O212" s="44">
        <f t="shared" si="172"/>
      </c>
      <c r="P212" s="43">
        <f t="shared" si="191"/>
      </c>
      <c r="Q212" s="43">
        <f t="shared" si="210"/>
      </c>
      <c r="R212" s="45">
        <f t="shared" si="229"/>
      </c>
      <c r="S212" s="46">
        <f t="shared" si="248"/>
      </c>
      <c r="T212" s="45">
        <f t="shared" si="267"/>
      </c>
      <c r="U212" s="45"/>
      <c r="V212" s="47"/>
      <c r="W212" s="47"/>
      <c r="X212" s="47"/>
      <c r="Y212" s="48">
        <f>SUM(Y207:Y211)</f>
      </c>
      <c r="Z212" s="59">
        <f>SUM(Z207:Z211)</f>
      </c>
      <c r="AA212" s="59">
        <f>SUM(AA207:AA211)</f>
      </c>
      <c r="AB212" s="59">
        <f>SUM(AB207:AB211)</f>
      </c>
      <c r="AC212" s="59">
        <f>SUM(AC207:AC211)</f>
      </c>
      <c r="AD212" s="59">
        <f>SUM(AD207:AD211)</f>
      </c>
      <c r="AE212" s="59">
        <f>SUM(AE207:AE211)</f>
      </c>
    </row>
    <row customHeight="true" ht="18.452380952380953" r="213">
      <c r="A213" s="19"/>
      <c r="B213" s="20" t="s">
        <v>53</v>
      </c>
      <c r="C213" s="21" t="s">
        <v>44</v>
      </c>
      <c r="D213" s="22">
        <f t="shared" ref="D213:D217" si="31">E213+F213+G213</f>
      </c>
      <c r="E213" s="24">
        <v>126.861</v>
      </c>
      <c r="F213" s="24">
        <v>792.466</v>
      </c>
      <c r="G213" s="24">
        <v>891.988</v>
      </c>
      <c r="H213" s="25">
        <v>1</v>
      </c>
      <c r="I213" s="63">
        <v>1223.7599999999984</v>
      </c>
      <c r="J213" s="27">
        <f t="shared" si="72"/>
      </c>
      <c r="K213" s="28">
        <f t="shared" si="96"/>
      </c>
      <c r="L213" s="29">
        <f t="shared" si="134"/>
      </c>
      <c r="M213" s="28">
        <f t="shared" si="115"/>
      </c>
      <c r="N213" s="28">
        <f t="shared" si="153"/>
      </c>
      <c r="O213" s="29">
        <f t="shared" si="172"/>
      </c>
      <c r="P213" s="28">
        <f t="shared" si="191"/>
      </c>
      <c r="Q213" s="28">
        <f t="shared" si="210"/>
      </c>
      <c r="R213" s="30">
        <f t="shared" si="229"/>
      </c>
      <c r="S213" s="31">
        <f t="shared" si="248"/>
      </c>
      <c r="T213" s="30">
        <f t="shared" si="267"/>
      </c>
      <c r="U213" s="30"/>
      <c r="V213" s="49" t="s">
        <v>35</v>
      </c>
      <c r="W213" s="33" t="s">
        <v>36</v>
      </c>
      <c r="X213" s="33"/>
      <c r="Y213" s="34">
        <v>1</v>
      </c>
      <c r="Z213" s="35">
        <v>27794</v>
      </c>
      <c r="AA213" s="36">
        <v>20</v>
      </c>
      <c r="AB213" s="36">
        <v>20627</v>
      </c>
      <c r="AC213" s="36">
        <v>1228</v>
      </c>
      <c r="AD213" s="36">
        <v>102</v>
      </c>
      <c r="AE213" s="34">
        <v>1</v>
      </c>
    </row>
    <row customHeight="true" ht="18.452380952380953" r="214">
      <c r="A214" s="19"/>
      <c r="B214" s="20" t="s">
        <v>43</v>
      </c>
      <c r="C214" s="21" t="s">
        <v>44</v>
      </c>
      <c r="D214" s="22">
        <f t="shared" si="31"/>
      </c>
      <c r="E214" s="24">
        <v>126.114</v>
      </c>
      <c r="F214" s="24">
        <v>1249.445</v>
      </c>
      <c r="G214" s="24">
        <v>1807.83</v>
      </c>
      <c r="H214" s="25">
        <v>5</v>
      </c>
      <c r="I214" s="63">
        <v>6028.32</v>
      </c>
      <c r="J214" s="27">
        <f t="shared" si="72"/>
      </c>
      <c r="K214" s="28">
        <f t="shared" si="96"/>
      </c>
      <c r="L214" s="29">
        <f t="shared" si="134"/>
      </c>
      <c r="M214" s="28">
        <f t="shared" si="115"/>
      </c>
      <c r="N214" s="28">
        <f t="shared" si="153"/>
      </c>
      <c r="O214" s="29">
        <f t="shared" si="172"/>
      </c>
      <c r="P214" s="28">
        <f t="shared" si="191"/>
      </c>
      <c r="Q214" s="28">
        <f t="shared" si="210"/>
      </c>
      <c r="R214" s="30">
        <f t="shared" si="229"/>
      </c>
      <c r="S214" s="31">
        <f t="shared" si="248"/>
      </c>
      <c r="T214" s="30">
        <f t="shared" si="267"/>
      </c>
      <c r="U214" s="30"/>
      <c r="V214" s="49" t="s">
        <v>35</v>
      </c>
      <c r="W214" s="33" t="s">
        <v>36</v>
      </c>
      <c r="X214" s="33"/>
      <c r="Y214" s="34">
        <v>5</v>
      </c>
      <c r="Z214" s="36">
        <v>96264</v>
      </c>
      <c r="AA214" s="36">
        <v>87</v>
      </c>
      <c r="AB214" s="36">
        <v>79420</v>
      </c>
      <c r="AC214" s="36">
        <v>4043</v>
      </c>
      <c r="AD214" s="36">
        <v>360</v>
      </c>
      <c r="AE214" s="34">
        <v>6</v>
      </c>
    </row>
    <row customHeight="true" ht="18.452380952380953" r="215">
      <c r="A215" s="19"/>
      <c r="B215" s="20" t="s">
        <v>45</v>
      </c>
      <c r="C215" s="21" t="s">
        <v>44</v>
      </c>
      <c r="D215" s="22">
        <f t="shared" si="31"/>
      </c>
      <c r="E215" s="24">
        <v>243.584</v>
      </c>
      <c r="F215" s="24">
        <v>1111.7</v>
      </c>
      <c r="G215" s="24">
        <v>1363.058</v>
      </c>
      <c r="H215" s="25">
        <v>3</v>
      </c>
      <c r="I215" s="63">
        <v>5767.199999999997</v>
      </c>
      <c r="J215" s="27">
        <f t="shared" si="72"/>
      </c>
      <c r="K215" s="28">
        <f t="shared" si="96"/>
      </c>
      <c r="L215" s="29">
        <f t="shared" si="134"/>
      </c>
      <c r="M215" s="28">
        <f t="shared" si="115"/>
      </c>
      <c r="N215" s="28">
        <f t="shared" si="153"/>
      </c>
      <c r="O215" s="29">
        <f t="shared" si="172"/>
      </c>
      <c r="P215" s="28">
        <f t="shared" si="191"/>
      </c>
      <c r="Q215" s="28">
        <f t="shared" si="210"/>
      </c>
      <c r="R215" s="30">
        <f t="shared" si="229"/>
      </c>
      <c r="S215" s="31">
        <f t="shared" si="248"/>
      </c>
      <c r="T215" s="30">
        <f t="shared" si="267"/>
      </c>
      <c r="U215" s="30"/>
      <c r="V215" s="49" t="s">
        <v>35</v>
      </c>
      <c r="W215" s="33" t="s">
        <v>36</v>
      </c>
      <c r="X215" s="33"/>
      <c r="Y215" s="34">
        <v>2</v>
      </c>
      <c r="Z215" s="36">
        <v>99851</v>
      </c>
      <c r="AA215" s="36">
        <v>56</v>
      </c>
      <c r="AB215" s="36">
        <v>94664</v>
      </c>
      <c r="AC215" s="36">
        <v>4425</v>
      </c>
      <c r="AD215" s="36">
        <v>343</v>
      </c>
      <c r="AE215" s="34">
        <v>5</v>
      </c>
    </row>
    <row customHeight="true" ht="18.452380952380953" r="216">
      <c r="A216" s="19"/>
      <c r="B216" s="20" t="s">
        <v>46</v>
      </c>
      <c r="C216" s="21" t="s">
        <v>44</v>
      </c>
      <c r="D216" s="22">
        <f t="shared" si="31"/>
      </c>
      <c r="E216" s="24">
        <v>295.667</v>
      </c>
      <c r="F216" s="24">
        <v>473.951</v>
      </c>
      <c r="G216" s="24">
        <v>1055.677</v>
      </c>
      <c r="H216" s="25">
        <v>5</v>
      </c>
      <c r="I216" s="63">
        <v>5235.120000000003</v>
      </c>
      <c r="J216" s="27">
        <f t="shared" si="72"/>
      </c>
      <c r="K216" s="28">
        <f t="shared" si="96"/>
      </c>
      <c r="L216" s="29">
        <f t="shared" si="134"/>
      </c>
      <c r="M216" s="28">
        <f t="shared" si="115"/>
      </c>
      <c r="N216" s="28">
        <f t="shared" si="153"/>
      </c>
      <c r="O216" s="29">
        <f t="shared" si="172"/>
      </c>
      <c r="P216" s="28">
        <f t="shared" si="191"/>
      </c>
      <c r="Q216" s="28">
        <f t="shared" si="210"/>
      </c>
      <c r="R216" s="30">
        <f t="shared" si="229"/>
      </c>
      <c r="S216" s="31">
        <f t="shared" si="248"/>
      </c>
      <c r="T216" s="30">
        <f t="shared" si="267"/>
      </c>
      <c r="U216" s="30"/>
      <c r="V216" s="49" t="s">
        <v>35</v>
      </c>
      <c r="W216" s="33" t="s">
        <v>36</v>
      </c>
      <c r="X216" s="33"/>
      <c r="Y216" s="34">
        <v>3</v>
      </c>
      <c r="Z216" s="36">
        <v>54470</v>
      </c>
      <c r="AA216" s="36">
        <v>69</v>
      </c>
      <c r="AB216" s="36">
        <v>41160</v>
      </c>
      <c r="AC216" s="36">
        <v>2213</v>
      </c>
      <c r="AD216" s="36">
        <v>207</v>
      </c>
      <c r="AE216" s="34">
        <v>6</v>
      </c>
    </row>
    <row customHeight="true" ht="18.452380952380953" r="217">
      <c r="A217" s="19"/>
      <c r="B217" s="20" t="s">
        <v>47</v>
      </c>
      <c r="C217" s="21" t="s">
        <v>44</v>
      </c>
      <c r="D217" s="22">
        <f t="shared" si="31"/>
      </c>
      <c r="E217" s="24">
        <v>104.625</v>
      </c>
      <c r="F217" s="24">
        <f>334.036+0.01</f>
      </c>
      <c r="G217" s="24">
        <f>806.902+0.03+0.252</f>
      </c>
      <c r="H217" s="25">
        <v>2</v>
      </c>
      <c r="I217" s="63">
        <v>1327.199999999997</v>
      </c>
      <c r="J217" s="27">
        <f t="shared" si="72"/>
      </c>
      <c r="K217" s="28">
        <f t="shared" si="96"/>
      </c>
      <c r="L217" s="29">
        <f t="shared" si="134"/>
      </c>
      <c r="M217" s="28">
        <f t="shared" si="115"/>
      </c>
      <c r="N217" s="28">
        <f t="shared" si="153"/>
      </c>
      <c r="O217" s="29">
        <f t="shared" si="172"/>
      </c>
      <c r="P217" s="28">
        <f t="shared" si="191"/>
      </c>
      <c r="Q217" s="28">
        <f t="shared" si="210"/>
      </c>
      <c r="R217" s="30">
        <f t="shared" si="229"/>
      </c>
      <c r="S217" s="31">
        <f t="shared" si="248"/>
      </c>
      <c r="T217" s="30">
        <f t="shared" si="267"/>
      </c>
      <c r="U217" s="30"/>
      <c r="V217" s="49" t="s">
        <v>35</v>
      </c>
      <c r="W217" s="33" t="s">
        <v>36</v>
      </c>
      <c r="X217" s="33"/>
      <c r="Y217" s="34">
        <v>2</v>
      </c>
      <c r="Z217" s="36">
        <v>45523</v>
      </c>
      <c r="AA217" s="36">
        <v>76</v>
      </c>
      <c r="AB217" s="36">
        <v>26998</v>
      </c>
      <c r="AC217" s="36">
        <v>1608</v>
      </c>
      <c r="AD217" s="36">
        <v>220</v>
      </c>
      <c r="AE217" s="34">
        <v>3</v>
      </c>
    </row>
    <row customHeight="true" ht="18.452380952380953" r="218">
      <c r="A218" s="19"/>
      <c r="B218" s="38" t="s">
        <v>42</v>
      </c>
      <c r="C218" s="38"/>
      <c r="D218" s="73">
        <f>SUM(D213:D217)</f>
      </c>
      <c r="E218" s="73">
        <f>SUM(E213:E217)</f>
      </c>
      <c r="F218" s="73">
        <f>SUM(F213:F217)</f>
      </c>
      <c r="G218" s="73">
        <f>SUM(G213:G217)</f>
      </c>
      <c r="H218" s="40">
        <f>SUM(H213:H217)</f>
      </c>
      <c r="I218" s="62">
        <f>SUM(I213:I217)</f>
      </c>
      <c r="J218" s="42">
        <f t="shared" si="72"/>
      </c>
      <c r="K218" s="43">
        <f t="shared" si="96"/>
      </c>
      <c r="L218" s="44">
        <f t="shared" si="134"/>
      </c>
      <c r="M218" s="43">
        <f t="shared" si="115"/>
      </c>
      <c r="N218" s="43">
        <f t="shared" si="153"/>
      </c>
      <c r="O218" s="44">
        <f t="shared" si="172"/>
      </c>
      <c r="P218" s="43">
        <f t="shared" si="191"/>
      </c>
      <c r="Q218" s="43">
        <f t="shared" si="210"/>
      </c>
      <c r="R218" s="45">
        <f t="shared" si="229"/>
      </c>
      <c r="S218" s="46">
        <f t="shared" si="248"/>
      </c>
      <c r="T218" s="45">
        <f t="shared" si="267"/>
      </c>
      <c r="U218" s="45"/>
      <c r="V218" s="47"/>
      <c r="W218" s="47"/>
      <c r="X218" s="47"/>
      <c r="Y218" s="48">
        <f>SUM(Y213:Y217)</f>
      </c>
      <c r="Z218" s="48">
        <f>SUM(Z213:Z217)</f>
      </c>
      <c r="AA218" s="48">
        <f>SUM(AA213:AA217)</f>
      </c>
      <c r="AB218" s="48">
        <f>SUM(AB213:AB217)</f>
      </c>
      <c r="AC218" s="48">
        <f>SUM(AC213:AC217)</f>
      </c>
      <c r="AD218" s="48">
        <f>SUM(AD213:AD217)</f>
      </c>
      <c r="AE218" s="48">
        <f>SUM(AE213:AE217)</f>
      </c>
    </row>
    <row customHeight="true" ht="18.452380952380953" r="219">
      <c r="A219" s="19"/>
      <c r="B219" s="70" t="s">
        <v>49</v>
      </c>
      <c r="C219" s="70"/>
      <c r="D219" s="74">
        <f>D218+D212+D206</f>
      </c>
      <c r="E219" s="74">
        <f>E218+E212+E206</f>
      </c>
      <c r="F219" s="74">
        <f>F218+F212+F206</f>
      </c>
      <c r="G219" s="74">
        <f>G218+G212+G206</f>
      </c>
      <c r="H219" s="75">
        <f>H218+H212+H206</f>
      </c>
      <c r="I219" s="60">
        <f>I218+I212+I206</f>
      </c>
      <c r="J219" s="54">
        <f t="shared" si="72"/>
      </c>
      <c r="K219" s="55">
        <f t="shared" si="96"/>
      </c>
      <c r="L219" s="54">
        <f t="shared" si="134"/>
      </c>
      <c r="M219" s="55">
        <f t="shared" si="115"/>
      </c>
      <c r="N219" s="55">
        <f t="shared" si="153"/>
      </c>
      <c r="O219" s="54">
        <f t="shared" si="172"/>
      </c>
      <c r="P219" s="55">
        <f t="shared" si="191"/>
      </c>
      <c r="Q219" s="55">
        <f t="shared" si="210"/>
      </c>
      <c r="R219" s="54">
        <f t="shared" si="229"/>
      </c>
      <c r="S219" s="56">
        <f t="shared" si="248"/>
      </c>
      <c r="T219" s="54">
        <f t="shared" si="267"/>
      </c>
      <c r="U219" s="54"/>
      <c r="V219" s="57"/>
      <c r="W219" s="57"/>
      <c r="X219" s="57"/>
      <c r="Y219" s="53">
        <f>Y218+Y212+Y206</f>
      </c>
      <c r="Z219" s="53">
        <f>Z218+Z212+Z206</f>
      </c>
      <c r="AA219" s="53">
        <f>AA218+AA212+AA206</f>
      </c>
      <c r="AB219" s="53">
        <f>AB218+AB212+AB206</f>
      </c>
      <c r="AC219" s="53">
        <f>AC218+AC212+AC206</f>
      </c>
      <c r="AD219" s="53">
        <f>AD218+AD212+AD206</f>
      </c>
      <c r="AE219" s="53">
        <f>AE218+AE212+AE206</f>
      </c>
    </row>
    <row customHeight="true" ht="18.452380952380953" r="220">
      <c r="A220" s="1" t="s">
        <v>1</v>
      </c>
      <c r="B220" s="1"/>
      <c r="C220" s="1"/>
      <c r="D220" s="2" t="s">
        <v>2</v>
      </c>
      <c r="E220" s="2"/>
      <c r="F220" s="2"/>
      <c r="G220" s="2"/>
      <c r="H220" s="2"/>
      <c r="I220" s="2"/>
      <c r="J220" s="2"/>
      <c r="K220" s="3" t="s">
        <v>3</v>
      </c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4"/>
      <c r="W220" s="4"/>
      <c r="X220" s="4"/>
      <c r="Y220" s="5"/>
      <c r="Z220" s="5"/>
      <c r="AA220" s="5"/>
      <c r="AB220" s="5"/>
      <c r="AC220" s="5"/>
      <c r="AD220" s="5"/>
      <c r="AE220" s="5"/>
    </row>
    <row customHeight="true" ht="18.452380952380953" r="221">
      <c r="A221" s="6" t="s">
        <v>4</v>
      </c>
      <c r="B221" s="7" t="s">
        <v>5</v>
      </c>
      <c r="C221" s="7" t="s">
        <v>6</v>
      </c>
      <c r="D221" s="8" t="s">
        <v>7</v>
      </c>
      <c r="E221" s="9" t="s">
        <v>8</v>
      </c>
      <c r="F221" s="9" t="s">
        <v>9</v>
      </c>
      <c r="G221" s="10" t="s">
        <v>10</v>
      </c>
      <c r="H221" s="11" t="s">
        <v>11</v>
      </c>
      <c r="I221" s="11" t="s">
        <v>12</v>
      </c>
      <c r="J221" s="12" t="s">
        <v>13</v>
      </c>
      <c r="K221" s="3" t="s">
        <v>14</v>
      </c>
      <c r="L221" s="3" t="s">
        <v>15</v>
      </c>
      <c r="M221" s="13" t="s">
        <v>16</v>
      </c>
      <c r="N221" s="13" t="s">
        <v>17</v>
      </c>
      <c r="O221" s="3" t="s">
        <v>18</v>
      </c>
      <c r="P221" s="13" t="s">
        <v>19</v>
      </c>
      <c r="Q221" s="13" t="s">
        <v>20</v>
      </c>
      <c r="R221" s="14" t="s">
        <v>21</v>
      </c>
      <c r="S221" s="13" t="s">
        <v>22</v>
      </c>
      <c r="T221" s="14" t="s">
        <v>23</v>
      </c>
      <c r="U221" s="14"/>
      <c r="V221" s="15" t="s">
        <v>24</v>
      </c>
      <c r="W221" s="15" t="s">
        <v>25</v>
      </c>
      <c r="X221" s="15"/>
      <c r="Y221" s="16" t="s">
        <v>26</v>
      </c>
      <c r="Z221" s="17" t="s">
        <v>27</v>
      </c>
      <c r="AA221" s="17" t="s">
        <v>28</v>
      </c>
      <c r="AB221" s="17" t="s">
        <v>29</v>
      </c>
      <c r="AC221" s="17" t="s">
        <v>30</v>
      </c>
      <c r="AD221" s="17" t="s">
        <v>31</v>
      </c>
      <c r="AE221" s="18" t="s">
        <v>32</v>
      </c>
    </row>
    <row customHeight="true" ht="18.452380952380953" r="222">
      <c r="A222" s="19">
        <v>46307</v>
      </c>
      <c r="B222" s="20" t="s">
        <v>58</v>
      </c>
      <c r="C222" s="21" t="s">
        <v>34</v>
      </c>
      <c r="D222" s="37">
        <f t="shared" ref="D222:D226" si="32">E222+F222+G222</f>
      </c>
      <c r="E222" s="24">
        <v>68.109</v>
      </c>
      <c r="F222" s="24">
        <v>410.694</v>
      </c>
      <c r="G222" s="24">
        <v>1162.01</v>
      </c>
      <c r="H222" s="25">
        <v>1</v>
      </c>
      <c r="I222" s="63">
        <v>246.95999999999998</v>
      </c>
      <c r="J222" s="27">
        <f t="shared" ref="J222:J240" si="73">I222/D222</f>
      </c>
      <c r="K222" s="28">
        <f t="shared" ref="K222:K240" si="97">AA222/Z222</f>
      </c>
      <c r="L222" s="29">
        <f t="shared" ref="L222:L240" si="135">D222/AB222</f>
      </c>
      <c r="M222" s="28">
        <f t="shared" ref="M222:M240" si="116">AC222/AB222</f>
      </c>
      <c r="N222" s="28">
        <f t="shared" ref="N222:N240" si="154">AD222/AB222</f>
      </c>
      <c r="O222" s="29">
        <f t="shared" ref="O222:O240" si="173">D222/AD222</f>
      </c>
      <c r="P222" s="28">
        <f t="shared" ref="P222:P240" si="192">AE222/AD222</f>
      </c>
      <c r="Q222" s="28">
        <f t="shared" ref="Q222:Q240" si="211">H222/AE222</f>
      </c>
      <c r="R222" s="30">
        <f t="shared" ref="R222:R240" si="230">D222/H222</f>
      </c>
      <c r="S222" s="31">
        <f t="shared" ref="S222:S240" si="249">I222/H222</f>
      </c>
      <c r="T222" s="30">
        <f t="shared" ref="T222:T240" si="268">D222/Y222</f>
      </c>
      <c r="U222" s="30"/>
      <c r="V222" s="32" t="s">
        <v>35</v>
      </c>
      <c r="W222" s="33" t="s">
        <v>39</v>
      </c>
      <c r="X222" s="33"/>
      <c r="Y222" s="34">
        <v>1</v>
      </c>
      <c r="Z222" s="35">
        <v>40430</v>
      </c>
      <c r="AA222" s="36">
        <v>56</v>
      </c>
      <c r="AB222" s="34">
        <v>25516</v>
      </c>
      <c r="AC222" s="34">
        <v>2201</v>
      </c>
      <c r="AD222" s="34">
        <v>214</v>
      </c>
      <c r="AE222" s="34">
        <v>2</v>
      </c>
    </row>
    <row customHeight="true" ht="18.452380952380953" r="223">
      <c r="A223" s="19"/>
      <c r="B223" s="20" t="s">
        <v>56</v>
      </c>
      <c r="C223" s="21" t="s">
        <v>34</v>
      </c>
      <c r="D223" s="37">
        <f t="shared" si="32"/>
      </c>
      <c r="E223" s="24">
        <v>120.219</v>
      </c>
      <c r="F223" s="24">
        <v>470.836</v>
      </c>
      <c r="G223" s="24">
        <v>1889.043</v>
      </c>
      <c r="H223" s="25">
        <v>1</v>
      </c>
      <c r="I223" s="63">
        <v>360.23999999999995</v>
      </c>
      <c r="J223" s="27">
        <f t="shared" si="73"/>
      </c>
      <c r="K223" s="28">
        <f t="shared" si="97"/>
      </c>
      <c r="L223" s="29">
        <f t="shared" si="135"/>
      </c>
      <c r="M223" s="28">
        <f t="shared" si="116"/>
      </c>
      <c r="N223" s="28">
        <f t="shared" si="154"/>
      </c>
      <c r="O223" s="29">
        <f t="shared" si="173"/>
      </c>
      <c r="P223" s="28">
        <f t="shared" si="192"/>
      </c>
      <c r="Q223" s="28">
        <f t="shared" si="211"/>
      </c>
      <c r="R223" s="30">
        <f t="shared" si="230"/>
      </c>
      <c r="S223" s="31">
        <f t="shared" si="249"/>
      </c>
      <c r="T223" s="30">
        <f t="shared" si="268"/>
      </c>
      <c r="U223" s="30"/>
      <c r="V223" s="32" t="s">
        <v>35</v>
      </c>
      <c r="W223" s="33" t="s">
        <v>39</v>
      </c>
      <c r="X223" s="33"/>
      <c r="Y223" s="34">
        <v>1</v>
      </c>
      <c r="Z223" s="35">
        <v>71587</v>
      </c>
      <c r="AA223" s="36">
        <v>59</v>
      </c>
      <c r="AB223" s="34">
        <v>49512</v>
      </c>
      <c r="AC223" s="34">
        <v>4408</v>
      </c>
      <c r="AD223" s="34">
        <v>296</v>
      </c>
      <c r="AE223" s="34">
        <v>3</v>
      </c>
    </row>
    <row customHeight="true" ht="18.452380952380953" r="224">
      <c r="A224" s="19"/>
      <c r="B224" s="20" t="s">
        <v>57</v>
      </c>
      <c r="C224" s="21" t="s">
        <v>34</v>
      </c>
      <c r="D224" s="37">
        <f t="shared" si="32"/>
      </c>
      <c r="E224" s="24">
        <v>86.659</v>
      </c>
      <c r="F224" s="24">
        <v>261.274</v>
      </c>
      <c r="G224" s="24">
        <v>866.976</v>
      </c>
      <c r="H224" s="25">
        <v>1</v>
      </c>
      <c r="I224" s="63">
        <v>2485.08</v>
      </c>
      <c r="J224" s="27">
        <f t="shared" si="73"/>
      </c>
      <c r="K224" s="28">
        <f t="shared" si="97"/>
      </c>
      <c r="L224" s="29">
        <f t="shared" si="135"/>
      </c>
      <c r="M224" s="28">
        <f t="shared" si="116"/>
      </c>
      <c r="N224" s="28">
        <f t="shared" si="154"/>
      </c>
      <c r="O224" s="29">
        <f t="shared" si="173"/>
      </c>
      <c r="P224" s="28">
        <f t="shared" si="192"/>
      </c>
      <c r="Q224" s="28">
        <f t="shared" si="211"/>
      </c>
      <c r="R224" s="30">
        <f t="shared" si="230"/>
      </c>
      <c r="S224" s="31">
        <f t="shared" si="249"/>
      </c>
      <c r="T224" s="30">
        <f t="shared" si="268"/>
      </c>
      <c r="U224" s="30"/>
      <c r="V224" s="32" t="s">
        <v>35</v>
      </c>
      <c r="W224" s="33" t="s">
        <v>39</v>
      </c>
      <c r="X224" s="33"/>
      <c r="Y224" s="34">
        <v>1</v>
      </c>
      <c r="Z224" s="35">
        <v>35656</v>
      </c>
      <c r="AA224" s="36">
        <v>47</v>
      </c>
      <c r="AB224" s="34">
        <v>28950</v>
      </c>
      <c r="AC224" s="34">
        <v>2456</v>
      </c>
      <c r="AD224" s="34">
        <v>198</v>
      </c>
      <c r="AE224" s="34">
        <v>2</v>
      </c>
    </row>
    <row customHeight="true" ht="18.452380952380953" r="225">
      <c r="A225" s="19"/>
      <c r="B225" s="20" t="s">
        <v>50</v>
      </c>
      <c r="C225" s="21" t="s">
        <v>34</v>
      </c>
      <c r="D225" s="37">
        <f t="shared" si="32"/>
      </c>
      <c r="E225" s="24">
        <v>68.516</v>
      </c>
      <c r="F225" s="24">
        <v>200.739</v>
      </c>
      <c r="G225" s="24">
        <v>526.303</v>
      </c>
      <c r="H225" s="25">
        <v>0</v>
      </c>
      <c r="I225" s="63">
        <v>0</v>
      </c>
      <c r="J225" s="27">
        <f t="shared" si="73"/>
      </c>
      <c r="K225" s="28">
        <f t="shared" si="97"/>
      </c>
      <c r="L225" s="29">
        <f t="shared" si="135"/>
      </c>
      <c r="M225" s="28">
        <f t="shared" si="116"/>
      </c>
      <c r="N225" s="28">
        <f t="shared" si="154"/>
      </c>
      <c r="O225" s="29">
        <f t="shared" si="173"/>
      </c>
      <c r="P225" s="28">
        <f t="shared" si="192"/>
      </c>
      <c r="Q225" s="28">
        <f t="shared" si="211"/>
      </c>
      <c r="R225" s="30">
        <f t="shared" si="230"/>
      </c>
      <c r="S225" s="31">
        <f t="shared" si="249"/>
      </c>
      <c r="T225" s="30">
        <f t="shared" si="268"/>
      </c>
      <c r="U225" s="30"/>
      <c r="V225" s="32" t="s">
        <v>35</v>
      </c>
      <c r="W225" s="33" t="s">
        <v>39</v>
      </c>
      <c r="X225" s="33"/>
      <c r="Y225" s="34">
        <v>0</v>
      </c>
      <c r="Z225" s="35">
        <v>22060</v>
      </c>
      <c r="AA225" s="36">
        <v>39</v>
      </c>
      <c r="AB225" s="34">
        <v>11215</v>
      </c>
      <c r="AC225" s="34">
        <v>808</v>
      </c>
      <c r="AD225" s="34">
        <v>99</v>
      </c>
      <c r="AE225" s="34">
        <v>0</v>
      </c>
    </row>
    <row customHeight="true" ht="18.452380952380953" r="226">
      <c r="A226" s="19"/>
      <c r="B226" s="20" t="s">
        <v>51</v>
      </c>
      <c r="C226" s="21" t="s">
        <v>34</v>
      </c>
      <c r="D226" s="37">
        <f t="shared" si="32"/>
      </c>
      <c r="E226" s="24">
        <v>96.268</v>
      </c>
      <c r="F226" s="24">
        <v>367.541</v>
      </c>
      <c r="G226" s="24">
        <v>440.828</v>
      </c>
      <c r="H226" s="25">
        <v>1</v>
      </c>
      <c r="I226" s="63">
        <v>1497.2400000000007</v>
      </c>
      <c r="J226" s="27">
        <f t="shared" si="73"/>
      </c>
      <c r="K226" s="28">
        <f t="shared" si="97"/>
      </c>
      <c r="L226" s="29">
        <f t="shared" si="135"/>
      </c>
      <c r="M226" s="28">
        <f t="shared" si="116"/>
      </c>
      <c r="N226" s="28">
        <f t="shared" si="154"/>
      </c>
      <c r="O226" s="29">
        <f t="shared" si="173"/>
      </c>
      <c r="P226" s="28">
        <f t="shared" si="192"/>
      </c>
      <c r="Q226" s="28">
        <f t="shared" si="211"/>
      </c>
      <c r="R226" s="30">
        <f t="shared" si="230"/>
      </c>
      <c r="S226" s="31">
        <f t="shared" si="249"/>
      </c>
      <c r="T226" s="30">
        <f t="shared" si="268"/>
      </c>
      <c r="U226" s="30"/>
      <c r="V226" s="32" t="s">
        <v>35</v>
      </c>
      <c r="W226" s="33" t="s">
        <v>39</v>
      </c>
      <c r="X226" s="33"/>
      <c r="Y226" s="34">
        <v>1</v>
      </c>
      <c r="Z226" s="36">
        <v>26822</v>
      </c>
      <c r="AA226" s="36">
        <v>42</v>
      </c>
      <c r="AB226" s="36">
        <v>16120</v>
      </c>
      <c r="AC226" s="36">
        <v>1002</v>
      </c>
      <c r="AD226" s="34">
        <v>129</v>
      </c>
      <c r="AE226" s="34">
        <v>1</v>
      </c>
    </row>
    <row customHeight="true" ht="18.452380952380953" r="227">
      <c r="A227" s="19"/>
      <c r="B227" s="38" t="s">
        <v>42</v>
      </c>
      <c r="C227" s="38"/>
      <c r="D227" s="61">
        <f>SUM(D222:D226)</f>
      </c>
      <c r="E227" s="61">
        <f>SUM(E222:E226)</f>
      </c>
      <c r="F227" s="61">
        <f>SUM(F222:F226)</f>
      </c>
      <c r="G227" s="61">
        <f>SUM(G222:G226)</f>
      </c>
      <c r="H227" s="40">
        <f>SUM(H222:H226)</f>
      </c>
      <c r="I227" s="62">
        <f>SUM(I222:I226)</f>
      </c>
      <c r="J227" s="42">
        <f t="shared" si="73"/>
      </c>
      <c r="K227" s="43">
        <f t="shared" si="97"/>
      </c>
      <c r="L227" s="44">
        <f t="shared" si="135"/>
      </c>
      <c r="M227" s="43">
        <f t="shared" si="116"/>
      </c>
      <c r="N227" s="43">
        <f t="shared" si="154"/>
      </c>
      <c r="O227" s="44">
        <f t="shared" si="173"/>
      </c>
      <c r="P227" s="43">
        <f t="shared" si="192"/>
      </c>
      <c r="Q227" s="43">
        <f t="shared" si="211"/>
      </c>
      <c r="R227" s="45">
        <f t="shared" si="230"/>
      </c>
      <c r="S227" s="46">
        <f t="shared" si="249"/>
      </c>
      <c r="T227" s="45">
        <f t="shared" si="268"/>
      </c>
      <c r="U227" s="45"/>
      <c r="V227" s="47"/>
      <c r="W227" s="47"/>
      <c r="X227" s="47"/>
      <c r="Y227" s="48">
        <f>SUM(Y222:Y226)</f>
      </c>
      <c r="Z227" s="48">
        <f>SUM(Z222:Z226)</f>
      </c>
      <c r="AA227" s="48">
        <f>SUM(AA222:AA226)</f>
      </c>
      <c r="AB227" s="48">
        <f>SUM(AB222:AB226)</f>
      </c>
      <c r="AC227" s="48">
        <f>SUM(AC222:AC226)</f>
      </c>
      <c r="AD227" s="48">
        <f>SUM(AD222:AD226)</f>
      </c>
      <c r="AE227" s="48">
        <f>SUM(AE222:AE226)</f>
      </c>
    </row>
    <row customHeight="true" ht="18.452380952380953" r="228">
      <c r="A228" s="19"/>
      <c r="B228" s="20" t="s">
        <v>33</v>
      </c>
      <c r="C228" s="21" t="s">
        <v>52</v>
      </c>
      <c r="D228" s="37">
        <f t="shared" ref="D228:D232" si="33">E228+F228+G228</f>
      </c>
      <c r="E228" s="24">
        <v>245.1</v>
      </c>
      <c r="F228" s="24">
        <v>361.399</v>
      </c>
      <c r="G228" s="24">
        <v>248.213</v>
      </c>
      <c r="H228" s="25">
        <v>1</v>
      </c>
      <c r="I228" s="63">
        <v>1862.5199999999995</v>
      </c>
      <c r="J228" s="27">
        <f t="shared" si="73"/>
      </c>
      <c r="K228" s="28">
        <f t="shared" si="97"/>
      </c>
      <c r="L228" s="29">
        <f t="shared" si="135"/>
      </c>
      <c r="M228" s="28">
        <f t="shared" si="116"/>
      </c>
      <c r="N228" s="28">
        <f t="shared" si="154"/>
      </c>
      <c r="O228" s="29">
        <f t="shared" si="173"/>
      </c>
      <c r="P228" s="28">
        <f t="shared" si="192"/>
      </c>
      <c r="Q228" s="28">
        <f t="shared" si="211"/>
      </c>
      <c r="R228" s="30">
        <f t="shared" si="230"/>
      </c>
      <c r="S228" s="31">
        <f t="shared" si="249"/>
      </c>
      <c r="T228" s="30">
        <f t="shared" si="268"/>
      </c>
      <c r="U228" s="30"/>
      <c r="V228" s="32" t="s">
        <v>35</v>
      </c>
      <c r="W228" s="33" t="s">
        <v>39</v>
      </c>
      <c r="X228" s="33"/>
      <c r="Y228" s="34">
        <v>1</v>
      </c>
      <c r="Z228" s="35">
        <v>24567</v>
      </c>
      <c r="AA228" s="36">
        <v>68</v>
      </c>
      <c r="AB228" s="34">
        <v>12915</v>
      </c>
      <c r="AC228" s="34">
        <v>862</v>
      </c>
      <c r="AD228" s="34">
        <v>148</v>
      </c>
      <c r="AE228" s="34">
        <v>1</v>
      </c>
    </row>
    <row customHeight="true" ht="18.452380952380953" r="229">
      <c r="A229" s="19"/>
      <c r="B229" s="20" t="s">
        <v>37</v>
      </c>
      <c r="C229" s="21" t="s">
        <v>52</v>
      </c>
      <c r="D229" s="37">
        <f t="shared" si="33"/>
      </c>
      <c r="E229" s="24">
        <v>345.288</v>
      </c>
      <c r="F229" s="24">
        <v>442.829</v>
      </c>
      <c r="G229" s="24">
        <v>166.806</v>
      </c>
      <c r="H229" s="25">
        <v>0</v>
      </c>
      <c r="I229" s="63">
        <v>0</v>
      </c>
      <c r="J229" s="27">
        <f t="shared" si="73"/>
      </c>
      <c r="K229" s="28">
        <f t="shared" si="97"/>
      </c>
      <c r="L229" s="29">
        <f t="shared" si="135"/>
      </c>
      <c r="M229" s="28">
        <f t="shared" si="116"/>
      </c>
      <c r="N229" s="28">
        <f t="shared" si="154"/>
      </c>
      <c r="O229" s="29">
        <f t="shared" si="173"/>
      </c>
      <c r="P229" s="28">
        <f t="shared" si="192"/>
      </c>
      <c r="Q229" s="28">
        <f t="shared" si="211"/>
      </c>
      <c r="R229" s="30">
        <f t="shared" si="230"/>
      </c>
      <c r="S229" s="31">
        <f t="shared" si="249"/>
      </c>
      <c r="T229" s="30">
        <f t="shared" si="268"/>
      </c>
      <c r="U229" s="30"/>
      <c r="V229" s="32" t="s">
        <v>35</v>
      </c>
      <c r="W229" s="33" t="s">
        <v>39</v>
      </c>
      <c r="X229" s="33"/>
      <c r="Y229" s="34">
        <v>0</v>
      </c>
      <c r="Z229" s="36">
        <v>30202</v>
      </c>
      <c r="AA229" s="36">
        <v>72</v>
      </c>
      <c r="AB229" s="34">
        <v>15725</v>
      </c>
      <c r="AC229" s="34">
        <v>1019</v>
      </c>
      <c r="AD229" s="34">
        <v>244</v>
      </c>
      <c r="AE229" s="34">
        <v>0</v>
      </c>
    </row>
    <row customHeight="true" ht="18.452380952380953" r="230">
      <c r="A230" s="19"/>
      <c r="B230" s="20" t="s">
        <v>38</v>
      </c>
      <c r="C230" s="21" t="s">
        <v>52</v>
      </c>
      <c r="D230" s="37">
        <f t="shared" si="33"/>
      </c>
      <c r="E230" s="24">
        <v>425.421</v>
      </c>
      <c r="F230" s="24">
        <v>607.191</v>
      </c>
      <c r="G230" s="24">
        <v>159.462</v>
      </c>
      <c r="H230" s="25">
        <v>1</v>
      </c>
      <c r="I230" s="63">
        <v>1939.9199999999992</v>
      </c>
      <c r="J230" s="27">
        <f t="shared" si="73"/>
      </c>
      <c r="K230" s="28">
        <f t="shared" si="97"/>
      </c>
      <c r="L230" s="29">
        <f t="shared" si="135"/>
      </c>
      <c r="M230" s="28">
        <f t="shared" si="116"/>
      </c>
      <c r="N230" s="28">
        <f t="shared" si="154"/>
      </c>
      <c r="O230" s="29">
        <f t="shared" si="173"/>
      </c>
      <c r="P230" s="28">
        <f t="shared" si="192"/>
      </c>
      <c r="Q230" s="28">
        <f t="shared" si="211"/>
      </c>
      <c r="R230" s="30">
        <f t="shared" si="230"/>
      </c>
      <c r="S230" s="31">
        <f t="shared" si="249"/>
      </c>
      <c r="T230" s="30">
        <f t="shared" si="268"/>
      </c>
      <c r="U230" s="30"/>
      <c r="V230" s="32" t="s">
        <v>35</v>
      </c>
      <c r="W230" s="33" t="s">
        <v>36</v>
      </c>
      <c r="X230" s="33"/>
      <c r="Y230" s="34">
        <v>1</v>
      </c>
      <c r="Z230" s="35">
        <v>41173</v>
      </c>
      <c r="AA230" s="36">
        <v>70</v>
      </c>
      <c r="AB230" s="34">
        <v>22664</v>
      </c>
      <c r="AC230" s="34">
        <v>1545</v>
      </c>
      <c r="AD230" s="34">
        <v>225</v>
      </c>
      <c r="AE230" s="34">
        <v>1</v>
      </c>
    </row>
    <row customHeight="true" ht="18.452380952380953" r="231">
      <c r="A231" s="19"/>
      <c r="B231" s="20" t="s">
        <v>40</v>
      </c>
      <c r="C231" s="21" t="s">
        <v>52</v>
      </c>
      <c r="D231" s="37">
        <f t="shared" si="33"/>
      </c>
      <c r="E231" s="24">
        <v>377.578</v>
      </c>
      <c r="F231" s="24">
        <v>699.44</v>
      </c>
      <c r="G231" s="24">
        <v>151.69</v>
      </c>
      <c r="H231" s="25">
        <v>0</v>
      </c>
      <c r="I231" s="63">
        <v>0</v>
      </c>
      <c r="J231" s="27">
        <f t="shared" si="73"/>
      </c>
      <c r="K231" s="28">
        <f t="shared" si="97"/>
      </c>
      <c r="L231" s="29">
        <f t="shared" si="135"/>
      </c>
      <c r="M231" s="28">
        <f t="shared" si="116"/>
      </c>
      <c r="N231" s="28">
        <f t="shared" si="154"/>
      </c>
      <c r="O231" s="29">
        <f t="shared" si="173"/>
      </c>
      <c r="P231" s="28">
        <f t="shared" si="192"/>
      </c>
      <c r="Q231" s="28">
        <f t="shared" si="211"/>
      </c>
      <c r="R231" s="30">
        <f t="shared" si="230"/>
      </c>
      <c r="S231" s="31">
        <f t="shared" si="249"/>
      </c>
      <c r="T231" s="30">
        <f t="shared" si="268"/>
      </c>
      <c r="U231" s="30"/>
      <c r="V231" s="32" t="s">
        <v>35</v>
      </c>
      <c r="W231" s="33" t="s">
        <v>36</v>
      </c>
      <c r="X231" s="33"/>
      <c r="Y231" s="34">
        <v>0</v>
      </c>
      <c r="Z231" s="35">
        <v>37003</v>
      </c>
      <c r="AA231" s="36">
        <v>62</v>
      </c>
      <c r="AB231" s="36">
        <v>24519</v>
      </c>
      <c r="AC231" s="36">
        <v>1591</v>
      </c>
      <c r="AD231" s="34">
        <v>183</v>
      </c>
      <c r="AE231" s="34">
        <v>0</v>
      </c>
    </row>
    <row customHeight="true" ht="18.452380952380953" r="232">
      <c r="A232" s="19"/>
      <c r="B232" s="20" t="s">
        <v>41</v>
      </c>
      <c r="C232" s="21" t="s">
        <v>52</v>
      </c>
      <c r="D232" s="37">
        <f t="shared" si="33"/>
      </c>
      <c r="E232" s="24">
        <v>426.398</v>
      </c>
      <c r="F232" s="24">
        <v>837.198</v>
      </c>
      <c r="G232" s="24">
        <v>124.336</v>
      </c>
      <c r="H232" s="25">
        <v>0</v>
      </c>
      <c r="I232" s="63">
        <v>0</v>
      </c>
      <c r="J232" s="27">
        <f t="shared" si="73"/>
      </c>
      <c r="K232" s="28">
        <f t="shared" si="97"/>
      </c>
      <c r="L232" s="29">
        <f t="shared" si="135"/>
      </c>
      <c r="M232" s="28">
        <f t="shared" si="116"/>
      </c>
      <c r="N232" s="28">
        <f t="shared" si="154"/>
      </c>
      <c r="O232" s="29">
        <f t="shared" si="173"/>
      </c>
      <c r="P232" s="28">
        <f t="shared" si="192"/>
      </c>
      <c r="Q232" s="28">
        <f t="shared" si="211"/>
      </c>
      <c r="R232" s="30">
        <f t="shared" si="230"/>
      </c>
      <c r="S232" s="31">
        <f t="shared" si="249"/>
      </c>
      <c r="T232" s="30">
        <f t="shared" si="268"/>
      </c>
      <c r="U232" s="30"/>
      <c r="V232" s="32" t="s">
        <v>35</v>
      </c>
      <c r="W232" s="33" t="s">
        <v>36</v>
      </c>
      <c r="X232" s="33"/>
      <c r="Y232" s="34">
        <v>0</v>
      </c>
      <c r="Z232" s="36">
        <v>46739</v>
      </c>
      <c r="AA232" s="36">
        <v>87</v>
      </c>
      <c r="AB232" s="36">
        <v>30425</v>
      </c>
      <c r="AC232" s="36">
        <v>1687</v>
      </c>
      <c r="AD232" s="34">
        <v>188</v>
      </c>
      <c r="AE232" s="34">
        <v>1</v>
      </c>
    </row>
    <row customHeight="true" ht="18.452380952380953" r="233">
      <c r="A233" s="19"/>
      <c r="B233" s="38" t="s">
        <v>42</v>
      </c>
      <c r="C233" s="38"/>
      <c r="D233" s="61">
        <f>SUM(D228:D232)</f>
      </c>
      <c r="E233" s="61">
        <f>SUM(E228:E232)</f>
      </c>
      <c r="F233" s="61">
        <f>SUM(F228:F232)</f>
      </c>
      <c r="G233" s="61">
        <f>SUM(G228:G232)</f>
      </c>
      <c r="H233" s="40">
        <f>SUM(H228:H232)</f>
      </c>
      <c r="I233" s="62">
        <f>SUM(I228:I232)</f>
      </c>
      <c r="J233" s="42">
        <f t="shared" si="73"/>
      </c>
      <c r="K233" s="43">
        <f t="shared" si="97"/>
      </c>
      <c r="L233" s="44">
        <f t="shared" si="135"/>
      </c>
      <c r="M233" s="43">
        <f t="shared" si="116"/>
      </c>
      <c r="N233" s="43">
        <f t="shared" si="154"/>
      </c>
      <c r="O233" s="44">
        <f t="shared" si="173"/>
      </c>
      <c r="P233" s="43">
        <f t="shared" si="192"/>
      </c>
      <c r="Q233" s="43">
        <f t="shared" si="211"/>
      </c>
      <c r="R233" s="45">
        <f t="shared" si="230"/>
      </c>
      <c r="S233" s="46">
        <f t="shared" si="249"/>
      </c>
      <c r="T233" s="45">
        <f t="shared" si="268"/>
      </c>
      <c r="U233" s="45"/>
      <c r="V233" s="47"/>
      <c r="W233" s="47"/>
      <c r="X233" s="47"/>
      <c r="Y233" s="48">
        <f>SUM(Y228:Y232)</f>
      </c>
      <c r="Z233" s="59">
        <f>SUM(Z228:Z232)</f>
      </c>
      <c r="AA233" s="59">
        <f>SUM(AA228:AA232)</f>
      </c>
      <c r="AB233" s="59">
        <f>SUM(AB228:AB232)</f>
      </c>
      <c r="AC233" s="59">
        <f>SUM(AC228:AC232)</f>
      </c>
      <c r="AD233" s="59">
        <f>SUM(AD228:AD232)</f>
      </c>
      <c r="AE233" s="59">
        <f>SUM(AE228:AE232)</f>
      </c>
    </row>
    <row customHeight="true" ht="18.452380952380953" r="234">
      <c r="A234" s="19"/>
      <c r="B234" s="20" t="s">
        <v>53</v>
      </c>
      <c r="C234" s="21" t="s">
        <v>44</v>
      </c>
      <c r="D234" s="22">
        <f t="shared" ref="D234:D238" si="34">E234+F234+G234</f>
      </c>
      <c r="E234" s="24">
        <v>435.594</v>
      </c>
      <c r="F234" s="24">
        <v>357.016</v>
      </c>
      <c r="G234" s="24">
        <v>121.036</v>
      </c>
      <c r="H234" s="25">
        <v>2</v>
      </c>
      <c r="I234" s="63">
        <v>2740.2000000000007</v>
      </c>
      <c r="J234" s="27">
        <f t="shared" si="73"/>
      </c>
      <c r="K234" s="28">
        <f t="shared" si="97"/>
      </c>
      <c r="L234" s="29">
        <f t="shared" si="135"/>
      </c>
      <c r="M234" s="28">
        <f t="shared" si="116"/>
      </c>
      <c r="N234" s="28">
        <f t="shared" si="154"/>
      </c>
      <c r="O234" s="29">
        <f t="shared" si="173"/>
      </c>
      <c r="P234" s="28">
        <f t="shared" si="192"/>
      </c>
      <c r="Q234" s="28">
        <f t="shared" si="211"/>
      </c>
      <c r="R234" s="30">
        <f t="shared" si="230"/>
      </c>
      <c r="S234" s="31">
        <f t="shared" si="249"/>
      </c>
      <c r="T234" s="30">
        <f t="shared" si="268"/>
      </c>
      <c r="U234" s="30"/>
      <c r="V234" s="49" t="s">
        <v>35</v>
      </c>
      <c r="W234" s="33" t="s">
        <v>36</v>
      </c>
      <c r="X234" s="33"/>
      <c r="Y234" s="34">
        <v>2</v>
      </c>
      <c r="Z234" s="35">
        <v>28523</v>
      </c>
      <c r="AA234" s="36">
        <v>82</v>
      </c>
      <c r="AB234" s="36">
        <v>17831</v>
      </c>
      <c r="AC234" s="36">
        <v>861</v>
      </c>
      <c r="AD234" s="36">
        <v>160</v>
      </c>
      <c r="AE234" s="34">
        <v>4</v>
      </c>
    </row>
    <row customHeight="true" ht="18.452380952380953" r="235">
      <c r="A235" s="19"/>
      <c r="B235" s="20" t="s">
        <v>43</v>
      </c>
      <c r="C235" s="21" t="s">
        <v>44</v>
      </c>
      <c r="D235" s="22">
        <f t="shared" si="34"/>
      </c>
      <c r="E235" s="24">
        <v>546.648</v>
      </c>
      <c r="F235" s="24">
        <v>182.768</v>
      </c>
      <c r="G235" s="24">
        <v>169.999</v>
      </c>
      <c r="H235" s="25">
        <v>0</v>
      </c>
      <c r="I235" s="63">
        <v>0</v>
      </c>
      <c r="J235" s="27">
        <f t="shared" si="73"/>
      </c>
      <c r="K235" s="28">
        <f t="shared" si="97"/>
      </c>
      <c r="L235" s="29">
        <f t="shared" si="135"/>
      </c>
      <c r="M235" s="28">
        <f t="shared" si="116"/>
      </c>
      <c r="N235" s="28">
        <f t="shared" si="154"/>
      </c>
      <c r="O235" s="29">
        <f t="shared" si="173"/>
      </c>
      <c r="P235" s="28">
        <f t="shared" si="192"/>
      </c>
      <c r="Q235" s="28">
        <f t="shared" si="211"/>
      </c>
      <c r="R235" s="30">
        <f t="shared" si="230"/>
      </c>
      <c r="S235" s="31">
        <f t="shared" si="249"/>
      </c>
      <c r="T235" s="30">
        <f t="shared" si="268"/>
      </c>
      <c r="U235" s="30"/>
      <c r="V235" s="49" t="s">
        <v>35</v>
      </c>
      <c r="W235" s="33" t="s">
        <v>36</v>
      </c>
      <c r="X235" s="33"/>
      <c r="Y235" s="34">
        <v>0</v>
      </c>
      <c r="Z235" s="36">
        <v>24763</v>
      </c>
      <c r="AA235" s="36">
        <v>70</v>
      </c>
      <c r="AB235" s="36">
        <v>16244</v>
      </c>
      <c r="AC235" s="36">
        <v>630</v>
      </c>
      <c r="AD235" s="36">
        <v>127</v>
      </c>
      <c r="AE235" s="34">
        <v>0</v>
      </c>
    </row>
    <row customHeight="true" ht="18.452380952380953" r="236">
      <c r="A236" s="19"/>
      <c r="B236" s="20" t="s">
        <v>45</v>
      </c>
      <c r="C236" s="21" t="s">
        <v>44</v>
      </c>
      <c r="D236" s="22">
        <f t="shared" si="34"/>
      </c>
      <c r="E236" s="24">
        <v>207.163</v>
      </c>
      <c r="F236" s="24">
        <v>2636.58</v>
      </c>
      <c r="G236" s="24">
        <v>133.228</v>
      </c>
      <c r="H236" s="25">
        <v>2</v>
      </c>
      <c r="I236" s="63">
        <v>3981.120000000001</v>
      </c>
      <c r="J236" s="27">
        <f t="shared" si="73"/>
      </c>
      <c r="K236" s="28">
        <f t="shared" si="97"/>
      </c>
      <c r="L236" s="29">
        <f t="shared" si="135"/>
      </c>
      <c r="M236" s="28">
        <f t="shared" si="116"/>
      </c>
      <c r="N236" s="28">
        <f t="shared" si="154"/>
      </c>
      <c r="O236" s="29">
        <f t="shared" si="173"/>
      </c>
      <c r="P236" s="28">
        <f t="shared" si="192"/>
      </c>
      <c r="Q236" s="28">
        <f t="shared" si="211"/>
      </c>
      <c r="R236" s="30">
        <f t="shared" si="230"/>
      </c>
      <c r="S236" s="31">
        <f t="shared" si="249"/>
      </c>
      <c r="T236" s="30">
        <f t="shared" si="268"/>
      </c>
      <c r="U236" s="30"/>
      <c r="V236" s="49" t="s">
        <v>35</v>
      </c>
      <c r="W236" s="33" t="s">
        <v>36</v>
      </c>
      <c r="X236" s="33"/>
      <c r="Y236" s="34">
        <v>2</v>
      </c>
      <c r="Z236" s="36">
        <v>108057</v>
      </c>
      <c r="AA236" s="36">
        <v>74</v>
      </c>
      <c r="AB236" s="36">
        <v>142058</v>
      </c>
      <c r="AC236" s="36">
        <v>6054</v>
      </c>
      <c r="AD236" s="36">
        <v>347</v>
      </c>
      <c r="AE236" s="34">
        <v>3</v>
      </c>
    </row>
    <row customHeight="true" ht="18.452380952380953" r="237">
      <c r="A237" s="19"/>
      <c r="B237" s="20" t="s">
        <v>46</v>
      </c>
      <c r="C237" s="21" t="s">
        <v>44</v>
      </c>
      <c r="D237" s="22">
        <f t="shared" si="34"/>
      </c>
      <c r="E237" s="24">
        <v>37.059</v>
      </c>
      <c r="F237" s="24">
        <v>1606.686</v>
      </c>
      <c r="G237" s="24">
        <v>97.641</v>
      </c>
      <c r="H237" s="25">
        <v>3</v>
      </c>
      <c r="I237" s="63">
        <v>8639.999999999998</v>
      </c>
      <c r="J237" s="27">
        <f t="shared" si="73"/>
      </c>
      <c r="K237" s="28">
        <f t="shared" si="97"/>
      </c>
      <c r="L237" s="29">
        <f t="shared" si="135"/>
      </c>
      <c r="M237" s="28">
        <f t="shared" si="116"/>
      </c>
      <c r="N237" s="28">
        <f t="shared" si="154"/>
      </c>
      <c r="O237" s="29">
        <f t="shared" si="173"/>
      </c>
      <c r="P237" s="28">
        <f t="shared" si="192"/>
      </c>
      <c r="Q237" s="28">
        <f t="shared" si="211"/>
      </c>
      <c r="R237" s="30">
        <f t="shared" si="230"/>
      </c>
      <c r="S237" s="31">
        <f t="shared" si="249"/>
      </c>
      <c r="T237" s="30">
        <f t="shared" si="268"/>
      </c>
      <c r="U237" s="30"/>
      <c r="V237" s="49" t="s">
        <v>35</v>
      </c>
      <c r="W237" s="33" t="s">
        <v>36</v>
      </c>
      <c r="X237" s="33"/>
      <c r="Y237" s="34">
        <v>3</v>
      </c>
      <c r="Z237" s="36">
        <v>64912</v>
      </c>
      <c r="AA237" s="36">
        <v>57</v>
      </c>
      <c r="AB237" s="36">
        <v>79372</v>
      </c>
      <c r="AC237" s="36">
        <v>3705</v>
      </c>
      <c r="AD237" s="36">
        <v>284</v>
      </c>
      <c r="AE237" s="34">
        <v>5</v>
      </c>
    </row>
    <row customHeight="true" ht="18.452380952380953" r="238">
      <c r="A238" s="19"/>
      <c r="B238" s="20" t="s">
        <v>47</v>
      </c>
      <c r="C238" s="21" t="s">
        <v>44</v>
      </c>
      <c r="D238" s="22">
        <f t="shared" si="34"/>
      </c>
      <c r="E238" s="24">
        <v>29.453</v>
      </c>
      <c r="F238" s="24">
        <f>243.982+0.004</f>
      </c>
      <c r="G238" s="24">
        <f>107.812+0.015+0.004</f>
      </c>
      <c r="H238" s="25">
        <v>1</v>
      </c>
      <c r="I238" s="63">
        <v>466.5600000000013</v>
      </c>
      <c r="J238" s="27">
        <f t="shared" si="73"/>
      </c>
      <c r="K238" s="28">
        <f t="shared" si="97"/>
      </c>
      <c r="L238" s="29">
        <f t="shared" si="135"/>
      </c>
      <c r="M238" s="28">
        <f t="shared" si="116"/>
      </c>
      <c r="N238" s="28">
        <f t="shared" si="154"/>
      </c>
      <c r="O238" s="29">
        <f t="shared" si="173"/>
      </c>
      <c r="P238" s="28">
        <f t="shared" si="192"/>
      </c>
      <c r="Q238" s="28">
        <f t="shared" si="211"/>
      </c>
      <c r="R238" s="30">
        <f t="shared" si="230"/>
      </c>
      <c r="S238" s="31">
        <f t="shared" si="249"/>
      </c>
      <c r="T238" s="30">
        <f t="shared" si="268"/>
      </c>
      <c r="U238" s="30"/>
      <c r="V238" s="49" t="s">
        <v>35</v>
      </c>
      <c r="W238" s="33" t="s">
        <v>36</v>
      </c>
      <c r="X238" s="33"/>
      <c r="Y238" s="34">
        <v>1</v>
      </c>
      <c r="Z238" s="36">
        <v>14448</v>
      </c>
      <c r="AA238" s="36">
        <v>44</v>
      </c>
      <c r="AB238" s="36">
        <v>7181</v>
      </c>
      <c r="AC238" s="36">
        <v>327</v>
      </c>
      <c r="AD238" s="36">
        <v>80</v>
      </c>
      <c r="AE238" s="34">
        <v>2</v>
      </c>
    </row>
    <row customHeight="true" ht="18.452380952380953" r="239">
      <c r="A239" s="19"/>
      <c r="B239" s="38" t="s">
        <v>42</v>
      </c>
      <c r="C239" s="38"/>
      <c r="D239" s="73">
        <f>SUM(D234:D238)</f>
      </c>
      <c r="E239" s="73">
        <f>SUM(E234:E238)</f>
      </c>
      <c r="F239" s="73">
        <f>SUM(F234:F238)</f>
      </c>
      <c r="G239" s="73">
        <f>SUM(G234:G238)</f>
      </c>
      <c r="H239" s="40">
        <f>SUM(H234:H238)</f>
      </c>
      <c r="I239" s="62">
        <f>SUM(I234:I238)</f>
      </c>
      <c r="J239" s="42">
        <f t="shared" si="73"/>
      </c>
      <c r="K239" s="43">
        <f t="shared" si="97"/>
      </c>
      <c r="L239" s="44">
        <f t="shared" si="135"/>
      </c>
      <c r="M239" s="43">
        <f t="shared" si="116"/>
      </c>
      <c r="N239" s="43">
        <f t="shared" si="154"/>
      </c>
      <c r="O239" s="44">
        <f t="shared" si="173"/>
      </c>
      <c r="P239" s="43">
        <f t="shared" si="192"/>
      </c>
      <c r="Q239" s="43">
        <f t="shared" si="211"/>
      </c>
      <c r="R239" s="45">
        <f t="shared" si="230"/>
      </c>
      <c r="S239" s="46">
        <f t="shared" si="249"/>
      </c>
      <c r="T239" s="45">
        <f t="shared" si="268"/>
      </c>
      <c r="U239" s="45"/>
      <c r="V239" s="47"/>
      <c r="W239" s="47"/>
      <c r="X239" s="47"/>
      <c r="Y239" s="48">
        <f>SUM(Y234:Y238)</f>
      </c>
      <c r="Z239" s="48">
        <f>SUM(Z234:Z238)</f>
      </c>
      <c r="AA239" s="48">
        <f>SUM(AA234:AA238)</f>
      </c>
      <c r="AB239" s="48">
        <f>SUM(AB234:AB238)</f>
      </c>
      <c r="AC239" s="48">
        <f>SUM(AC234:AC238)</f>
      </c>
      <c r="AD239" s="48">
        <f>SUM(AD234:AD238)</f>
      </c>
      <c r="AE239" s="48">
        <f>SUM(AE234:AE238)</f>
      </c>
    </row>
    <row customHeight="true" ht="18.452380952380953" r="240">
      <c r="A240" s="19"/>
      <c r="B240" s="70" t="s">
        <v>49</v>
      </c>
      <c r="C240" s="70"/>
      <c r="D240" s="74">
        <f>D239+D233+D227</f>
      </c>
      <c r="E240" s="74">
        <f>E239+E233+E227</f>
      </c>
      <c r="F240" s="74">
        <f>F239+F233+F227</f>
      </c>
      <c r="G240" s="74">
        <f>G239+G233+G227</f>
      </c>
      <c r="H240" s="75">
        <f>H239+H233+H227</f>
      </c>
      <c r="I240" s="60">
        <f>I239+I233+I227</f>
      </c>
      <c r="J240" s="54">
        <f t="shared" si="73"/>
      </c>
      <c r="K240" s="55">
        <f t="shared" si="97"/>
      </c>
      <c r="L240" s="54">
        <f t="shared" si="135"/>
      </c>
      <c r="M240" s="55">
        <f t="shared" si="116"/>
      </c>
      <c r="N240" s="55">
        <f t="shared" si="154"/>
      </c>
      <c r="O240" s="54">
        <f t="shared" si="173"/>
      </c>
      <c r="P240" s="55">
        <f t="shared" si="192"/>
      </c>
      <c r="Q240" s="55">
        <f t="shared" si="211"/>
      </c>
      <c r="R240" s="54">
        <f t="shared" si="230"/>
      </c>
      <c r="S240" s="56">
        <f t="shared" si="249"/>
      </c>
      <c r="T240" s="54">
        <f t="shared" si="268"/>
      </c>
      <c r="U240" s="54"/>
      <c r="V240" s="57"/>
      <c r="W240" s="57"/>
      <c r="X240" s="57"/>
      <c r="Y240" s="53">
        <f>Y239+Y233+Y227</f>
      </c>
      <c r="Z240" s="53">
        <f>Z239+Z233+Z227</f>
      </c>
      <c r="AA240" s="53">
        <f>AA239+AA233+AA227</f>
      </c>
      <c r="AB240" s="53">
        <f>AB239+AB233+AB227</f>
      </c>
      <c r="AC240" s="53">
        <f>AC239+AC233+AC227</f>
      </c>
      <c r="AD240" s="53">
        <f>AD239+AD233+AD227</f>
      </c>
      <c r="AE240" s="53">
        <f>AE239+AE233+AE227</f>
      </c>
    </row>
    <row r="241">
      <c r="A241" s="1" t="s">
        <v>1</v>
      </c>
      <c r="B241" s="1"/>
      <c r="C241" s="1"/>
      <c r="D241" s="2" t="s">
        <v>2</v>
      </c>
      <c r="E241" s="2"/>
      <c r="F241" s="2"/>
      <c r="G241" s="2"/>
      <c r="H241" s="2"/>
      <c r="I241" s="2"/>
      <c r="J241" s="2"/>
      <c r="K241" s="3" t="s">
        <v>3</v>
      </c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4"/>
      <c r="W241" s="4"/>
      <c r="X241" s="4"/>
      <c r="Y241" s="5"/>
      <c r="Z241" s="5"/>
      <c r="AA241" s="5"/>
      <c r="AB241" s="5"/>
      <c r="AC241" s="5"/>
      <c r="AD241" s="5"/>
      <c r="AE241" s="5"/>
    </row>
    <row r="242">
      <c r="A242" s="6" t="s">
        <v>4</v>
      </c>
      <c r="B242" s="7" t="s">
        <v>5</v>
      </c>
      <c r="C242" s="7" t="s">
        <v>6</v>
      </c>
      <c r="D242" s="8" t="s">
        <v>7</v>
      </c>
      <c r="E242" s="9" t="s">
        <v>8</v>
      </c>
      <c r="F242" s="9" t="s">
        <v>9</v>
      </c>
      <c r="G242" s="10" t="s">
        <v>10</v>
      </c>
      <c r="H242" s="11" t="s">
        <v>11</v>
      </c>
      <c r="I242" s="11" t="s">
        <v>12</v>
      </c>
      <c r="J242" s="12" t="s">
        <v>13</v>
      </c>
      <c r="K242" s="3" t="s">
        <v>14</v>
      </c>
      <c r="L242" s="3" t="s">
        <v>15</v>
      </c>
      <c r="M242" s="13" t="s">
        <v>16</v>
      </c>
      <c r="N242" s="13" t="s">
        <v>17</v>
      </c>
      <c r="O242" s="3" t="s">
        <v>18</v>
      </c>
      <c r="P242" s="13" t="s">
        <v>19</v>
      </c>
      <c r="Q242" s="13" t="s">
        <v>20</v>
      </c>
      <c r="R242" s="14" t="s">
        <v>21</v>
      </c>
      <c r="S242" s="13" t="s">
        <v>22</v>
      </c>
      <c r="T242" s="14" t="s">
        <v>23</v>
      </c>
      <c r="U242" s="14"/>
      <c r="V242" s="15" t="s">
        <v>24</v>
      </c>
      <c r="W242" s="15" t="s">
        <v>25</v>
      </c>
      <c r="X242" s="15"/>
      <c r="Y242" s="16" t="s">
        <v>26</v>
      </c>
      <c r="Z242" s="17" t="s">
        <v>27</v>
      </c>
      <c r="AA242" s="17" t="s">
        <v>28</v>
      </c>
      <c r="AB242" s="17" t="s">
        <v>29</v>
      </c>
      <c r="AC242" s="17" t="s">
        <v>30</v>
      </c>
      <c r="AD242" s="17" t="s">
        <v>31</v>
      </c>
      <c r="AE242" s="18" t="s">
        <v>32</v>
      </c>
    </row>
    <row r="243">
      <c r="A243" s="19">
        <v>46308</v>
      </c>
      <c r="B243" s="20" t="s">
        <v>58</v>
      </c>
      <c r="C243" s="21" t="s">
        <v>34</v>
      </c>
      <c r="D243" s="37">
        <f t="shared" ref="D243:D247" si="35">E243+F243+G243</f>
      </c>
      <c r="E243" s="24">
        <v>75.145</v>
      </c>
      <c r="F243" s="24">
        <v>201.542</v>
      </c>
      <c r="G243" s="24">
        <v>394.75</v>
      </c>
      <c r="H243" s="25">
        <v>0</v>
      </c>
      <c r="I243" s="63">
        <v>0</v>
      </c>
      <c r="J243" s="27">
        <f t="shared" ref="J243:J261" si="74">I243/D243</f>
      </c>
      <c r="K243" s="28">
        <f t="shared" ref="K243:K261" si="98">AA243/Z243</f>
      </c>
      <c r="L243" s="29">
        <f t="shared" ref="L243:L261" si="136">D243/AB243</f>
      </c>
      <c r="M243" s="28">
        <f t="shared" ref="M243:M261" si="117">AC243/AB243</f>
      </c>
      <c r="N243" s="28">
        <f t="shared" ref="N243:N261" si="155">AD243/AB243</f>
      </c>
      <c r="O243" s="29">
        <f t="shared" ref="O243:O261" si="174">D243/AD243</f>
      </c>
      <c r="P243" s="28">
        <f t="shared" ref="P243:P261" si="193">AE243/AD243</f>
      </c>
      <c r="Q243" s="28">
        <f t="shared" ref="Q243:Q261" si="212">H243/AE243</f>
      </c>
      <c r="R243" s="30">
        <f t="shared" ref="R243:R261" si="231">D243/H243</f>
      </c>
      <c r="S243" s="31">
        <f t="shared" ref="S243:S261" si="250">I243/H243</f>
      </c>
      <c r="T243" s="30">
        <f t="shared" ref="T243:T261" si="269">D243/Y243</f>
      </c>
      <c r="U243" s="30"/>
      <c r="V243" s="32" t="s">
        <v>35</v>
      </c>
      <c r="W243" s="33" t="s">
        <v>48</v>
      </c>
      <c r="X243" s="33"/>
      <c r="Y243" s="34">
        <v>0</v>
      </c>
      <c r="Z243" s="35">
        <v>16793</v>
      </c>
      <c r="AA243" s="36">
        <v>44</v>
      </c>
      <c r="AB243" s="34">
        <v>6245</v>
      </c>
      <c r="AC243" s="34">
        <v>472</v>
      </c>
      <c r="AD243" s="34">
        <v>52</v>
      </c>
      <c r="AE243" s="34">
        <v>1</v>
      </c>
    </row>
    <row r="244">
      <c r="A244" s="19"/>
      <c r="B244" s="20" t="s">
        <v>56</v>
      </c>
      <c r="C244" s="21" t="s">
        <v>34</v>
      </c>
      <c r="D244" s="37">
        <f t="shared" si="35"/>
      </c>
      <c r="E244" s="24">
        <v>80.085</v>
      </c>
      <c r="F244" s="24">
        <v>387.073</v>
      </c>
      <c r="G244" s="24">
        <v>184.801</v>
      </c>
      <c r="H244" s="25">
        <v>1</v>
      </c>
      <c r="I244" s="63">
        <v>3398</v>
      </c>
      <c r="J244" s="27">
        <f t="shared" si="74"/>
      </c>
      <c r="K244" s="28">
        <f t="shared" si="98"/>
      </c>
      <c r="L244" s="29">
        <f t="shared" si="136"/>
      </c>
      <c r="M244" s="28">
        <f t="shared" si="117"/>
      </c>
      <c r="N244" s="28">
        <f t="shared" si="155"/>
      </c>
      <c r="O244" s="29">
        <f t="shared" si="174"/>
      </c>
      <c r="P244" s="28">
        <f t="shared" si="193"/>
      </c>
      <c r="Q244" s="28">
        <f t="shared" si="212"/>
      </c>
      <c r="R244" s="30">
        <f t="shared" si="231"/>
      </c>
      <c r="S244" s="31">
        <f t="shared" si="250"/>
      </c>
      <c r="T244" s="30">
        <f t="shared" si="269"/>
      </c>
      <c r="U244" s="30"/>
      <c r="V244" s="32" t="s">
        <v>35</v>
      </c>
      <c r="W244" s="33" t="s">
        <v>48</v>
      </c>
      <c r="X244" s="33"/>
      <c r="Y244" s="34">
        <v>1</v>
      </c>
      <c r="Z244" s="35">
        <v>15129</v>
      </c>
      <c r="AA244" s="36">
        <v>28</v>
      </c>
      <c r="AB244" s="34">
        <v>9022</v>
      </c>
      <c r="AC244" s="34">
        <v>657</v>
      </c>
      <c r="AD244" s="34">
        <v>53</v>
      </c>
      <c r="AE244" s="34">
        <v>1</v>
      </c>
    </row>
    <row r="245">
      <c r="A245" s="19"/>
      <c r="B245" s="20" t="s">
        <v>57</v>
      </c>
      <c r="C245" s="21" t="s">
        <v>34</v>
      </c>
      <c r="D245" s="37">
        <f t="shared" si="35"/>
      </c>
      <c r="E245" s="24">
        <v>100.218</v>
      </c>
      <c r="F245" s="24">
        <v>1014.821</v>
      </c>
      <c r="G245" s="24">
        <v>355.564</v>
      </c>
      <c r="H245" s="25">
        <v>3</v>
      </c>
      <c r="I245" s="63">
        <v>5421.52</v>
      </c>
      <c r="J245" s="27">
        <f t="shared" si="74"/>
      </c>
      <c r="K245" s="28">
        <f t="shared" si="98"/>
      </c>
      <c r="L245" s="29">
        <f t="shared" si="136"/>
      </c>
      <c r="M245" s="28">
        <f t="shared" si="117"/>
      </c>
      <c r="N245" s="28">
        <f t="shared" si="155"/>
      </c>
      <c r="O245" s="29">
        <f t="shared" si="174"/>
      </c>
      <c r="P245" s="28">
        <f t="shared" si="193"/>
      </c>
      <c r="Q245" s="28">
        <f t="shared" si="212"/>
      </c>
      <c r="R245" s="30">
        <f t="shared" si="231"/>
      </c>
      <c r="S245" s="31">
        <f t="shared" si="250"/>
      </c>
      <c r="T245" s="30">
        <f t="shared" si="269"/>
      </c>
      <c r="U245" s="30"/>
      <c r="V245" s="32" t="s">
        <v>35</v>
      </c>
      <c r="W245" s="33" t="s">
        <v>48</v>
      </c>
      <c r="X245" s="33"/>
      <c r="Y245" s="34">
        <v>2</v>
      </c>
      <c r="Z245" s="35">
        <v>39615</v>
      </c>
      <c r="AA245" s="36">
        <v>54</v>
      </c>
      <c r="AB245" s="34">
        <v>34937</v>
      </c>
      <c r="AC245" s="34">
        <v>2531</v>
      </c>
      <c r="AD245" s="34">
        <v>144</v>
      </c>
      <c r="AE245" s="34">
        <v>4</v>
      </c>
    </row>
    <row r="246">
      <c r="A246" s="19"/>
      <c r="B246" s="20" t="s">
        <v>50</v>
      </c>
      <c r="C246" s="21" t="s">
        <v>34</v>
      </c>
      <c r="D246" s="37">
        <f t="shared" si="35"/>
      </c>
      <c r="E246" s="24">
        <v>271.41</v>
      </c>
      <c r="F246" s="24">
        <v>975.891</v>
      </c>
      <c r="G246" s="24">
        <v>596.365</v>
      </c>
      <c r="H246" s="25">
        <v>2</v>
      </c>
      <c r="I246" s="63">
        <v>1943.5200000000004</v>
      </c>
      <c r="J246" s="27">
        <f t="shared" si="74"/>
      </c>
      <c r="K246" s="28">
        <f t="shared" si="98"/>
      </c>
      <c r="L246" s="29">
        <f t="shared" si="136"/>
      </c>
      <c r="M246" s="28">
        <f t="shared" si="117"/>
      </c>
      <c r="N246" s="28">
        <f t="shared" si="155"/>
      </c>
      <c r="O246" s="29">
        <f t="shared" si="174"/>
      </c>
      <c r="P246" s="28">
        <f t="shared" si="193"/>
      </c>
      <c r="Q246" s="28">
        <f t="shared" si="212"/>
      </c>
      <c r="R246" s="30">
        <f t="shared" si="231"/>
      </c>
      <c r="S246" s="31">
        <f t="shared" si="250"/>
      </c>
      <c r="T246" s="30">
        <f t="shared" si="269"/>
      </c>
      <c r="U246" s="30"/>
      <c r="V246" s="32" t="s">
        <v>35</v>
      </c>
      <c r="W246" s="33" t="s">
        <v>48</v>
      </c>
      <c r="X246" s="33"/>
      <c r="Y246" s="34">
        <v>2</v>
      </c>
      <c r="Z246" s="35">
        <v>54393</v>
      </c>
      <c r="AA246" s="36">
        <v>57</v>
      </c>
      <c r="AB246" s="34">
        <v>49579</v>
      </c>
      <c r="AC246" s="34">
        <v>3176</v>
      </c>
      <c r="AD246" s="34">
        <v>227</v>
      </c>
      <c r="AE246" s="34">
        <v>6</v>
      </c>
    </row>
    <row r="247">
      <c r="A247" s="19"/>
      <c r="B247" s="20" t="s">
        <v>51</v>
      </c>
      <c r="C247" s="21" t="s">
        <v>34</v>
      </c>
      <c r="D247" s="37">
        <f t="shared" si="35"/>
      </c>
      <c r="E247" s="24">
        <v>154.201</v>
      </c>
      <c r="F247" s="24">
        <v>811.181</v>
      </c>
      <c r="G247" s="24">
        <v>720.57</v>
      </c>
      <c r="H247" s="25">
        <v>2</v>
      </c>
      <c r="I247" s="63">
        <v>381</v>
      </c>
      <c r="J247" s="27">
        <f t="shared" si="74"/>
      </c>
      <c r="K247" s="28">
        <f t="shared" si="98"/>
      </c>
      <c r="L247" s="29">
        <f t="shared" si="136"/>
      </c>
      <c r="M247" s="28">
        <f t="shared" si="117"/>
      </c>
      <c r="N247" s="28">
        <f t="shared" si="155"/>
      </c>
      <c r="O247" s="29">
        <f t="shared" si="174"/>
      </c>
      <c r="P247" s="28">
        <f t="shared" si="193"/>
      </c>
      <c r="Q247" s="28">
        <f t="shared" si="212"/>
      </c>
      <c r="R247" s="30">
        <f t="shared" si="231"/>
      </c>
      <c r="S247" s="31">
        <f t="shared" si="250"/>
      </c>
      <c r="T247" s="30">
        <f t="shared" si="269"/>
      </c>
      <c r="U247" s="30"/>
      <c r="V247" s="32" t="s">
        <v>35</v>
      </c>
      <c r="W247" s="33" t="s">
        <v>48</v>
      </c>
      <c r="X247" s="33"/>
      <c r="Y247" s="34">
        <v>1</v>
      </c>
      <c r="Z247" s="36">
        <v>44370</v>
      </c>
      <c r="AA247" s="36">
        <v>36</v>
      </c>
      <c r="AB247" s="36">
        <v>43285</v>
      </c>
      <c r="AC247" s="36">
        <v>2811</v>
      </c>
      <c r="AD247" s="34">
        <v>215</v>
      </c>
      <c r="AE247" s="34">
        <v>2</v>
      </c>
    </row>
    <row r="248">
      <c r="A248" s="19"/>
      <c r="B248" s="38" t="s">
        <v>42</v>
      </c>
      <c r="C248" s="38"/>
      <c r="D248" s="61">
        <f>SUM(D243:D247)</f>
      </c>
      <c r="E248" s="61">
        <f>SUM(E243:E247)</f>
      </c>
      <c r="F248" s="61">
        <f>SUM(F243:F247)</f>
      </c>
      <c r="G248" s="61">
        <f>SUM(G243:G247)</f>
      </c>
      <c r="H248" s="40">
        <f>SUM(H243:H247)</f>
      </c>
      <c r="I248" s="62">
        <f>SUM(I243:I247)</f>
      </c>
      <c r="J248" s="42">
        <f t="shared" si="74"/>
      </c>
      <c r="K248" s="43">
        <f t="shared" si="98"/>
      </c>
      <c r="L248" s="44">
        <f t="shared" si="136"/>
      </c>
      <c r="M248" s="43">
        <f t="shared" si="117"/>
      </c>
      <c r="N248" s="43">
        <f t="shared" si="155"/>
      </c>
      <c r="O248" s="44">
        <f t="shared" si="174"/>
      </c>
      <c r="P248" s="43">
        <f t="shared" si="193"/>
      </c>
      <c r="Q248" s="43">
        <f t="shared" si="212"/>
      </c>
      <c r="R248" s="45">
        <f t="shared" si="231"/>
      </c>
      <c r="S248" s="46">
        <f t="shared" si="250"/>
      </c>
      <c r="T248" s="45">
        <f t="shared" si="269"/>
      </c>
      <c r="U248" s="45"/>
      <c r="V248" s="47"/>
      <c r="W248" s="47"/>
      <c r="X248" s="47"/>
      <c r="Y248" s="48">
        <f>SUM(Y243:Y247)</f>
      </c>
      <c r="Z248" s="48">
        <f>SUM(Z243:Z247)</f>
      </c>
      <c r="AA248" s="48">
        <f>SUM(AA243:AA247)</f>
      </c>
      <c r="AB248" s="48">
        <f>SUM(AB243:AB247)</f>
      </c>
      <c r="AC248" s="48">
        <f>SUM(AC243:AC247)</f>
      </c>
      <c r="AD248" s="48">
        <f>SUM(AD243:AD247)</f>
      </c>
      <c r="AE248" s="48">
        <f>SUM(AE243:AE247)</f>
      </c>
    </row>
    <row r="249">
      <c r="A249" s="19"/>
      <c r="B249" s="20" t="s">
        <v>33</v>
      </c>
      <c r="C249" s="21" t="s">
        <v>52</v>
      </c>
      <c r="D249" s="37">
        <f t="shared" ref="D249:D253" si="36">E249+F249+G249</f>
      </c>
      <c r="E249" s="24">
        <v>125.26</v>
      </c>
      <c r="F249" s="24">
        <v>676.726</v>
      </c>
      <c r="G249" s="24">
        <v>539.846</v>
      </c>
      <c r="H249" s="25">
        <v>0</v>
      </c>
      <c r="I249" s="63">
        <v>0</v>
      </c>
      <c r="J249" s="27">
        <f t="shared" si="74"/>
      </c>
      <c r="K249" s="28">
        <f t="shared" si="98"/>
      </c>
      <c r="L249" s="29">
        <f t="shared" si="136"/>
      </c>
      <c r="M249" s="28">
        <f t="shared" si="117"/>
      </c>
      <c r="N249" s="28">
        <f t="shared" si="155"/>
      </c>
      <c r="O249" s="29">
        <f t="shared" si="174"/>
      </c>
      <c r="P249" s="28">
        <f t="shared" si="193"/>
      </c>
      <c r="Q249" s="28">
        <f t="shared" si="212"/>
      </c>
      <c r="R249" s="30">
        <f t="shared" si="231"/>
      </c>
      <c r="S249" s="31">
        <f t="shared" si="250"/>
      </c>
      <c r="T249" s="30">
        <f t="shared" si="269"/>
      </c>
      <c r="U249" s="30"/>
      <c r="V249" s="32" t="s">
        <v>35</v>
      </c>
      <c r="W249" s="33" t="s">
        <v>48</v>
      </c>
      <c r="X249" s="33"/>
      <c r="Y249" s="34">
        <v>1</v>
      </c>
      <c r="Z249" s="35">
        <v>31011</v>
      </c>
      <c r="AA249" s="36">
        <v>60</v>
      </c>
      <c r="AB249" s="34">
        <v>28432</v>
      </c>
      <c r="AC249" s="34">
        <v>1690</v>
      </c>
      <c r="AD249" s="34">
        <v>137</v>
      </c>
      <c r="AE249" s="34">
        <v>3</v>
      </c>
    </row>
    <row r="250">
      <c r="A250" s="19"/>
      <c r="B250" s="20" t="s">
        <v>37</v>
      </c>
      <c r="C250" s="21" t="s">
        <v>52</v>
      </c>
      <c r="D250" s="37">
        <f t="shared" si="36"/>
      </c>
      <c r="E250" s="24">
        <v>126.205</v>
      </c>
      <c r="F250" s="24">
        <v>1093.715</v>
      </c>
      <c r="G250" s="24">
        <v>571.112</v>
      </c>
      <c r="H250" s="25">
        <v>3</v>
      </c>
      <c r="I250" s="63">
        <v>4167.58</v>
      </c>
      <c r="J250" s="27">
        <f t="shared" si="74"/>
      </c>
      <c r="K250" s="28">
        <f t="shared" si="98"/>
      </c>
      <c r="L250" s="29">
        <f t="shared" si="136"/>
      </c>
      <c r="M250" s="28">
        <f t="shared" si="117"/>
      </c>
      <c r="N250" s="28">
        <f t="shared" si="155"/>
      </c>
      <c r="O250" s="29">
        <f t="shared" si="174"/>
      </c>
      <c r="P250" s="28">
        <f t="shared" si="193"/>
      </c>
      <c r="Q250" s="28">
        <f t="shared" si="212"/>
      </c>
      <c r="R250" s="30">
        <f t="shared" si="231"/>
      </c>
      <c r="S250" s="31">
        <f t="shared" si="250"/>
      </c>
      <c r="T250" s="30">
        <f t="shared" si="269"/>
      </c>
      <c r="U250" s="30"/>
      <c r="V250" s="32" t="s">
        <v>35</v>
      </c>
      <c r="W250" s="33" t="s">
        <v>39</v>
      </c>
      <c r="X250" s="33"/>
      <c r="Y250" s="34">
        <v>3</v>
      </c>
      <c r="Z250" s="36">
        <v>44839</v>
      </c>
      <c r="AA250" s="36">
        <v>61</v>
      </c>
      <c r="AB250" s="34">
        <v>34892</v>
      </c>
      <c r="AC250" s="34">
        <v>2287</v>
      </c>
      <c r="AD250" s="34">
        <v>189</v>
      </c>
      <c r="AE250" s="34">
        <v>4</v>
      </c>
    </row>
    <row r="251">
      <c r="A251" s="19"/>
      <c r="B251" s="20" t="s">
        <v>38</v>
      </c>
      <c r="C251" s="21" t="s">
        <v>52</v>
      </c>
      <c r="D251" s="37">
        <f t="shared" si="36"/>
      </c>
      <c r="E251" s="24">
        <v>156.101</v>
      </c>
      <c r="F251" s="24">
        <v>1324.389</v>
      </c>
      <c r="G251" s="24">
        <v>563.964</v>
      </c>
      <c r="H251" s="25">
        <v>1</v>
      </c>
      <c r="I251" s="63">
        <v>683.3999999999996</v>
      </c>
      <c r="J251" s="27">
        <f t="shared" si="74"/>
      </c>
      <c r="K251" s="28">
        <f t="shared" si="98"/>
      </c>
      <c r="L251" s="29">
        <f t="shared" si="136"/>
      </c>
      <c r="M251" s="28">
        <f t="shared" si="117"/>
      </c>
      <c r="N251" s="28">
        <f t="shared" si="155"/>
      </c>
      <c r="O251" s="29">
        <f t="shared" si="174"/>
      </c>
      <c r="P251" s="28">
        <f t="shared" si="193"/>
      </c>
      <c r="Q251" s="28">
        <f t="shared" si="212"/>
      </c>
      <c r="R251" s="30">
        <f t="shared" si="231"/>
      </c>
      <c r="S251" s="31">
        <f t="shared" si="250"/>
      </c>
      <c r="T251" s="30">
        <f t="shared" si="269"/>
      </c>
      <c r="U251" s="30"/>
      <c r="V251" s="32" t="s">
        <v>35</v>
      </c>
      <c r="W251" s="33" t="s">
        <v>36</v>
      </c>
      <c r="X251" s="33"/>
      <c r="Y251" s="34">
        <v>1</v>
      </c>
      <c r="Z251" s="35">
        <v>46221</v>
      </c>
      <c r="AA251" s="36">
        <v>72</v>
      </c>
      <c r="AB251" s="34">
        <v>37102</v>
      </c>
      <c r="AC251" s="34">
        <v>2712</v>
      </c>
      <c r="AD251" s="34">
        <v>231</v>
      </c>
      <c r="AE251" s="34">
        <v>2</v>
      </c>
    </row>
    <row r="252">
      <c r="A252" s="19"/>
      <c r="B252" s="20" t="s">
        <v>40</v>
      </c>
      <c r="C252" s="21" t="s">
        <v>52</v>
      </c>
      <c r="D252" s="37">
        <f t="shared" si="36"/>
      </c>
      <c r="E252" s="24">
        <v>171.389</v>
      </c>
      <c r="F252" s="24">
        <v>1266.193</v>
      </c>
      <c r="G252" s="24">
        <v>648.518</v>
      </c>
      <c r="H252" s="25">
        <v>1</v>
      </c>
      <c r="I252" s="63">
        <v>659.2799999999988</v>
      </c>
      <c r="J252" s="27">
        <f t="shared" si="74"/>
      </c>
      <c r="K252" s="28">
        <f t="shared" si="98"/>
      </c>
      <c r="L252" s="29">
        <f t="shared" si="136"/>
      </c>
      <c r="M252" s="28">
        <f t="shared" si="117"/>
      </c>
      <c r="N252" s="28">
        <f t="shared" si="155"/>
      </c>
      <c r="O252" s="29">
        <f t="shared" si="174"/>
      </c>
      <c r="P252" s="28">
        <f t="shared" si="193"/>
      </c>
      <c r="Q252" s="28">
        <f t="shared" si="212"/>
      </c>
      <c r="R252" s="30">
        <f t="shared" si="231"/>
      </c>
      <c r="S252" s="31">
        <f t="shared" si="250"/>
      </c>
      <c r="T252" s="30">
        <f t="shared" si="269"/>
      </c>
      <c r="U252" s="30"/>
      <c r="V252" s="32" t="s">
        <v>35</v>
      </c>
      <c r="W252" s="33" t="s">
        <v>36</v>
      </c>
      <c r="X252" s="33"/>
      <c r="Y252" s="34">
        <v>1</v>
      </c>
      <c r="Z252" s="35">
        <v>50252</v>
      </c>
      <c r="AA252" s="36">
        <v>86</v>
      </c>
      <c r="AB252" s="36">
        <v>38536</v>
      </c>
      <c r="AC252" s="36">
        <v>2761</v>
      </c>
      <c r="AD252" s="34">
        <v>207</v>
      </c>
      <c r="AE252" s="34">
        <v>3</v>
      </c>
    </row>
    <row r="253">
      <c r="A253" s="19"/>
      <c r="B253" s="20" t="s">
        <v>41</v>
      </c>
      <c r="C253" s="21" t="s">
        <v>52</v>
      </c>
      <c r="D253" s="37">
        <f t="shared" si="36"/>
      </c>
      <c r="E253" s="24">
        <v>130.854</v>
      </c>
      <c r="F253" s="24">
        <v>912.222</v>
      </c>
      <c r="G253" s="24">
        <v>653.886</v>
      </c>
      <c r="H253" s="25">
        <v>1</v>
      </c>
      <c r="I253" s="63">
        <v>604.7999999999993</v>
      </c>
      <c r="J253" s="27">
        <f t="shared" si="74"/>
      </c>
      <c r="K253" s="28">
        <f t="shared" si="98"/>
      </c>
      <c r="L253" s="29">
        <f t="shared" si="136"/>
      </c>
      <c r="M253" s="28">
        <f t="shared" si="117"/>
      </c>
      <c r="N253" s="28">
        <f t="shared" si="155"/>
      </c>
      <c r="O253" s="29">
        <f t="shared" si="174"/>
      </c>
      <c r="P253" s="28">
        <f t="shared" si="193"/>
      </c>
      <c r="Q253" s="28">
        <f t="shared" si="212"/>
      </c>
      <c r="R253" s="30">
        <f t="shared" si="231"/>
      </c>
      <c r="S253" s="31">
        <f t="shared" si="250"/>
      </c>
      <c r="T253" s="30">
        <f t="shared" si="269"/>
      </c>
      <c r="U253" s="30"/>
      <c r="V253" s="32" t="s">
        <v>35</v>
      </c>
      <c r="W253" s="33" t="s">
        <v>36</v>
      </c>
      <c r="X253" s="33"/>
      <c r="Y253" s="34">
        <v>1</v>
      </c>
      <c r="Z253" s="36">
        <v>41928</v>
      </c>
      <c r="AA253" s="36">
        <v>55</v>
      </c>
      <c r="AB253" s="36">
        <v>30041</v>
      </c>
      <c r="AC253" s="36">
        <v>2007</v>
      </c>
      <c r="AD253" s="34">
        <v>155</v>
      </c>
      <c r="AE253" s="34">
        <v>1</v>
      </c>
    </row>
    <row r="254">
      <c r="A254" s="19"/>
      <c r="B254" s="38" t="s">
        <v>42</v>
      </c>
      <c r="C254" s="38"/>
      <c r="D254" s="61">
        <f>SUM(D249:D253)</f>
      </c>
      <c r="E254" s="61">
        <f>SUM(E249:E253)</f>
      </c>
      <c r="F254" s="61">
        <f>SUM(F249:F253)</f>
      </c>
      <c r="G254" s="61">
        <f>SUM(G249:G253)</f>
      </c>
      <c r="H254" s="40">
        <f>SUM(H249:H253)</f>
      </c>
      <c r="I254" s="62">
        <f>SUM(I249:I253)</f>
      </c>
      <c r="J254" s="42">
        <f t="shared" si="74"/>
      </c>
      <c r="K254" s="43">
        <f t="shared" si="98"/>
      </c>
      <c r="L254" s="44">
        <f t="shared" si="136"/>
      </c>
      <c r="M254" s="43">
        <f t="shared" si="117"/>
      </c>
      <c r="N254" s="43">
        <f t="shared" si="155"/>
      </c>
      <c r="O254" s="44">
        <f t="shared" si="174"/>
      </c>
      <c r="P254" s="43">
        <f t="shared" si="193"/>
      </c>
      <c r="Q254" s="43">
        <f t="shared" si="212"/>
      </c>
      <c r="R254" s="45">
        <f t="shared" si="231"/>
      </c>
      <c r="S254" s="46">
        <f t="shared" si="250"/>
      </c>
      <c r="T254" s="45">
        <f t="shared" si="269"/>
      </c>
      <c r="U254" s="45"/>
      <c r="V254" s="47"/>
      <c r="W254" s="47"/>
      <c r="X254" s="47"/>
      <c r="Y254" s="48">
        <f>SUM(Y249:Y253)</f>
      </c>
      <c r="Z254" s="59">
        <f>SUM(Z249:Z253)</f>
      </c>
      <c r="AA254" s="59">
        <f>SUM(AA249:AA253)</f>
      </c>
      <c r="AB254" s="59">
        <f>SUM(AB249:AB253)</f>
      </c>
      <c r="AC254" s="59">
        <f>SUM(AC249:AC253)</f>
      </c>
      <c r="AD254" s="59">
        <f>SUM(AD249:AD253)</f>
      </c>
      <c r="AE254" s="59">
        <f>SUM(AE249:AE253)</f>
      </c>
    </row>
    <row r="255">
      <c r="A255" s="19"/>
      <c r="B255" s="20" t="s">
        <v>53</v>
      </c>
      <c r="C255" s="21" t="s">
        <v>44</v>
      </c>
      <c r="D255" s="22">
        <f t="shared" ref="D255:D259" si="37">E255+F255+G255</f>
      </c>
      <c r="E255" s="24">
        <v>181.479</v>
      </c>
      <c r="F255" s="24">
        <v>758.814</v>
      </c>
      <c r="G255" s="24">
        <v>698.312</v>
      </c>
      <c r="H255" s="25">
        <v>2</v>
      </c>
      <c r="I255" s="63">
        <v>2868.9600000000028</v>
      </c>
      <c r="J255" s="27">
        <f t="shared" si="74"/>
      </c>
      <c r="K255" s="28">
        <f t="shared" si="98"/>
      </c>
      <c r="L255" s="29">
        <f t="shared" si="136"/>
      </c>
      <c r="M255" s="28">
        <f t="shared" si="117"/>
      </c>
      <c r="N255" s="28">
        <f t="shared" si="155"/>
      </c>
      <c r="O255" s="29">
        <f t="shared" si="174"/>
      </c>
      <c r="P255" s="28">
        <f t="shared" si="193"/>
      </c>
      <c r="Q255" s="28">
        <f t="shared" si="212"/>
      </c>
      <c r="R255" s="30">
        <f t="shared" si="231"/>
      </c>
      <c r="S255" s="31">
        <f t="shared" si="250"/>
      </c>
      <c r="T255" s="30">
        <f t="shared" si="269"/>
      </c>
      <c r="U255" s="30"/>
      <c r="V255" s="49" t="s">
        <v>35</v>
      </c>
      <c r="W255" s="33" t="s">
        <v>36</v>
      </c>
      <c r="X255" s="33"/>
      <c r="Y255" s="34">
        <v>2</v>
      </c>
      <c r="Z255" s="35">
        <v>40629</v>
      </c>
      <c r="AA255" s="36">
        <v>83</v>
      </c>
      <c r="AB255" s="36">
        <v>30094</v>
      </c>
      <c r="AC255" s="36">
        <v>1627</v>
      </c>
      <c r="AD255" s="36">
        <v>270</v>
      </c>
      <c r="AE255" s="34">
        <v>2</v>
      </c>
    </row>
    <row r="256">
      <c r="A256" s="19"/>
      <c r="B256" s="20" t="s">
        <v>43</v>
      </c>
      <c r="C256" s="21" t="s">
        <v>44</v>
      </c>
      <c r="D256" s="22">
        <f t="shared" si="37"/>
      </c>
      <c r="E256" s="24">
        <v>230.654</v>
      </c>
      <c r="F256" s="24">
        <v>1042.436</v>
      </c>
      <c r="G256" s="24">
        <v>770.745</v>
      </c>
      <c r="H256" s="25">
        <v>0</v>
      </c>
      <c r="I256" s="63">
        <v>0</v>
      </c>
      <c r="J256" s="27">
        <f t="shared" si="74"/>
      </c>
      <c r="K256" s="28">
        <f t="shared" si="98"/>
      </c>
      <c r="L256" s="29">
        <f t="shared" si="136"/>
      </c>
      <c r="M256" s="28">
        <f t="shared" si="117"/>
      </c>
      <c r="N256" s="28">
        <f t="shared" si="155"/>
      </c>
      <c r="O256" s="29">
        <f t="shared" si="174"/>
      </c>
      <c r="P256" s="28">
        <f t="shared" si="193"/>
      </c>
      <c r="Q256" s="28">
        <f t="shared" si="212"/>
      </c>
      <c r="R256" s="30">
        <f t="shared" si="231"/>
      </c>
      <c r="S256" s="31">
        <f t="shared" si="250"/>
      </c>
      <c r="T256" s="30">
        <f t="shared" si="269"/>
      </c>
      <c r="U256" s="30"/>
      <c r="V256" s="49" t="s">
        <v>35</v>
      </c>
      <c r="W256" s="33" t="s">
        <v>36</v>
      </c>
      <c r="X256" s="33"/>
      <c r="Y256" s="34">
        <v>0</v>
      </c>
      <c r="Z256" s="36">
        <v>55200</v>
      </c>
      <c r="AA256" s="36">
        <v>103</v>
      </c>
      <c r="AB256" s="36">
        <v>46910</v>
      </c>
      <c r="AC256" s="36">
        <v>2149</v>
      </c>
      <c r="AD256" s="36">
        <v>240</v>
      </c>
      <c r="AE256" s="34">
        <v>1</v>
      </c>
    </row>
    <row r="257">
      <c r="A257" s="19"/>
      <c r="B257" s="20" t="s">
        <v>45</v>
      </c>
      <c r="C257" s="21" t="s">
        <v>44</v>
      </c>
      <c r="D257" s="22">
        <f t="shared" si="37"/>
      </c>
      <c r="E257" s="24">
        <v>220.678</v>
      </c>
      <c r="F257" s="24">
        <v>1097.575</v>
      </c>
      <c r="G257" s="24">
        <v>861.438</v>
      </c>
      <c r="H257" s="25">
        <v>2</v>
      </c>
      <c r="I257" s="63">
        <v>3725.4000000000015</v>
      </c>
      <c r="J257" s="27">
        <f t="shared" si="74"/>
      </c>
      <c r="K257" s="28">
        <f t="shared" si="98"/>
      </c>
      <c r="L257" s="29">
        <f t="shared" si="136"/>
      </c>
      <c r="M257" s="28">
        <f t="shared" si="117"/>
      </c>
      <c r="N257" s="28">
        <f t="shared" si="155"/>
      </c>
      <c r="O257" s="29">
        <f t="shared" si="174"/>
      </c>
      <c r="P257" s="28">
        <f t="shared" si="193"/>
      </c>
      <c r="Q257" s="28">
        <f t="shared" si="212"/>
      </c>
      <c r="R257" s="30">
        <f t="shared" si="231"/>
      </c>
      <c r="S257" s="31">
        <f t="shared" si="250"/>
      </c>
      <c r="T257" s="30">
        <f t="shared" si="269"/>
      </c>
      <c r="U257" s="30"/>
      <c r="V257" s="49" t="s">
        <v>35</v>
      </c>
      <c r="W257" s="33" t="s">
        <v>36</v>
      </c>
      <c r="X257" s="33"/>
      <c r="Y257" s="34">
        <v>2</v>
      </c>
      <c r="Z257" s="36">
        <v>61735</v>
      </c>
      <c r="AA257" s="36">
        <v>93</v>
      </c>
      <c r="AB257" s="36">
        <v>53165</v>
      </c>
      <c r="AC257" s="36">
        <v>2567</v>
      </c>
      <c r="AD257" s="36">
        <v>235</v>
      </c>
      <c r="AE257" s="34">
        <v>3</v>
      </c>
    </row>
    <row r="258">
      <c r="A258" s="19"/>
      <c r="B258" s="20" t="s">
        <v>46</v>
      </c>
      <c r="C258" s="21" t="s">
        <v>44</v>
      </c>
      <c r="D258" s="22">
        <f t="shared" si="37"/>
      </c>
      <c r="E258" s="24">
        <v>326.616</v>
      </c>
      <c r="F258" s="24">
        <v>694.465</v>
      </c>
      <c r="G258" s="24">
        <v>1124.538</v>
      </c>
      <c r="H258" s="25">
        <v>2</v>
      </c>
      <c r="I258" s="63">
        <v>6074.759999999998</v>
      </c>
      <c r="J258" s="27">
        <f t="shared" si="74"/>
      </c>
      <c r="K258" s="28">
        <f t="shared" si="98"/>
      </c>
      <c r="L258" s="29">
        <f t="shared" si="136"/>
      </c>
      <c r="M258" s="28">
        <f t="shared" si="117"/>
      </c>
      <c r="N258" s="28">
        <f t="shared" si="155"/>
      </c>
      <c r="O258" s="29">
        <f t="shared" si="174"/>
      </c>
      <c r="P258" s="28">
        <f t="shared" si="193"/>
      </c>
      <c r="Q258" s="28">
        <f t="shared" si="212"/>
      </c>
      <c r="R258" s="30">
        <f t="shared" si="231"/>
      </c>
      <c r="S258" s="31">
        <f t="shared" si="250"/>
      </c>
      <c r="T258" s="30">
        <f t="shared" si="269"/>
      </c>
      <c r="U258" s="30"/>
      <c r="V258" s="49" t="s">
        <v>35</v>
      </c>
      <c r="W258" s="33" t="s">
        <v>36</v>
      </c>
      <c r="X258" s="33"/>
      <c r="Y258" s="34">
        <v>2</v>
      </c>
      <c r="Z258" s="36">
        <v>65064</v>
      </c>
      <c r="AA258" s="36">
        <v>105</v>
      </c>
      <c r="AB258" s="36">
        <v>60958</v>
      </c>
      <c r="AC258" s="36">
        <v>2835</v>
      </c>
      <c r="AD258" s="36">
        <v>316</v>
      </c>
      <c r="AE258" s="34">
        <v>3</v>
      </c>
    </row>
    <row r="259">
      <c r="A259" s="19"/>
      <c r="B259" s="20" t="s">
        <v>47</v>
      </c>
      <c r="C259" s="21" t="s">
        <v>44</v>
      </c>
      <c r="D259" s="22">
        <f t="shared" si="37"/>
      </c>
      <c r="E259" s="24">
        <f>154.813+0.204+0.049+0.003+0.003+0.001</f>
      </c>
      <c r="F259" s="24">
        <f>874.744+0.076</f>
      </c>
      <c r="G259" s="24">
        <f>1621.394+0.089+0.004+0.129+1.304+0.026+0.018+0.038</f>
      </c>
      <c r="H259" s="25">
        <v>3</v>
      </c>
      <c r="I259" s="63">
        <v>10838.64</v>
      </c>
      <c r="J259" s="27">
        <f t="shared" si="74"/>
      </c>
      <c r="K259" s="28">
        <f t="shared" si="98"/>
      </c>
      <c r="L259" s="29">
        <f t="shared" si="136"/>
      </c>
      <c r="M259" s="28">
        <f t="shared" si="117"/>
      </c>
      <c r="N259" s="28">
        <f t="shared" si="155"/>
      </c>
      <c r="O259" s="29">
        <f t="shared" si="174"/>
      </c>
      <c r="P259" s="28">
        <f t="shared" si="193"/>
      </c>
      <c r="Q259" s="28">
        <f t="shared" si="212"/>
      </c>
      <c r="R259" s="30">
        <f t="shared" si="231"/>
      </c>
      <c r="S259" s="31">
        <f t="shared" si="250"/>
      </c>
      <c r="T259" s="30">
        <f t="shared" si="269"/>
      </c>
      <c r="U259" s="30"/>
      <c r="V259" s="49" t="s">
        <v>35</v>
      </c>
      <c r="W259" s="33" t="s">
        <v>36</v>
      </c>
      <c r="X259" s="33"/>
      <c r="Y259" s="34">
        <v>2</v>
      </c>
      <c r="Z259" s="36">
        <v>114548</v>
      </c>
      <c r="AA259" s="36">
        <v>404</v>
      </c>
      <c r="AB259" s="36">
        <v>115935</v>
      </c>
      <c r="AC259" s="36">
        <v>6268</v>
      </c>
      <c r="AD259" s="36">
        <v>570</v>
      </c>
      <c r="AE259" s="34">
        <v>4</v>
      </c>
    </row>
    <row r="260">
      <c r="A260" s="19"/>
      <c r="B260" s="38" t="s">
        <v>42</v>
      </c>
      <c r="C260" s="38"/>
      <c r="D260" s="73">
        <f>SUM(D255:D259)</f>
      </c>
      <c r="E260" s="73">
        <f>SUM(E255:E259)</f>
      </c>
      <c r="F260" s="73">
        <f>SUM(F255:F259)</f>
      </c>
      <c r="G260" s="73">
        <f>SUM(G255:G259)</f>
      </c>
      <c r="H260" s="40">
        <f>SUM(H255:H259)</f>
      </c>
      <c r="I260" s="62">
        <f>SUM(I255:I259)</f>
      </c>
      <c r="J260" s="42">
        <f t="shared" si="74"/>
      </c>
      <c r="K260" s="43">
        <f t="shared" si="98"/>
      </c>
      <c r="L260" s="44">
        <f t="shared" si="136"/>
      </c>
      <c r="M260" s="43">
        <f t="shared" si="117"/>
      </c>
      <c r="N260" s="43">
        <f t="shared" si="155"/>
      </c>
      <c r="O260" s="44">
        <f t="shared" si="174"/>
      </c>
      <c r="P260" s="43">
        <f t="shared" si="193"/>
      </c>
      <c r="Q260" s="43">
        <f t="shared" si="212"/>
      </c>
      <c r="R260" s="45">
        <f t="shared" si="231"/>
      </c>
      <c r="S260" s="46">
        <f t="shared" si="250"/>
      </c>
      <c r="T260" s="45">
        <f t="shared" si="269"/>
      </c>
      <c r="U260" s="45"/>
      <c r="V260" s="47"/>
      <c r="W260" s="47"/>
      <c r="X260" s="47"/>
      <c r="Y260" s="48">
        <f>SUM(Y255:Y259)</f>
      </c>
      <c r="Z260" s="48">
        <f>SUM(Z255:Z259)</f>
      </c>
      <c r="AA260" s="48">
        <f>SUM(AA255:AA259)</f>
      </c>
      <c r="AB260" s="48">
        <f>SUM(AB255:AB259)</f>
      </c>
      <c r="AC260" s="48">
        <f>SUM(AC255:AC259)</f>
      </c>
      <c r="AD260" s="48">
        <f>SUM(AD255:AD259)</f>
      </c>
      <c r="AE260" s="48">
        <f>SUM(AE255:AE259)</f>
      </c>
    </row>
    <row r="261">
      <c r="A261" s="19"/>
      <c r="B261" s="70" t="s">
        <v>49</v>
      </c>
      <c r="C261" s="70"/>
      <c r="D261" s="74">
        <f>D260+D254+D248</f>
      </c>
      <c r="E261" s="74">
        <f>E260+E254+E248</f>
      </c>
      <c r="F261" s="74">
        <f>F260+F254+F248</f>
      </c>
      <c r="G261" s="74">
        <f>G260+G254+G248</f>
      </c>
      <c r="H261" s="75">
        <f>H260+H254+H248</f>
      </c>
      <c r="I261" s="60">
        <f>I260+I254+I248</f>
      </c>
      <c r="J261" s="54">
        <f t="shared" si="74"/>
      </c>
      <c r="K261" s="55">
        <f t="shared" si="98"/>
      </c>
      <c r="L261" s="54">
        <f t="shared" si="136"/>
      </c>
      <c r="M261" s="55">
        <f t="shared" si="117"/>
      </c>
      <c r="N261" s="55">
        <f t="shared" si="155"/>
      </c>
      <c r="O261" s="54">
        <f t="shared" si="174"/>
      </c>
      <c r="P261" s="55">
        <f t="shared" si="193"/>
      </c>
      <c r="Q261" s="55">
        <f t="shared" si="212"/>
      </c>
      <c r="R261" s="54">
        <f t="shared" si="231"/>
      </c>
      <c r="S261" s="56">
        <f t="shared" si="250"/>
      </c>
      <c r="T261" s="54">
        <f t="shared" si="269"/>
      </c>
      <c r="U261" s="54"/>
      <c r="V261" s="57"/>
      <c r="W261" s="57"/>
      <c r="X261" s="57"/>
      <c r="Y261" s="53">
        <f>Y260+Y254+Y248</f>
      </c>
      <c r="Z261" s="53">
        <f>Z260+Z254+Z248</f>
      </c>
      <c r="AA261" s="53">
        <f>AA260+AA254+AA248</f>
      </c>
      <c r="AB261" s="53">
        <f>AB260+AB254+AB248</f>
      </c>
      <c r="AC261" s="53">
        <f>AC260+AC254+AC248</f>
      </c>
      <c r="AD261" s="53">
        <f>AD260+AD254+AD248</f>
      </c>
      <c r="AE261" s="53">
        <f>AE260+AE254+AE248</f>
      </c>
    </row>
    <row r="262">
      <c r="A262" s="1" t="s">
        <v>1</v>
      </c>
      <c r="B262" s="1"/>
      <c r="C262" s="1"/>
      <c r="D262" s="2" t="s">
        <v>2</v>
      </c>
      <c r="E262" s="2"/>
      <c r="F262" s="2"/>
      <c r="G262" s="2"/>
      <c r="H262" s="2"/>
      <c r="I262" s="2"/>
      <c r="J262" s="2"/>
      <c r="K262" s="3" t="s">
        <v>3</v>
      </c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4"/>
      <c r="W262" s="4"/>
      <c r="X262" s="4"/>
      <c r="Y262" s="5"/>
      <c r="Z262" s="5"/>
      <c r="AA262" s="5"/>
      <c r="AB262" s="5"/>
      <c r="AC262" s="5"/>
      <c r="AD262" s="5"/>
      <c r="AE262" s="5"/>
    </row>
    <row r="263">
      <c r="A263" s="6" t="s">
        <v>4</v>
      </c>
      <c r="B263" s="7" t="s">
        <v>5</v>
      </c>
      <c r="C263" s="7" t="s">
        <v>6</v>
      </c>
      <c r="D263" s="8" t="s">
        <v>7</v>
      </c>
      <c r="E263" s="9" t="s">
        <v>8</v>
      </c>
      <c r="F263" s="9" t="s">
        <v>9</v>
      </c>
      <c r="G263" s="10" t="s">
        <v>10</v>
      </c>
      <c r="H263" s="11" t="s">
        <v>11</v>
      </c>
      <c r="I263" s="11" t="s">
        <v>12</v>
      </c>
      <c r="J263" s="12" t="s">
        <v>13</v>
      </c>
      <c r="K263" s="3" t="s">
        <v>14</v>
      </c>
      <c r="L263" s="3" t="s">
        <v>15</v>
      </c>
      <c r="M263" s="13" t="s">
        <v>16</v>
      </c>
      <c r="N263" s="13" t="s">
        <v>17</v>
      </c>
      <c r="O263" s="3" t="s">
        <v>18</v>
      </c>
      <c r="P263" s="13" t="s">
        <v>19</v>
      </c>
      <c r="Q263" s="13" t="s">
        <v>20</v>
      </c>
      <c r="R263" s="14" t="s">
        <v>21</v>
      </c>
      <c r="S263" s="13" t="s">
        <v>22</v>
      </c>
      <c r="T263" s="14" t="s">
        <v>23</v>
      </c>
      <c r="U263" s="14"/>
      <c r="V263" s="15" t="s">
        <v>24</v>
      </c>
      <c r="W263" s="15" t="s">
        <v>25</v>
      </c>
      <c r="X263" s="15"/>
      <c r="Y263" s="16" t="s">
        <v>26</v>
      </c>
      <c r="Z263" s="17" t="s">
        <v>27</v>
      </c>
      <c r="AA263" s="17" t="s">
        <v>28</v>
      </c>
      <c r="AB263" s="17" t="s">
        <v>29</v>
      </c>
      <c r="AC263" s="17" t="s">
        <v>30</v>
      </c>
      <c r="AD263" s="17" t="s">
        <v>31</v>
      </c>
      <c r="AE263" s="18" t="s">
        <v>32</v>
      </c>
    </row>
    <row r="264">
      <c r="A264" s="19">
        <v>46309</v>
      </c>
      <c r="B264" s="20" t="s">
        <v>58</v>
      </c>
      <c r="C264" s="21" t="s">
        <v>34</v>
      </c>
      <c r="D264" s="37">
        <f t="shared" ref="D264:D268" si="38">E264+F264+G264</f>
      </c>
      <c r="E264" s="24">
        <v>95.72</v>
      </c>
      <c r="F264" s="24">
        <v>429.057</v>
      </c>
      <c r="G264" s="24">
        <v>584.917</v>
      </c>
      <c r="H264" s="25">
        <v>2</v>
      </c>
      <c r="I264" s="63">
        <v>2974.32</v>
      </c>
      <c r="J264" s="27">
        <f t="shared" ref="J264:J283" si="75">I264/D264</f>
      </c>
      <c r="K264" s="28">
        <f t="shared" ref="K264:K283" si="99">AA264/Z264</f>
      </c>
      <c r="L264" s="29">
        <f t="shared" ref="L264:L283" si="137">D264/AB264</f>
      </c>
      <c r="M264" s="28">
        <f t="shared" ref="M264:M283" si="118">AC264/AB264</f>
      </c>
      <c r="N264" s="28">
        <f t="shared" ref="N264:N283" si="156">AD264/AB264</f>
      </c>
      <c r="O264" s="29">
        <f t="shared" ref="O264:O283" si="175">D264/AD264</f>
      </c>
      <c r="P264" s="28">
        <f t="shared" ref="P264:P283" si="194">AE264/AD264</f>
      </c>
      <c r="Q264" s="28">
        <f t="shared" ref="Q264:Q283" si="213">H264/AE264</f>
      </c>
      <c r="R264" s="30">
        <f t="shared" ref="R264:R283" si="232">D264/H264</f>
      </c>
      <c r="S264" s="31">
        <f t="shared" ref="S264:S283" si="251">I264/H264</f>
      </c>
      <c r="T264" s="30">
        <f t="shared" ref="T264:T283" si="270">D264/Y264</f>
      </c>
      <c r="U264" s="30"/>
      <c r="V264" s="32" t="s">
        <v>35</v>
      </c>
      <c r="W264" s="33" t="s">
        <v>48</v>
      </c>
      <c r="X264" s="33"/>
      <c r="Y264" s="34">
        <v>1</v>
      </c>
      <c r="Z264" s="35">
        <v>26351</v>
      </c>
      <c r="AA264" s="36">
        <v>47</v>
      </c>
      <c r="AB264" s="34">
        <v>21013</v>
      </c>
      <c r="AC264" s="34">
        <v>1682</v>
      </c>
      <c r="AD264" s="34">
        <v>141</v>
      </c>
      <c r="AE264" s="34">
        <v>2</v>
      </c>
    </row>
    <row r="265">
      <c r="A265" s="19"/>
      <c r="B265" s="20" t="s">
        <v>56</v>
      </c>
      <c r="C265" s="21" t="s">
        <v>34</v>
      </c>
      <c r="D265" s="37">
        <f t="shared" si="38"/>
      </c>
      <c r="E265" s="24">
        <v>232.017</v>
      </c>
      <c r="F265" s="24">
        <v>319.526</v>
      </c>
      <c r="G265" s="24">
        <v>470.666</v>
      </c>
      <c r="H265" s="25">
        <v>3</v>
      </c>
      <c r="I265" s="63">
        <v>5647.08</v>
      </c>
      <c r="J265" s="27">
        <f t="shared" si="75"/>
      </c>
      <c r="K265" s="28">
        <f t="shared" si="99"/>
      </c>
      <c r="L265" s="29">
        <f t="shared" si="137"/>
      </c>
      <c r="M265" s="28">
        <f t="shared" si="118"/>
      </c>
      <c r="N265" s="28">
        <f t="shared" si="156"/>
      </c>
      <c r="O265" s="29">
        <f t="shared" si="175"/>
      </c>
      <c r="P265" s="28">
        <f t="shared" si="194"/>
      </c>
      <c r="Q265" s="28">
        <f t="shared" si="213"/>
      </c>
      <c r="R265" s="30">
        <f t="shared" si="232"/>
      </c>
      <c r="S265" s="31">
        <f t="shared" si="251"/>
      </c>
      <c r="T265" s="30">
        <f t="shared" si="270"/>
      </c>
      <c r="U265" s="30"/>
      <c r="V265" s="32" t="s">
        <v>35</v>
      </c>
      <c r="W265" s="33" t="s">
        <v>48</v>
      </c>
      <c r="X265" s="33"/>
      <c r="Y265" s="34">
        <v>3</v>
      </c>
      <c r="Z265" s="35">
        <v>25540</v>
      </c>
      <c r="AA265" s="36">
        <v>55</v>
      </c>
      <c r="AB265" s="34">
        <v>15531</v>
      </c>
      <c r="AC265" s="34">
        <v>1308</v>
      </c>
      <c r="AD265" s="34">
        <v>174</v>
      </c>
      <c r="AE265" s="34">
        <v>4</v>
      </c>
    </row>
    <row r="266">
      <c r="A266" s="19"/>
      <c r="B266" s="20" t="s">
        <v>57</v>
      </c>
      <c r="C266" s="21" t="s">
        <v>34</v>
      </c>
      <c r="D266" s="37">
        <f t="shared" si="38"/>
      </c>
      <c r="E266" s="24">
        <v>339.377</v>
      </c>
      <c r="F266" s="24">
        <v>383.856</v>
      </c>
      <c r="G266" s="24">
        <v>1269.283</v>
      </c>
      <c r="H266" s="25">
        <v>3</v>
      </c>
      <c r="I266" s="63">
        <v>3451.6800000000003</v>
      </c>
      <c r="J266" s="27">
        <f t="shared" si="75"/>
      </c>
      <c r="K266" s="28">
        <f t="shared" si="99"/>
      </c>
      <c r="L266" s="29">
        <f t="shared" si="137"/>
      </c>
      <c r="M266" s="28">
        <f t="shared" si="118"/>
      </c>
      <c r="N266" s="28">
        <f t="shared" si="156"/>
      </c>
      <c r="O266" s="29">
        <f t="shared" si="175"/>
      </c>
      <c r="P266" s="28">
        <f t="shared" si="194"/>
      </c>
      <c r="Q266" s="28">
        <f t="shared" si="213"/>
      </c>
      <c r="R266" s="30">
        <f t="shared" si="232"/>
      </c>
      <c r="S266" s="31">
        <f t="shared" si="251"/>
      </c>
      <c r="T266" s="30">
        <f t="shared" si="270"/>
      </c>
      <c r="U266" s="30"/>
      <c r="V266" s="32" t="s">
        <v>35</v>
      </c>
      <c r="W266" s="33" t="s">
        <v>48</v>
      </c>
      <c r="X266" s="33"/>
      <c r="Y266" s="34">
        <v>4</v>
      </c>
      <c r="Z266" s="35">
        <v>44408</v>
      </c>
      <c r="AA266" s="36">
        <v>81</v>
      </c>
      <c r="AB266" s="34">
        <v>41813</v>
      </c>
      <c r="AC266" s="34">
        <v>3461</v>
      </c>
      <c r="AD266" s="34">
        <v>261</v>
      </c>
      <c r="AE266" s="34">
        <v>3</v>
      </c>
    </row>
    <row r="267">
      <c r="A267" s="19"/>
      <c r="B267" s="20" t="s">
        <v>50</v>
      </c>
      <c r="C267" s="21" t="s">
        <v>34</v>
      </c>
      <c r="D267" s="37">
        <f t="shared" si="38"/>
      </c>
      <c r="E267" s="24">
        <v>677.859</v>
      </c>
      <c r="F267" s="24">
        <v>601.633</v>
      </c>
      <c r="G267" s="24">
        <v>2320.195</v>
      </c>
      <c r="H267" s="25">
        <v>3</v>
      </c>
      <c r="I267" s="63">
        <v>7877.959999999997</v>
      </c>
      <c r="J267" s="27">
        <f t="shared" si="75"/>
      </c>
      <c r="K267" s="28">
        <f t="shared" si="99"/>
      </c>
      <c r="L267" s="29">
        <f t="shared" si="137"/>
      </c>
      <c r="M267" s="28">
        <f t="shared" si="118"/>
      </c>
      <c r="N267" s="28">
        <f t="shared" si="156"/>
      </c>
      <c r="O267" s="29">
        <f t="shared" si="175"/>
      </c>
      <c r="P267" s="28">
        <f t="shared" si="194"/>
      </c>
      <c r="Q267" s="28">
        <f t="shared" si="213"/>
      </c>
      <c r="R267" s="30">
        <f t="shared" si="232"/>
      </c>
      <c r="S267" s="31">
        <f t="shared" si="251"/>
      </c>
      <c r="T267" s="30">
        <f t="shared" si="270"/>
      </c>
      <c r="U267" s="30"/>
      <c r="V267" s="32" t="s">
        <v>35</v>
      </c>
      <c r="W267" s="33" t="s">
        <v>48</v>
      </c>
      <c r="X267" s="33"/>
      <c r="Y267" s="34">
        <v>5</v>
      </c>
      <c r="Z267" s="35">
        <v>88860</v>
      </c>
      <c r="AA267" s="36">
        <v>67</v>
      </c>
      <c r="AB267" s="34">
        <v>122628</v>
      </c>
      <c r="AC267" s="34">
        <v>8188</v>
      </c>
      <c r="AD267" s="34">
        <v>381</v>
      </c>
      <c r="AE267" s="34">
        <v>7</v>
      </c>
    </row>
    <row r="268">
      <c r="A268" s="19"/>
      <c r="B268" s="20" t="s">
        <v>51</v>
      </c>
      <c r="C268" s="21" t="s">
        <v>34</v>
      </c>
      <c r="D268" s="37">
        <f t="shared" si="38"/>
      </c>
      <c r="E268" s="24">
        <v>312.272</v>
      </c>
      <c r="F268" s="24">
        <v>610.973</v>
      </c>
      <c r="G268" s="24">
        <v>1602.11</v>
      </c>
      <c r="H268" s="25">
        <v>7</v>
      </c>
      <c r="I268" s="63">
        <v>12576.84</v>
      </c>
      <c r="J268" s="27">
        <f t="shared" si="75"/>
      </c>
      <c r="K268" s="28">
        <f t="shared" si="99"/>
      </c>
      <c r="L268" s="29">
        <f t="shared" si="137"/>
      </c>
      <c r="M268" s="28">
        <f t="shared" si="118"/>
      </c>
      <c r="N268" s="28">
        <f t="shared" si="156"/>
      </c>
      <c r="O268" s="29">
        <f t="shared" si="175"/>
      </c>
      <c r="P268" s="28">
        <f t="shared" si="194"/>
      </c>
      <c r="Q268" s="28">
        <f t="shared" si="213"/>
      </c>
      <c r="R268" s="30">
        <f t="shared" si="232"/>
      </c>
      <c r="S268" s="31">
        <f t="shared" si="251"/>
      </c>
      <c r="T268" s="30">
        <f t="shared" si="270"/>
      </c>
      <c r="U268" s="30"/>
      <c r="V268" s="32" t="s">
        <v>35</v>
      </c>
      <c r="W268" s="33" t="s">
        <v>48</v>
      </c>
      <c r="X268" s="33"/>
      <c r="Y268" s="34">
        <v>4</v>
      </c>
      <c r="Z268" s="36">
        <v>52418</v>
      </c>
      <c r="AA268" s="36">
        <v>56</v>
      </c>
      <c r="AB268" s="36">
        <v>70063</v>
      </c>
      <c r="AC268" s="36">
        <v>4891</v>
      </c>
      <c r="AD268" s="34">
        <v>307</v>
      </c>
      <c r="AE268" s="34">
        <v>8</v>
      </c>
    </row>
    <row r="269">
      <c r="A269" s="19"/>
      <c r="B269" s="38" t="s">
        <v>42</v>
      </c>
      <c r="C269" s="38"/>
      <c r="D269" s="61">
        <f>SUM(D264:D268)</f>
      </c>
      <c r="E269" s="61">
        <f>SUM(E264:E268)</f>
      </c>
      <c r="F269" s="61">
        <f>SUM(F264:F268)</f>
      </c>
      <c r="G269" s="61">
        <f>SUM(G264:G268)</f>
      </c>
      <c r="H269" s="40">
        <f>SUM(H264:H268)</f>
      </c>
      <c r="I269" s="62">
        <f>SUM(I264:I268)</f>
      </c>
      <c r="J269" s="42">
        <f t="shared" si="75"/>
      </c>
      <c r="K269" s="43">
        <f t="shared" si="99"/>
      </c>
      <c r="L269" s="44">
        <f t="shared" si="137"/>
      </c>
      <c r="M269" s="43">
        <f t="shared" si="118"/>
      </c>
      <c r="N269" s="43">
        <f t="shared" si="156"/>
      </c>
      <c r="O269" s="44">
        <f t="shared" si="175"/>
      </c>
      <c r="P269" s="43">
        <f t="shared" si="194"/>
      </c>
      <c r="Q269" s="43">
        <f t="shared" si="213"/>
      </c>
      <c r="R269" s="45">
        <f t="shared" si="232"/>
      </c>
      <c r="S269" s="46">
        <f t="shared" si="251"/>
      </c>
      <c r="T269" s="45">
        <f t="shared" si="270"/>
      </c>
      <c r="U269" s="45"/>
      <c r="V269" s="47"/>
      <c r="W269" s="47"/>
      <c r="X269" s="47"/>
      <c r="Y269" s="48">
        <f>SUM(Y264:Y268)</f>
      </c>
      <c r="Z269" s="48">
        <f>SUM(Z264:Z268)</f>
      </c>
      <c r="AA269" s="48">
        <f>SUM(AA264:AA268)</f>
      </c>
      <c r="AB269" s="48">
        <f>SUM(AB264:AB268)</f>
      </c>
      <c r="AC269" s="48">
        <f>SUM(AC264:AC268)</f>
      </c>
      <c r="AD269" s="48">
        <f>SUM(AD264:AD268)</f>
      </c>
      <c r="AE269" s="48">
        <f>SUM(AE264:AE268)</f>
      </c>
    </row>
    <row r="270">
      <c r="A270" s="19"/>
      <c r="B270" s="20" t="s">
        <v>33</v>
      </c>
      <c r="C270" s="21" t="s">
        <v>52</v>
      </c>
      <c r="D270" s="37">
        <f t="shared" ref="D270:D272" si="39">E270+F270+G270</f>
      </c>
      <c r="E270" s="24">
        <v>255.029</v>
      </c>
      <c r="F270" s="24">
        <v>543.077</v>
      </c>
      <c r="G270" s="24">
        <v>1110.386</v>
      </c>
      <c r="H270" s="25">
        <v>1</v>
      </c>
      <c r="I270" s="63">
        <v>575.6999999999971</v>
      </c>
      <c r="J270" s="27">
        <f t="shared" si="75"/>
      </c>
      <c r="K270" s="28">
        <f t="shared" si="99"/>
      </c>
      <c r="L270" s="29">
        <f t="shared" si="137"/>
      </c>
      <c r="M270" s="28">
        <f t="shared" si="118"/>
      </c>
      <c r="N270" s="28">
        <f t="shared" si="156"/>
      </c>
      <c r="O270" s="29">
        <f t="shared" si="175"/>
      </c>
      <c r="P270" s="28">
        <f t="shared" si="194"/>
      </c>
      <c r="Q270" s="28">
        <f t="shared" si="213"/>
      </c>
      <c r="R270" s="30">
        <f t="shared" si="232"/>
      </c>
      <c r="S270" s="31">
        <f t="shared" si="251"/>
      </c>
      <c r="T270" s="30">
        <f t="shared" si="270"/>
      </c>
      <c r="U270" s="30"/>
      <c r="V270" s="32" t="s">
        <v>35</v>
      </c>
      <c r="W270" s="33" t="s">
        <v>48</v>
      </c>
      <c r="X270" s="33"/>
      <c r="Y270" s="34">
        <v>1</v>
      </c>
      <c r="Z270" s="35">
        <v>38652</v>
      </c>
      <c r="AA270" s="36">
        <v>48</v>
      </c>
      <c r="AB270" s="34">
        <v>45653</v>
      </c>
      <c r="AC270" s="34">
        <v>3235</v>
      </c>
      <c r="AD270" s="34">
        <v>183</v>
      </c>
      <c r="AE270" s="34">
        <v>4</v>
      </c>
    </row>
    <row r="271">
      <c r="A271" s="19"/>
      <c r="B271" s="20" t="s">
        <v>37</v>
      </c>
      <c r="C271" s="21" t="s">
        <v>52</v>
      </c>
      <c r="D271" s="37">
        <f t="shared" si="39"/>
      </c>
      <c r="E271" s="24">
        <v>241.595</v>
      </c>
      <c r="F271" s="24">
        <v>569.239</v>
      </c>
      <c r="G271" s="24">
        <v>1111.15</v>
      </c>
      <c r="H271" s="25">
        <v>1</v>
      </c>
      <c r="I271" s="63">
        <v>522</v>
      </c>
      <c r="J271" s="27">
        <f t="shared" si="75"/>
      </c>
      <c r="K271" s="28">
        <f t="shared" si="99"/>
      </c>
      <c r="L271" s="29">
        <f t="shared" si="137"/>
      </c>
      <c r="M271" s="28">
        <f t="shared" si="118"/>
      </c>
      <c r="N271" s="28">
        <f t="shared" si="156"/>
      </c>
      <c r="O271" s="29">
        <f t="shared" si="175"/>
      </c>
      <c r="P271" s="28">
        <f t="shared" si="194"/>
      </c>
      <c r="Q271" s="28">
        <f t="shared" si="213"/>
      </c>
      <c r="R271" s="30">
        <f t="shared" si="232"/>
      </c>
      <c r="S271" s="31">
        <f t="shared" si="251"/>
      </c>
      <c r="T271" s="30">
        <f t="shared" si="270"/>
      </c>
      <c r="U271" s="30"/>
      <c r="V271" s="32" t="s">
        <v>35</v>
      </c>
      <c r="W271" s="33" t="s">
        <v>39</v>
      </c>
      <c r="X271" s="33"/>
      <c r="Y271" s="34">
        <v>2</v>
      </c>
      <c r="Z271" s="36">
        <v>41824</v>
      </c>
      <c r="AA271" s="36">
        <v>65</v>
      </c>
      <c r="AB271" s="34">
        <v>42402</v>
      </c>
      <c r="AC271" s="34">
        <v>2862</v>
      </c>
      <c r="AD271" s="34">
        <v>189</v>
      </c>
      <c r="AE271" s="34">
        <v>2</v>
      </c>
    </row>
    <row r="272">
      <c r="A272" s="19"/>
      <c r="B272" s="20" t="s">
        <v>38</v>
      </c>
      <c r="C272" s="21" t="s">
        <v>52</v>
      </c>
      <c r="D272" s="37">
        <f t="shared" si="39"/>
      </c>
      <c r="E272" s="24">
        <v>179.146</v>
      </c>
      <c r="F272" s="24">
        <v>438.871</v>
      </c>
      <c r="G272" s="24">
        <v>1159.008</v>
      </c>
      <c r="H272" s="25">
        <v>2</v>
      </c>
      <c r="I272" s="63">
        <v>4970.1600000000035</v>
      </c>
      <c r="J272" s="27">
        <f t="shared" si="75"/>
      </c>
      <c r="K272" s="28">
        <f t="shared" si="99"/>
      </c>
      <c r="L272" s="29">
        <f t="shared" si="137"/>
      </c>
      <c r="M272" s="28">
        <f t="shared" si="118"/>
      </c>
      <c r="N272" s="28">
        <f t="shared" si="156"/>
      </c>
      <c r="O272" s="29">
        <f t="shared" si="175"/>
      </c>
      <c r="P272" s="28">
        <f t="shared" si="194"/>
      </c>
      <c r="Q272" s="28">
        <f t="shared" si="213"/>
      </c>
      <c r="R272" s="30">
        <f t="shared" si="232"/>
      </c>
      <c r="S272" s="31">
        <f t="shared" si="251"/>
      </c>
      <c r="T272" s="30">
        <f t="shared" si="270"/>
      </c>
      <c r="U272" s="30"/>
      <c r="V272" s="32" t="s">
        <v>35</v>
      </c>
      <c r="W272" s="33" t="s">
        <v>54</v>
      </c>
      <c r="X272" s="33"/>
      <c r="Y272" s="34">
        <v>2</v>
      </c>
      <c r="Z272" s="35">
        <v>38383</v>
      </c>
      <c r="AA272" s="36">
        <v>54</v>
      </c>
      <c r="AB272" s="34">
        <v>39853</v>
      </c>
      <c r="AC272" s="34">
        <v>3069</v>
      </c>
      <c r="AD272" s="34">
        <v>175</v>
      </c>
      <c r="AE272" s="34">
        <v>3</v>
      </c>
    </row>
    <row customHeight="true" ht="18.452380952380953" r="273">
      <c r="A273" s="19"/>
      <c r="B273" s="38" t="s">
        <v>42</v>
      </c>
      <c r="C273" s="38"/>
      <c r="D273" s="61">
        <f>SUM(D270:D272)</f>
      </c>
      <c r="E273" s="61">
        <f>SUM(E270:E272)</f>
      </c>
      <c r="F273" s="61">
        <f>SUM(F270:F272)</f>
      </c>
      <c r="G273" s="61">
        <f>SUM(G270:G272)</f>
      </c>
      <c r="H273" s="76">
        <f>SUM(H270:H272)</f>
      </c>
      <c r="I273" s="61">
        <f>SUM(I270:I272)</f>
      </c>
      <c r="J273" s="42">
        <f t="shared" si="75"/>
      </c>
      <c r="K273" s="43">
        <f t="shared" si="99"/>
      </c>
      <c r="L273" s="44">
        <f t="shared" si="137"/>
      </c>
      <c r="M273" s="43">
        <f t="shared" si="118"/>
      </c>
      <c r="N273" s="43">
        <f t="shared" si="156"/>
      </c>
      <c r="O273" s="44">
        <f t="shared" si="175"/>
      </c>
      <c r="P273" s="43">
        <f t="shared" si="194"/>
      </c>
      <c r="Q273" s="43">
        <f t="shared" si="213"/>
      </c>
      <c r="R273" s="45">
        <f t="shared" si="232"/>
      </c>
      <c r="S273" s="46">
        <f t="shared" si="251"/>
      </c>
      <c r="T273" s="45">
        <f t="shared" si="270"/>
      </c>
      <c r="U273" s="45"/>
      <c r="V273" s="47"/>
      <c r="W273" s="47"/>
      <c r="X273" s="47"/>
      <c r="Y273" s="48">
        <f>SUM(Y270:Y272)</f>
      </c>
      <c r="Z273" s="48">
        <f>SUM(Z270:Z272)</f>
      </c>
      <c r="AA273" s="48">
        <f>SUM(AA270:AA272)</f>
      </c>
      <c r="AB273" s="48">
        <f>SUM(AB270:AB272)</f>
      </c>
      <c r="AC273" s="48">
        <f>SUM(AC270:AC272)</f>
      </c>
      <c r="AD273" s="48">
        <f>SUM(AD270:AD272)</f>
      </c>
      <c r="AE273" s="48">
        <f>SUM(AE270:AE272)</f>
      </c>
    </row>
    <row r="274">
      <c r="A274" s="19"/>
      <c r="B274" s="20" t="s">
        <v>40</v>
      </c>
      <c r="C274" s="21" t="s">
        <v>60</v>
      </c>
      <c r="D274" s="37">
        <f t="shared" ref="D274:D275" si="40">E274+F274+G274</f>
      </c>
      <c r="E274" s="24">
        <v>185.193</v>
      </c>
      <c r="F274" s="24">
        <v>524.093</v>
      </c>
      <c r="G274" s="24">
        <v>1176.191</v>
      </c>
      <c r="H274" s="25">
        <v>1</v>
      </c>
      <c r="I274" s="63">
        <v>1216.0800000000017</v>
      </c>
      <c r="J274" s="27">
        <f t="shared" si="75"/>
      </c>
      <c r="K274" s="28">
        <f t="shared" si="99"/>
      </c>
      <c r="L274" s="29">
        <f t="shared" si="137"/>
      </c>
      <c r="M274" s="28">
        <f t="shared" si="118"/>
      </c>
      <c r="N274" s="28">
        <f t="shared" si="156"/>
      </c>
      <c r="O274" s="29">
        <f t="shared" si="175"/>
      </c>
      <c r="P274" s="28">
        <f t="shared" si="194"/>
      </c>
      <c r="Q274" s="28">
        <f t="shared" si="213"/>
      </c>
      <c r="R274" s="30">
        <f t="shared" si="232"/>
      </c>
      <c r="S274" s="31">
        <f t="shared" si="251"/>
      </c>
      <c r="T274" s="30">
        <f t="shared" si="270"/>
      </c>
      <c r="U274" s="30"/>
      <c r="V274" s="32" t="s">
        <v>35</v>
      </c>
      <c r="W274" s="33" t="s">
        <v>54</v>
      </c>
      <c r="X274" s="33"/>
      <c r="Y274" s="34">
        <v>1</v>
      </c>
      <c r="Z274" s="35">
        <v>49065</v>
      </c>
      <c r="AA274" s="36">
        <v>69</v>
      </c>
      <c r="AB274" s="36">
        <v>47873</v>
      </c>
      <c r="AC274" s="36">
        <v>3600</v>
      </c>
      <c r="AD274" s="34">
        <v>213</v>
      </c>
      <c r="AE274" s="34">
        <v>1</v>
      </c>
    </row>
    <row r="275">
      <c r="A275" s="19"/>
      <c r="B275" s="20" t="s">
        <v>41</v>
      </c>
      <c r="C275" s="21" t="s">
        <v>60</v>
      </c>
      <c r="D275" s="37">
        <f t="shared" si="40"/>
      </c>
      <c r="E275" s="24">
        <v>196.998</v>
      </c>
      <c r="F275" s="24">
        <v>662.752</v>
      </c>
      <c r="G275" s="24">
        <v>882.85</v>
      </c>
      <c r="H275" s="25">
        <v>0</v>
      </c>
      <c r="I275" s="63">
        <v>0</v>
      </c>
      <c r="J275" s="27">
        <f t="shared" si="75"/>
      </c>
      <c r="K275" s="28">
        <f t="shared" si="99"/>
      </c>
      <c r="L275" s="29">
        <f t="shared" si="137"/>
      </c>
      <c r="M275" s="28">
        <f t="shared" si="118"/>
      </c>
      <c r="N275" s="28">
        <f t="shared" si="156"/>
      </c>
      <c r="O275" s="29">
        <f t="shared" si="175"/>
      </c>
      <c r="P275" s="28">
        <f t="shared" si="194"/>
      </c>
      <c r="Q275" s="28">
        <f t="shared" si="213"/>
      </c>
      <c r="R275" s="30">
        <f t="shared" si="232"/>
      </c>
      <c r="S275" s="31">
        <f t="shared" si="251"/>
      </c>
      <c r="T275" s="30">
        <f t="shared" si="270"/>
      </c>
      <c r="U275" s="30"/>
      <c r="V275" s="32" t="s">
        <v>35</v>
      </c>
      <c r="W275" s="33" t="s">
        <v>54</v>
      </c>
      <c r="X275" s="33"/>
      <c r="Y275" s="34">
        <v>0</v>
      </c>
      <c r="Z275" s="36">
        <v>37382</v>
      </c>
      <c r="AA275" s="36">
        <v>78</v>
      </c>
      <c r="AB275" s="36">
        <v>42397</v>
      </c>
      <c r="AC275" s="36">
        <v>3012</v>
      </c>
      <c r="AD275" s="34">
        <v>188</v>
      </c>
      <c r="AE275" s="34">
        <v>0</v>
      </c>
    </row>
    <row r="276">
      <c r="A276" s="19"/>
      <c r="B276" s="38" t="s">
        <v>42</v>
      </c>
      <c r="C276" s="38"/>
      <c r="D276" s="61">
        <f>SUM(D274:D275)</f>
      </c>
      <c r="E276" s="61">
        <f>SUM(E274:E275)</f>
      </c>
      <c r="F276" s="61">
        <f>SUM(F274:F275)</f>
      </c>
      <c r="G276" s="61">
        <f>SUM(G274:G275)</f>
      </c>
      <c r="H276" s="76">
        <f>SUM(H274:H275)</f>
      </c>
      <c r="I276" s="61">
        <f>SUM(I274:I275)</f>
      </c>
      <c r="J276" s="42">
        <f t="shared" si="75"/>
      </c>
      <c r="K276" s="43">
        <f t="shared" si="99"/>
      </c>
      <c r="L276" s="44">
        <f t="shared" si="137"/>
      </c>
      <c r="M276" s="43">
        <f t="shared" si="118"/>
      </c>
      <c r="N276" s="43">
        <f t="shared" si="156"/>
      </c>
      <c r="O276" s="44">
        <f t="shared" si="175"/>
      </c>
      <c r="P276" s="43">
        <f t="shared" si="194"/>
      </c>
      <c r="Q276" s="43">
        <f t="shared" si="213"/>
      </c>
      <c r="R276" s="45">
        <f t="shared" si="232"/>
      </c>
      <c r="S276" s="46">
        <f t="shared" si="251"/>
      </c>
      <c r="T276" s="45">
        <f t="shared" si="270"/>
      </c>
      <c r="U276" s="45"/>
      <c r="V276" s="47"/>
      <c r="W276" s="47"/>
      <c r="X276" s="47"/>
      <c r="Y276" s="48">
        <f>SUM(Y274:Y275)</f>
      </c>
      <c r="Z276" s="48">
        <f>SUM(Z274:Z275)</f>
      </c>
      <c r="AA276" s="48">
        <f>SUM(AA274:AA275)</f>
      </c>
      <c r="AB276" s="48">
        <f>SUM(AB274:AB275)</f>
      </c>
      <c r="AC276" s="48">
        <f>SUM(AC274:AC275)</f>
      </c>
      <c r="AD276" s="48">
        <f>SUM(AD274:AD275)</f>
      </c>
      <c r="AE276" s="48">
        <f>SUM(AE274:AE275)</f>
      </c>
    </row>
    <row r="277">
      <c r="A277" s="19"/>
      <c r="B277" s="20" t="s">
        <v>53</v>
      </c>
      <c r="C277" s="21" t="s">
        <v>44</v>
      </c>
      <c r="D277" s="22">
        <f t="shared" ref="D277:D281" si="41">E277+F277+G277</f>
      </c>
      <c r="E277" s="24">
        <v>210.427</v>
      </c>
      <c r="F277" s="24">
        <v>581.329</v>
      </c>
      <c r="G277" s="24">
        <v>1261.543</v>
      </c>
      <c r="H277" s="25">
        <v>1</v>
      </c>
      <c r="I277" s="63">
        <v>1196.9999999999927</v>
      </c>
      <c r="J277" s="27">
        <f t="shared" si="75"/>
      </c>
      <c r="K277" s="28">
        <f t="shared" si="99"/>
      </c>
      <c r="L277" s="29">
        <f t="shared" si="137"/>
      </c>
      <c r="M277" s="28">
        <f t="shared" si="118"/>
      </c>
      <c r="N277" s="28">
        <f t="shared" si="156"/>
      </c>
      <c r="O277" s="29">
        <f t="shared" si="175"/>
      </c>
      <c r="P277" s="28">
        <f t="shared" si="194"/>
      </c>
      <c r="Q277" s="28">
        <f t="shared" si="213"/>
      </c>
      <c r="R277" s="30">
        <f t="shared" si="232"/>
      </c>
      <c r="S277" s="31">
        <f t="shared" si="251"/>
      </c>
      <c r="T277" s="30">
        <f t="shared" si="270"/>
      </c>
      <c r="U277" s="30"/>
      <c r="V277" s="49" t="s">
        <v>35</v>
      </c>
      <c r="W277" s="33" t="s">
        <v>54</v>
      </c>
      <c r="X277" s="33"/>
      <c r="Y277" s="34">
        <v>1</v>
      </c>
      <c r="Z277" s="35">
        <v>51818</v>
      </c>
      <c r="AA277" s="36">
        <v>89</v>
      </c>
      <c r="AB277" s="36">
        <v>57244</v>
      </c>
      <c r="AC277" s="36">
        <v>3043</v>
      </c>
      <c r="AD277" s="36">
        <v>269</v>
      </c>
      <c r="AE277" s="34">
        <v>2</v>
      </c>
    </row>
    <row r="278">
      <c r="A278" s="19"/>
      <c r="B278" s="20" t="s">
        <v>43</v>
      </c>
      <c r="C278" s="21" t="s">
        <v>44</v>
      </c>
      <c r="D278" s="22">
        <f t="shared" si="41"/>
      </c>
      <c r="E278" s="24">
        <v>431.96</v>
      </c>
      <c r="F278" s="24">
        <v>1000.308</v>
      </c>
      <c r="G278" s="24">
        <v>1348.611</v>
      </c>
      <c r="H278" s="25">
        <v>4</v>
      </c>
      <c r="I278" s="63">
        <v>3931.9200000000055</v>
      </c>
      <c r="J278" s="27">
        <f t="shared" si="75"/>
      </c>
      <c r="K278" s="28">
        <f t="shared" si="99"/>
      </c>
      <c r="L278" s="29">
        <f t="shared" si="137"/>
      </c>
      <c r="M278" s="28">
        <f t="shared" si="118"/>
      </c>
      <c r="N278" s="28">
        <f t="shared" si="156"/>
      </c>
      <c r="O278" s="29">
        <f t="shared" si="175"/>
      </c>
      <c r="P278" s="28">
        <f t="shared" si="194"/>
      </c>
      <c r="Q278" s="28">
        <f t="shared" si="213"/>
      </c>
      <c r="R278" s="30">
        <f t="shared" si="232"/>
      </c>
      <c r="S278" s="31">
        <f t="shared" si="251"/>
      </c>
      <c r="T278" s="30">
        <f t="shared" si="270"/>
      </c>
      <c r="U278" s="30"/>
      <c r="V278" s="49" t="s">
        <v>35</v>
      </c>
      <c r="W278" s="33" t="s">
        <v>54</v>
      </c>
      <c r="X278" s="33"/>
      <c r="Y278" s="34">
        <v>4</v>
      </c>
      <c r="Z278" s="36">
        <v>79244</v>
      </c>
      <c r="AA278" s="36">
        <v>79</v>
      </c>
      <c r="AB278" s="36">
        <v>104049</v>
      </c>
      <c r="AC278" s="36">
        <v>5443</v>
      </c>
      <c r="AD278" s="36">
        <v>389</v>
      </c>
      <c r="AE278" s="34">
        <v>6</v>
      </c>
    </row>
    <row r="279">
      <c r="A279" s="19"/>
      <c r="B279" s="20" t="s">
        <v>45</v>
      </c>
      <c r="C279" s="21" t="s">
        <v>44</v>
      </c>
      <c r="D279" s="22">
        <f t="shared" si="41"/>
      </c>
      <c r="E279" s="24">
        <v>468.936</v>
      </c>
      <c r="F279" s="24">
        <v>1146.473</v>
      </c>
      <c r="G279" s="24">
        <v>2108.193</v>
      </c>
      <c r="H279" s="25">
        <v>5</v>
      </c>
      <c r="I279" s="63">
        <v>7603.199999999997</v>
      </c>
      <c r="J279" s="27">
        <f t="shared" si="75"/>
      </c>
      <c r="K279" s="28">
        <f t="shared" si="99"/>
      </c>
      <c r="L279" s="29">
        <f t="shared" si="137"/>
      </c>
      <c r="M279" s="28">
        <f t="shared" si="118"/>
      </c>
      <c r="N279" s="28">
        <f t="shared" si="156"/>
      </c>
      <c r="O279" s="29">
        <f t="shared" si="175"/>
      </c>
      <c r="P279" s="28">
        <f t="shared" si="194"/>
      </c>
      <c r="Q279" s="28">
        <f t="shared" si="213"/>
      </c>
      <c r="R279" s="30">
        <f t="shared" si="232"/>
      </c>
      <c r="S279" s="31">
        <f t="shared" si="251"/>
      </c>
      <c r="T279" s="30">
        <f t="shared" si="270"/>
      </c>
      <c r="U279" s="30"/>
      <c r="V279" s="49" t="s">
        <v>35</v>
      </c>
      <c r="W279" s="33" t="s">
        <v>54</v>
      </c>
      <c r="X279" s="33"/>
      <c r="Y279" s="34">
        <v>3</v>
      </c>
      <c r="Z279" s="36">
        <v>118832</v>
      </c>
      <c r="AA279" s="36">
        <v>92</v>
      </c>
      <c r="AB279" s="36">
        <v>167576</v>
      </c>
      <c r="AC279" s="36">
        <v>8071</v>
      </c>
      <c r="AD279" s="36">
        <v>499</v>
      </c>
      <c r="AE279" s="34">
        <v>9</v>
      </c>
    </row>
    <row r="280">
      <c r="A280" s="19"/>
      <c r="B280" s="20" t="s">
        <v>46</v>
      </c>
      <c r="C280" s="21" t="s">
        <v>44</v>
      </c>
      <c r="D280" s="22">
        <f t="shared" si="41"/>
      </c>
      <c r="E280" s="24">
        <v>227.876</v>
      </c>
      <c r="F280" s="24">
        <v>630.047</v>
      </c>
      <c r="G280" s="24">
        <v>2057.699</v>
      </c>
      <c r="H280" s="25">
        <v>2</v>
      </c>
      <c r="I280" s="63">
        <v>6300.720000000001</v>
      </c>
      <c r="J280" s="27">
        <f t="shared" si="75"/>
      </c>
      <c r="K280" s="28">
        <f t="shared" si="99"/>
      </c>
      <c r="L280" s="29">
        <f t="shared" si="137"/>
      </c>
      <c r="M280" s="28">
        <f t="shared" si="118"/>
      </c>
      <c r="N280" s="28">
        <f t="shared" si="156"/>
      </c>
      <c r="O280" s="29">
        <f t="shared" si="175"/>
      </c>
      <c r="P280" s="28">
        <f t="shared" si="194"/>
      </c>
      <c r="Q280" s="28">
        <f t="shared" si="213"/>
      </c>
      <c r="R280" s="30">
        <f t="shared" si="232"/>
      </c>
      <c r="S280" s="31">
        <f t="shared" si="251"/>
      </c>
      <c r="T280" s="30">
        <f t="shared" si="270"/>
      </c>
      <c r="U280" s="30"/>
      <c r="V280" s="49" t="s">
        <v>35</v>
      </c>
      <c r="W280" s="33" t="s">
        <v>54</v>
      </c>
      <c r="X280" s="33"/>
      <c r="Y280" s="34">
        <v>2</v>
      </c>
      <c r="Z280" s="36">
        <v>97996</v>
      </c>
      <c r="AA280" s="36">
        <v>123</v>
      </c>
      <c r="AB280" s="36">
        <v>131540</v>
      </c>
      <c r="AC280" s="36">
        <v>6752</v>
      </c>
      <c r="AD280" s="36">
        <v>418</v>
      </c>
      <c r="AE280" s="34">
        <v>3</v>
      </c>
    </row>
    <row r="281">
      <c r="A281" s="19"/>
      <c r="B281" s="20" t="s">
        <v>47</v>
      </c>
      <c r="C281" s="21" t="s">
        <v>44</v>
      </c>
      <c r="D281" s="22">
        <f t="shared" si="41"/>
      </c>
      <c r="E281" s="24">
        <f>95.378+0.074</f>
      </c>
      <c r="F281" s="24">
        <f>398.633+0.025</f>
      </c>
      <c r="G281" s="24">
        <f>2487.903+0.011+2.649</f>
      </c>
      <c r="H281" s="25">
        <v>7</v>
      </c>
      <c r="I281" s="63">
        <v>7675.799999999996</v>
      </c>
      <c r="J281" s="27">
        <f t="shared" si="75"/>
      </c>
      <c r="K281" s="28">
        <f t="shared" si="99"/>
      </c>
      <c r="L281" s="29">
        <f t="shared" si="137"/>
      </c>
      <c r="M281" s="28">
        <f t="shared" si="118"/>
      </c>
      <c r="N281" s="28">
        <f t="shared" si="156"/>
      </c>
      <c r="O281" s="29">
        <f t="shared" si="175"/>
      </c>
      <c r="P281" s="28">
        <f t="shared" si="194"/>
      </c>
      <c r="Q281" s="28">
        <f t="shared" si="213"/>
      </c>
      <c r="R281" s="30">
        <f t="shared" si="232"/>
      </c>
      <c r="S281" s="31">
        <f t="shared" si="251"/>
      </c>
      <c r="T281" s="30">
        <f t="shared" si="270"/>
      </c>
      <c r="U281" s="30"/>
      <c r="V281" s="49" t="s">
        <v>35</v>
      </c>
      <c r="W281" s="33" t="s">
        <v>54</v>
      </c>
      <c r="X281" s="33"/>
      <c r="Y281" s="34">
        <v>7</v>
      </c>
      <c r="Z281" s="36">
        <v>106539</v>
      </c>
      <c r="AA281" s="36">
        <v>138</v>
      </c>
      <c r="AB281" s="36">
        <v>163022</v>
      </c>
      <c r="AC281" s="36">
        <v>8080</v>
      </c>
      <c r="AD281" s="36">
        <v>447</v>
      </c>
      <c r="AE281" s="34">
        <v>8</v>
      </c>
    </row>
    <row r="282">
      <c r="A282" s="19"/>
      <c r="B282" s="38" t="s">
        <v>42</v>
      </c>
      <c r="C282" s="38"/>
      <c r="D282" s="73">
        <f>SUM(D277:D281)</f>
      </c>
      <c r="E282" s="73">
        <f>SUM(E277:E281)</f>
      </c>
      <c r="F282" s="73">
        <f>SUM(F277:F281)</f>
      </c>
      <c r="G282" s="73">
        <f>SUM(G277:G281)</f>
      </c>
      <c r="H282" s="40">
        <f>SUM(H277:H281)</f>
      </c>
      <c r="I282" s="62">
        <f>SUM(I277:I281)</f>
      </c>
      <c r="J282" s="42">
        <f t="shared" si="75"/>
      </c>
      <c r="K282" s="43">
        <f t="shared" si="99"/>
      </c>
      <c r="L282" s="44">
        <f t="shared" si="137"/>
      </c>
      <c r="M282" s="43">
        <f t="shared" si="118"/>
      </c>
      <c r="N282" s="43">
        <f t="shared" si="156"/>
      </c>
      <c r="O282" s="44">
        <f t="shared" si="175"/>
      </c>
      <c r="P282" s="43">
        <f t="shared" si="194"/>
      </c>
      <c r="Q282" s="43">
        <f t="shared" si="213"/>
      </c>
      <c r="R282" s="45">
        <f t="shared" si="232"/>
      </c>
      <c r="S282" s="46">
        <f t="shared" si="251"/>
      </c>
      <c r="T282" s="45">
        <f t="shared" si="270"/>
      </c>
      <c r="U282" s="45"/>
      <c r="V282" s="47"/>
      <c r="W282" s="47"/>
      <c r="X282" s="47"/>
      <c r="Y282" s="48">
        <f>SUM(Y277:Y281)</f>
      </c>
      <c r="Z282" s="48">
        <f>SUM(Z277:Z281)</f>
      </c>
      <c r="AA282" s="48">
        <f>SUM(AA277:AA281)</f>
      </c>
      <c r="AB282" s="48">
        <f>SUM(AB277:AB281)</f>
      </c>
      <c r="AC282" s="48">
        <f>SUM(AC277:AC281)</f>
      </c>
      <c r="AD282" s="48">
        <f>SUM(AD277:AD281)</f>
      </c>
      <c r="AE282" s="48">
        <f>SUM(AE277:AE281)</f>
      </c>
    </row>
    <row r="283">
      <c r="A283" s="19"/>
      <c r="B283" s="70" t="s">
        <v>49</v>
      </c>
      <c r="C283" s="70"/>
      <c r="D283" s="74">
        <f>D282+D276+D269+D273</f>
      </c>
      <c r="E283" s="74">
        <f>E282+E276+E269+E273</f>
      </c>
      <c r="F283" s="74">
        <f>F282+F276+F269+F273</f>
      </c>
      <c r="G283" s="74">
        <f>G282+G276+G269+G273</f>
      </c>
      <c r="H283" s="75">
        <f>H282+H276+H269+H273</f>
      </c>
      <c r="I283" s="60">
        <f>I282+I276+I269+I273</f>
      </c>
      <c r="J283" s="54">
        <f t="shared" si="75"/>
      </c>
      <c r="K283" s="55">
        <f t="shared" si="99"/>
      </c>
      <c r="L283" s="54">
        <f t="shared" si="137"/>
      </c>
      <c r="M283" s="55">
        <f t="shared" si="118"/>
      </c>
      <c r="N283" s="55">
        <f t="shared" si="156"/>
      </c>
      <c r="O283" s="54">
        <f t="shared" si="175"/>
      </c>
      <c r="P283" s="55">
        <f t="shared" si="194"/>
      </c>
      <c r="Q283" s="55">
        <f t="shared" si="213"/>
      </c>
      <c r="R283" s="54">
        <f t="shared" si="232"/>
      </c>
      <c r="S283" s="56">
        <f t="shared" si="251"/>
      </c>
      <c r="T283" s="54">
        <f t="shared" si="270"/>
      </c>
      <c r="U283" s="54"/>
      <c r="V283" s="57"/>
      <c r="W283" s="57"/>
      <c r="X283" s="57"/>
      <c r="Y283" s="53">
        <f>Y282+Y276+Y269+Y273</f>
      </c>
      <c r="Z283" s="60">
        <f>Z282+Z276+Z269+Z273</f>
      </c>
      <c r="AA283" s="60">
        <f>AA282+AA276+AA269+AA273</f>
      </c>
      <c r="AB283" s="60">
        <f>AB282+AB276+AB269+AB273</f>
      </c>
      <c r="AC283" s="60">
        <f>AC282+AC276+AC269+AC273</f>
      </c>
      <c r="AD283" s="60">
        <f>AD282+AD276+AD269+AD273</f>
      </c>
      <c r="AE283" s="53">
        <f>AE282+AE276+AE269+AE273</f>
      </c>
    </row>
    <row r="284">
      <c r="A284" s="1" t="s">
        <v>1</v>
      </c>
      <c r="B284" s="1"/>
      <c r="C284" s="1"/>
      <c r="D284" s="2" t="s">
        <v>2</v>
      </c>
      <c r="E284" s="2"/>
      <c r="F284" s="2"/>
      <c r="G284" s="2"/>
      <c r="H284" s="2"/>
      <c r="I284" s="2"/>
      <c r="J284" s="2"/>
      <c r="K284" s="3" t="s">
        <v>3</v>
      </c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4"/>
      <c r="W284" s="4"/>
      <c r="X284" s="4"/>
      <c r="Y284" s="5"/>
      <c r="Z284" s="5"/>
      <c r="AA284" s="5"/>
      <c r="AB284" s="5"/>
      <c r="AC284" s="5"/>
      <c r="AD284" s="5"/>
      <c r="AE284" s="5"/>
    </row>
    <row r="285">
      <c r="A285" s="6" t="s">
        <v>4</v>
      </c>
      <c r="B285" s="7" t="s">
        <v>5</v>
      </c>
      <c r="C285" s="7" t="s">
        <v>6</v>
      </c>
      <c r="D285" s="8" t="s">
        <v>7</v>
      </c>
      <c r="E285" s="9" t="s">
        <v>8</v>
      </c>
      <c r="F285" s="9" t="s">
        <v>9</v>
      </c>
      <c r="G285" s="10" t="s">
        <v>10</v>
      </c>
      <c r="H285" s="11" t="s">
        <v>11</v>
      </c>
      <c r="I285" s="11" t="s">
        <v>12</v>
      </c>
      <c r="J285" s="12" t="s">
        <v>13</v>
      </c>
      <c r="K285" s="3" t="s">
        <v>14</v>
      </c>
      <c r="L285" s="3" t="s">
        <v>15</v>
      </c>
      <c r="M285" s="13" t="s">
        <v>16</v>
      </c>
      <c r="N285" s="13" t="s">
        <v>17</v>
      </c>
      <c r="O285" s="3" t="s">
        <v>18</v>
      </c>
      <c r="P285" s="13" t="s">
        <v>19</v>
      </c>
      <c r="Q285" s="13" t="s">
        <v>20</v>
      </c>
      <c r="R285" s="14" t="s">
        <v>21</v>
      </c>
      <c r="S285" s="13" t="s">
        <v>22</v>
      </c>
      <c r="T285" s="14" t="s">
        <v>23</v>
      </c>
      <c r="U285" s="77" t="s">
        <v>61</v>
      </c>
      <c r="V285" s="15" t="s">
        <v>24</v>
      </c>
      <c r="W285" s="15" t="s">
        <v>25</v>
      </c>
      <c r="X285" s="78" t="s">
        <v>62</v>
      </c>
      <c r="Y285" s="16" t="s">
        <v>26</v>
      </c>
      <c r="Z285" s="17" t="s">
        <v>27</v>
      </c>
      <c r="AA285" s="17" t="s">
        <v>28</v>
      </c>
      <c r="AB285" s="17" t="s">
        <v>29</v>
      </c>
      <c r="AC285" s="17" t="s">
        <v>30</v>
      </c>
      <c r="AD285" s="17" t="s">
        <v>31</v>
      </c>
      <c r="AE285" s="18" t="s">
        <v>32</v>
      </c>
    </row>
    <row r="286">
      <c r="A286" s="19">
        <v>46310</v>
      </c>
      <c r="B286" s="20" t="s">
        <v>58</v>
      </c>
      <c r="C286" s="21" t="s">
        <v>34</v>
      </c>
      <c r="D286" s="37">
        <f t="shared" ref="D286:D290" si="42">E286+F286+G286</f>
      </c>
      <c r="E286" s="24">
        <v>216.003</v>
      </c>
      <c r="F286" s="24">
        <v>217.112</v>
      </c>
      <c r="G286" s="24">
        <v>1013.021</v>
      </c>
      <c r="H286" s="25">
        <v>0</v>
      </c>
      <c r="I286" s="63">
        <v>0</v>
      </c>
      <c r="J286" s="27">
        <f t="shared" ref="J286:J305" si="76">I286/D286</f>
      </c>
      <c r="K286" s="28">
        <f t="shared" ref="K286:K305" si="100">AA286/Z286</f>
      </c>
      <c r="L286" s="29">
        <f t="shared" ref="L286:L305" si="138">D286/AB286</f>
      </c>
      <c r="M286" s="28">
        <f t="shared" ref="M286:M305" si="119">AC286/AB286</f>
      </c>
      <c r="N286" s="28">
        <f t="shared" ref="N286:N305" si="157">AD286/AB286</f>
      </c>
      <c r="O286" s="29">
        <f t="shared" ref="O286:O305" si="176">D286/AD286</f>
      </c>
      <c r="P286" s="28">
        <f t="shared" ref="P286:P305" si="195">AE286/AD286</f>
      </c>
      <c r="Q286" s="28">
        <f t="shared" ref="Q286:Q305" si="214">H286/AE286</f>
      </c>
      <c r="R286" s="30">
        <f t="shared" ref="R286:R305" si="233">D286/H286</f>
      </c>
      <c r="S286" s="31">
        <f t="shared" ref="S286:S305" si="252">I286/H286</f>
      </c>
      <c r="T286" s="30">
        <f t="shared" ref="T286:T305" si="271">D286/Y286</f>
      </c>
      <c r="U286" s="79">
        <f t="shared" ref="U286:U305" si="81">X286/H286</f>
      </c>
      <c r="V286" s="32" t="s">
        <v>35</v>
      </c>
      <c r="W286" s="33" t="s">
        <v>48</v>
      </c>
      <c r="X286" s="80">
        <v>0</v>
      </c>
      <c r="Y286" s="34">
        <v>0</v>
      </c>
      <c r="Z286" s="35">
        <v>30171</v>
      </c>
      <c r="AA286" s="36">
        <v>24</v>
      </c>
      <c r="AB286" s="34">
        <v>32352</v>
      </c>
      <c r="AC286" s="34">
        <v>2222</v>
      </c>
      <c r="AD286" s="34">
        <v>124</v>
      </c>
      <c r="AE286" s="34">
        <v>1</v>
      </c>
    </row>
    <row r="287">
      <c r="A287" s="19"/>
      <c r="B287" s="20" t="s">
        <v>56</v>
      </c>
      <c r="C287" s="21" t="s">
        <v>34</v>
      </c>
      <c r="D287" s="37">
        <f t="shared" si="42"/>
      </c>
      <c r="E287" s="24">
        <v>209.439</v>
      </c>
      <c r="F287" s="24">
        <v>543.166</v>
      </c>
      <c r="G287" s="24">
        <v>639.252</v>
      </c>
      <c r="H287" s="25">
        <v>3</v>
      </c>
      <c r="I287" s="63">
        <v>2991.46</v>
      </c>
      <c r="J287" s="27">
        <f t="shared" si="76"/>
      </c>
      <c r="K287" s="28">
        <f t="shared" si="100"/>
      </c>
      <c r="L287" s="29">
        <f t="shared" si="138"/>
      </c>
      <c r="M287" s="28">
        <f t="shared" si="119"/>
      </c>
      <c r="N287" s="28">
        <f t="shared" si="157"/>
      </c>
      <c r="O287" s="29">
        <f t="shared" si="176"/>
      </c>
      <c r="P287" s="28">
        <f t="shared" si="195"/>
      </c>
      <c r="Q287" s="28">
        <f t="shared" si="214"/>
      </c>
      <c r="R287" s="30">
        <f t="shared" si="233"/>
      </c>
      <c r="S287" s="31">
        <f t="shared" si="252"/>
      </c>
      <c r="T287" s="30">
        <f t="shared" si="271"/>
      </c>
      <c r="U287" s="79">
        <f t="shared" si="81"/>
      </c>
      <c r="V287" s="32" t="s">
        <v>35</v>
      </c>
      <c r="W287" s="33" t="s">
        <v>48</v>
      </c>
      <c r="X287" s="80">
        <v>0</v>
      </c>
      <c r="Y287" s="34">
        <v>3</v>
      </c>
      <c r="Z287" s="35">
        <v>29724</v>
      </c>
      <c r="AA287" s="36">
        <v>43</v>
      </c>
      <c r="AB287" s="34">
        <v>30258</v>
      </c>
      <c r="AC287" s="34">
        <v>2267</v>
      </c>
      <c r="AD287" s="34">
        <v>185</v>
      </c>
      <c r="AE287" s="34">
        <v>4</v>
      </c>
    </row>
    <row r="288">
      <c r="A288" s="19"/>
      <c r="B288" s="20" t="s">
        <v>57</v>
      </c>
      <c r="C288" s="21" t="s">
        <v>34</v>
      </c>
      <c r="D288" s="37">
        <f t="shared" si="42"/>
      </c>
      <c r="E288" s="24">
        <v>225.072</v>
      </c>
      <c r="F288" s="24">
        <v>419.969</v>
      </c>
      <c r="G288" s="24">
        <v>1187.518</v>
      </c>
      <c r="H288" s="25">
        <v>2</v>
      </c>
      <c r="I288" s="63">
        <v>2247.4799999999996</v>
      </c>
      <c r="J288" s="27">
        <f t="shared" si="76"/>
      </c>
      <c r="K288" s="28">
        <f t="shared" si="100"/>
      </c>
      <c r="L288" s="29">
        <f t="shared" si="138"/>
      </c>
      <c r="M288" s="28">
        <f t="shared" si="119"/>
      </c>
      <c r="N288" s="28">
        <f t="shared" si="157"/>
      </c>
      <c r="O288" s="29">
        <f t="shared" si="176"/>
      </c>
      <c r="P288" s="28">
        <f t="shared" si="195"/>
      </c>
      <c r="Q288" s="28">
        <f t="shared" si="214"/>
      </c>
      <c r="R288" s="30">
        <f t="shared" si="233"/>
      </c>
      <c r="S288" s="31">
        <f t="shared" si="252"/>
      </c>
      <c r="T288" s="30">
        <f t="shared" si="271"/>
      </c>
      <c r="U288" s="79">
        <f t="shared" si="81"/>
      </c>
      <c r="V288" s="32" t="s">
        <v>35</v>
      </c>
      <c r="W288" s="33" t="s">
        <v>48</v>
      </c>
      <c r="X288" s="80">
        <v>1</v>
      </c>
      <c r="Y288" s="34">
        <v>1</v>
      </c>
      <c r="Z288" s="35">
        <v>44702</v>
      </c>
      <c r="AA288" s="36">
        <v>115</v>
      </c>
      <c r="AB288" s="34">
        <v>39689</v>
      </c>
      <c r="AC288" s="34">
        <v>5175</v>
      </c>
      <c r="AD288" s="34">
        <v>618</v>
      </c>
      <c r="AE288" s="34">
        <v>3</v>
      </c>
    </row>
    <row r="289">
      <c r="A289" s="19"/>
      <c r="B289" s="20" t="s">
        <v>50</v>
      </c>
      <c r="C289" s="21" t="s">
        <v>34</v>
      </c>
      <c r="D289" s="37">
        <f t="shared" si="42"/>
      </c>
      <c r="E289" s="24">
        <v>198.022</v>
      </c>
      <c r="F289" s="24">
        <v>380.165</v>
      </c>
      <c r="G289" s="24">
        <v>919.464</v>
      </c>
      <c r="H289" s="25">
        <v>2</v>
      </c>
      <c r="I289" s="63">
        <v>1481.7600000000011</v>
      </c>
      <c r="J289" s="27">
        <f t="shared" si="76"/>
      </c>
      <c r="K289" s="28">
        <f t="shared" si="100"/>
      </c>
      <c r="L289" s="29">
        <f t="shared" si="138"/>
      </c>
      <c r="M289" s="28">
        <f t="shared" si="119"/>
      </c>
      <c r="N289" s="28">
        <f t="shared" si="157"/>
      </c>
      <c r="O289" s="29">
        <f t="shared" si="176"/>
      </c>
      <c r="P289" s="28">
        <f t="shared" si="195"/>
      </c>
      <c r="Q289" s="28">
        <f t="shared" si="214"/>
      </c>
      <c r="R289" s="30">
        <f t="shared" si="233"/>
      </c>
      <c r="S289" s="31">
        <f t="shared" si="252"/>
      </c>
      <c r="T289" s="30">
        <f t="shared" si="271"/>
      </c>
      <c r="U289" s="79">
        <f t="shared" si="81"/>
      </c>
      <c r="V289" s="32" t="s">
        <v>35</v>
      </c>
      <c r="W289" s="33" t="s">
        <v>48</v>
      </c>
      <c r="X289" s="80">
        <v>0</v>
      </c>
      <c r="Y289" s="34">
        <v>2</v>
      </c>
      <c r="Z289" s="35">
        <v>40492</v>
      </c>
      <c r="AA289" s="36">
        <v>92</v>
      </c>
      <c r="AB289" s="34">
        <v>39010</v>
      </c>
      <c r="AC289" s="34">
        <v>4107</v>
      </c>
      <c r="AD289" s="34">
        <v>490</v>
      </c>
      <c r="AE289" s="34">
        <v>3</v>
      </c>
    </row>
    <row r="290">
      <c r="A290" s="19"/>
      <c r="B290" s="20" t="s">
        <v>51</v>
      </c>
      <c r="C290" s="21" t="s">
        <v>34</v>
      </c>
      <c r="D290" s="37">
        <f t="shared" si="42"/>
      </c>
      <c r="E290" s="24">
        <v>351.418</v>
      </c>
      <c r="F290" s="24">
        <v>778.435</v>
      </c>
      <c r="G290" s="24">
        <v>716.239</v>
      </c>
      <c r="H290" s="25">
        <v>4</v>
      </c>
      <c r="I290" s="63">
        <v>1738.4400000000005</v>
      </c>
      <c r="J290" s="27">
        <f t="shared" si="76"/>
      </c>
      <c r="K290" s="28">
        <f t="shared" si="100"/>
      </c>
      <c r="L290" s="29">
        <f t="shared" si="138"/>
      </c>
      <c r="M290" s="28">
        <f t="shared" si="119"/>
      </c>
      <c r="N290" s="28">
        <f t="shared" si="157"/>
      </c>
      <c r="O290" s="29">
        <f t="shared" si="176"/>
      </c>
      <c r="P290" s="28">
        <f t="shared" si="195"/>
      </c>
      <c r="Q290" s="28">
        <f t="shared" si="214"/>
      </c>
      <c r="R290" s="30">
        <f t="shared" si="233"/>
      </c>
      <c r="S290" s="31">
        <f t="shared" si="252"/>
      </c>
      <c r="T290" s="30">
        <f t="shared" si="271"/>
      </c>
      <c r="U290" s="79">
        <f t="shared" si="81"/>
      </c>
      <c r="V290" s="32" t="s">
        <v>35</v>
      </c>
      <c r="W290" s="33" t="s">
        <v>48</v>
      </c>
      <c r="X290" s="80">
        <v>0</v>
      </c>
      <c r="Y290" s="34">
        <v>3</v>
      </c>
      <c r="Z290" s="36">
        <v>43495</v>
      </c>
      <c r="AA290" s="36">
        <v>123</v>
      </c>
      <c r="AB290" s="36">
        <v>46202</v>
      </c>
      <c r="AC290" s="36">
        <v>4057</v>
      </c>
      <c r="AD290" s="34">
        <v>373</v>
      </c>
      <c r="AE290" s="34">
        <v>4</v>
      </c>
    </row>
    <row r="291">
      <c r="A291" s="19"/>
      <c r="B291" s="38" t="s">
        <v>42</v>
      </c>
      <c r="C291" s="38"/>
      <c r="D291" s="61">
        <f>SUM(D286:D290)</f>
      </c>
      <c r="E291" s="61">
        <f>SUM(E286:E290)</f>
      </c>
      <c r="F291" s="61">
        <f>SUM(F286:F290)</f>
      </c>
      <c r="G291" s="61">
        <f>SUM(G286:G290)</f>
      </c>
      <c r="H291" s="40">
        <f>SUM(H286:H290)</f>
      </c>
      <c r="I291" s="62">
        <f>SUM(I286:I290)</f>
      </c>
      <c r="J291" s="42">
        <f t="shared" si="76"/>
      </c>
      <c r="K291" s="43">
        <f t="shared" si="100"/>
      </c>
      <c r="L291" s="44">
        <f t="shared" si="138"/>
      </c>
      <c r="M291" s="43">
        <f t="shared" si="119"/>
      </c>
      <c r="N291" s="43">
        <f t="shared" si="157"/>
      </c>
      <c r="O291" s="44">
        <f t="shared" si="176"/>
      </c>
      <c r="P291" s="43">
        <f t="shared" si="195"/>
      </c>
      <c r="Q291" s="43">
        <f t="shared" si="214"/>
      </c>
      <c r="R291" s="45">
        <f t="shared" si="233"/>
      </c>
      <c r="S291" s="46">
        <f t="shared" si="252"/>
      </c>
      <c r="T291" s="45">
        <f t="shared" si="271"/>
      </c>
      <c r="U291" s="81">
        <f t="shared" si="81"/>
      </c>
      <c r="V291" s="47"/>
      <c r="W291" s="47"/>
      <c r="X291" s="82">
        <f>SUM(X286:X290)</f>
      </c>
      <c r="Y291" s="48">
        <f>SUM(Y286:Y290)</f>
      </c>
      <c r="Z291" s="48">
        <f>SUM(Z286:Z290)</f>
      </c>
      <c r="AA291" s="48">
        <f>SUM(AA286:AA290)</f>
      </c>
      <c r="AB291" s="48">
        <f>SUM(AB286:AB290)</f>
      </c>
      <c r="AC291" s="48">
        <f>SUM(AC286:AC290)</f>
      </c>
      <c r="AD291" s="48">
        <f>SUM(AD286:AD290)</f>
      </c>
      <c r="AE291" s="48">
        <f>SUM(AE286:AE290)</f>
      </c>
    </row>
    <row r="292">
      <c r="A292" s="19"/>
      <c r="B292" s="20" t="s">
        <v>33</v>
      </c>
      <c r="C292" s="21" t="s">
        <v>52</v>
      </c>
      <c r="D292" s="37">
        <f t="shared" ref="D292:D294" si="43">E292+F292+G292</f>
      </c>
      <c r="E292" s="24">
        <v>28.423</v>
      </c>
      <c r="F292" s="24">
        <v>823.587</v>
      </c>
      <c r="G292" s="24">
        <v>1027.894</v>
      </c>
      <c r="H292" s="25">
        <v>2</v>
      </c>
      <c r="I292" s="63">
        <v>2187.84</v>
      </c>
      <c r="J292" s="27">
        <f t="shared" si="76"/>
      </c>
      <c r="K292" s="28">
        <f t="shared" si="100"/>
      </c>
      <c r="L292" s="29">
        <f t="shared" si="138"/>
      </c>
      <c r="M292" s="28">
        <f t="shared" si="119"/>
      </c>
      <c r="N292" s="28">
        <f t="shared" si="157"/>
      </c>
      <c r="O292" s="29">
        <f t="shared" si="176"/>
      </c>
      <c r="P292" s="28">
        <f t="shared" si="195"/>
      </c>
      <c r="Q292" s="28">
        <f t="shared" si="214"/>
      </c>
      <c r="R292" s="30">
        <f t="shared" si="233"/>
      </c>
      <c r="S292" s="31">
        <f t="shared" si="252"/>
      </c>
      <c r="T292" s="30">
        <f t="shared" si="271"/>
      </c>
      <c r="U292" s="79">
        <f t="shared" si="81"/>
      </c>
      <c r="V292" s="32" t="s">
        <v>35</v>
      </c>
      <c r="W292" s="33" t="s">
        <v>48</v>
      </c>
      <c r="X292" s="80">
        <v>1</v>
      </c>
      <c r="Y292" s="34">
        <v>2</v>
      </c>
      <c r="Z292" s="35">
        <v>46710</v>
      </c>
      <c r="AA292" s="36">
        <v>108</v>
      </c>
      <c r="AB292" s="34">
        <v>50749</v>
      </c>
      <c r="AC292" s="34">
        <v>3839</v>
      </c>
      <c r="AD292" s="34">
        <v>368</v>
      </c>
      <c r="AE292" s="34">
        <v>3</v>
      </c>
    </row>
    <row r="293">
      <c r="A293" s="19"/>
      <c r="B293" s="20" t="s">
        <v>37</v>
      </c>
      <c r="C293" s="21" t="s">
        <v>52</v>
      </c>
      <c r="D293" s="37">
        <f t="shared" si="43"/>
      </c>
      <c r="E293" s="24">
        <v>715.2</v>
      </c>
      <c r="F293" s="24">
        <v>813.073</v>
      </c>
      <c r="G293" s="24">
        <v>520.169</v>
      </c>
      <c r="H293" s="25">
        <v>1</v>
      </c>
      <c r="I293" s="63">
        <v>2485.08</v>
      </c>
      <c r="J293" s="27">
        <f t="shared" si="76"/>
      </c>
      <c r="K293" s="28">
        <f t="shared" si="100"/>
      </c>
      <c r="L293" s="29">
        <f t="shared" si="138"/>
      </c>
      <c r="M293" s="28">
        <f t="shared" si="119"/>
      </c>
      <c r="N293" s="28">
        <f t="shared" si="157"/>
      </c>
      <c r="O293" s="29">
        <f t="shared" si="176"/>
      </c>
      <c r="P293" s="28">
        <f t="shared" si="195"/>
      </c>
      <c r="Q293" s="28">
        <f t="shared" si="214"/>
      </c>
      <c r="R293" s="30">
        <f t="shared" si="233"/>
      </c>
      <c r="S293" s="31">
        <f t="shared" si="252"/>
      </c>
      <c r="T293" s="30">
        <f t="shared" si="271"/>
      </c>
      <c r="U293" s="79">
        <f t="shared" si="81"/>
      </c>
      <c r="V293" s="32" t="s">
        <v>35</v>
      </c>
      <c r="W293" s="33" t="s">
        <v>39</v>
      </c>
      <c r="X293" s="80">
        <v>1</v>
      </c>
      <c r="Y293" s="34">
        <v>1</v>
      </c>
      <c r="Z293" s="36">
        <v>51447</v>
      </c>
      <c r="AA293" s="36">
        <v>103</v>
      </c>
      <c r="AB293" s="34">
        <v>51723</v>
      </c>
      <c r="AC293" s="34">
        <v>4536</v>
      </c>
      <c r="AD293" s="34">
        <v>473</v>
      </c>
      <c r="AE293" s="34">
        <v>4</v>
      </c>
    </row>
    <row r="294">
      <c r="A294" s="19"/>
      <c r="B294" s="20" t="s">
        <v>38</v>
      </c>
      <c r="C294" s="21" t="s">
        <v>52</v>
      </c>
      <c r="D294" s="37">
        <f t="shared" si="43"/>
      </c>
      <c r="E294" s="24">
        <v>604.851</v>
      </c>
      <c r="F294" s="24">
        <v>803.415</v>
      </c>
      <c r="G294" s="24">
        <v>477.637</v>
      </c>
      <c r="H294" s="25">
        <v>1</v>
      </c>
      <c r="I294" s="63">
        <v>2485.08</v>
      </c>
      <c r="J294" s="27">
        <f t="shared" si="76"/>
      </c>
      <c r="K294" s="28">
        <f t="shared" si="100"/>
      </c>
      <c r="L294" s="29">
        <f t="shared" si="138"/>
      </c>
      <c r="M294" s="28">
        <f t="shared" si="119"/>
      </c>
      <c r="N294" s="28">
        <f t="shared" si="157"/>
      </c>
      <c r="O294" s="29">
        <f t="shared" si="176"/>
      </c>
      <c r="P294" s="28">
        <f t="shared" si="195"/>
      </c>
      <c r="Q294" s="28">
        <f t="shared" si="214"/>
      </c>
      <c r="R294" s="30">
        <f t="shared" si="233"/>
      </c>
      <c r="S294" s="31">
        <f t="shared" si="252"/>
      </c>
      <c r="T294" s="30">
        <f t="shared" si="271"/>
      </c>
      <c r="U294" s="79">
        <f t="shared" si="81"/>
      </c>
      <c r="V294" s="32" t="s">
        <v>35</v>
      </c>
      <c r="W294" s="33" t="s">
        <v>54</v>
      </c>
      <c r="X294" s="80">
        <v>1</v>
      </c>
      <c r="Y294" s="34">
        <v>1</v>
      </c>
      <c r="Z294" s="35">
        <v>72364</v>
      </c>
      <c r="AA294" s="36">
        <v>128</v>
      </c>
      <c r="AB294" s="34">
        <v>50581</v>
      </c>
      <c r="AC294" s="34">
        <v>4652</v>
      </c>
      <c r="AD294" s="34">
        <v>470</v>
      </c>
      <c r="AE294" s="34">
        <v>3</v>
      </c>
    </row>
    <row r="295">
      <c r="A295" s="19"/>
      <c r="B295" s="38" t="s">
        <v>42</v>
      </c>
      <c r="C295" s="38"/>
      <c r="D295" s="61">
        <f>SUM(D292:D294)</f>
      </c>
      <c r="E295" s="61">
        <f>SUM(E292:E294)</f>
      </c>
      <c r="F295" s="61">
        <f>SUM(F292:F294)</f>
      </c>
      <c r="G295" s="61">
        <f>SUM(G292:G294)</f>
      </c>
      <c r="H295" s="76">
        <f>SUM(H292:H294)</f>
      </c>
      <c r="I295" s="61">
        <f>SUM(I292:I294)</f>
      </c>
      <c r="J295" s="42">
        <f t="shared" si="76"/>
      </c>
      <c r="K295" s="43">
        <f t="shared" si="100"/>
      </c>
      <c r="L295" s="44">
        <f t="shared" si="138"/>
      </c>
      <c r="M295" s="43">
        <f t="shared" si="119"/>
      </c>
      <c r="N295" s="43">
        <f t="shared" si="157"/>
      </c>
      <c r="O295" s="44">
        <f t="shared" si="176"/>
      </c>
      <c r="P295" s="43">
        <f t="shared" si="195"/>
      </c>
      <c r="Q295" s="43">
        <f t="shared" si="214"/>
      </c>
      <c r="R295" s="45">
        <f t="shared" si="233"/>
      </c>
      <c r="S295" s="46">
        <f t="shared" si="252"/>
      </c>
      <c r="T295" s="45">
        <f t="shared" si="271"/>
      </c>
      <c r="U295" s="81">
        <f t="shared" si="81"/>
      </c>
      <c r="V295" s="47"/>
      <c r="W295" s="47"/>
      <c r="X295" s="82">
        <f>SUM(X292:X294)</f>
      </c>
      <c r="Y295" s="48">
        <f>SUM(Y292:Y294)</f>
      </c>
      <c r="Z295" s="48">
        <f>SUM(Z292:Z294)</f>
      </c>
      <c r="AA295" s="48">
        <f>SUM(AA292:AA294)</f>
      </c>
      <c r="AB295" s="48">
        <f>SUM(AB292:AB294)</f>
      </c>
      <c r="AC295" s="48">
        <f>SUM(AC292:AC294)</f>
      </c>
      <c r="AD295" s="48">
        <f>SUM(AD292:AD294)</f>
      </c>
      <c r="AE295" s="48">
        <f>SUM(AE292:AE294)</f>
      </c>
    </row>
    <row r="296">
      <c r="A296" s="19"/>
      <c r="B296" s="20" t="s">
        <v>40</v>
      </c>
      <c r="C296" s="21" t="s">
        <v>60</v>
      </c>
      <c r="D296" s="37">
        <f t="shared" ref="D296:D297" si="44">E296+F296+G296</f>
      </c>
      <c r="E296" s="24">
        <v>496.925</v>
      </c>
      <c r="F296" s="24">
        <v>608.744</v>
      </c>
      <c r="G296" s="24">
        <v>588.734</v>
      </c>
      <c r="H296" s="25">
        <v>2</v>
      </c>
      <c r="I296" s="63">
        <v>912.2399999999998</v>
      </c>
      <c r="J296" s="27">
        <f t="shared" si="76"/>
      </c>
      <c r="K296" s="28">
        <f t="shared" si="100"/>
      </c>
      <c r="L296" s="29">
        <f t="shared" si="138"/>
      </c>
      <c r="M296" s="28">
        <f t="shared" si="119"/>
      </c>
      <c r="N296" s="28">
        <f t="shared" si="157"/>
      </c>
      <c r="O296" s="29">
        <f t="shared" si="176"/>
      </c>
      <c r="P296" s="28">
        <f t="shared" si="195"/>
      </c>
      <c r="Q296" s="28">
        <f t="shared" si="214"/>
      </c>
      <c r="R296" s="30">
        <f t="shared" si="233"/>
      </c>
      <c r="S296" s="31">
        <f t="shared" si="252"/>
      </c>
      <c r="T296" s="30">
        <f t="shared" si="271"/>
      </c>
      <c r="U296" s="79">
        <f t="shared" si="81"/>
      </c>
      <c r="V296" s="32" t="s">
        <v>35</v>
      </c>
      <c r="W296" s="33" t="s">
        <v>54</v>
      </c>
      <c r="X296" s="80">
        <v>0</v>
      </c>
      <c r="Y296" s="34">
        <v>2</v>
      </c>
      <c r="Z296" s="35">
        <v>68862</v>
      </c>
      <c r="AA296" s="36">
        <v>105</v>
      </c>
      <c r="AB296" s="36">
        <v>44946</v>
      </c>
      <c r="AC296" s="36">
        <v>4274</v>
      </c>
      <c r="AD296" s="34">
        <v>348</v>
      </c>
      <c r="AE296" s="34">
        <v>2</v>
      </c>
    </row>
    <row r="297">
      <c r="A297" s="19"/>
      <c r="B297" s="20" t="s">
        <v>41</v>
      </c>
      <c r="C297" s="21" t="s">
        <v>60</v>
      </c>
      <c r="D297" s="37">
        <f t="shared" si="44"/>
      </c>
      <c r="E297" s="24">
        <v>455.136</v>
      </c>
      <c r="F297" s="24">
        <v>514.575</v>
      </c>
      <c r="G297" s="24">
        <v>534.807</v>
      </c>
      <c r="H297" s="25">
        <v>0</v>
      </c>
      <c r="I297" s="63">
        <v>0</v>
      </c>
      <c r="J297" s="27">
        <f t="shared" si="76"/>
      </c>
      <c r="K297" s="28">
        <f t="shared" si="100"/>
      </c>
      <c r="L297" s="29">
        <f t="shared" si="138"/>
      </c>
      <c r="M297" s="28">
        <f t="shared" si="119"/>
      </c>
      <c r="N297" s="28">
        <f t="shared" si="157"/>
      </c>
      <c r="O297" s="29">
        <f t="shared" si="176"/>
      </c>
      <c r="P297" s="28">
        <f t="shared" si="195"/>
      </c>
      <c r="Q297" s="28">
        <f t="shared" si="214"/>
      </c>
      <c r="R297" s="30">
        <f t="shared" si="233"/>
      </c>
      <c r="S297" s="31">
        <f t="shared" si="252"/>
      </c>
      <c r="T297" s="30">
        <f t="shared" si="271"/>
      </c>
      <c r="U297" s="79">
        <f t="shared" si="81"/>
      </c>
      <c r="V297" s="32" t="s">
        <v>35</v>
      </c>
      <c r="W297" s="33" t="s">
        <v>54</v>
      </c>
      <c r="X297" s="80">
        <v>0</v>
      </c>
      <c r="Y297" s="34">
        <v>0</v>
      </c>
      <c r="Z297" s="36">
        <v>53720</v>
      </c>
      <c r="AA297" s="36">
        <v>88</v>
      </c>
      <c r="AB297" s="36">
        <v>35704</v>
      </c>
      <c r="AC297" s="36">
        <v>3262</v>
      </c>
      <c r="AD297" s="34">
        <v>291</v>
      </c>
      <c r="AE297" s="34">
        <v>0</v>
      </c>
    </row>
    <row r="298">
      <c r="A298" s="19"/>
      <c r="B298" s="38" t="s">
        <v>42</v>
      </c>
      <c r="C298" s="38"/>
      <c r="D298" s="61">
        <f>SUM(D296:D297)</f>
      </c>
      <c r="E298" s="61">
        <f>SUM(E296:E297)</f>
      </c>
      <c r="F298" s="61">
        <f>SUM(F296:F297)</f>
      </c>
      <c r="G298" s="61">
        <f>SUM(G296:G297)</f>
      </c>
      <c r="H298" s="76">
        <f>SUM(H296:H297)</f>
      </c>
      <c r="I298" s="61">
        <f>SUM(I296:I297)</f>
      </c>
      <c r="J298" s="42">
        <f t="shared" si="76"/>
      </c>
      <c r="K298" s="43">
        <f t="shared" si="100"/>
      </c>
      <c r="L298" s="44">
        <f t="shared" si="138"/>
      </c>
      <c r="M298" s="43">
        <f t="shared" si="119"/>
      </c>
      <c r="N298" s="43">
        <f t="shared" si="157"/>
      </c>
      <c r="O298" s="44">
        <f t="shared" si="176"/>
      </c>
      <c r="P298" s="43">
        <f t="shared" si="195"/>
      </c>
      <c r="Q298" s="43">
        <f t="shared" si="214"/>
      </c>
      <c r="R298" s="45">
        <f t="shared" si="233"/>
      </c>
      <c r="S298" s="46">
        <f t="shared" si="252"/>
      </c>
      <c r="T298" s="45">
        <f t="shared" si="271"/>
      </c>
      <c r="U298" s="81">
        <f t="shared" si="81"/>
      </c>
      <c r="V298" s="47"/>
      <c r="W298" s="47"/>
      <c r="X298" s="82">
        <f>SUM(X296:X297)</f>
      </c>
      <c r="Y298" s="48">
        <f>SUM(Y296:Y297)</f>
      </c>
      <c r="Z298" s="48">
        <f>SUM(Z296:Z297)</f>
      </c>
      <c r="AA298" s="48">
        <f>SUM(AA296:AA297)</f>
      </c>
      <c r="AB298" s="48">
        <f>SUM(AB296:AB297)</f>
      </c>
      <c r="AC298" s="48">
        <f>SUM(AC296:AC297)</f>
      </c>
      <c r="AD298" s="48">
        <f>SUM(AD296:AD297)</f>
      </c>
      <c r="AE298" s="48">
        <f>SUM(AE296:AE297)</f>
      </c>
    </row>
    <row r="299">
      <c r="A299" s="19"/>
      <c r="B299" s="20" t="s">
        <v>53</v>
      </c>
      <c r="C299" s="21" t="s">
        <v>44</v>
      </c>
      <c r="D299" s="22">
        <f t="shared" ref="D299:D303" si="45">E299+F299+G299</f>
      </c>
      <c r="E299" s="24">
        <v>663.83</v>
      </c>
      <c r="F299" s="24">
        <v>914.671</v>
      </c>
      <c r="G299" s="24">
        <v>894.442</v>
      </c>
      <c r="H299" s="25">
        <v>3</v>
      </c>
      <c r="I299" s="63">
        <v>3834.3600000000006</v>
      </c>
      <c r="J299" s="27">
        <f t="shared" si="76"/>
      </c>
      <c r="K299" s="28">
        <f t="shared" si="100"/>
      </c>
      <c r="L299" s="29">
        <f t="shared" si="138"/>
      </c>
      <c r="M299" s="28">
        <f t="shared" si="119"/>
      </c>
      <c r="N299" s="28">
        <f t="shared" si="157"/>
      </c>
      <c r="O299" s="29">
        <f t="shared" si="176"/>
      </c>
      <c r="P299" s="28">
        <f t="shared" si="195"/>
      </c>
      <c r="Q299" s="28">
        <f t="shared" si="214"/>
      </c>
      <c r="R299" s="30">
        <f t="shared" si="233"/>
      </c>
      <c r="S299" s="31">
        <f t="shared" si="252"/>
      </c>
      <c r="T299" s="30">
        <f t="shared" si="271"/>
      </c>
      <c r="U299" s="79">
        <f t="shared" si="81"/>
      </c>
      <c r="V299" s="49" t="s">
        <v>35</v>
      </c>
      <c r="W299" s="33" t="s">
        <v>54</v>
      </c>
      <c r="X299" s="80">
        <v>2</v>
      </c>
      <c r="Y299" s="34">
        <v>2</v>
      </c>
      <c r="Z299" s="35">
        <v>80017</v>
      </c>
      <c r="AA299" s="36">
        <v>105</v>
      </c>
      <c r="AB299" s="36">
        <v>59168</v>
      </c>
      <c r="AC299" s="36">
        <v>3938</v>
      </c>
      <c r="AD299" s="36">
        <v>491</v>
      </c>
      <c r="AE299" s="34">
        <v>4</v>
      </c>
    </row>
    <row r="300">
      <c r="A300" s="19"/>
      <c r="B300" s="20" t="s">
        <v>43</v>
      </c>
      <c r="C300" s="21" t="s">
        <v>44</v>
      </c>
      <c r="D300" s="22">
        <f t="shared" si="45"/>
      </c>
      <c r="E300" s="24">
        <v>580.388</v>
      </c>
      <c r="F300" s="24">
        <v>1615.429</v>
      </c>
      <c r="G300" s="24">
        <v>1695.169</v>
      </c>
      <c r="H300" s="25">
        <v>6</v>
      </c>
      <c r="I300" s="63">
        <v>12414.360000000004</v>
      </c>
      <c r="J300" s="27">
        <f t="shared" si="76"/>
      </c>
      <c r="K300" s="28">
        <f t="shared" si="100"/>
      </c>
      <c r="L300" s="29">
        <f t="shared" si="138"/>
      </c>
      <c r="M300" s="28">
        <f t="shared" si="119"/>
      </c>
      <c r="N300" s="28">
        <f t="shared" si="157"/>
      </c>
      <c r="O300" s="29">
        <f t="shared" si="176"/>
      </c>
      <c r="P300" s="28">
        <f t="shared" si="195"/>
      </c>
      <c r="Q300" s="28">
        <f t="shared" si="214"/>
      </c>
      <c r="R300" s="30">
        <f t="shared" si="233"/>
      </c>
      <c r="S300" s="31">
        <f t="shared" si="252"/>
      </c>
      <c r="T300" s="30">
        <f t="shared" si="271"/>
      </c>
      <c r="U300" s="79">
        <f t="shared" si="81"/>
      </c>
      <c r="V300" s="49" t="s">
        <v>35</v>
      </c>
      <c r="W300" s="33" t="s">
        <v>54</v>
      </c>
      <c r="X300" s="80">
        <v>3</v>
      </c>
      <c r="Y300" s="34">
        <v>6</v>
      </c>
      <c r="Z300" s="36">
        <v>121678</v>
      </c>
      <c r="AA300" s="36">
        <v>150</v>
      </c>
      <c r="AB300" s="36">
        <v>120699</v>
      </c>
      <c r="AC300" s="36">
        <v>7968</v>
      </c>
      <c r="AD300" s="36">
        <v>864</v>
      </c>
      <c r="AE300" s="34">
        <v>9</v>
      </c>
    </row>
    <row r="301">
      <c r="A301" s="19"/>
      <c r="B301" s="20" t="s">
        <v>45</v>
      </c>
      <c r="C301" s="21" t="s">
        <v>44</v>
      </c>
      <c r="D301" s="22">
        <f t="shared" si="45"/>
      </c>
      <c r="E301" s="24">
        <v>496.83</v>
      </c>
      <c r="F301" s="24">
        <v>1254.341</v>
      </c>
      <c r="G301" s="24">
        <v>2357.749</v>
      </c>
      <c r="H301" s="25">
        <v>4</v>
      </c>
      <c r="I301" s="63">
        <v>11058.719999999994</v>
      </c>
      <c r="J301" s="27">
        <f t="shared" si="76"/>
      </c>
      <c r="K301" s="28">
        <f t="shared" si="100"/>
      </c>
      <c r="L301" s="29">
        <f t="shared" si="138"/>
      </c>
      <c r="M301" s="28">
        <f t="shared" si="119"/>
      </c>
      <c r="N301" s="28">
        <f t="shared" si="157"/>
      </c>
      <c r="O301" s="29">
        <f t="shared" si="176"/>
      </c>
      <c r="P301" s="28">
        <f t="shared" si="195"/>
      </c>
      <c r="Q301" s="28">
        <f t="shared" si="214"/>
      </c>
      <c r="R301" s="30">
        <f t="shared" si="233"/>
      </c>
      <c r="S301" s="31">
        <f t="shared" si="252"/>
      </c>
      <c r="T301" s="30">
        <f t="shared" si="271"/>
      </c>
      <c r="U301" s="79">
        <f t="shared" si="81"/>
      </c>
      <c r="V301" s="49" t="s">
        <v>35</v>
      </c>
      <c r="W301" s="33" t="s">
        <v>54</v>
      </c>
      <c r="X301" s="80">
        <v>4</v>
      </c>
      <c r="Y301" s="34">
        <v>4</v>
      </c>
      <c r="Z301" s="36">
        <v>144152</v>
      </c>
      <c r="AA301" s="36">
        <v>173</v>
      </c>
      <c r="AB301" s="36">
        <v>143386</v>
      </c>
      <c r="AC301" s="36">
        <v>8662</v>
      </c>
      <c r="AD301" s="36">
        <v>823</v>
      </c>
      <c r="AE301" s="34">
        <v>6</v>
      </c>
    </row>
    <row r="302">
      <c r="A302" s="19"/>
      <c r="B302" s="20" t="s">
        <v>46</v>
      </c>
      <c r="C302" s="21" t="s">
        <v>44</v>
      </c>
      <c r="D302" s="22">
        <f t="shared" si="45"/>
      </c>
      <c r="E302" s="24">
        <v>593.821</v>
      </c>
      <c r="F302" s="24">
        <v>683.011</v>
      </c>
      <c r="G302" s="24">
        <v>1327.006</v>
      </c>
      <c r="H302" s="25">
        <v>4</v>
      </c>
      <c r="I302" s="63">
        <v>3195.679999999993</v>
      </c>
      <c r="J302" s="27">
        <f t="shared" si="76"/>
      </c>
      <c r="K302" s="28">
        <f t="shared" si="100"/>
      </c>
      <c r="L302" s="29">
        <f t="shared" si="138"/>
      </c>
      <c r="M302" s="28">
        <f t="shared" si="119"/>
      </c>
      <c r="N302" s="28">
        <f t="shared" si="157"/>
      </c>
      <c r="O302" s="29">
        <f t="shared" si="176"/>
      </c>
      <c r="P302" s="28">
        <f t="shared" si="195"/>
      </c>
      <c r="Q302" s="28">
        <f t="shared" si="214"/>
      </c>
      <c r="R302" s="30">
        <f t="shared" si="233"/>
      </c>
      <c r="S302" s="31">
        <f t="shared" si="252"/>
      </c>
      <c r="T302" s="30">
        <f t="shared" si="271"/>
      </c>
      <c r="U302" s="79">
        <f t="shared" si="81"/>
      </c>
      <c r="V302" s="49" t="s">
        <v>35</v>
      </c>
      <c r="W302" s="33" t="s">
        <v>54</v>
      </c>
      <c r="X302" s="80">
        <v>3</v>
      </c>
      <c r="Y302" s="34">
        <v>4</v>
      </c>
      <c r="Z302" s="36">
        <v>92653</v>
      </c>
      <c r="AA302" s="36">
        <v>113</v>
      </c>
      <c r="AB302" s="36">
        <v>97877</v>
      </c>
      <c r="AC302" s="36">
        <v>5201</v>
      </c>
      <c r="AD302" s="36">
        <v>476</v>
      </c>
      <c r="AE302" s="34">
        <v>5</v>
      </c>
    </row>
    <row r="303">
      <c r="A303" s="19"/>
      <c r="B303" s="20" t="s">
        <v>47</v>
      </c>
      <c r="C303" s="21" t="s">
        <v>44</v>
      </c>
      <c r="D303" s="22">
        <f t="shared" si="45"/>
      </c>
      <c r="E303" s="24">
        <f>438.12+0.054+0.001+0.066</f>
      </c>
      <c r="F303" s="24">
        <v>328.933</v>
      </c>
      <c r="G303" s="24">
        <f>1879.919+0.006+0.025</f>
      </c>
      <c r="H303" s="25">
        <v>1</v>
      </c>
      <c r="I303" s="63">
        <v>561.6000000000058</v>
      </c>
      <c r="J303" s="27">
        <f t="shared" si="76"/>
      </c>
      <c r="K303" s="28">
        <f t="shared" si="100"/>
      </c>
      <c r="L303" s="29">
        <f t="shared" si="138"/>
      </c>
      <c r="M303" s="28">
        <f t="shared" si="119"/>
      </c>
      <c r="N303" s="28">
        <f t="shared" si="157"/>
      </c>
      <c r="O303" s="29">
        <f t="shared" si="176"/>
      </c>
      <c r="P303" s="28">
        <f t="shared" si="195"/>
      </c>
      <c r="Q303" s="28">
        <f t="shared" si="214"/>
      </c>
      <c r="R303" s="30">
        <f t="shared" si="233"/>
      </c>
      <c r="S303" s="31">
        <f t="shared" si="252"/>
      </c>
      <c r="T303" s="30">
        <f t="shared" si="271"/>
      </c>
      <c r="U303" s="79">
        <f t="shared" si="81"/>
      </c>
      <c r="V303" s="49" t="s">
        <v>35</v>
      </c>
      <c r="W303" s="33" t="s">
        <v>54</v>
      </c>
      <c r="X303" s="80">
        <v>1</v>
      </c>
      <c r="Y303" s="34">
        <v>1</v>
      </c>
      <c r="Z303" s="36">
        <v>91277</v>
      </c>
      <c r="AA303" s="36">
        <v>121</v>
      </c>
      <c r="AB303" s="36">
        <v>123373</v>
      </c>
      <c r="AC303" s="36">
        <v>7049</v>
      </c>
      <c r="AD303" s="36">
        <v>616</v>
      </c>
      <c r="AE303" s="34">
        <v>1</v>
      </c>
    </row>
    <row r="304">
      <c r="A304" s="19"/>
      <c r="B304" s="38" t="s">
        <v>42</v>
      </c>
      <c r="C304" s="38"/>
      <c r="D304" s="73">
        <f>SUM(D299:D303)</f>
      </c>
      <c r="E304" s="73">
        <f>SUM(E299:E303)</f>
      </c>
      <c r="F304" s="73">
        <f>SUM(F299:F303)</f>
      </c>
      <c r="G304" s="73">
        <f>SUM(G299:G303)</f>
      </c>
      <c r="H304" s="40">
        <f>SUM(H299:H303)</f>
      </c>
      <c r="I304" s="62">
        <f>SUM(I299:I303)</f>
      </c>
      <c r="J304" s="42">
        <f t="shared" si="76"/>
      </c>
      <c r="K304" s="43">
        <f t="shared" si="100"/>
      </c>
      <c r="L304" s="44">
        <f t="shared" si="138"/>
      </c>
      <c r="M304" s="43">
        <f t="shared" si="119"/>
      </c>
      <c r="N304" s="43">
        <f t="shared" si="157"/>
      </c>
      <c r="O304" s="44">
        <f t="shared" si="176"/>
      </c>
      <c r="P304" s="43">
        <f t="shared" si="195"/>
      </c>
      <c r="Q304" s="43">
        <f t="shared" si="214"/>
      </c>
      <c r="R304" s="45">
        <f t="shared" si="233"/>
      </c>
      <c r="S304" s="46">
        <f t="shared" si="252"/>
      </c>
      <c r="T304" s="45">
        <f t="shared" si="271"/>
      </c>
      <c r="U304" s="81">
        <f t="shared" si="81"/>
      </c>
      <c r="V304" s="47"/>
      <c r="W304" s="47"/>
      <c r="X304" s="82">
        <f>SUM(X299:X303)</f>
      </c>
      <c r="Y304" s="48">
        <f>SUM(Y299:Y303)</f>
      </c>
      <c r="Z304" s="48">
        <f>SUM(Z299:Z303)</f>
      </c>
      <c r="AA304" s="48">
        <f>SUM(AA299:AA303)</f>
      </c>
      <c r="AB304" s="48">
        <f>SUM(AB299:AB303)</f>
      </c>
      <c r="AC304" s="48">
        <f>SUM(AC299:AC303)</f>
      </c>
      <c r="AD304" s="48">
        <f>SUM(AD299:AD303)</f>
      </c>
      <c r="AE304" s="48">
        <f>SUM(AE299:AE303)</f>
      </c>
    </row>
    <row r="305">
      <c r="A305" s="19"/>
      <c r="B305" s="70" t="s">
        <v>49</v>
      </c>
      <c r="C305" s="70"/>
      <c r="D305" s="74">
        <f>D304+D298+D291+D295</f>
      </c>
      <c r="E305" s="74">
        <f>E304+E298+E291+E295</f>
      </c>
      <c r="F305" s="74">
        <f>F304+F298+F291+F295</f>
      </c>
      <c r="G305" s="74">
        <f>G304+G298+G291+G295</f>
      </c>
      <c r="H305" s="75">
        <f>H304+H298+H291+H295</f>
      </c>
      <c r="I305" s="60">
        <f>I304+I298+I291+I295</f>
      </c>
      <c r="J305" s="54">
        <f t="shared" si="76"/>
      </c>
      <c r="K305" s="55">
        <f t="shared" si="100"/>
      </c>
      <c r="L305" s="54">
        <f t="shared" si="138"/>
      </c>
      <c r="M305" s="55">
        <f t="shared" si="119"/>
      </c>
      <c r="N305" s="55">
        <f t="shared" si="157"/>
      </c>
      <c r="O305" s="54">
        <f t="shared" si="176"/>
      </c>
      <c r="P305" s="55">
        <f t="shared" si="195"/>
      </c>
      <c r="Q305" s="55">
        <f t="shared" si="214"/>
      </c>
      <c r="R305" s="54">
        <f t="shared" si="233"/>
      </c>
      <c r="S305" s="56">
        <f t="shared" si="252"/>
      </c>
      <c r="T305" s="54">
        <f t="shared" si="271"/>
      </c>
      <c r="U305" s="83">
        <f t="shared" si="81"/>
      </c>
      <c r="V305" s="57"/>
      <c r="W305" s="57"/>
      <c r="X305" s="53">
        <f>X304+X298+X291+X295</f>
      </c>
      <c r="Y305" s="53">
        <f>Y304+Y298+Y291+Y295</f>
      </c>
      <c r="Z305" s="60">
        <f>Z304+Z298+Z291+Z295</f>
      </c>
      <c r="AA305" s="60">
        <f>AA304+AA298+AA291+AA295</f>
      </c>
      <c r="AB305" s="60">
        <f>AB304+AB298+AB291+AB295</f>
      </c>
      <c r="AC305" s="60">
        <f>AC304+AC298+AC291+AC295</f>
      </c>
      <c r="AD305" s="60">
        <f>AD304+AD298+AD291+AD295</f>
      </c>
      <c r="AE305" s="53">
        <f>AE304+AE298+AE291+AE295</f>
      </c>
    </row>
    <row r="306">
      <c r="A306" s="1" t="s">
        <v>1</v>
      </c>
      <c r="B306" s="1"/>
      <c r="C306" s="1"/>
      <c r="D306" s="2" t="s">
        <v>2</v>
      </c>
      <c r="E306" s="2"/>
      <c r="F306" s="2"/>
      <c r="G306" s="2"/>
      <c r="H306" s="2"/>
      <c r="I306" s="2"/>
      <c r="J306" s="2"/>
      <c r="K306" s="3" t="s">
        <v>3</v>
      </c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4"/>
      <c r="W306" s="4"/>
      <c r="X306" s="4"/>
      <c r="Y306" s="5"/>
      <c r="Z306" s="5"/>
      <c r="AA306" s="5"/>
      <c r="AB306" s="5"/>
      <c r="AC306" s="5"/>
      <c r="AD306" s="5"/>
      <c r="AE306" s="5"/>
    </row>
    <row r="307">
      <c r="A307" s="6" t="s">
        <v>4</v>
      </c>
      <c r="B307" s="7" t="s">
        <v>5</v>
      </c>
      <c r="C307" s="7" t="s">
        <v>6</v>
      </c>
      <c r="D307" s="8" t="s">
        <v>7</v>
      </c>
      <c r="E307" s="9" t="s">
        <v>8</v>
      </c>
      <c r="F307" s="9" t="s">
        <v>9</v>
      </c>
      <c r="G307" s="10" t="s">
        <v>10</v>
      </c>
      <c r="H307" s="11" t="s">
        <v>11</v>
      </c>
      <c r="I307" s="11" t="s">
        <v>12</v>
      </c>
      <c r="J307" s="12" t="s">
        <v>13</v>
      </c>
      <c r="K307" s="3" t="s">
        <v>14</v>
      </c>
      <c r="L307" s="3" t="s">
        <v>15</v>
      </c>
      <c r="M307" s="13" t="s">
        <v>16</v>
      </c>
      <c r="N307" s="13" t="s">
        <v>17</v>
      </c>
      <c r="O307" s="3" t="s">
        <v>18</v>
      </c>
      <c r="P307" s="13" t="s">
        <v>19</v>
      </c>
      <c r="Q307" s="13" t="s">
        <v>20</v>
      </c>
      <c r="R307" s="14" t="s">
        <v>21</v>
      </c>
      <c r="S307" s="13" t="s">
        <v>22</v>
      </c>
      <c r="T307" s="14" t="s">
        <v>23</v>
      </c>
      <c r="U307" s="77" t="s">
        <v>61</v>
      </c>
      <c r="V307" s="15" t="s">
        <v>24</v>
      </c>
      <c r="W307" s="15" t="s">
        <v>25</v>
      </c>
      <c r="X307" s="78" t="s">
        <v>62</v>
      </c>
      <c r="Y307" s="16" t="s">
        <v>26</v>
      </c>
      <c r="Z307" s="17" t="s">
        <v>27</v>
      </c>
      <c r="AA307" s="17" t="s">
        <v>28</v>
      </c>
      <c r="AB307" s="17" t="s">
        <v>29</v>
      </c>
      <c r="AC307" s="17" t="s">
        <v>30</v>
      </c>
      <c r="AD307" s="17" t="s">
        <v>31</v>
      </c>
      <c r="AE307" s="18" t="s">
        <v>32</v>
      </c>
    </row>
    <row r="308">
      <c r="A308" s="19">
        <v>46311</v>
      </c>
      <c r="B308" s="20" t="s">
        <v>58</v>
      </c>
      <c r="C308" s="21" t="s">
        <v>34</v>
      </c>
      <c r="D308" s="37">
        <f t="shared" ref="D308:D312" si="46">E308+F308+G308</f>
      </c>
      <c r="E308" s="24">
        <v>195.69</v>
      </c>
      <c r="F308" s="24">
        <v>764.538</v>
      </c>
      <c r="G308" s="24">
        <v>835.622</v>
      </c>
      <c r="H308" s="25">
        <v>0</v>
      </c>
      <c r="I308" s="63">
        <v>0</v>
      </c>
      <c r="J308" s="27">
        <f t="shared" ref="J308:J324" si="77">I308/D308</f>
      </c>
      <c r="K308" s="28">
        <f t="shared" ref="K308:K324" si="101">AA308/Z308</f>
      </c>
      <c r="L308" s="29">
        <f t="shared" ref="L308:L324" si="139">D308/AB308</f>
      </c>
      <c r="M308" s="28">
        <f t="shared" ref="M308:M324" si="120">AC308/AB308</f>
      </c>
      <c r="N308" s="28">
        <f t="shared" ref="N308:N324" si="158">AD308/AB308</f>
      </c>
      <c r="O308" s="29">
        <f t="shared" ref="O308:O324" si="177">D308/AD308</f>
      </c>
      <c r="P308" s="28">
        <f t="shared" ref="P308:P324" si="196">AE308/AD308</f>
      </c>
      <c r="Q308" s="28">
        <f t="shared" ref="Q308:Q324" si="215">H308/AE308</f>
      </c>
      <c r="R308" s="30">
        <f t="shared" ref="R308:R324" si="234">D308/H308</f>
      </c>
      <c r="S308" s="31">
        <f t="shared" ref="S308:S324" si="253">I308/H308</f>
      </c>
      <c r="T308" s="30">
        <f t="shared" ref="T308:T324" si="272">D308/Y308</f>
      </c>
      <c r="U308" s="79">
        <f t="shared" ref="U308:U324" si="82">X308/H308</f>
      </c>
      <c r="V308" s="32" t="s">
        <v>35</v>
      </c>
      <c r="W308" s="33" t="s">
        <v>48</v>
      </c>
      <c r="X308" s="80">
        <v>0</v>
      </c>
      <c r="Y308" s="34">
        <v>0</v>
      </c>
      <c r="Z308" s="35">
        <v>43814</v>
      </c>
      <c r="AA308" s="36">
        <v>83</v>
      </c>
      <c r="AB308" s="34">
        <v>47591</v>
      </c>
      <c r="AC308" s="34">
        <v>4512</v>
      </c>
      <c r="AD308" s="34">
        <v>151</v>
      </c>
      <c r="AE308" s="34">
        <v>0</v>
      </c>
    </row>
    <row r="309">
      <c r="A309" s="19"/>
      <c r="B309" s="20" t="s">
        <v>56</v>
      </c>
      <c r="C309" s="21" t="s">
        <v>34</v>
      </c>
      <c r="D309" s="37">
        <f t="shared" si="46"/>
      </c>
      <c r="E309" s="24">
        <v>206.528</v>
      </c>
      <c r="F309" s="24">
        <v>687.652</v>
      </c>
      <c r="G309" s="24">
        <v>1016.5</v>
      </c>
      <c r="H309" s="25">
        <v>1</v>
      </c>
      <c r="I309" s="63">
        <v>5756.4</v>
      </c>
      <c r="J309" s="27">
        <f t="shared" si="77"/>
      </c>
      <c r="K309" s="28">
        <f t="shared" si="101"/>
      </c>
      <c r="L309" s="29">
        <f t="shared" si="139"/>
      </c>
      <c r="M309" s="28">
        <f t="shared" si="120"/>
      </c>
      <c r="N309" s="28">
        <f t="shared" si="158"/>
      </c>
      <c r="O309" s="29">
        <f t="shared" si="177"/>
      </c>
      <c r="P309" s="28">
        <f t="shared" si="196"/>
      </c>
      <c r="Q309" s="28">
        <f t="shared" si="215"/>
      </c>
      <c r="R309" s="30">
        <f t="shared" si="234"/>
      </c>
      <c r="S309" s="31">
        <f t="shared" si="253"/>
      </c>
      <c r="T309" s="30">
        <f t="shared" si="272"/>
      </c>
      <c r="U309" s="79">
        <f t="shared" si="82"/>
      </c>
      <c r="V309" s="32" t="s">
        <v>35</v>
      </c>
      <c r="W309" s="33" t="s">
        <v>48</v>
      </c>
      <c r="X309" s="80">
        <v>1</v>
      </c>
      <c r="Y309" s="34">
        <v>0</v>
      </c>
      <c r="Z309" s="35">
        <v>48954</v>
      </c>
      <c r="AA309" s="36">
        <v>108</v>
      </c>
      <c r="AB309" s="34">
        <v>46451</v>
      </c>
      <c r="AC309" s="34">
        <v>4783</v>
      </c>
      <c r="AD309" s="34">
        <v>475</v>
      </c>
      <c r="AE309" s="34">
        <v>4</v>
      </c>
    </row>
    <row r="310">
      <c r="A310" s="19"/>
      <c r="B310" s="20" t="s">
        <v>57</v>
      </c>
      <c r="C310" s="21" t="s">
        <v>34</v>
      </c>
      <c r="D310" s="37">
        <f t="shared" si="46"/>
      </c>
      <c r="E310" s="24">
        <v>336.111</v>
      </c>
      <c r="F310" s="24">
        <v>380.422</v>
      </c>
      <c r="G310" s="24">
        <v>938.343</v>
      </c>
      <c r="H310" s="25">
        <v>1</v>
      </c>
      <c r="I310" s="63">
        <v>5756.4</v>
      </c>
      <c r="J310" s="27">
        <f t="shared" si="77"/>
      </c>
      <c r="K310" s="28">
        <f t="shared" si="101"/>
      </c>
      <c r="L310" s="29">
        <f t="shared" si="139"/>
      </c>
      <c r="M310" s="28">
        <f t="shared" si="120"/>
      </c>
      <c r="N310" s="28">
        <f t="shared" si="158"/>
      </c>
      <c r="O310" s="29">
        <f t="shared" si="177"/>
      </c>
      <c r="P310" s="28">
        <f t="shared" si="196"/>
      </c>
      <c r="Q310" s="28">
        <f t="shared" si="215"/>
      </c>
      <c r="R310" s="30">
        <f t="shared" si="234"/>
      </c>
      <c r="S310" s="31">
        <f t="shared" si="253"/>
      </c>
      <c r="T310" s="30">
        <f t="shared" si="272"/>
      </c>
      <c r="U310" s="79">
        <f t="shared" si="82"/>
      </c>
      <c r="V310" s="32" t="s">
        <v>35</v>
      </c>
      <c r="W310" s="33" t="s">
        <v>48</v>
      </c>
      <c r="X310" s="80">
        <v>1</v>
      </c>
      <c r="Y310" s="34">
        <v>2</v>
      </c>
      <c r="Z310" s="35">
        <v>52977</v>
      </c>
      <c r="AA310" s="36">
        <v>63</v>
      </c>
      <c r="AB310" s="34">
        <v>46631</v>
      </c>
      <c r="AC310" s="34">
        <v>4791</v>
      </c>
      <c r="AD310" s="34">
        <v>428</v>
      </c>
      <c r="AE310" s="34">
        <v>4</v>
      </c>
    </row>
    <row r="311">
      <c r="A311" s="19"/>
      <c r="B311" s="20" t="s">
        <v>50</v>
      </c>
      <c r="C311" s="21" t="s">
        <v>34</v>
      </c>
      <c r="D311" s="37">
        <f t="shared" si="46"/>
      </c>
      <c r="E311" s="24">
        <v>479.373</v>
      </c>
      <c r="F311" s="24">
        <v>383.003</v>
      </c>
      <c r="G311" s="24">
        <v>552.727</v>
      </c>
      <c r="H311" s="25">
        <v>2</v>
      </c>
      <c r="I311" s="63">
        <v>819.4800000000014</v>
      </c>
      <c r="J311" s="27">
        <f t="shared" si="77"/>
      </c>
      <c r="K311" s="28">
        <f t="shared" si="101"/>
      </c>
      <c r="L311" s="29">
        <f t="shared" si="139"/>
      </c>
      <c r="M311" s="28">
        <f t="shared" si="120"/>
      </c>
      <c r="N311" s="28">
        <f t="shared" si="158"/>
      </c>
      <c r="O311" s="29">
        <f t="shared" si="177"/>
      </c>
      <c r="P311" s="28">
        <f t="shared" si="196"/>
      </c>
      <c r="Q311" s="28">
        <f t="shared" si="215"/>
      </c>
      <c r="R311" s="30">
        <f t="shared" si="234"/>
      </c>
      <c r="S311" s="31">
        <f t="shared" si="253"/>
      </c>
      <c r="T311" s="30">
        <f t="shared" si="272"/>
      </c>
      <c r="U311" s="79">
        <f t="shared" si="82"/>
      </c>
      <c r="V311" s="32" t="s">
        <v>35</v>
      </c>
      <c r="W311" s="33" t="s">
        <v>48</v>
      </c>
      <c r="X311" s="80">
        <v>0</v>
      </c>
      <c r="Y311" s="34">
        <v>1</v>
      </c>
      <c r="Z311" s="35">
        <v>47881</v>
      </c>
      <c r="AA311" s="36">
        <v>70</v>
      </c>
      <c r="AB311" s="34">
        <v>42821</v>
      </c>
      <c r="AC311" s="34">
        <v>3719</v>
      </c>
      <c r="AD311" s="34">
        <v>399</v>
      </c>
      <c r="AE311" s="34">
        <v>4</v>
      </c>
    </row>
    <row r="312">
      <c r="A312" s="19"/>
      <c r="B312" s="20" t="s">
        <v>51</v>
      </c>
      <c r="C312" s="21" t="s">
        <v>34</v>
      </c>
      <c r="D312" s="37">
        <f t="shared" si="46"/>
      </c>
      <c r="E312" s="24">
        <v>562.8</v>
      </c>
      <c r="F312" s="24">
        <v>294.599</v>
      </c>
      <c r="G312" s="24">
        <v>461.766</v>
      </c>
      <c r="H312" s="25">
        <v>0</v>
      </c>
      <c r="I312" s="63">
        <v>0</v>
      </c>
      <c r="J312" s="27">
        <f t="shared" si="77"/>
      </c>
      <c r="K312" s="28">
        <f t="shared" si="101"/>
      </c>
      <c r="L312" s="29">
        <f t="shared" si="139"/>
      </c>
      <c r="M312" s="28">
        <f t="shared" si="120"/>
      </c>
      <c r="N312" s="28">
        <f t="shared" si="158"/>
      </c>
      <c r="O312" s="29">
        <f t="shared" si="177"/>
      </c>
      <c r="P312" s="28">
        <f t="shared" si="196"/>
      </c>
      <c r="Q312" s="28">
        <f t="shared" si="215"/>
      </c>
      <c r="R312" s="30">
        <f t="shared" si="234"/>
      </c>
      <c r="S312" s="31">
        <f t="shared" si="253"/>
      </c>
      <c r="T312" s="30">
        <f t="shared" si="272"/>
      </c>
      <c r="U312" s="79">
        <f t="shared" si="82"/>
      </c>
      <c r="V312" s="32" t="s">
        <v>35</v>
      </c>
      <c r="W312" s="33" t="s">
        <v>48</v>
      </c>
      <c r="X312" s="80">
        <v>0</v>
      </c>
      <c r="Y312" s="34">
        <v>0</v>
      </c>
      <c r="Z312" s="36">
        <v>50784</v>
      </c>
      <c r="AA312" s="36">
        <v>79</v>
      </c>
      <c r="AB312" s="36">
        <v>44888</v>
      </c>
      <c r="AC312" s="36">
        <v>3672</v>
      </c>
      <c r="AD312" s="34">
        <v>424</v>
      </c>
      <c r="AE312" s="34">
        <v>0</v>
      </c>
    </row>
    <row r="313">
      <c r="A313" s="19"/>
      <c r="B313" s="38" t="s">
        <v>42</v>
      </c>
      <c r="C313" s="38"/>
      <c r="D313" s="61">
        <f>SUM(D308:D312)</f>
      </c>
      <c r="E313" s="61">
        <f>SUM(E308:E312)</f>
      </c>
      <c r="F313" s="61">
        <f>SUM(F308:F312)</f>
      </c>
      <c r="G313" s="61">
        <f>SUM(G308:G312)</f>
      </c>
      <c r="H313" s="40">
        <f>SUM(H308:H312)</f>
      </c>
      <c r="I313" s="62">
        <f>SUM(I308:I312)</f>
      </c>
      <c r="J313" s="42">
        <f t="shared" si="77"/>
      </c>
      <c r="K313" s="43">
        <f t="shared" si="101"/>
      </c>
      <c r="L313" s="44">
        <f t="shared" si="139"/>
      </c>
      <c r="M313" s="43">
        <f t="shared" si="120"/>
      </c>
      <c r="N313" s="43">
        <f t="shared" si="158"/>
      </c>
      <c r="O313" s="44">
        <f t="shared" si="177"/>
      </c>
      <c r="P313" s="43">
        <f t="shared" si="196"/>
      </c>
      <c r="Q313" s="43">
        <f t="shared" si="215"/>
      </c>
      <c r="R313" s="45">
        <f t="shared" si="234"/>
      </c>
      <c r="S313" s="46">
        <f t="shared" si="253"/>
      </c>
      <c r="T313" s="45">
        <f t="shared" si="272"/>
      </c>
      <c r="U313" s="81">
        <f t="shared" si="82"/>
      </c>
      <c r="V313" s="47"/>
      <c r="W313" s="47"/>
      <c r="X313" s="82">
        <f>SUM(X308:X312)</f>
      </c>
      <c r="Y313" s="48">
        <f>SUM(Y308:Y312)</f>
      </c>
      <c r="Z313" s="48">
        <f>SUM(Z308:Z312)</f>
      </c>
      <c r="AA313" s="48">
        <f>SUM(AA308:AA312)</f>
      </c>
      <c r="AB313" s="48">
        <f>SUM(AB308:AB312)</f>
      </c>
      <c r="AC313" s="48">
        <f>SUM(AC308:AC312)</f>
      </c>
      <c r="AD313" s="48">
        <f>SUM(AD308:AD312)</f>
      </c>
      <c r="AE313" s="48">
        <f>SUM(AE308:AE312)</f>
      </c>
    </row>
    <row r="314">
      <c r="A314" s="19"/>
      <c r="B314" s="20" t="s">
        <v>33</v>
      </c>
      <c r="C314" s="21" t="s">
        <v>60</v>
      </c>
      <c r="D314" s="37">
        <f t="shared" ref="D314:D315" si="47">E314+F314+G314</f>
      </c>
      <c r="E314" s="24">
        <v>371.319</v>
      </c>
      <c r="F314" s="24">
        <v>214.11</v>
      </c>
      <c r="G314" s="24">
        <v>496.377</v>
      </c>
      <c r="H314" s="25">
        <v>3</v>
      </c>
      <c r="I314" s="63">
        <v>1954.9399999999987</v>
      </c>
      <c r="J314" s="27">
        <f t="shared" si="77"/>
      </c>
      <c r="K314" s="28">
        <f t="shared" si="101"/>
      </c>
      <c r="L314" s="29">
        <f t="shared" si="139"/>
      </c>
      <c r="M314" s="28">
        <f t="shared" si="120"/>
      </c>
      <c r="N314" s="28">
        <f t="shared" si="158"/>
      </c>
      <c r="O314" s="29">
        <f t="shared" si="177"/>
      </c>
      <c r="P314" s="28">
        <f t="shared" si="196"/>
      </c>
      <c r="Q314" s="28">
        <f t="shared" si="215"/>
      </c>
      <c r="R314" s="30">
        <f t="shared" si="234"/>
      </c>
      <c r="S314" s="31">
        <f t="shared" si="253"/>
      </c>
      <c r="T314" s="30">
        <f t="shared" si="272"/>
      </c>
      <c r="U314" s="79">
        <f t="shared" si="82"/>
      </c>
      <c r="V314" s="32" t="s">
        <v>35</v>
      </c>
      <c r="W314" s="33" t="s">
        <v>48</v>
      </c>
      <c r="X314" s="80">
        <v>1</v>
      </c>
      <c r="Y314" s="34">
        <v>3</v>
      </c>
      <c r="Z314" s="35">
        <v>36141</v>
      </c>
      <c r="AA314" s="36">
        <v>74</v>
      </c>
      <c r="AB314" s="34">
        <v>25642</v>
      </c>
      <c r="AC314" s="34">
        <v>2244</v>
      </c>
      <c r="AD314" s="34">
        <v>401</v>
      </c>
      <c r="AE314" s="34">
        <v>10</v>
      </c>
    </row>
    <row r="315">
      <c r="A315" s="19"/>
      <c r="B315" s="20" t="s">
        <v>37</v>
      </c>
      <c r="C315" s="21" t="s">
        <v>60</v>
      </c>
      <c r="D315" s="37">
        <f t="shared" si="47"/>
      </c>
      <c r="E315" s="24">
        <v>413.172</v>
      </c>
      <c r="F315" s="24">
        <v>348.659</v>
      </c>
      <c r="G315" s="24">
        <v>552.363</v>
      </c>
      <c r="H315" s="25">
        <v>1</v>
      </c>
      <c r="I315" s="63">
        <v>737.6399999999994</v>
      </c>
      <c r="J315" s="27">
        <f t="shared" si="77"/>
      </c>
      <c r="K315" s="28">
        <f t="shared" si="101"/>
      </c>
      <c r="L315" s="29">
        <f t="shared" si="139"/>
      </c>
      <c r="M315" s="28">
        <f t="shared" si="120"/>
      </c>
      <c r="N315" s="28">
        <f t="shared" si="158"/>
      </c>
      <c r="O315" s="29">
        <f t="shared" si="177"/>
      </c>
      <c r="P315" s="28">
        <f t="shared" si="196"/>
      </c>
      <c r="Q315" s="28">
        <f t="shared" si="215"/>
      </c>
      <c r="R315" s="30">
        <f t="shared" si="234"/>
      </c>
      <c r="S315" s="31">
        <f t="shared" si="253"/>
      </c>
      <c r="T315" s="30">
        <f t="shared" si="272"/>
      </c>
      <c r="U315" s="79">
        <f t="shared" si="82"/>
      </c>
      <c r="V315" s="32" t="s">
        <v>35</v>
      </c>
      <c r="W315" s="33" t="s">
        <v>39</v>
      </c>
      <c r="X315" s="80">
        <v>1</v>
      </c>
      <c r="Y315" s="34">
        <v>1</v>
      </c>
      <c r="Z315" s="36">
        <v>43978</v>
      </c>
      <c r="AA315" s="36">
        <v>78</v>
      </c>
      <c r="AB315" s="34">
        <v>31129</v>
      </c>
      <c r="AC315" s="34">
        <v>2738</v>
      </c>
      <c r="AD315" s="34">
        <v>372</v>
      </c>
      <c r="AE315" s="34">
        <v>9</v>
      </c>
    </row>
    <row r="316">
      <c r="A316" s="19"/>
      <c r="B316" s="38" t="s">
        <v>42</v>
      </c>
      <c r="C316" s="38"/>
      <c r="D316" s="61">
        <f>SUM(D314:D315)</f>
      </c>
      <c r="E316" s="61">
        <f>SUM(E314:E315)</f>
      </c>
      <c r="F316" s="61">
        <f>SUM(F314:F315)</f>
      </c>
      <c r="G316" s="61">
        <f>SUM(G314:G315)</f>
      </c>
      <c r="H316" s="76">
        <f>SUM(H314:H315)</f>
      </c>
      <c r="I316" s="61">
        <f>SUM(I314:I315)</f>
      </c>
      <c r="J316" s="42">
        <f t="shared" si="77"/>
      </c>
      <c r="K316" s="43">
        <f t="shared" si="101"/>
      </c>
      <c r="L316" s="44">
        <f t="shared" si="139"/>
      </c>
      <c r="M316" s="43">
        <f t="shared" si="120"/>
      </c>
      <c r="N316" s="43">
        <f t="shared" si="158"/>
      </c>
      <c r="O316" s="44">
        <f t="shared" si="177"/>
      </c>
      <c r="P316" s="43">
        <f t="shared" si="196"/>
      </c>
      <c r="Q316" s="43">
        <f t="shared" si="215"/>
      </c>
      <c r="R316" s="45">
        <f t="shared" si="234"/>
      </c>
      <c r="S316" s="46">
        <f t="shared" si="253"/>
      </c>
      <c r="T316" s="45">
        <f t="shared" si="272"/>
      </c>
      <c r="U316" s="81">
        <f t="shared" si="82"/>
      </c>
      <c r="V316" s="47"/>
      <c r="W316" s="47"/>
      <c r="X316" s="82">
        <f>SUM(X314:X315)</f>
      </c>
      <c r="Y316" s="48">
        <f>SUM(Y314:Y315)</f>
      </c>
      <c r="Z316" s="48">
        <f>SUM(Z314:Z315)</f>
      </c>
      <c r="AA316" s="48">
        <f>SUM(AA314:AA315)</f>
      </c>
      <c r="AB316" s="48">
        <f>SUM(AB314:AB315)</f>
      </c>
      <c r="AC316" s="48">
        <f>SUM(AC314:AC315)</f>
      </c>
      <c r="AD316" s="48">
        <f>SUM(AD314:AD315)</f>
      </c>
      <c r="AE316" s="48">
        <f>SUM(AE314:AE315)</f>
      </c>
    </row>
    <row r="317">
      <c r="A317" s="19"/>
      <c r="B317" s="20" t="s">
        <v>38</v>
      </c>
      <c r="C317" s="21" t="s">
        <v>63</v>
      </c>
      <c r="D317" s="37">
        <f t="shared" ref="D317:D319" si="48">E317+F317+G317</f>
      </c>
      <c r="E317" s="24">
        <v>604.953</v>
      </c>
      <c r="F317" s="24">
        <v>333.072</v>
      </c>
      <c r="G317" s="24">
        <v>908.038</v>
      </c>
      <c r="H317" s="25">
        <v>0</v>
      </c>
      <c r="I317" s="63">
        <v>0</v>
      </c>
      <c r="J317" s="27">
        <f t="shared" si="77"/>
      </c>
      <c r="K317" s="28">
        <f t="shared" si="101"/>
      </c>
      <c r="L317" s="29">
        <f t="shared" si="139"/>
      </c>
      <c r="M317" s="28">
        <f t="shared" si="120"/>
      </c>
      <c r="N317" s="28">
        <f t="shared" si="158"/>
      </c>
      <c r="O317" s="29">
        <f t="shared" si="177"/>
      </c>
      <c r="P317" s="28">
        <f t="shared" si="196"/>
      </c>
      <c r="Q317" s="28">
        <f t="shared" si="215"/>
      </c>
      <c r="R317" s="30">
        <f t="shared" si="234"/>
      </c>
      <c r="S317" s="31">
        <f t="shared" si="253"/>
      </c>
      <c r="T317" s="30">
        <f t="shared" si="272"/>
      </c>
      <c r="U317" s="79">
        <f t="shared" si="82"/>
      </c>
      <c r="V317" s="32" t="s">
        <v>35</v>
      </c>
      <c r="W317" s="33" t="s">
        <v>36</v>
      </c>
      <c r="X317" s="80">
        <v>0</v>
      </c>
      <c r="Y317" s="34">
        <v>0</v>
      </c>
      <c r="Z317" s="35">
        <v>64503</v>
      </c>
      <c r="AA317" s="36">
        <v>72</v>
      </c>
      <c r="AB317" s="36">
        <v>49874</v>
      </c>
      <c r="AC317" s="36">
        <v>4618</v>
      </c>
      <c r="AD317" s="34">
        <v>356</v>
      </c>
      <c r="AE317" s="34">
        <v>1</v>
      </c>
    </row>
    <row customHeight="true" ht="18.452380952380953" r="318">
      <c r="A318" s="19"/>
      <c r="B318" s="20" t="s">
        <v>40</v>
      </c>
      <c r="C318" s="21" t="s">
        <v>63</v>
      </c>
      <c r="D318" s="37">
        <f t="shared" si="48"/>
      </c>
      <c r="E318" s="24">
        <v>614.329</v>
      </c>
      <c r="F318" s="24">
        <v>389.03</v>
      </c>
      <c r="G318" s="24">
        <v>740.753</v>
      </c>
      <c r="H318" s="25">
        <v>1</v>
      </c>
      <c r="I318" s="63">
        <v>2485.08</v>
      </c>
      <c r="J318" s="27">
        <f t="shared" si="77"/>
      </c>
      <c r="K318" s="28">
        <f t="shared" si="101"/>
      </c>
      <c r="L318" s="29">
        <f t="shared" si="139"/>
      </c>
      <c r="M318" s="28">
        <f t="shared" si="120"/>
      </c>
      <c r="N318" s="28">
        <f t="shared" si="158"/>
      </c>
      <c r="O318" s="29">
        <f t="shared" si="177"/>
      </c>
      <c r="P318" s="28">
        <f t="shared" si="196"/>
      </c>
      <c r="Q318" s="28">
        <f t="shared" si="215"/>
      </c>
      <c r="R318" s="30">
        <f t="shared" si="234"/>
      </c>
      <c r="S318" s="31">
        <f t="shared" si="253"/>
      </c>
      <c r="T318" s="30">
        <f t="shared" si="272"/>
      </c>
      <c r="U318" s="79">
        <f t="shared" si="82"/>
      </c>
      <c r="V318" s="32" t="s">
        <v>35</v>
      </c>
      <c r="W318" s="33" t="s">
        <v>36</v>
      </c>
      <c r="X318" s="80">
        <v>1</v>
      </c>
      <c r="Y318" s="34">
        <v>1</v>
      </c>
      <c r="Z318" s="35">
        <v>60356</v>
      </c>
      <c r="AA318" s="36">
        <v>95</v>
      </c>
      <c r="AB318" s="36">
        <v>59031</v>
      </c>
      <c r="AC318" s="36">
        <v>5623</v>
      </c>
      <c r="AD318" s="34">
        <v>412</v>
      </c>
      <c r="AE318" s="34">
        <v>3</v>
      </c>
    </row>
    <row r="319">
      <c r="A319" s="19"/>
      <c r="B319" s="20" t="s">
        <v>41</v>
      </c>
      <c r="C319" s="21" t="s">
        <v>63</v>
      </c>
      <c r="D319" s="37">
        <f t="shared" si="48"/>
      </c>
      <c r="E319" s="24">
        <v>389.499</v>
      </c>
      <c r="F319" s="24">
        <v>363.972</v>
      </c>
      <c r="G319" s="24">
        <v>1223.5</v>
      </c>
      <c r="H319" s="25">
        <v>0</v>
      </c>
      <c r="I319" s="63">
        <v>0</v>
      </c>
      <c r="J319" s="27">
        <f t="shared" si="77"/>
      </c>
      <c r="K319" s="28">
        <f t="shared" si="101"/>
      </c>
      <c r="L319" s="29">
        <f t="shared" si="139"/>
      </c>
      <c r="M319" s="28">
        <f t="shared" si="120"/>
      </c>
      <c r="N319" s="28">
        <f t="shared" si="158"/>
      </c>
      <c r="O319" s="29">
        <f t="shared" si="177"/>
      </c>
      <c r="P319" s="28">
        <f t="shared" si="196"/>
      </c>
      <c r="Q319" s="28">
        <f t="shared" si="215"/>
      </c>
      <c r="R319" s="30">
        <f t="shared" si="234"/>
      </c>
      <c r="S319" s="31">
        <f t="shared" si="253"/>
      </c>
      <c r="T319" s="30">
        <f t="shared" si="272"/>
      </c>
      <c r="U319" s="79">
        <f t="shared" si="82"/>
      </c>
      <c r="V319" s="32" t="s">
        <v>35</v>
      </c>
      <c r="W319" s="33" t="s">
        <v>36</v>
      </c>
      <c r="X319" s="80">
        <v>0</v>
      </c>
      <c r="Y319" s="34">
        <v>0</v>
      </c>
      <c r="Z319" s="36">
        <v>73514</v>
      </c>
      <c r="AA319" s="36">
        <v>81</v>
      </c>
      <c r="AB319" s="36">
        <v>77312</v>
      </c>
      <c r="AC319" s="36">
        <v>6164</v>
      </c>
      <c r="AD319" s="34">
        <v>375</v>
      </c>
      <c r="AE319" s="34">
        <v>0</v>
      </c>
    </row>
    <row r="320">
      <c r="A320" s="19"/>
      <c r="B320" s="38" t="s">
        <v>42</v>
      </c>
      <c r="C320" s="38"/>
      <c r="D320" s="61">
        <f>SUM(D317:D319)</f>
      </c>
      <c r="E320" s="61">
        <f>SUM(E317:E319)</f>
      </c>
      <c r="F320" s="61">
        <f>SUM(F317:F319)</f>
      </c>
      <c r="G320" s="61">
        <f>SUM(G317:G319)</f>
      </c>
      <c r="H320" s="76">
        <f>SUM(H317:H319)</f>
      </c>
      <c r="I320" s="61">
        <f>SUM(I317:I319)</f>
      </c>
      <c r="J320" s="42">
        <f t="shared" si="77"/>
      </c>
      <c r="K320" s="43">
        <f t="shared" si="101"/>
      </c>
      <c r="L320" s="44">
        <f t="shared" si="139"/>
      </c>
      <c r="M320" s="43">
        <f t="shared" si="120"/>
      </c>
      <c r="N320" s="43">
        <f t="shared" si="158"/>
      </c>
      <c r="O320" s="44">
        <f t="shared" si="177"/>
      </c>
      <c r="P320" s="43">
        <f t="shared" si="196"/>
      </c>
      <c r="Q320" s="43">
        <f t="shared" si="215"/>
      </c>
      <c r="R320" s="45">
        <f t="shared" si="234"/>
      </c>
      <c r="S320" s="46">
        <f t="shared" si="253"/>
      </c>
      <c r="T320" s="45">
        <f t="shared" si="272"/>
      </c>
      <c r="U320" s="81">
        <f t="shared" si="82"/>
      </c>
      <c r="V320" s="47"/>
      <c r="W320" s="47"/>
      <c r="X320" s="82">
        <f>SUM(X317:X319)</f>
      </c>
      <c r="Y320" s="48">
        <f>SUM(Y317:Y319)</f>
      </c>
      <c r="Z320" s="48">
        <f>SUM(Z317:Z319)</f>
      </c>
      <c r="AA320" s="48">
        <f>SUM(AA317:AA319)</f>
      </c>
      <c r="AB320" s="48">
        <f>SUM(AB317:AB319)</f>
      </c>
      <c r="AC320" s="48">
        <f>SUM(AC317:AC319)</f>
      </c>
      <c r="AD320" s="48">
        <f>SUM(AD317:AD319)</f>
      </c>
      <c r="AE320" s="48">
        <f>SUM(AE317:AE319)</f>
      </c>
    </row>
    <row r="321">
      <c r="A321" s="19"/>
      <c r="B321" s="20" t="s">
        <v>53</v>
      </c>
      <c r="C321" s="21" t="s">
        <v>44</v>
      </c>
      <c r="D321" s="22">
        <f t="shared" ref="D321:D322" si="49">E321+F321+G321</f>
      </c>
      <c r="E321" s="24">
        <v>727.781</v>
      </c>
      <c r="F321" s="24">
        <v>413.774</v>
      </c>
      <c r="G321" s="24">
        <v>1191.756</v>
      </c>
      <c r="H321" s="25">
        <v>2</v>
      </c>
      <c r="I321" s="63">
        <v>5087.880000000001</v>
      </c>
      <c r="J321" s="27">
        <f t="shared" si="77"/>
      </c>
      <c r="K321" s="28">
        <f t="shared" si="101"/>
      </c>
      <c r="L321" s="29">
        <f t="shared" si="139"/>
      </c>
      <c r="M321" s="28">
        <f t="shared" si="120"/>
      </c>
      <c r="N321" s="28">
        <f t="shared" si="158"/>
      </c>
      <c r="O321" s="29">
        <f t="shared" si="177"/>
      </c>
      <c r="P321" s="28">
        <f t="shared" si="196"/>
      </c>
      <c r="Q321" s="28">
        <f t="shared" si="215"/>
      </c>
      <c r="R321" s="30">
        <f t="shared" si="234"/>
      </c>
      <c r="S321" s="31">
        <f t="shared" si="253"/>
      </c>
      <c r="T321" s="30">
        <f t="shared" si="272"/>
      </c>
      <c r="U321" s="79">
        <f t="shared" si="82"/>
      </c>
      <c r="V321" s="49" t="s">
        <v>35</v>
      </c>
      <c r="W321" s="33" t="s">
        <v>36</v>
      </c>
      <c r="X321" s="80">
        <v>2</v>
      </c>
      <c r="Y321" s="34">
        <v>1</v>
      </c>
      <c r="Z321" s="35">
        <v>80741</v>
      </c>
      <c r="AA321" s="36">
        <v>91</v>
      </c>
      <c r="AB321" s="36">
        <v>98717</v>
      </c>
      <c r="AC321" s="36">
        <v>6156</v>
      </c>
      <c r="AD321" s="36">
        <v>402</v>
      </c>
      <c r="AE321" s="34">
        <v>4</v>
      </c>
    </row>
    <row r="322">
      <c r="A322" s="19"/>
      <c r="B322" s="20" t="s">
        <v>43</v>
      </c>
      <c r="C322" s="21" t="s">
        <v>44</v>
      </c>
      <c r="D322" s="22">
        <f t="shared" si="49"/>
      </c>
      <c r="E322" s="24">
        <f>716.691+0.002</f>
      </c>
      <c r="F322" s="24">
        <v>489.235</v>
      </c>
      <c r="G322" s="24">
        <v>1577.338</v>
      </c>
      <c r="H322" s="25">
        <v>2</v>
      </c>
      <c r="I322" s="63">
        <v>4321.080000000002</v>
      </c>
      <c r="J322" s="27">
        <f t="shared" si="77"/>
      </c>
      <c r="K322" s="28">
        <f t="shared" si="101"/>
      </c>
      <c r="L322" s="29">
        <f t="shared" si="139"/>
      </c>
      <c r="M322" s="28">
        <f t="shared" si="120"/>
      </c>
      <c r="N322" s="28">
        <f t="shared" si="158"/>
      </c>
      <c r="O322" s="29">
        <f t="shared" si="177"/>
      </c>
      <c r="P322" s="28">
        <f t="shared" si="196"/>
      </c>
      <c r="Q322" s="28">
        <f t="shared" si="215"/>
      </c>
      <c r="R322" s="30">
        <f t="shared" si="234"/>
      </c>
      <c r="S322" s="31">
        <f t="shared" si="253"/>
      </c>
      <c r="T322" s="30">
        <f t="shared" si="272"/>
      </c>
      <c r="U322" s="79">
        <f t="shared" si="82"/>
      </c>
      <c r="V322" s="49" t="s">
        <v>35</v>
      </c>
      <c r="W322" s="33" t="s">
        <v>36</v>
      </c>
      <c r="X322" s="80">
        <v>1</v>
      </c>
      <c r="Y322" s="34">
        <v>2</v>
      </c>
      <c r="Z322" s="36">
        <v>140730</v>
      </c>
      <c r="AA322" s="36">
        <v>95</v>
      </c>
      <c r="AB322" s="36">
        <v>137879</v>
      </c>
      <c r="AC322" s="36">
        <v>7356</v>
      </c>
      <c r="AD322" s="36">
        <v>511</v>
      </c>
      <c r="AE322" s="34">
        <v>5</v>
      </c>
    </row>
    <row r="323">
      <c r="A323" s="19"/>
      <c r="B323" s="38" t="s">
        <v>42</v>
      </c>
      <c r="C323" s="38"/>
      <c r="D323" s="73">
        <f>SUM(D321:D322)</f>
      </c>
      <c r="E323" s="73">
        <f>SUM(E321:E322)</f>
      </c>
      <c r="F323" s="73">
        <f>SUM(F321:F322)</f>
      </c>
      <c r="G323" s="73">
        <f>SUM(G321:G322)</f>
      </c>
      <c r="H323" s="40">
        <f>SUM(H321:H322)</f>
      </c>
      <c r="I323" s="62">
        <f>SUM(I321:I322)</f>
      </c>
      <c r="J323" s="42">
        <f t="shared" si="77"/>
      </c>
      <c r="K323" s="43">
        <f t="shared" si="101"/>
      </c>
      <c r="L323" s="44">
        <f t="shared" si="139"/>
      </c>
      <c r="M323" s="43">
        <f t="shared" si="120"/>
      </c>
      <c r="N323" s="43">
        <f t="shared" si="158"/>
      </c>
      <c r="O323" s="44">
        <f t="shared" si="177"/>
      </c>
      <c r="P323" s="43">
        <f t="shared" si="196"/>
      </c>
      <c r="Q323" s="43">
        <f t="shared" si="215"/>
      </c>
      <c r="R323" s="45">
        <f t="shared" si="234"/>
      </c>
      <c r="S323" s="46">
        <f t="shared" si="253"/>
      </c>
      <c r="T323" s="45">
        <f t="shared" si="272"/>
      </c>
      <c r="U323" s="81">
        <f t="shared" si="82"/>
      </c>
      <c r="V323" s="47"/>
      <c r="W323" s="47"/>
      <c r="X323" s="82">
        <f>SUM(X321:X322)</f>
      </c>
      <c r="Y323" s="48">
        <f>SUM(Y321:Y322)</f>
      </c>
      <c r="Z323" s="48">
        <f>SUM(Z321:Z322)</f>
      </c>
      <c r="AA323" s="48">
        <f>SUM(AA321:AA322)</f>
      </c>
      <c r="AB323" s="48">
        <f>SUM(AB321:AB322)</f>
      </c>
      <c r="AC323" s="48">
        <f>SUM(AC321:AC322)</f>
      </c>
      <c r="AD323" s="48">
        <f>SUM(AD321:AD322)</f>
      </c>
      <c r="AE323" s="48">
        <f>SUM(AE321:AE322)</f>
      </c>
    </row>
    <row r="324">
      <c r="A324" s="19"/>
      <c r="B324" s="70" t="s">
        <v>49</v>
      </c>
      <c r="C324" s="70"/>
      <c r="D324" s="74">
        <f>D323+D320+D313+D316</f>
      </c>
      <c r="E324" s="74">
        <f>E323+E320+E313+E316</f>
      </c>
      <c r="F324" s="74">
        <f>F323+F320+F313+F316</f>
      </c>
      <c r="G324" s="74">
        <f>G323+G320+G313+G316</f>
      </c>
      <c r="H324" s="75">
        <f>H323+H320+H313+H316</f>
      </c>
      <c r="I324" s="60">
        <f>I323+I320+I313+I316</f>
      </c>
      <c r="J324" s="54">
        <f t="shared" si="77"/>
      </c>
      <c r="K324" s="55">
        <f t="shared" si="101"/>
      </c>
      <c r="L324" s="54">
        <f t="shared" si="139"/>
      </c>
      <c r="M324" s="55">
        <f t="shared" si="120"/>
      </c>
      <c r="N324" s="55">
        <f t="shared" si="158"/>
      </c>
      <c r="O324" s="54">
        <f t="shared" si="177"/>
      </c>
      <c r="P324" s="55">
        <f t="shared" si="196"/>
      </c>
      <c r="Q324" s="55">
        <f t="shared" si="215"/>
      </c>
      <c r="R324" s="54">
        <f t="shared" si="234"/>
      </c>
      <c r="S324" s="56">
        <f t="shared" si="253"/>
      </c>
      <c r="T324" s="54">
        <f t="shared" si="272"/>
      </c>
      <c r="U324" s="83">
        <f t="shared" si="82"/>
      </c>
      <c r="V324" s="57"/>
      <c r="W324" s="57"/>
      <c r="X324" s="53">
        <f>X323+X320+X313+X316</f>
      </c>
      <c r="Y324" s="53">
        <f>Y323+Y320+Y313+Y316</f>
      </c>
      <c r="Z324" s="60">
        <f>Z323+Z320+Z313+Z316</f>
      </c>
      <c r="AA324" s="60">
        <f>AA323+AA320+AA313+AA316</f>
      </c>
      <c r="AB324" s="60">
        <f>AB323+AB320+AB313+AB316</f>
      </c>
      <c r="AC324" s="60">
        <f>AC323+AC320+AC313+AC316</f>
      </c>
      <c r="AD324" s="60">
        <f>AD323+AD320+AD313+AD316</f>
      </c>
      <c r="AE324" s="53">
        <f>AE323+AE320+AE313+AE316</f>
      </c>
    </row>
    <row r="325">
      <c r="A325" s="1" t="s">
        <v>1</v>
      </c>
      <c r="B325" s="1"/>
      <c r="C325" s="1"/>
      <c r="D325" s="2" t="s">
        <v>2</v>
      </c>
      <c r="E325" s="2"/>
      <c r="F325" s="2"/>
      <c r="G325" s="2"/>
      <c r="H325" s="2"/>
      <c r="I325" s="2"/>
      <c r="J325" s="2"/>
      <c r="K325" s="84" t="s">
        <v>3</v>
      </c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4"/>
      <c r="W325" s="4"/>
      <c r="X325" s="4"/>
      <c r="Y325" s="5"/>
      <c r="Z325" s="5"/>
      <c r="AA325" s="5"/>
      <c r="AB325" s="5"/>
      <c r="AC325" s="5"/>
      <c r="AD325" s="5"/>
      <c r="AE325" s="5"/>
    </row>
    <row r="326">
      <c r="A326" s="6" t="s">
        <v>4</v>
      </c>
      <c r="B326" s="7" t="s">
        <v>5</v>
      </c>
      <c r="C326" s="7" t="s">
        <v>6</v>
      </c>
      <c r="D326" s="8" t="s">
        <v>7</v>
      </c>
      <c r="E326" s="9" t="s">
        <v>8</v>
      </c>
      <c r="F326" s="9" t="s">
        <v>9</v>
      </c>
      <c r="G326" s="10" t="s">
        <v>10</v>
      </c>
      <c r="H326" s="11" t="s">
        <v>11</v>
      </c>
      <c r="I326" s="11" t="s">
        <v>12</v>
      </c>
      <c r="J326" s="12" t="s">
        <v>13</v>
      </c>
      <c r="K326" s="3" t="s">
        <v>14</v>
      </c>
      <c r="L326" s="3" t="s">
        <v>15</v>
      </c>
      <c r="M326" s="13" t="s">
        <v>16</v>
      </c>
      <c r="N326" s="13" t="s">
        <v>17</v>
      </c>
      <c r="O326" s="3" t="s">
        <v>18</v>
      </c>
      <c r="P326" s="13" t="s">
        <v>19</v>
      </c>
      <c r="Q326" s="13" t="s">
        <v>20</v>
      </c>
      <c r="R326" s="14" t="s">
        <v>21</v>
      </c>
      <c r="S326" s="13" t="s">
        <v>22</v>
      </c>
      <c r="T326" s="14" t="s">
        <v>23</v>
      </c>
      <c r="U326" s="77" t="s">
        <v>61</v>
      </c>
      <c r="V326" s="15" t="s">
        <v>24</v>
      </c>
      <c r="W326" s="15" t="s">
        <v>25</v>
      </c>
      <c r="X326" s="78" t="s">
        <v>62</v>
      </c>
      <c r="Y326" s="16" t="s">
        <v>26</v>
      </c>
      <c r="Z326" s="17" t="s">
        <v>27</v>
      </c>
      <c r="AA326" s="17" t="s">
        <v>28</v>
      </c>
      <c r="AB326" s="17" t="s">
        <v>29</v>
      </c>
      <c r="AC326" s="17" t="s">
        <v>30</v>
      </c>
      <c r="AD326" s="17" t="s">
        <v>31</v>
      </c>
      <c r="AE326" s="18" t="s">
        <v>32</v>
      </c>
    </row>
    <row r="327">
      <c r="A327" s="19">
        <v>46312</v>
      </c>
      <c r="B327" s="20" t="s">
        <v>58</v>
      </c>
      <c r="C327" s="21" t="s">
        <v>34</v>
      </c>
      <c r="D327" s="37">
        <f t="shared" ref="D327:D331" si="50">E327+F327+G327</f>
      </c>
      <c r="E327" s="24">
        <v>517.372</v>
      </c>
      <c r="F327" s="24">
        <v>325.774</v>
      </c>
      <c r="G327" s="24">
        <v>519.443</v>
      </c>
      <c r="H327" s="25">
        <v>1</v>
      </c>
      <c r="I327" s="63">
        <v>2602.8</v>
      </c>
      <c r="J327" s="27">
        <f t="shared" ref="J327:J346" si="78">I327/D327</f>
      </c>
      <c r="K327" s="28">
        <f t="shared" ref="K327:K346" si="102">AA327/Z327</f>
      </c>
      <c r="L327" s="29">
        <f t="shared" ref="L327:L346" si="140">D327/AB327</f>
      </c>
      <c r="M327" s="28">
        <f t="shared" ref="M327:M346" si="121">AC327/AB327</f>
      </c>
      <c r="N327" s="28">
        <f t="shared" ref="N327:N346" si="159">AD327/AB327</f>
      </c>
      <c r="O327" s="29">
        <f t="shared" ref="O327:O346" si="178">D327/AD327</f>
      </c>
      <c r="P327" s="28">
        <f t="shared" ref="P327:P346" si="197">AE327/AD327</f>
      </c>
      <c r="Q327" s="28">
        <f t="shared" ref="Q327:Q346" si="216">H327/AE327</f>
      </c>
      <c r="R327" s="30">
        <f t="shared" ref="R327:R346" si="235">D327/H327</f>
      </c>
      <c r="S327" s="31">
        <f t="shared" ref="S327:S346" si="254">I327/H327</f>
      </c>
      <c r="T327" s="30">
        <f t="shared" ref="T327:T346" si="273">D327/Y327</f>
      </c>
      <c r="U327" s="79">
        <f t="shared" ref="U327:U346" si="83">X327/H327</f>
      </c>
      <c r="V327" s="32" t="s">
        <v>35</v>
      </c>
      <c r="W327" s="33" t="s">
        <v>48</v>
      </c>
      <c r="X327" s="80">
        <v>1</v>
      </c>
      <c r="Y327" s="34">
        <v>1</v>
      </c>
      <c r="Z327" s="35">
        <v>37690</v>
      </c>
      <c r="AA327" s="36">
        <v>78</v>
      </c>
      <c r="AB327" s="34">
        <v>35250</v>
      </c>
      <c r="AC327" s="34">
        <v>3342</v>
      </c>
      <c r="AD327" s="34">
        <v>288</v>
      </c>
      <c r="AE327" s="34">
        <v>1</v>
      </c>
    </row>
    <row r="328">
      <c r="A328" s="19"/>
      <c r="B328" s="20" t="s">
        <v>56</v>
      </c>
      <c r="C328" s="21" t="s">
        <v>34</v>
      </c>
      <c r="D328" s="37">
        <f t="shared" si="50"/>
      </c>
      <c r="E328" s="24">
        <v>583.179</v>
      </c>
      <c r="F328" s="24">
        <v>770.088</v>
      </c>
      <c r="G328" s="24">
        <v>875.277</v>
      </c>
      <c r="H328" s="25">
        <v>3</v>
      </c>
      <c r="I328" s="63">
        <v>2228.88</v>
      </c>
      <c r="J328" s="27">
        <f t="shared" si="78"/>
      </c>
      <c r="K328" s="28">
        <f t="shared" si="102"/>
      </c>
      <c r="L328" s="29">
        <f t="shared" si="140"/>
      </c>
      <c r="M328" s="28">
        <f t="shared" si="121"/>
      </c>
      <c r="N328" s="28">
        <f t="shared" si="159"/>
      </c>
      <c r="O328" s="29">
        <f t="shared" si="178"/>
      </c>
      <c r="P328" s="28">
        <f t="shared" si="197"/>
      </c>
      <c r="Q328" s="28">
        <f t="shared" si="216"/>
      </c>
      <c r="R328" s="30">
        <f t="shared" si="235"/>
      </c>
      <c r="S328" s="31">
        <f t="shared" si="254"/>
      </c>
      <c r="T328" s="30">
        <f t="shared" si="273"/>
      </c>
      <c r="U328" s="79">
        <f t="shared" si="83"/>
      </c>
      <c r="V328" s="32" t="s">
        <v>35</v>
      </c>
      <c r="W328" s="33" t="s">
        <v>48</v>
      </c>
      <c r="X328" s="80">
        <v>1</v>
      </c>
      <c r="Y328" s="34">
        <v>3</v>
      </c>
      <c r="Z328" s="35">
        <v>75209</v>
      </c>
      <c r="AA328" s="36">
        <v>135</v>
      </c>
      <c r="AB328" s="34">
        <v>61408</v>
      </c>
      <c r="AC328" s="34">
        <v>6199</v>
      </c>
      <c r="AD328" s="34">
        <v>512</v>
      </c>
      <c r="AE328" s="34">
        <v>7</v>
      </c>
    </row>
    <row r="329">
      <c r="A329" s="19"/>
      <c r="B329" s="20" t="s">
        <v>57</v>
      </c>
      <c r="C329" s="21" t="s">
        <v>34</v>
      </c>
      <c r="D329" s="37">
        <f t="shared" si="50"/>
      </c>
      <c r="E329" s="24">
        <v>575.285</v>
      </c>
      <c r="F329" s="24">
        <v>754.147</v>
      </c>
      <c r="G329" s="24">
        <v>375.368</v>
      </c>
      <c r="H329" s="25">
        <v>2</v>
      </c>
      <c r="I329" s="63">
        <v>1828.4399999999996</v>
      </c>
      <c r="J329" s="27">
        <f t="shared" si="78"/>
      </c>
      <c r="K329" s="28">
        <f t="shared" si="102"/>
      </c>
      <c r="L329" s="29">
        <f t="shared" si="140"/>
      </c>
      <c r="M329" s="28">
        <f t="shared" si="121"/>
      </c>
      <c r="N329" s="28">
        <f t="shared" si="159"/>
      </c>
      <c r="O329" s="29">
        <f t="shared" si="178"/>
      </c>
      <c r="P329" s="28">
        <f t="shared" si="197"/>
      </c>
      <c r="Q329" s="28">
        <f t="shared" si="216"/>
      </c>
      <c r="R329" s="30">
        <f t="shared" si="235"/>
      </c>
      <c r="S329" s="31">
        <f t="shared" si="254"/>
      </c>
      <c r="T329" s="30">
        <f t="shared" si="273"/>
      </c>
      <c r="U329" s="79">
        <f t="shared" si="83"/>
      </c>
      <c r="V329" s="32" t="s">
        <v>35</v>
      </c>
      <c r="W329" s="33" t="s">
        <v>48</v>
      </c>
      <c r="X329" s="80">
        <v>0</v>
      </c>
      <c r="Y329" s="34">
        <v>2</v>
      </c>
      <c r="Z329" s="35">
        <v>71308</v>
      </c>
      <c r="AA329" s="36">
        <v>278</v>
      </c>
      <c r="AB329" s="34">
        <v>50700</v>
      </c>
      <c r="AC329" s="34">
        <v>5555</v>
      </c>
      <c r="AD329" s="34">
        <v>435</v>
      </c>
      <c r="AE329" s="34">
        <v>4</v>
      </c>
    </row>
    <row r="330">
      <c r="A330" s="19"/>
      <c r="B330" s="20" t="s">
        <v>50</v>
      </c>
      <c r="C330" s="21" t="s">
        <v>34</v>
      </c>
      <c r="D330" s="37">
        <f t="shared" si="50"/>
      </c>
      <c r="E330" s="24">
        <v>680.776</v>
      </c>
      <c r="F330" s="24">
        <v>605.464</v>
      </c>
      <c r="G330" s="24">
        <v>469.264</v>
      </c>
      <c r="H330" s="25">
        <v>1</v>
      </c>
      <c r="I330" s="63">
        <v>942.8400000000001</v>
      </c>
      <c r="J330" s="27">
        <f t="shared" si="78"/>
      </c>
      <c r="K330" s="28">
        <f t="shared" si="102"/>
      </c>
      <c r="L330" s="29">
        <f t="shared" si="140"/>
      </c>
      <c r="M330" s="28">
        <f t="shared" si="121"/>
      </c>
      <c r="N330" s="28">
        <f t="shared" si="159"/>
      </c>
      <c r="O330" s="29">
        <f t="shared" si="178"/>
      </c>
      <c r="P330" s="28">
        <f t="shared" si="197"/>
      </c>
      <c r="Q330" s="28">
        <f t="shared" si="216"/>
      </c>
      <c r="R330" s="30">
        <f t="shared" si="235"/>
      </c>
      <c r="S330" s="31">
        <f t="shared" si="254"/>
      </c>
      <c r="T330" s="30">
        <f t="shared" si="273"/>
      </c>
      <c r="U330" s="79">
        <f t="shared" si="83"/>
      </c>
      <c r="V330" s="32" t="s">
        <v>35</v>
      </c>
      <c r="W330" s="33" t="s">
        <v>48</v>
      </c>
      <c r="X330" s="80">
        <v>1</v>
      </c>
      <c r="Y330" s="34">
        <v>1</v>
      </c>
      <c r="Z330" s="35">
        <v>69652</v>
      </c>
      <c r="AA330" s="36">
        <v>246</v>
      </c>
      <c r="AB330" s="34">
        <v>50713</v>
      </c>
      <c r="AC330" s="34">
        <v>4556</v>
      </c>
      <c r="AD330" s="34">
        <v>440</v>
      </c>
      <c r="AE330" s="34">
        <v>3</v>
      </c>
    </row>
    <row r="331">
      <c r="A331" s="19"/>
      <c r="B331" s="20" t="s">
        <v>51</v>
      </c>
      <c r="C331" s="21" t="s">
        <v>34</v>
      </c>
      <c r="D331" s="37">
        <f t="shared" si="50"/>
      </c>
      <c r="E331" s="24">
        <v>318.637</v>
      </c>
      <c r="F331" s="24">
        <v>914.749</v>
      </c>
      <c r="G331" s="24">
        <v>362.587</v>
      </c>
      <c r="H331" s="25">
        <v>4</v>
      </c>
      <c r="I331" s="63">
        <v>4092.12</v>
      </c>
      <c r="J331" s="27">
        <f t="shared" si="78"/>
      </c>
      <c r="K331" s="28">
        <f t="shared" si="102"/>
      </c>
      <c r="L331" s="29">
        <f t="shared" si="140"/>
      </c>
      <c r="M331" s="28">
        <f t="shared" si="121"/>
      </c>
      <c r="N331" s="28">
        <f t="shared" si="159"/>
      </c>
      <c r="O331" s="29">
        <f t="shared" si="178"/>
      </c>
      <c r="P331" s="28">
        <f t="shared" si="197"/>
      </c>
      <c r="Q331" s="28">
        <f t="shared" si="216"/>
      </c>
      <c r="R331" s="30">
        <f t="shared" si="235"/>
      </c>
      <c r="S331" s="31">
        <f t="shared" si="254"/>
      </c>
      <c r="T331" s="30">
        <f t="shared" si="273"/>
      </c>
      <c r="U331" s="79">
        <f t="shared" si="83"/>
      </c>
      <c r="V331" s="32" t="s">
        <v>35</v>
      </c>
      <c r="W331" s="33" t="s">
        <v>48</v>
      </c>
      <c r="X331" s="80">
        <v>3</v>
      </c>
      <c r="Y331" s="34">
        <v>3</v>
      </c>
      <c r="Z331" s="36">
        <v>64690</v>
      </c>
      <c r="AA331" s="36">
        <v>201</v>
      </c>
      <c r="AB331" s="36">
        <v>51994</v>
      </c>
      <c r="AC331" s="36">
        <v>4766</v>
      </c>
      <c r="AD331" s="34">
        <v>455</v>
      </c>
      <c r="AE331" s="34">
        <v>9</v>
      </c>
    </row>
    <row r="332">
      <c r="A332" s="19"/>
      <c r="B332" s="38" t="s">
        <v>42</v>
      </c>
      <c r="C332" s="38"/>
      <c r="D332" s="61">
        <f>SUM(D327:D331)</f>
      </c>
      <c r="E332" s="61">
        <f>SUM(E327:E331)</f>
      </c>
      <c r="F332" s="61">
        <f>SUM(F327:F331)</f>
      </c>
      <c r="G332" s="61">
        <f>SUM(G327:G331)</f>
      </c>
      <c r="H332" s="40">
        <f>SUM(H327:H331)</f>
      </c>
      <c r="I332" s="62">
        <f>SUM(I327:I331)</f>
      </c>
      <c r="J332" s="42">
        <f t="shared" si="78"/>
      </c>
      <c r="K332" s="43">
        <f t="shared" si="102"/>
      </c>
      <c r="L332" s="44">
        <f t="shared" si="140"/>
      </c>
      <c r="M332" s="43">
        <f t="shared" si="121"/>
      </c>
      <c r="N332" s="43">
        <f t="shared" si="159"/>
      </c>
      <c r="O332" s="44">
        <f t="shared" si="178"/>
      </c>
      <c r="P332" s="43">
        <f t="shared" si="197"/>
      </c>
      <c r="Q332" s="43">
        <f t="shared" si="216"/>
      </c>
      <c r="R332" s="45">
        <f t="shared" si="235"/>
      </c>
      <c r="S332" s="46">
        <f t="shared" si="254"/>
      </c>
      <c r="T332" s="45">
        <f t="shared" si="273"/>
      </c>
      <c r="U332" s="81">
        <f t="shared" si="83"/>
      </c>
      <c r="V332" s="47"/>
      <c r="W332" s="47"/>
      <c r="X332" s="82">
        <f>SUM(X327:X331)</f>
      </c>
      <c r="Y332" s="48">
        <f>SUM(Y327:Y331)</f>
      </c>
      <c r="Z332" s="48">
        <f>SUM(Z327:Z331)</f>
      </c>
      <c r="AA332" s="48">
        <f>SUM(AA327:AA331)</f>
      </c>
      <c r="AB332" s="48">
        <f>SUM(AB327:AB331)</f>
      </c>
      <c r="AC332" s="48">
        <f>SUM(AC327:AC331)</f>
      </c>
      <c r="AD332" s="48">
        <f>SUM(AD327:AD331)</f>
      </c>
      <c r="AE332" s="48">
        <f>SUM(AE327:AE331)</f>
      </c>
    </row>
    <row r="333">
      <c r="A333" s="19"/>
      <c r="B333" s="20" t="s">
        <v>33</v>
      </c>
      <c r="C333" s="21" t="s">
        <v>63</v>
      </c>
      <c r="D333" s="37">
        <f t="shared" ref="D333:D335" si="51">E333+F333+G333</f>
      </c>
      <c r="E333" s="24">
        <v>464.626</v>
      </c>
      <c r="F333" s="24">
        <v>1112.849</v>
      </c>
      <c r="G333" s="24">
        <v>373.208</v>
      </c>
      <c r="H333" s="25">
        <v>2</v>
      </c>
      <c r="I333" s="63">
        <v>847.7999999999993</v>
      </c>
      <c r="J333" s="27">
        <f t="shared" si="78"/>
      </c>
      <c r="K333" s="28">
        <f t="shared" si="102"/>
      </c>
      <c r="L333" s="29">
        <f t="shared" si="140"/>
      </c>
      <c r="M333" s="28">
        <f t="shared" si="121"/>
      </c>
      <c r="N333" s="28">
        <f t="shared" si="159"/>
      </c>
      <c r="O333" s="29">
        <f t="shared" si="178"/>
      </c>
      <c r="P333" s="28">
        <f t="shared" si="197"/>
      </c>
      <c r="Q333" s="28">
        <f t="shared" si="216"/>
      </c>
      <c r="R333" s="30">
        <f t="shared" si="235"/>
      </c>
      <c r="S333" s="31">
        <f t="shared" si="254"/>
      </c>
      <c r="T333" s="30">
        <f t="shared" si="273"/>
      </c>
      <c r="U333" s="79">
        <f t="shared" si="83"/>
      </c>
      <c r="V333" s="32" t="s">
        <v>35</v>
      </c>
      <c r="W333" s="33" t="s">
        <v>48</v>
      </c>
      <c r="X333" s="80">
        <v>0</v>
      </c>
      <c r="Y333" s="34">
        <v>3</v>
      </c>
      <c r="Z333" s="35">
        <v>73853</v>
      </c>
      <c r="AA333" s="36">
        <v>246</v>
      </c>
      <c r="AB333" s="34">
        <v>57132</v>
      </c>
      <c r="AC333" s="34">
        <v>4816</v>
      </c>
      <c r="AD333" s="34">
        <v>390</v>
      </c>
      <c r="AE333" s="34">
        <v>2</v>
      </c>
    </row>
    <row customHeight="true" ht="18.452380952380953" r="334">
      <c r="A334" s="19"/>
      <c r="B334" s="20" t="s">
        <v>37</v>
      </c>
      <c r="C334" s="21" t="s">
        <v>63</v>
      </c>
      <c r="D334" s="37">
        <f t="shared" si="51"/>
      </c>
      <c r="E334" s="24">
        <v>617.848</v>
      </c>
      <c r="F334" s="24">
        <v>733.766</v>
      </c>
      <c r="G334" s="24">
        <v>527.004</v>
      </c>
      <c r="H334" s="25">
        <v>1</v>
      </c>
      <c r="I334" s="63">
        <v>1705.5599999999995</v>
      </c>
      <c r="J334" s="27">
        <f t="shared" si="78"/>
      </c>
      <c r="K334" s="28">
        <f t="shared" si="102"/>
      </c>
      <c r="L334" s="29">
        <f t="shared" si="140"/>
      </c>
      <c r="M334" s="28">
        <f t="shared" si="121"/>
      </c>
      <c r="N334" s="28">
        <f t="shared" si="159"/>
      </c>
      <c r="O334" s="29">
        <f t="shared" si="178"/>
      </c>
      <c r="P334" s="28">
        <f t="shared" si="197"/>
      </c>
      <c r="Q334" s="28">
        <f t="shared" si="216"/>
      </c>
      <c r="R334" s="30">
        <f t="shared" si="235"/>
      </c>
      <c r="S334" s="31">
        <f t="shared" si="254"/>
      </c>
      <c r="T334" s="30">
        <f t="shared" si="273"/>
      </c>
      <c r="U334" s="79">
        <f t="shared" si="83"/>
      </c>
      <c r="V334" s="32" t="s">
        <v>35</v>
      </c>
      <c r="W334" s="33" t="s">
        <v>48</v>
      </c>
      <c r="X334" s="80">
        <v>0</v>
      </c>
      <c r="Y334" s="34">
        <v>1</v>
      </c>
      <c r="Z334" s="36">
        <v>73221</v>
      </c>
      <c r="AA334" s="36">
        <v>235</v>
      </c>
      <c r="AB334" s="34">
        <v>51901</v>
      </c>
      <c r="AC334" s="34">
        <v>4146</v>
      </c>
      <c r="AD334" s="34">
        <v>385</v>
      </c>
      <c r="AE334" s="34">
        <v>4</v>
      </c>
    </row>
    <row r="335">
      <c r="A335" s="19"/>
      <c r="B335" s="20" t="s">
        <v>38</v>
      </c>
      <c r="C335" s="21" t="s">
        <v>63</v>
      </c>
      <c r="D335" s="37">
        <f t="shared" si="51"/>
      </c>
      <c r="E335" s="24">
        <v>400.95</v>
      </c>
      <c r="F335" s="24">
        <v>1354.914</v>
      </c>
      <c r="G335" s="24">
        <v>442.976</v>
      </c>
      <c r="H335" s="25">
        <v>3</v>
      </c>
      <c r="I335" s="63">
        <v>13544.880000000001</v>
      </c>
      <c r="J335" s="27">
        <f t="shared" si="78"/>
      </c>
      <c r="K335" s="28">
        <f t="shared" si="102"/>
      </c>
      <c r="L335" s="29">
        <f t="shared" si="140"/>
      </c>
      <c r="M335" s="28">
        <f t="shared" si="121"/>
      </c>
      <c r="N335" s="28">
        <f t="shared" si="159"/>
      </c>
      <c r="O335" s="29">
        <f t="shared" si="178"/>
      </c>
      <c r="P335" s="28">
        <f t="shared" si="197"/>
      </c>
      <c r="Q335" s="28">
        <f t="shared" si="216"/>
      </c>
      <c r="R335" s="30">
        <f t="shared" si="235"/>
      </c>
      <c r="S335" s="31">
        <f t="shared" si="254"/>
      </c>
      <c r="T335" s="30">
        <f t="shared" si="273"/>
      </c>
      <c r="U335" s="79">
        <f t="shared" si="83"/>
      </c>
      <c r="V335" s="32" t="s">
        <v>35</v>
      </c>
      <c r="W335" s="33" t="s">
        <v>36</v>
      </c>
      <c r="X335" s="80">
        <v>3</v>
      </c>
      <c r="Y335" s="34">
        <v>3</v>
      </c>
      <c r="Z335" s="36">
        <v>89505</v>
      </c>
      <c r="AA335" s="36">
        <v>248</v>
      </c>
      <c r="AB335" s="34">
        <v>67617</v>
      </c>
      <c r="AC335" s="34">
        <v>5644</v>
      </c>
      <c r="AD335" s="34">
        <v>498</v>
      </c>
      <c r="AE335" s="34">
        <v>6</v>
      </c>
    </row>
    <row r="336">
      <c r="A336" s="19"/>
      <c r="B336" s="38" t="s">
        <v>42</v>
      </c>
      <c r="C336" s="38"/>
      <c r="D336" s="61">
        <f>SUM(D333:D335)</f>
      </c>
      <c r="E336" s="61">
        <f>SUM(E333:E335)</f>
      </c>
      <c r="F336" s="61">
        <f>SUM(F333:F335)</f>
      </c>
      <c r="G336" s="61">
        <f>SUM(G333:G335)</f>
      </c>
      <c r="H336" s="76">
        <f>SUM(H333:H335)</f>
      </c>
      <c r="I336" s="61">
        <f>SUM(I333:I335)</f>
      </c>
      <c r="J336" s="42">
        <f t="shared" si="78"/>
      </c>
      <c r="K336" s="43">
        <f t="shared" si="102"/>
      </c>
      <c r="L336" s="44">
        <f t="shared" si="140"/>
      </c>
      <c r="M336" s="43">
        <f t="shared" si="121"/>
      </c>
      <c r="N336" s="43">
        <f t="shared" si="159"/>
      </c>
      <c r="O336" s="44">
        <f t="shared" si="178"/>
      </c>
      <c r="P336" s="43">
        <f t="shared" si="197"/>
      </c>
      <c r="Q336" s="43">
        <f t="shared" si="216"/>
      </c>
      <c r="R336" s="45">
        <f t="shared" si="235"/>
      </c>
      <c r="S336" s="46">
        <f t="shared" si="254"/>
      </c>
      <c r="T336" s="45">
        <f t="shared" si="273"/>
      </c>
      <c r="U336" s="81">
        <f t="shared" si="83"/>
      </c>
      <c r="V336" s="47"/>
      <c r="W336" s="47"/>
      <c r="X336" s="82">
        <f>SUM(X333:X335)</f>
      </c>
      <c r="Y336" s="48">
        <f>SUM(Y333:Y335)</f>
      </c>
      <c r="Z336" s="48">
        <f>SUM(Z333:Z335)</f>
      </c>
      <c r="AA336" s="48">
        <f>SUM(AA333:AA335)</f>
      </c>
      <c r="AB336" s="48">
        <f>SUM(AB333:AB335)</f>
      </c>
      <c r="AC336" s="48">
        <f>SUM(AC333:AC335)</f>
      </c>
      <c r="AD336" s="48">
        <f>SUM(AD333:AD335)</f>
      </c>
      <c r="AE336" s="48">
        <f>SUM(AE333:AE335)</f>
      </c>
    </row>
    <row r="337">
      <c r="A337" s="19"/>
      <c r="B337" s="20" t="s">
        <v>40</v>
      </c>
      <c r="C337" s="21" t="s">
        <v>64</v>
      </c>
      <c r="D337" s="37">
        <f t="shared" ref="D337:D338" si="52">E337+F337+G337</f>
      </c>
      <c r="E337" s="24">
        <v>386.359</v>
      </c>
      <c r="F337" s="24">
        <v>1095.358</v>
      </c>
      <c r="G337" s="24">
        <v>384.235</v>
      </c>
      <c r="H337" s="25">
        <v>1</v>
      </c>
      <c r="I337" s="63">
        <v>2602.7999999999993</v>
      </c>
      <c r="J337" s="27">
        <f t="shared" si="78"/>
      </c>
      <c r="K337" s="28">
        <f t="shared" si="102"/>
      </c>
      <c r="L337" s="29">
        <f t="shared" si="140"/>
      </c>
      <c r="M337" s="28">
        <f t="shared" si="121"/>
      </c>
      <c r="N337" s="28">
        <f t="shared" si="159"/>
      </c>
      <c r="O337" s="29">
        <f t="shared" si="178"/>
      </c>
      <c r="P337" s="28">
        <f t="shared" si="197"/>
      </c>
      <c r="Q337" s="28">
        <f t="shared" si="216"/>
      </c>
      <c r="R337" s="30">
        <f t="shared" si="235"/>
      </c>
      <c r="S337" s="31">
        <f t="shared" si="254"/>
      </c>
      <c r="T337" s="30">
        <f t="shared" si="273"/>
      </c>
      <c r="U337" s="79">
        <f t="shared" si="83"/>
      </c>
      <c r="V337" s="32" t="s">
        <v>35</v>
      </c>
      <c r="W337" s="33" t="s">
        <v>36</v>
      </c>
      <c r="X337" s="80">
        <v>1</v>
      </c>
      <c r="Y337" s="34">
        <v>0</v>
      </c>
      <c r="Z337" s="36">
        <v>77213</v>
      </c>
      <c r="AA337" s="36">
        <v>167</v>
      </c>
      <c r="AB337" s="36">
        <v>59460</v>
      </c>
      <c r="AC337" s="36">
        <v>5342</v>
      </c>
      <c r="AD337" s="34">
        <v>384</v>
      </c>
      <c r="AE337" s="34">
        <v>2</v>
      </c>
    </row>
    <row r="338">
      <c r="A338" s="19"/>
      <c r="B338" s="20" t="s">
        <v>41</v>
      </c>
      <c r="C338" s="21" t="s">
        <v>64</v>
      </c>
      <c r="D338" s="37">
        <f t="shared" si="52"/>
      </c>
      <c r="E338" s="24">
        <v>394.332</v>
      </c>
      <c r="F338" s="24">
        <v>888.348</v>
      </c>
      <c r="G338" s="24">
        <v>516.444</v>
      </c>
      <c r="H338" s="25">
        <v>1</v>
      </c>
      <c r="I338" s="63">
        <v>2301</v>
      </c>
      <c r="J338" s="27">
        <f t="shared" si="78"/>
      </c>
      <c r="K338" s="28">
        <f t="shared" si="102"/>
      </c>
      <c r="L338" s="29">
        <f t="shared" si="140"/>
      </c>
      <c r="M338" s="28">
        <f t="shared" si="121"/>
      </c>
      <c r="N338" s="28">
        <f t="shared" si="159"/>
      </c>
      <c r="O338" s="29">
        <f t="shared" si="178"/>
      </c>
      <c r="P338" s="28">
        <f t="shared" si="197"/>
      </c>
      <c r="Q338" s="28">
        <f t="shared" si="216"/>
      </c>
      <c r="R338" s="30">
        <f t="shared" si="235"/>
      </c>
      <c r="S338" s="31">
        <f t="shared" si="254"/>
      </c>
      <c r="T338" s="30">
        <f t="shared" si="273"/>
      </c>
      <c r="U338" s="79">
        <f t="shared" si="83"/>
      </c>
      <c r="V338" s="32" t="s">
        <v>35</v>
      </c>
      <c r="W338" s="33" t="s">
        <v>36</v>
      </c>
      <c r="X338" s="80">
        <v>1</v>
      </c>
      <c r="Y338" s="34">
        <v>2</v>
      </c>
      <c r="Z338" s="36">
        <v>78371</v>
      </c>
      <c r="AA338" s="36">
        <v>147</v>
      </c>
      <c r="AB338" s="36">
        <v>75613</v>
      </c>
      <c r="AC338" s="36">
        <v>6189</v>
      </c>
      <c r="AD338" s="34">
        <v>369</v>
      </c>
      <c r="AE338" s="34">
        <v>2</v>
      </c>
    </row>
    <row r="339">
      <c r="A339" s="19"/>
      <c r="B339" s="38" t="s">
        <v>42</v>
      </c>
      <c r="C339" s="38"/>
      <c r="D339" s="61">
        <f>SUM(D337:D338)</f>
      </c>
      <c r="E339" s="61">
        <f>SUM(E337:E338)</f>
      </c>
      <c r="F339" s="61">
        <f>SUM(F337:F338)</f>
      </c>
      <c r="G339" s="61">
        <f>SUM(G337:G338)</f>
      </c>
      <c r="H339" s="76">
        <f>SUM(H337:H338)</f>
      </c>
      <c r="I339" s="61">
        <f>SUM(I337:I338)</f>
      </c>
      <c r="J339" s="42">
        <f t="shared" si="78"/>
      </c>
      <c r="K339" s="43">
        <f t="shared" si="102"/>
      </c>
      <c r="L339" s="44">
        <f t="shared" si="140"/>
      </c>
      <c r="M339" s="43">
        <f t="shared" si="121"/>
      </c>
      <c r="N339" s="43">
        <f t="shared" si="159"/>
      </c>
      <c r="O339" s="44">
        <f t="shared" si="178"/>
      </c>
      <c r="P339" s="43">
        <f t="shared" si="197"/>
      </c>
      <c r="Q339" s="43">
        <f t="shared" si="216"/>
      </c>
      <c r="R339" s="45">
        <f t="shared" si="235"/>
      </c>
      <c r="S339" s="46">
        <f t="shared" si="254"/>
      </c>
      <c r="T339" s="45">
        <f t="shared" si="273"/>
      </c>
      <c r="U339" s="81">
        <f t="shared" si="83"/>
      </c>
      <c r="V339" s="47"/>
      <c r="W339" s="47"/>
      <c r="X339" s="82">
        <f>SUM(X337:X338)</f>
      </c>
      <c r="Y339" s="48">
        <f>SUM(Y337:Y338)</f>
      </c>
      <c r="Z339" s="48">
        <f>SUM(Z337:Z338)</f>
      </c>
      <c r="AA339" s="48">
        <f>SUM(AA337:AA338)</f>
      </c>
      <c r="AB339" s="48">
        <f>SUM(AB337:AB338)</f>
      </c>
      <c r="AC339" s="48">
        <f>SUM(AC337:AC338)</f>
      </c>
      <c r="AD339" s="48">
        <f>SUM(AD337:AD338)</f>
      </c>
      <c r="AE339" s="48">
        <f>SUM(AE337:AE338)</f>
      </c>
    </row>
    <row r="340">
      <c r="A340" s="19"/>
      <c r="B340" s="20" t="s">
        <v>53</v>
      </c>
      <c r="C340" s="21" t="s">
        <v>44</v>
      </c>
      <c r="D340" s="22">
        <f t="shared" ref="D340:D344" si="53">E340+F340+G340</f>
      </c>
      <c r="E340" s="24">
        <v>679.667</v>
      </c>
      <c r="F340" s="24">
        <v>965.743</v>
      </c>
      <c r="G340" s="24">
        <v>905.209</v>
      </c>
      <c r="H340" s="25">
        <v>3</v>
      </c>
      <c r="I340" s="63">
        <v>2826.720000000001</v>
      </c>
      <c r="J340" s="27">
        <f t="shared" si="78"/>
      </c>
      <c r="K340" s="28">
        <f t="shared" si="102"/>
      </c>
      <c r="L340" s="29">
        <f t="shared" si="140"/>
      </c>
      <c r="M340" s="28">
        <f t="shared" si="121"/>
      </c>
      <c r="N340" s="28">
        <f t="shared" si="159"/>
      </c>
      <c r="O340" s="29">
        <f t="shared" si="178"/>
      </c>
      <c r="P340" s="28">
        <f t="shared" si="197"/>
      </c>
      <c r="Q340" s="28">
        <f t="shared" si="216"/>
      </c>
      <c r="R340" s="30">
        <f t="shared" si="235"/>
      </c>
      <c r="S340" s="31">
        <f t="shared" si="254"/>
      </c>
      <c r="T340" s="30">
        <f t="shared" si="273"/>
      </c>
      <c r="U340" s="79">
        <f t="shared" si="83"/>
      </c>
      <c r="V340" s="49" t="s">
        <v>35</v>
      </c>
      <c r="W340" s="33" t="s">
        <v>36</v>
      </c>
      <c r="X340" s="80">
        <v>3</v>
      </c>
      <c r="Y340" s="34">
        <v>3</v>
      </c>
      <c r="Z340" s="35">
        <v>122550</v>
      </c>
      <c r="AA340" s="36">
        <v>288</v>
      </c>
      <c r="AB340" s="36">
        <v>94690</v>
      </c>
      <c r="AC340" s="36">
        <v>6430</v>
      </c>
      <c r="AD340" s="36">
        <v>584</v>
      </c>
      <c r="AE340" s="34">
        <v>4</v>
      </c>
    </row>
    <row customHeight="true" ht="18.452380952380953" r="341">
      <c r="A341" s="19"/>
      <c r="B341" s="20" t="s">
        <v>43</v>
      </c>
      <c r="C341" s="21" t="s">
        <v>44</v>
      </c>
      <c r="D341" s="22">
        <f t="shared" si="53"/>
      </c>
      <c r="E341" s="24">
        <v>1061.802</v>
      </c>
      <c r="F341" s="24">
        <v>1883.296</v>
      </c>
      <c r="G341" s="24">
        <v>2475.14</v>
      </c>
      <c r="H341" s="25">
        <v>4</v>
      </c>
      <c r="I341" s="63">
        <v>20494.20000000001</v>
      </c>
      <c r="J341" s="27">
        <f t="shared" si="78"/>
      </c>
      <c r="K341" s="28">
        <f t="shared" si="102"/>
      </c>
      <c r="L341" s="29">
        <f t="shared" si="140"/>
      </c>
      <c r="M341" s="28">
        <f t="shared" si="121"/>
      </c>
      <c r="N341" s="28">
        <f t="shared" si="159"/>
      </c>
      <c r="O341" s="29">
        <f t="shared" si="178"/>
      </c>
      <c r="P341" s="28">
        <f t="shared" si="197"/>
      </c>
      <c r="Q341" s="28">
        <f t="shared" si="216"/>
      </c>
      <c r="R341" s="30">
        <f t="shared" si="235"/>
      </c>
      <c r="S341" s="31">
        <f t="shared" si="254"/>
      </c>
      <c r="T341" s="30">
        <f t="shared" si="273"/>
      </c>
      <c r="U341" s="79">
        <f t="shared" si="83"/>
      </c>
      <c r="V341" s="49" t="s">
        <v>35</v>
      </c>
      <c r="W341" s="33" t="s">
        <v>36</v>
      </c>
      <c r="X341" s="80">
        <v>2</v>
      </c>
      <c r="Y341" s="34">
        <v>4</v>
      </c>
      <c r="Z341" s="36">
        <v>211513</v>
      </c>
      <c r="AA341" s="36">
        <v>165</v>
      </c>
      <c r="AB341" s="36">
        <v>256906</v>
      </c>
      <c r="AC341" s="36">
        <v>11666</v>
      </c>
      <c r="AD341" s="36">
        <v>813</v>
      </c>
      <c r="AE341" s="34">
        <v>6</v>
      </c>
    </row>
    <row customHeight="true" ht="18.452380952380953" r="342">
      <c r="A342" s="19"/>
      <c r="B342" s="20" t="s">
        <v>45</v>
      </c>
      <c r="C342" s="21" t="s">
        <v>44</v>
      </c>
      <c r="D342" s="22">
        <f t="shared" si="53"/>
      </c>
      <c r="E342" s="24">
        <v>1523.533</v>
      </c>
      <c r="F342" s="24">
        <v>1401.331</v>
      </c>
      <c r="G342" s="24">
        <v>2428.554</v>
      </c>
      <c r="H342" s="25">
        <v>8</v>
      </c>
      <c r="I342" s="63">
        <v>14550.959999999992</v>
      </c>
      <c r="J342" s="27">
        <f t="shared" si="78"/>
      </c>
      <c r="K342" s="28">
        <f t="shared" si="102"/>
      </c>
      <c r="L342" s="29">
        <f t="shared" si="140"/>
      </c>
      <c r="M342" s="28">
        <f t="shared" si="121"/>
      </c>
      <c r="N342" s="28">
        <f t="shared" si="159"/>
      </c>
      <c r="O342" s="29">
        <f t="shared" si="178"/>
      </c>
      <c r="P342" s="28">
        <f t="shared" si="197"/>
      </c>
      <c r="Q342" s="28">
        <f t="shared" si="216"/>
      </c>
      <c r="R342" s="30">
        <f t="shared" si="235"/>
      </c>
      <c r="S342" s="31">
        <f t="shared" si="254"/>
      </c>
      <c r="T342" s="30">
        <f t="shared" si="273"/>
      </c>
      <c r="U342" s="79">
        <f t="shared" si="83"/>
      </c>
      <c r="V342" s="49" t="s">
        <v>35</v>
      </c>
      <c r="W342" s="33" t="s">
        <v>36</v>
      </c>
      <c r="X342" s="80">
        <v>3</v>
      </c>
      <c r="Y342" s="34">
        <v>8</v>
      </c>
      <c r="Z342" s="36">
        <v>245577</v>
      </c>
      <c r="AA342" s="36">
        <v>223</v>
      </c>
      <c r="AB342" s="36">
        <v>313056</v>
      </c>
      <c r="AC342" s="36">
        <v>14699</v>
      </c>
      <c r="AD342" s="36">
        <v>869</v>
      </c>
      <c r="AE342" s="34">
        <v>12</v>
      </c>
    </row>
    <row customHeight="true" ht="18.452380952380953" r="343">
      <c r="A343" s="19"/>
      <c r="B343" s="20" t="s">
        <v>46</v>
      </c>
      <c r="C343" s="21" t="s">
        <v>44</v>
      </c>
      <c r="D343" s="22">
        <f t="shared" si="53"/>
      </c>
      <c r="E343" s="24">
        <v>587.655</v>
      </c>
      <c r="F343" s="24">
        <v>1927.597</v>
      </c>
      <c r="G343" s="24">
        <v>1535.034</v>
      </c>
      <c r="H343" s="25">
        <v>4</v>
      </c>
      <c r="I343" s="63">
        <v>9189.299999999988</v>
      </c>
      <c r="J343" s="27">
        <f t="shared" si="78"/>
      </c>
      <c r="K343" s="28">
        <f t="shared" si="102"/>
      </c>
      <c r="L343" s="29">
        <f t="shared" si="140"/>
      </c>
      <c r="M343" s="28">
        <f t="shared" si="121"/>
      </c>
      <c r="N343" s="28">
        <f t="shared" si="159"/>
      </c>
      <c r="O343" s="29">
        <f t="shared" si="178"/>
      </c>
      <c r="P343" s="28">
        <f t="shared" si="197"/>
      </c>
      <c r="Q343" s="28">
        <f t="shared" si="216"/>
      </c>
      <c r="R343" s="30">
        <f t="shared" si="235"/>
      </c>
      <c r="S343" s="31">
        <f t="shared" si="254"/>
      </c>
      <c r="T343" s="30">
        <f t="shared" si="273"/>
      </c>
      <c r="U343" s="79">
        <f t="shared" si="83"/>
      </c>
      <c r="V343" s="49" t="s">
        <v>35</v>
      </c>
      <c r="W343" s="33" t="s">
        <v>36</v>
      </c>
      <c r="X343" s="80">
        <v>2</v>
      </c>
      <c r="Y343" s="34">
        <v>4</v>
      </c>
      <c r="Z343" s="36">
        <v>191069</v>
      </c>
      <c r="AA343" s="36">
        <v>259</v>
      </c>
      <c r="AB343" s="36">
        <v>197660</v>
      </c>
      <c r="AC343" s="36">
        <v>11051</v>
      </c>
      <c r="AD343" s="36">
        <v>1025</v>
      </c>
      <c r="AE343" s="34">
        <v>7</v>
      </c>
    </row>
    <row r="344">
      <c r="A344" s="19"/>
      <c r="B344" s="20" t="s">
        <v>47</v>
      </c>
      <c r="C344" s="21" t="s">
        <v>44</v>
      </c>
      <c r="D344" s="22">
        <f t="shared" si="53"/>
      </c>
      <c r="E344" s="24">
        <v>489.621</v>
      </c>
      <c r="F344" s="24">
        <v>750.597</v>
      </c>
      <c r="G344" s="24">
        <v>992.6</v>
      </c>
      <c r="H344" s="25">
        <v>3</v>
      </c>
      <c r="I344" s="63">
        <v>11379.119999999995</v>
      </c>
      <c r="J344" s="27">
        <f t="shared" si="78"/>
      </c>
      <c r="K344" s="28">
        <f t="shared" si="102"/>
      </c>
      <c r="L344" s="29">
        <f t="shared" si="140"/>
      </c>
      <c r="M344" s="28">
        <f t="shared" si="121"/>
      </c>
      <c r="N344" s="28">
        <f t="shared" si="159"/>
      </c>
      <c r="O344" s="29">
        <f t="shared" si="178"/>
      </c>
      <c r="P344" s="28">
        <f t="shared" si="197"/>
      </c>
      <c r="Q344" s="28">
        <f t="shared" si="216"/>
      </c>
      <c r="R344" s="30">
        <f t="shared" si="235"/>
      </c>
      <c r="S344" s="31">
        <f t="shared" si="254"/>
      </c>
      <c r="T344" s="30">
        <f t="shared" si="273"/>
      </c>
      <c r="U344" s="79">
        <f t="shared" si="83"/>
      </c>
      <c r="V344" s="49" t="s">
        <v>35</v>
      </c>
      <c r="W344" s="33" t="s">
        <v>36</v>
      </c>
      <c r="X344" s="80">
        <v>2</v>
      </c>
      <c r="Y344" s="34">
        <v>3</v>
      </c>
      <c r="Z344" s="36">
        <v>114259</v>
      </c>
      <c r="AA344" s="36">
        <v>195</v>
      </c>
      <c r="AB344" s="36">
        <v>117642</v>
      </c>
      <c r="AC344" s="36">
        <v>7701</v>
      </c>
      <c r="AD344" s="36">
        <v>637</v>
      </c>
      <c r="AE344" s="34">
        <v>5</v>
      </c>
    </row>
    <row r="345">
      <c r="A345" s="19"/>
      <c r="B345" s="38" t="s">
        <v>42</v>
      </c>
      <c r="C345" s="38"/>
      <c r="D345" s="73">
        <f>SUM(D340:D344)</f>
      </c>
      <c r="E345" s="73">
        <f>SUM(E340:E344)</f>
      </c>
      <c r="F345" s="73">
        <f>SUM(F340:F344)</f>
      </c>
      <c r="G345" s="73">
        <f>SUM(G340:G344)</f>
      </c>
      <c r="H345" s="40">
        <f>SUM(H340:H344)</f>
      </c>
      <c r="I345" s="62">
        <f>SUM(I340:I344)</f>
      </c>
      <c r="J345" s="42">
        <f t="shared" si="78"/>
      </c>
      <c r="K345" s="43">
        <f t="shared" si="102"/>
      </c>
      <c r="L345" s="44">
        <f t="shared" si="140"/>
      </c>
      <c r="M345" s="43">
        <f t="shared" si="121"/>
      </c>
      <c r="N345" s="43">
        <f t="shared" si="159"/>
      </c>
      <c r="O345" s="44">
        <f t="shared" si="178"/>
      </c>
      <c r="P345" s="43">
        <f t="shared" si="197"/>
      </c>
      <c r="Q345" s="43">
        <f t="shared" si="216"/>
      </c>
      <c r="R345" s="45">
        <f t="shared" si="235"/>
      </c>
      <c r="S345" s="46">
        <f t="shared" si="254"/>
      </c>
      <c r="T345" s="45">
        <f t="shared" si="273"/>
      </c>
      <c r="U345" s="81">
        <f t="shared" si="83"/>
      </c>
      <c r="V345" s="47"/>
      <c r="W345" s="47"/>
      <c r="X345" s="82">
        <f>SUM(X340:X344)</f>
      </c>
      <c r="Y345" s="48">
        <f>SUM(Y340:Y344)</f>
      </c>
      <c r="Z345" s="48">
        <f>SUM(Z340:Z344)</f>
      </c>
      <c r="AA345" s="48">
        <f>SUM(AA340:AA344)</f>
      </c>
      <c r="AB345" s="48">
        <f>SUM(AB340:AB344)</f>
      </c>
      <c r="AC345" s="48">
        <f>SUM(AC340:AC344)</f>
      </c>
      <c r="AD345" s="48">
        <f>SUM(AD340:AD344)</f>
      </c>
      <c r="AE345" s="48">
        <f>SUM(AE340:AE344)</f>
      </c>
    </row>
    <row r="346">
      <c r="A346" s="19"/>
      <c r="B346" s="70" t="s">
        <v>49</v>
      </c>
      <c r="C346" s="70"/>
      <c r="D346" s="74">
        <f>D345+D339+D332+D336</f>
      </c>
      <c r="E346" s="74">
        <f>E345+E339+E332+E336</f>
      </c>
      <c r="F346" s="74">
        <f>F345+F339+F332+F336</f>
      </c>
      <c r="G346" s="74">
        <f>G345+G339+G332+G336</f>
      </c>
      <c r="H346" s="75">
        <f>H345+H339+H332+H336</f>
      </c>
      <c r="I346" s="60">
        <f>I345+I339+I332+I336</f>
      </c>
      <c r="J346" s="54">
        <f t="shared" si="78"/>
      </c>
      <c r="K346" s="55">
        <f t="shared" si="102"/>
      </c>
      <c r="L346" s="54">
        <f t="shared" si="140"/>
      </c>
      <c r="M346" s="55">
        <f t="shared" si="121"/>
      </c>
      <c r="N346" s="55">
        <f t="shared" si="159"/>
      </c>
      <c r="O346" s="54">
        <f t="shared" si="178"/>
      </c>
      <c r="P346" s="55">
        <f t="shared" si="197"/>
      </c>
      <c r="Q346" s="55">
        <f t="shared" si="216"/>
      </c>
      <c r="R346" s="54">
        <f t="shared" si="235"/>
      </c>
      <c r="S346" s="56">
        <f t="shared" si="254"/>
      </c>
      <c r="T346" s="54">
        <f t="shared" si="273"/>
      </c>
      <c r="U346" s="83">
        <f t="shared" si="83"/>
      </c>
      <c r="V346" s="57"/>
      <c r="W346" s="57"/>
      <c r="X346" s="53">
        <f>X345+X339+X332+X336</f>
      </c>
      <c r="Y346" s="53">
        <f>Y345+Y339+Y332+Y336</f>
      </c>
      <c r="Z346" s="60">
        <f>Z345+Z339+Z332+Z336</f>
      </c>
      <c r="AA346" s="60">
        <f>AA345+AA339+AA332+AA336</f>
      </c>
      <c r="AB346" s="60">
        <f>AB345+AB339+AB332+AB336</f>
      </c>
      <c r="AC346" s="60">
        <f>AC345+AC339+AC332+AC336</f>
      </c>
      <c r="AD346" s="60">
        <f>AD345+AD339+AD332+AD336</f>
      </c>
      <c r="AE346" s="53">
        <f>AE345+AE339+AE332+AE336</f>
      </c>
    </row>
    <row r="347">
      <c r="A347" s="1" t="s">
        <v>1</v>
      </c>
      <c r="B347" s="1"/>
      <c r="C347" s="1"/>
      <c r="D347" s="2" t="s">
        <v>2</v>
      </c>
      <c r="E347" s="2"/>
      <c r="F347" s="2"/>
      <c r="G347" s="2"/>
      <c r="H347" s="2"/>
      <c r="I347" s="2"/>
      <c r="J347" s="2"/>
      <c r="K347" s="84" t="s">
        <v>3</v>
      </c>
      <c r="L347" s="84"/>
      <c r="M347" s="84"/>
      <c r="N347" s="84"/>
      <c r="O347" s="84"/>
      <c r="P347" s="84"/>
      <c r="Q347" s="84"/>
      <c r="R347" s="84"/>
      <c r="S347" s="84"/>
      <c r="T347" s="84"/>
      <c r="U347" s="3"/>
      <c r="V347" s="4"/>
      <c r="W347" s="4"/>
      <c r="X347" s="4"/>
      <c r="Y347" s="5"/>
      <c r="Z347" s="5"/>
      <c r="AA347" s="5"/>
      <c r="AB347" s="5"/>
      <c r="AC347" s="5"/>
      <c r="AD347" s="5"/>
      <c r="AE347" s="5"/>
    </row>
    <row r="348">
      <c r="A348" s="6" t="s">
        <v>4</v>
      </c>
      <c r="B348" s="7" t="s">
        <v>5</v>
      </c>
      <c r="C348" s="7" t="s">
        <v>6</v>
      </c>
      <c r="D348" s="8" t="s">
        <v>7</v>
      </c>
      <c r="E348" s="9" t="s">
        <v>8</v>
      </c>
      <c r="F348" s="9" t="s">
        <v>9</v>
      </c>
      <c r="G348" s="10" t="s">
        <v>10</v>
      </c>
      <c r="H348" s="11" t="s">
        <v>11</v>
      </c>
      <c r="I348" s="11" t="s">
        <v>12</v>
      </c>
      <c r="J348" s="12" t="s">
        <v>13</v>
      </c>
      <c r="K348" s="3" t="s">
        <v>14</v>
      </c>
      <c r="L348" s="3" t="s">
        <v>15</v>
      </c>
      <c r="M348" s="13" t="s">
        <v>16</v>
      </c>
      <c r="N348" s="13" t="s">
        <v>17</v>
      </c>
      <c r="O348" s="3" t="s">
        <v>18</v>
      </c>
      <c r="P348" s="13" t="s">
        <v>19</v>
      </c>
      <c r="Q348" s="13" t="s">
        <v>20</v>
      </c>
      <c r="R348" s="14" t="s">
        <v>21</v>
      </c>
      <c r="S348" s="13" t="s">
        <v>22</v>
      </c>
      <c r="T348" s="14" t="s">
        <v>23</v>
      </c>
      <c r="U348" s="77" t="s">
        <v>61</v>
      </c>
      <c r="V348" s="15" t="s">
        <v>24</v>
      </c>
      <c r="W348" s="15" t="s">
        <v>25</v>
      </c>
      <c r="X348" s="78" t="s">
        <v>62</v>
      </c>
      <c r="Y348" s="16" t="s">
        <v>26</v>
      </c>
      <c r="Z348" s="17" t="s">
        <v>27</v>
      </c>
      <c r="AA348" s="17" t="s">
        <v>28</v>
      </c>
      <c r="AB348" s="17" t="s">
        <v>29</v>
      </c>
      <c r="AC348" s="17" t="s">
        <v>30</v>
      </c>
      <c r="AD348" s="17" t="s">
        <v>31</v>
      </c>
      <c r="AE348" s="18" t="s">
        <v>32</v>
      </c>
    </row>
    <row r="349">
      <c r="A349" s="19">
        <v>46313</v>
      </c>
      <c r="B349" s="20" t="s">
        <v>58</v>
      </c>
      <c r="C349" s="21" t="s">
        <v>34</v>
      </c>
      <c r="D349" s="37">
        <f t="shared" ref="D349:D353" si="54">E349+F349+G349</f>
      </c>
      <c r="E349" s="24">
        <v>918.274</v>
      </c>
      <c r="F349" s="24">
        <v>743.576</v>
      </c>
      <c r="G349" s="24">
        <v>494.17</v>
      </c>
      <c r="H349" s="25">
        <v>0</v>
      </c>
      <c r="I349" s="63">
        <v>0</v>
      </c>
      <c r="J349" s="27">
        <f t="shared" ref="J349:J368" si="79">I349/D349</f>
      </c>
      <c r="K349" s="28">
        <f t="shared" ref="K349:K368" si="103">AA349/Z349</f>
      </c>
      <c r="L349" s="29">
        <f t="shared" ref="L349:L368" si="141">D349/AB349</f>
      </c>
      <c r="M349" s="28">
        <f t="shared" ref="M349:M368" si="122">AC349/AB349</f>
      </c>
      <c r="N349" s="28">
        <f t="shared" ref="N349:N368" si="160">AD349/AB349</f>
      </c>
      <c r="O349" s="29">
        <f t="shared" ref="O349:O368" si="179">D349/AD349</f>
      </c>
      <c r="P349" s="28">
        <f t="shared" ref="P349:P368" si="198">AE349/AD349</f>
      </c>
      <c r="Q349" s="28">
        <f t="shared" ref="Q349:Q368" si="217">H349/AE349</f>
      </c>
      <c r="R349" s="30">
        <f t="shared" ref="R349:R368" si="236">D349/H349</f>
      </c>
      <c r="S349" s="31">
        <f t="shared" ref="S349:S368" si="255">I349/H349</f>
      </c>
      <c r="T349" s="30">
        <f t="shared" ref="T349:T368" si="274">D349/Y349</f>
      </c>
      <c r="U349" s="79">
        <f t="shared" ref="U349:U368" si="84">X349/H349</f>
      </c>
      <c r="V349" s="32" t="s">
        <v>35</v>
      </c>
      <c r="W349" s="33" t="s">
        <v>48</v>
      </c>
      <c r="X349" s="80">
        <v>0</v>
      </c>
      <c r="Y349" s="34">
        <v>0</v>
      </c>
      <c r="Z349" s="35">
        <v>66581</v>
      </c>
      <c r="AA349" s="36">
        <v>167</v>
      </c>
      <c r="AB349" s="34">
        <v>80672</v>
      </c>
      <c r="AC349" s="34">
        <v>9351</v>
      </c>
      <c r="AD349" s="34">
        <v>476</v>
      </c>
      <c r="AE349" s="34">
        <v>0</v>
      </c>
    </row>
    <row r="350">
      <c r="A350" s="19"/>
      <c r="B350" s="20" t="s">
        <v>56</v>
      </c>
      <c r="C350" s="21" t="s">
        <v>34</v>
      </c>
      <c r="D350" s="37">
        <f t="shared" si="54"/>
      </c>
      <c r="E350" s="24">
        <v>732.903</v>
      </c>
      <c r="F350" s="24">
        <v>469.417</v>
      </c>
      <c r="G350" s="24">
        <v>407.331</v>
      </c>
      <c r="H350" s="25">
        <v>4</v>
      </c>
      <c r="I350" s="63">
        <v>2226.72</v>
      </c>
      <c r="J350" s="27">
        <f t="shared" si="79"/>
      </c>
      <c r="K350" s="28">
        <f t="shared" si="103"/>
      </c>
      <c r="L350" s="29">
        <f t="shared" si="141"/>
      </c>
      <c r="M350" s="28">
        <f t="shared" si="122"/>
      </c>
      <c r="N350" s="28">
        <f t="shared" si="160"/>
      </c>
      <c r="O350" s="29">
        <f t="shared" si="179"/>
      </c>
      <c r="P350" s="28">
        <f t="shared" si="198"/>
      </c>
      <c r="Q350" s="28">
        <f t="shared" si="217"/>
      </c>
      <c r="R350" s="30">
        <f t="shared" si="236"/>
      </c>
      <c r="S350" s="31">
        <f t="shared" si="255"/>
      </c>
      <c r="T350" s="30">
        <f t="shared" si="274"/>
      </c>
      <c r="U350" s="79">
        <f t="shared" si="84"/>
      </c>
      <c r="V350" s="32" t="s">
        <v>35</v>
      </c>
      <c r="W350" s="33" t="s">
        <v>48</v>
      </c>
      <c r="X350" s="80">
        <v>0</v>
      </c>
      <c r="Y350" s="34">
        <v>2</v>
      </c>
      <c r="Z350" s="35">
        <v>68907</v>
      </c>
      <c r="AA350" s="36">
        <v>150</v>
      </c>
      <c r="AB350" s="34">
        <v>41556</v>
      </c>
      <c r="AC350" s="34">
        <v>4972</v>
      </c>
      <c r="AD350" s="34">
        <v>459</v>
      </c>
      <c r="AE350" s="34">
        <v>6</v>
      </c>
    </row>
    <row r="351">
      <c r="A351" s="19"/>
      <c r="B351" s="20" t="s">
        <v>57</v>
      </c>
      <c r="C351" s="21" t="s">
        <v>34</v>
      </c>
      <c r="D351" s="37">
        <f t="shared" si="54"/>
      </c>
      <c r="E351" s="24">
        <v>735.811</v>
      </c>
      <c r="F351" s="24">
        <v>277.507</v>
      </c>
      <c r="G351" s="24">
        <v>455.119</v>
      </c>
      <c r="H351" s="25">
        <v>1</v>
      </c>
      <c r="I351" s="63">
        <v>452.52</v>
      </c>
      <c r="J351" s="27">
        <f t="shared" si="79"/>
      </c>
      <c r="K351" s="28">
        <f t="shared" si="103"/>
      </c>
      <c r="L351" s="29">
        <f t="shared" si="141"/>
      </c>
      <c r="M351" s="28">
        <f t="shared" si="122"/>
      </c>
      <c r="N351" s="28">
        <f t="shared" si="160"/>
      </c>
      <c r="O351" s="29">
        <f t="shared" si="179"/>
      </c>
      <c r="P351" s="28">
        <f t="shared" si="198"/>
      </c>
      <c r="Q351" s="28">
        <f t="shared" si="217"/>
      </c>
      <c r="R351" s="30">
        <f t="shared" si="236"/>
      </c>
      <c r="S351" s="31">
        <f t="shared" si="255"/>
      </c>
      <c r="T351" s="30">
        <f t="shared" si="274"/>
      </c>
      <c r="U351" s="79">
        <f t="shared" si="84"/>
      </c>
      <c r="V351" s="32" t="s">
        <v>35</v>
      </c>
      <c r="W351" s="33" t="s">
        <v>48</v>
      </c>
      <c r="X351" s="80">
        <v>1</v>
      </c>
      <c r="Y351" s="34">
        <v>1</v>
      </c>
      <c r="Z351" s="35">
        <v>76915</v>
      </c>
      <c r="AA351" s="36">
        <v>140</v>
      </c>
      <c r="AB351" s="34">
        <v>38483</v>
      </c>
      <c r="AC351" s="34">
        <v>4631</v>
      </c>
      <c r="AD351" s="34">
        <v>262</v>
      </c>
      <c r="AE351" s="34">
        <v>4</v>
      </c>
    </row>
    <row r="352">
      <c r="A352" s="19"/>
      <c r="B352" s="20" t="s">
        <v>50</v>
      </c>
      <c r="C352" s="21" t="s">
        <v>34</v>
      </c>
      <c r="D352" s="37">
        <f t="shared" si="54"/>
      </c>
      <c r="E352" s="24">
        <v>1112.813</v>
      </c>
      <c r="F352" s="24">
        <v>144.403</v>
      </c>
      <c r="G352" s="24">
        <v>319.652</v>
      </c>
      <c r="H352" s="25">
        <v>1</v>
      </c>
      <c r="I352" s="63">
        <v>2485.08</v>
      </c>
      <c r="J352" s="27">
        <f t="shared" si="79"/>
      </c>
      <c r="K352" s="28">
        <f t="shared" si="103"/>
      </c>
      <c r="L352" s="29">
        <f t="shared" si="141"/>
      </c>
      <c r="M352" s="28">
        <f t="shared" si="122"/>
      </c>
      <c r="N352" s="28">
        <f t="shared" si="160"/>
      </c>
      <c r="O352" s="29">
        <f t="shared" si="179"/>
      </c>
      <c r="P352" s="28">
        <f t="shared" si="198"/>
      </c>
      <c r="Q352" s="28">
        <f t="shared" si="217"/>
      </c>
      <c r="R352" s="30">
        <f t="shared" si="236"/>
      </c>
      <c r="S352" s="31">
        <f t="shared" si="255"/>
      </c>
      <c r="T352" s="30">
        <f t="shared" si="274"/>
      </c>
      <c r="U352" s="79">
        <f t="shared" si="84"/>
      </c>
      <c r="V352" s="32" t="s">
        <v>35</v>
      </c>
      <c r="W352" s="33" t="s">
        <v>48</v>
      </c>
      <c r="X352" s="80">
        <v>1</v>
      </c>
      <c r="Y352" s="34">
        <v>0</v>
      </c>
      <c r="Z352" s="35">
        <v>71200</v>
      </c>
      <c r="AA352" s="36">
        <v>146</v>
      </c>
      <c r="AB352" s="34">
        <v>48906</v>
      </c>
      <c r="AC352" s="34">
        <v>4483</v>
      </c>
      <c r="AD352" s="34">
        <v>358</v>
      </c>
      <c r="AE352" s="34">
        <v>2</v>
      </c>
    </row>
    <row r="353">
      <c r="A353" s="19"/>
      <c r="B353" s="20" t="s">
        <v>51</v>
      </c>
      <c r="C353" s="21" t="s">
        <v>34</v>
      </c>
      <c r="D353" s="37">
        <f t="shared" si="54"/>
      </c>
      <c r="E353" s="24">
        <v>432.673</v>
      </c>
      <c r="F353" s="24">
        <v>250.454</v>
      </c>
      <c r="G353" s="24">
        <v>731.719</v>
      </c>
      <c r="H353" s="25">
        <v>1</v>
      </c>
      <c r="I353" s="63">
        <v>385.0799999999999</v>
      </c>
      <c r="J353" s="27">
        <f t="shared" si="79"/>
      </c>
      <c r="K353" s="28">
        <f t="shared" si="103"/>
      </c>
      <c r="L353" s="29">
        <f t="shared" si="141"/>
      </c>
      <c r="M353" s="28">
        <f t="shared" si="122"/>
      </c>
      <c r="N353" s="28">
        <f t="shared" si="160"/>
      </c>
      <c r="O353" s="29">
        <f t="shared" si="179"/>
      </c>
      <c r="P353" s="28">
        <f t="shared" si="198"/>
      </c>
      <c r="Q353" s="28">
        <f t="shared" si="217"/>
      </c>
      <c r="R353" s="30">
        <f t="shared" si="236"/>
      </c>
      <c r="S353" s="31">
        <f t="shared" si="255"/>
      </c>
      <c r="T353" s="30">
        <f t="shared" si="274"/>
      </c>
      <c r="U353" s="79">
        <f t="shared" si="84"/>
      </c>
      <c r="V353" s="32" t="s">
        <v>35</v>
      </c>
      <c r="W353" s="33" t="s">
        <v>48</v>
      </c>
      <c r="X353" s="80">
        <v>0</v>
      </c>
      <c r="Y353" s="34">
        <v>2</v>
      </c>
      <c r="Z353" s="36">
        <v>55162</v>
      </c>
      <c r="AA353" s="36">
        <v>147</v>
      </c>
      <c r="AB353" s="36">
        <v>48263</v>
      </c>
      <c r="AC353" s="36">
        <v>5538</v>
      </c>
      <c r="AD353" s="34">
        <v>484</v>
      </c>
      <c r="AE353" s="34">
        <v>2</v>
      </c>
    </row>
    <row r="354">
      <c r="A354" s="19"/>
      <c r="B354" s="38" t="s">
        <v>42</v>
      </c>
      <c r="C354" s="38"/>
      <c r="D354" s="61">
        <f>SUM(D349:D353)</f>
      </c>
      <c r="E354" s="61">
        <f>SUM(E349:E353)</f>
      </c>
      <c r="F354" s="61">
        <f>SUM(F349:F353)</f>
      </c>
      <c r="G354" s="61">
        <f>SUM(G349:G353)</f>
      </c>
      <c r="H354" s="40">
        <f>SUM(H349:H353)</f>
      </c>
      <c r="I354" s="62">
        <f>SUM(I349:I353)</f>
      </c>
      <c r="J354" s="42">
        <f t="shared" si="79"/>
      </c>
      <c r="K354" s="43">
        <f t="shared" si="103"/>
      </c>
      <c r="L354" s="44">
        <f t="shared" si="141"/>
      </c>
      <c r="M354" s="43">
        <f t="shared" si="122"/>
      </c>
      <c r="N354" s="43">
        <f t="shared" si="160"/>
      </c>
      <c r="O354" s="44">
        <f t="shared" si="179"/>
      </c>
      <c r="P354" s="43">
        <f t="shared" si="198"/>
      </c>
      <c r="Q354" s="43">
        <f t="shared" si="217"/>
      </c>
      <c r="R354" s="45">
        <f t="shared" si="236"/>
      </c>
      <c r="S354" s="46">
        <f t="shared" si="255"/>
      </c>
      <c r="T354" s="45">
        <f t="shared" si="274"/>
      </c>
      <c r="U354" s="81">
        <f t="shared" si="84"/>
      </c>
      <c r="V354" s="47"/>
      <c r="W354" s="47"/>
      <c r="X354" s="82">
        <f>SUM(X349:X353)</f>
      </c>
      <c r="Y354" s="48">
        <f>SUM(Y349:Y353)</f>
      </c>
      <c r="Z354" s="48">
        <f>SUM(Z349:Z353)</f>
      </c>
      <c r="AA354" s="48">
        <f>SUM(AA349:AA353)</f>
      </c>
      <c r="AB354" s="48">
        <f>SUM(AB349:AB353)</f>
      </c>
      <c r="AC354" s="48">
        <f>SUM(AC349:AC353)</f>
      </c>
      <c r="AD354" s="48">
        <f>SUM(AD349:AD353)</f>
      </c>
      <c r="AE354" s="48">
        <f>SUM(AE349:AE353)</f>
      </c>
    </row>
    <row r="355">
      <c r="A355" s="19"/>
      <c r="B355" s="20" t="s">
        <v>33</v>
      </c>
      <c r="C355" s="21" t="s">
        <v>63</v>
      </c>
      <c r="D355" s="37">
        <f t="shared" ref="D355:D357" si="55">E355+F355+G355</f>
      </c>
      <c r="E355" s="24">
        <v>405.455</v>
      </c>
      <c r="F355" s="24">
        <v>501.2</v>
      </c>
      <c r="G355" s="24">
        <v>943.06</v>
      </c>
      <c r="H355" s="25">
        <v>1</v>
      </c>
      <c r="I355" s="63">
        <v>1771.2000000000007</v>
      </c>
      <c r="J355" s="27">
        <f t="shared" si="79"/>
      </c>
      <c r="K355" s="28">
        <f t="shared" si="103"/>
      </c>
      <c r="L355" s="29">
        <f t="shared" si="141"/>
      </c>
      <c r="M355" s="28">
        <f t="shared" si="122"/>
      </c>
      <c r="N355" s="28">
        <f t="shared" si="160"/>
      </c>
      <c r="O355" s="29">
        <f t="shared" si="179"/>
      </c>
      <c r="P355" s="28">
        <f t="shared" si="198"/>
      </c>
      <c r="Q355" s="28">
        <f t="shared" si="217"/>
      </c>
      <c r="R355" s="30">
        <f t="shared" si="236"/>
      </c>
      <c r="S355" s="31">
        <f t="shared" si="255"/>
      </c>
      <c r="T355" s="30">
        <f t="shared" si="274"/>
      </c>
      <c r="U355" s="79">
        <f t="shared" si="84"/>
      </c>
      <c r="V355" s="32" t="s">
        <v>35</v>
      </c>
      <c r="W355" s="33" t="s">
        <v>48</v>
      </c>
      <c r="X355" s="80">
        <v>1</v>
      </c>
      <c r="Y355" s="34">
        <v>1</v>
      </c>
      <c r="Z355" s="35">
        <v>68645</v>
      </c>
      <c r="AA355" s="36">
        <v>194</v>
      </c>
      <c r="AB355" s="34">
        <v>65716</v>
      </c>
      <c r="AC355" s="34">
        <v>8848</v>
      </c>
      <c r="AD355" s="34">
        <v>615</v>
      </c>
      <c r="AE355" s="34">
        <v>3</v>
      </c>
    </row>
    <row r="356">
      <c r="A356" s="19"/>
      <c r="B356" s="20" t="s">
        <v>37</v>
      </c>
      <c r="C356" s="21" t="s">
        <v>63</v>
      </c>
      <c r="D356" s="37">
        <f t="shared" si="55"/>
      </c>
      <c r="E356" s="24">
        <v>419.435</v>
      </c>
      <c r="F356" s="24">
        <v>498.816</v>
      </c>
      <c r="G356" s="24">
        <v>1515.754</v>
      </c>
      <c r="H356" s="25">
        <v>1</v>
      </c>
      <c r="I356" s="63">
        <v>2367.4800000000014</v>
      </c>
      <c r="J356" s="27">
        <f t="shared" si="79"/>
      </c>
      <c r="K356" s="28">
        <f t="shared" si="103"/>
      </c>
      <c r="L356" s="29">
        <f t="shared" si="141"/>
      </c>
      <c r="M356" s="28">
        <f t="shared" si="122"/>
      </c>
      <c r="N356" s="28">
        <f t="shared" si="160"/>
      </c>
      <c r="O356" s="29">
        <f t="shared" si="179"/>
      </c>
      <c r="P356" s="28">
        <f t="shared" si="198"/>
      </c>
      <c r="Q356" s="28">
        <f t="shared" si="217"/>
      </c>
      <c r="R356" s="30">
        <f t="shared" si="236"/>
      </c>
      <c r="S356" s="31">
        <f t="shared" si="255"/>
      </c>
      <c r="T356" s="30">
        <f t="shared" si="274"/>
      </c>
      <c r="U356" s="79">
        <f t="shared" si="84"/>
      </c>
      <c r="V356" s="32" t="s">
        <v>35</v>
      </c>
      <c r="W356" s="33" t="s">
        <v>39</v>
      </c>
      <c r="X356" s="80">
        <v>1</v>
      </c>
      <c r="Y356" s="34">
        <v>1</v>
      </c>
      <c r="Z356" s="36">
        <v>90199</v>
      </c>
      <c r="AA356" s="36">
        <v>271</v>
      </c>
      <c r="AB356" s="34">
        <v>94733</v>
      </c>
      <c r="AC356" s="34">
        <v>11994</v>
      </c>
      <c r="AD356" s="34">
        <v>774</v>
      </c>
      <c r="AE356" s="34">
        <v>4</v>
      </c>
    </row>
    <row r="357">
      <c r="A357" s="19"/>
      <c r="B357" s="20" t="s">
        <v>38</v>
      </c>
      <c r="C357" s="21" t="s">
        <v>63</v>
      </c>
      <c r="D357" s="37">
        <f t="shared" si="55"/>
      </c>
      <c r="E357" s="24">
        <v>260.322</v>
      </c>
      <c r="F357" s="24">
        <v>353.293</v>
      </c>
      <c r="G357" s="24">
        <v>1459.315</v>
      </c>
      <c r="H357" s="25">
        <v>3</v>
      </c>
      <c r="I357" s="63">
        <v>2866.5599999999995</v>
      </c>
      <c r="J357" s="27">
        <f t="shared" si="79"/>
      </c>
      <c r="K357" s="28">
        <f t="shared" si="103"/>
      </c>
      <c r="L357" s="29">
        <f t="shared" si="141"/>
      </c>
      <c r="M357" s="28">
        <f t="shared" si="122"/>
      </c>
      <c r="N357" s="28">
        <f t="shared" si="160"/>
      </c>
      <c r="O357" s="29">
        <f t="shared" si="179"/>
      </c>
      <c r="P357" s="28">
        <f t="shared" si="198"/>
      </c>
      <c r="Q357" s="28">
        <f t="shared" si="217"/>
      </c>
      <c r="R357" s="30">
        <f t="shared" si="236"/>
      </c>
      <c r="S357" s="31">
        <f t="shared" si="255"/>
      </c>
      <c r="T357" s="30">
        <f t="shared" si="274"/>
      </c>
      <c r="U357" s="79">
        <f t="shared" si="84"/>
      </c>
      <c r="V357" s="32" t="s">
        <v>35</v>
      </c>
      <c r="W357" s="33" t="s">
        <v>36</v>
      </c>
      <c r="X357" s="80">
        <v>1</v>
      </c>
      <c r="Y357" s="34">
        <v>3</v>
      </c>
      <c r="Z357" s="36">
        <v>75648</v>
      </c>
      <c r="AA357" s="36">
        <v>274</v>
      </c>
      <c r="AB357" s="34">
        <v>78710</v>
      </c>
      <c r="AC357" s="34">
        <v>9281</v>
      </c>
      <c r="AD357" s="34">
        <v>671</v>
      </c>
      <c r="AE357" s="34">
        <v>7</v>
      </c>
    </row>
    <row r="358">
      <c r="A358" s="19"/>
      <c r="B358" s="38" t="s">
        <v>42</v>
      </c>
      <c r="C358" s="38"/>
      <c r="D358" s="61">
        <f>SUM(D355:D357)</f>
      </c>
      <c r="E358" s="61">
        <f>SUM(E355:E357)</f>
      </c>
      <c r="F358" s="61">
        <f>SUM(F355:F357)</f>
      </c>
      <c r="G358" s="61">
        <f>SUM(G355:G357)</f>
      </c>
      <c r="H358" s="76">
        <f>SUM(H355:H357)</f>
      </c>
      <c r="I358" s="61">
        <f>SUM(I355:I357)</f>
      </c>
      <c r="J358" s="42">
        <f t="shared" si="79"/>
      </c>
      <c r="K358" s="43">
        <f t="shared" si="103"/>
      </c>
      <c r="L358" s="44">
        <f t="shared" si="141"/>
      </c>
      <c r="M358" s="43">
        <f t="shared" si="122"/>
      </c>
      <c r="N358" s="43">
        <f t="shared" si="160"/>
      </c>
      <c r="O358" s="44">
        <f t="shared" si="179"/>
      </c>
      <c r="P358" s="43">
        <f t="shared" si="198"/>
      </c>
      <c r="Q358" s="43">
        <f t="shared" si="217"/>
      </c>
      <c r="R358" s="45">
        <f t="shared" si="236"/>
      </c>
      <c r="S358" s="46">
        <f t="shared" si="255"/>
      </c>
      <c r="T358" s="45">
        <f t="shared" si="274"/>
      </c>
      <c r="U358" s="81">
        <f t="shared" si="84"/>
      </c>
      <c r="V358" s="47"/>
      <c r="W358" s="47"/>
      <c r="X358" s="82">
        <f>SUM(X355:X357)</f>
      </c>
      <c r="Y358" s="48">
        <f>SUM(Y355:Y357)</f>
      </c>
      <c r="Z358" s="48">
        <f>SUM(Z355:Z357)</f>
      </c>
      <c r="AA358" s="48">
        <f>SUM(AA355:AA357)</f>
      </c>
      <c r="AB358" s="48">
        <f>SUM(AB355:AB357)</f>
      </c>
      <c r="AC358" s="48">
        <f>SUM(AC355:AC357)</f>
      </c>
      <c r="AD358" s="48">
        <f>SUM(AD355:AD357)</f>
      </c>
      <c r="AE358" s="48">
        <f>SUM(AE355:AE357)</f>
      </c>
    </row>
    <row r="359">
      <c r="A359" s="19"/>
      <c r="B359" s="20" t="s">
        <v>40</v>
      </c>
      <c r="C359" s="21" t="s">
        <v>65</v>
      </c>
      <c r="D359" s="37">
        <f t="shared" ref="D359:D360" si="56">E359+F359+G359</f>
      </c>
      <c r="E359" s="24">
        <v>384.697</v>
      </c>
      <c r="F359" s="24">
        <v>374.252</v>
      </c>
      <c r="G359" s="24">
        <v>976.203</v>
      </c>
      <c r="H359" s="25">
        <v>1</v>
      </c>
      <c r="I359" s="63">
        <v>657.7199999999993</v>
      </c>
      <c r="J359" s="27">
        <f t="shared" si="79"/>
      </c>
      <c r="K359" s="28">
        <f t="shared" si="103"/>
      </c>
      <c r="L359" s="29">
        <f t="shared" si="141"/>
      </c>
      <c r="M359" s="28">
        <f t="shared" si="122"/>
      </c>
      <c r="N359" s="28">
        <f t="shared" si="160"/>
      </c>
      <c r="O359" s="29">
        <f t="shared" si="179"/>
      </c>
      <c r="P359" s="28">
        <f t="shared" si="198"/>
      </c>
      <c r="Q359" s="28">
        <f t="shared" si="217"/>
      </c>
      <c r="R359" s="30">
        <f t="shared" si="236"/>
      </c>
      <c r="S359" s="31">
        <f t="shared" si="255"/>
      </c>
      <c r="T359" s="30">
        <f t="shared" si="274"/>
      </c>
      <c r="U359" s="79">
        <f t="shared" si="84"/>
      </c>
      <c r="V359" s="32" t="s">
        <v>35</v>
      </c>
      <c r="W359" s="33" t="s">
        <v>36</v>
      </c>
      <c r="X359" s="80">
        <v>1</v>
      </c>
      <c r="Y359" s="34">
        <v>1</v>
      </c>
      <c r="Z359" s="36">
        <v>83100</v>
      </c>
      <c r="AA359" s="36">
        <v>369</v>
      </c>
      <c r="AB359" s="36">
        <v>90073</v>
      </c>
      <c r="AC359" s="36">
        <v>11574</v>
      </c>
      <c r="AD359" s="34">
        <v>694</v>
      </c>
      <c r="AE359" s="34">
        <v>3</v>
      </c>
    </row>
    <row r="360">
      <c r="A360" s="19"/>
      <c r="B360" s="20" t="s">
        <v>41</v>
      </c>
      <c r="C360" s="21" t="s">
        <v>65</v>
      </c>
      <c r="D360" s="37">
        <f t="shared" si="56"/>
      </c>
      <c r="E360" s="24">
        <v>250.968</v>
      </c>
      <c r="F360" s="24">
        <v>436.998</v>
      </c>
      <c r="G360" s="24">
        <v>1056.228</v>
      </c>
      <c r="H360" s="25">
        <v>0</v>
      </c>
      <c r="I360" s="63">
        <v>0</v>
      </c>
      <c r="J360" s="27">
        <f t="shared" si="79"/>
      </c>
      <c r="K360" s="28">
        <f t="shared" si="103"/>
      </c>
      <c r="L360" s="29">
        <f t="shared" si="141"/>
      </c>
      <c r="M360" s="28">
        <f t="shared" si="122"/>
      </c>
      <c r="N360" s="28">
        <f t="shared" si="160"/>
      </c>
      <c r="O360" s="29">
        <f t="shared" si="179"/>
      </c>
      <c r="P360" s="28">
        <f t="shared" si="198"/>
      </c>
      <c r="Q360" s="28">
        <f t="shared" si="217"/>
      </c>
      <c r="R360" s="30">
        <f t="shared" si="236"/>
      </c>
      <c r="S360" s="31">
        <f t="shared" si="255"/>
      </c>
      <c r="T360" s="30">
        <f t="shared" si="274"/>
      </c>
      <c r="U360" s="79">
        <f t="shared" si="84"/>
      </c>
      <c r="V360" s="32" t="s">
        <v>35</v>
      </c>
      <c r="W360" s="33" t="s">
        <v>36</v>
      </c>
      <c r="X360" s="80">
        <v>0</v>
      </c>
      <c r="Y360" s="34">
        <v>0</v>
      </c>
      <c r="Z360" s="36">
        <v>92272</v>
      </c>
      <c r="AA360" s="36">
        <v>450</v>
      </c>
      <c r="AB360" s="36">
        <v>85591</v>
      </c>
      <c r="AC360" s="36">
        <v>10721</v>
      </c>
      <c r="AD360" s="34">
        <v>786</v>
      </c>
      <c r="AE360" s="34">
        <v>0</v>
      </c>
    </row>
    <row r="361">
      <c r="A361" s="19"/>
      <c r="B361" s="38" t="s">
        <v>42</v>
      </c>
      <c r="C361" s="38"/>
      <c r="D361" s="61">
        <f>SUM(D359:D360)</f>
      </c>
      <c r="E361" s="61">
        <f>SUM(E359:E360)</f>
      </c>
      <c r="F361" s="61">
        <f>SUM(F359:F360)</f>
      </c>
      <c r="G361" s="61">
        <f>SUM(G359:G360)</f>
      </c>
      <c r="H361" s="76">
        <f>SUM(H359:H360)</f>
      </c>
      <c r="I361" s="61">
        <f>SUM(I359:I360)</f>
      </c>
      <c r="J361" s="42">
        <f t="shared" si="79"/>
      </c>
      <c r="K361" s="43">
        <f t="shared" si="103"/>
      </c>
      <c r="L361" s="44">
        <f t="shared" si="141"/>
      </c>
      <c r="M361" s="43">
        <f t="shared" si="122"/>
      </c>
      <c r="N361" s="43">
        <f t="shared" si="160"/>
      </c>
      <c r="O361" s="44">
        <f t="shared" si="179"/>
      </c>
      <c r="P361" s="43">
        <f t="shared" si="198"/>
      </c>
      <c r="Q361" s="43">
        <f t="shared" si="217"/>
      </c>
      <c r="R361" s="45">
        <f t="shared" si="236"/>
      </c>
      <c r="S361" s="46">
        <f t="shared" si="255"/>
      </c>
      <c r="T361" s="45">
        <f t="shared" si="274"/>
      </c>
      <c r="U361" s="81">
        <f t="shared" si="84"/>
      </c>
      <c r="V361" s="47"/>
      <c r="W361" s="47"/>
      <c r="X361" s="82">
        <f>SUM(X359:X360)</f>
      </c>
      <c r="Y361" s="48">
        <f>SUM(Y359:Y360)</f>
      </c>
      <c r="Z361" s="48">
        <f>SUM(Z359:Z360)</f>
      </c>
      <c r="AA361" s="48">
        <f>SUM(AA359:AA360)</f>
      </c>
      <c r="AB361" s="48">
        <f>SUM(AB359:AB360)</f>
      </c>
      <c r="AC361" s="48">
        <f>SUM(AC359:AC360)</f>
      </c>
      <c r="AD361" s="48">
        <f>SUM(AD359:AD360)</f>
      </c>
      <c r="AE361" s="48">
        <f>SUM(AE359:AE360)</f>
      </c>
    </row>
    <row r="362">
      <c r="A362" s="19"/>
      <c r="B362" s="20" t="s">
        <v>53</v>
      </c>
      <c r="C362" s="21" t="s">
        <v>44</v>
      </c>
      <c r="D362" s="22">
        <f t="shared" ref="D362:D366" si="57">E362+F362+G362</f>
      </c>
      <c r="E362" s="24">
        <v>613.834</v>
      </c>
      <c r="F362" s="24">
        <v>324.649</v>
      </c>
      <c r="G362" s="24">
        <v>1464.239</v>
      </c>
      <c r="H362" s="25">
        <v>2</v>
      </c>
      <c r="I362" s="63">
        <v>1587</v>
      </c>
      <c r="J362" s="27">
        <f t="shared" si="79"/>
      </c>
      <c r="K362" s="28">
        <f t="shared" si="103"/>
      </c>
      <c r="L362" s="29">
        <f t="shared" si="141"/>
      </c>
      <c r="M362" s="28">
        <f t="shared" si="122"/>
      </c>
      <c r="N362" s="28">
        <f t="shared" si="160"/>
      </c>
      <c r="O362" s="29">
        <f t="shared" si="179"/>
      </c>
      <c r="P362" s="28">
        <f t="shared" si="198"/>
      </c>
      <c r="Q362" s="28">
        <f t="shared" si="217"/>
      </c>
      <c r="R362" s="30">
        <f t="shared" si="236"/>
      </c>
      <c r="S362" s="31">
        <f t="shared" si="255"/>
      </c>
      <c r="T362" s="30">
        <f t="shared" si="274"/>
      </c>
      <c r="U362" s="79">
        <f t="shared" si="84"/>
      </c>
      <c r="V362" s="49" t="s">
        <v>35</v>
      </c>
      <c r="W362" s="33" t="s">
        <v>36</v>
      </c>
      <c r="X362" s="80">
        <v>1</v>
      </c>
      <c r="Y362" s="34">
        <v>1</v>
      </c>
      <c r="Z362" s="35">
        <v>107379</v>
      </c>
      <c r="AA362" s="36">
        <v>266</v>
      </c>
      <c r="AB362" s="36">
        <v>99196</v>
      </c>
      <c r="AC362" s="36">
        <v>9813</v>
      </c>
      <c r="AD362" s="36">
        <v>781</v>
      </c>
      <c r="AE362" s="34">
        <v>3</v>
      </c>
    </row>
    <row r="363">
      <c r="A363" s="19"/>
      <c r="B363" s="20" t="s">
        <v>43</v>
      </c>
      <c r="C363" s="21" t="s">
        <v>44</v>
      </c>
      <c r="D363" s="22">
        <f t="shared" si="57"/>
      </c>
      <c r="E363" s="24">
        <v>833.355</v>
      </c>
      <c r="F363" s="24">
        <v>1264.648</v>
      </c>
      <c r="G363" s="24">
        <v>2746.585</v>
      </c>
      <c r="H363" s="25">
        <v>9</v>
      </c>
      <c r="I363" s="63">
        <v>14040.48</v>
      </c>
      <c r="J363" s="27">
        <f t="shared" si="79"/>
      </c>
      <c r="K363" s="28">
        <f t="shared" si="103"/>
      </c>
      <c r="L363" s="29">
        <f t="shared" si="141"/>
      </c>
      <c r="M363" s="28">
        <f t="shared" si="122"/>
      </c>
      <c r="N363" s="28">
        <f t="shared" si="160"/>
      </c>
      <c r="O363" s="29">
        <f t="shared" si="179"/>
      </c>
      <c r="P363" s="28">
        <f t="shared" si="198"/>
      </c>
      <c r="Q363" s="28">
        <f t="shared" si="217"/>
      </c>
      <c r="R363" s="30">
        <f t="shared" si="236"/>
      </c>
      <c r="S363" s="31">
        <f t="shared" si="255"/>
      </c>
      <c r="T363" s="30">
        <f t="shared" si="274"/>
      </c>
      <c r="U363" s="79">
        <f t="shared" si="84"/>
      </c>
      <c r="V363" s="49" t="s">
        <v>35</v>
      </c>
      <c r="W363" s="33" t="s">
        <v>36</v>
      </c>
      <c r="X363" s="80">
        <v>3</v>
      </c>
      <c r="Y363" s="34">
        <v>8</v>
      </c>
      <c r="Z363" s="36">
        <v>201886</v>
      </c>
      <c r="AA363" s="36">
        <v>563</v>
      </c>
      <c r="AB363" s="36">
        <v>227022</v>
      </c>
      <c r="AC363" s="36">
        <v>19034</v>
      </c>
      <c r="AD363" s="36">
        <v>1333</v>
      </c>
      <c r="AE363" s="34">
        <v>10</v>
      </c>
    </row>
    <row r="364">
      <c r="A364" s="19"/>
      <c r="B364" s="20" t="s">
        <v>45</v>
      </c>
      <c r="C364" s="21" t="s">
        <v>44</v>
      </c>
      <c r="D364" s="22">
        <f t="shared" si="57"/>
      </c>
      <c r="E364" s="24">
        <v>860.541</v>
      </c>
      <c r="F364" s="24">
        <v>984.696</v>
      </c>
      <c r="G364" s="24">
        <v>2372.386</v>
      </c>
      <c r="H364" s="25">
        <v>7</v>
      </c>
      <c r="I364" s="63">
        <v>15166.560000000001</v>
      </c>
      <c r="J364" s="27">
        <f t="shared" si="79"/>
      </c>
      <c r="K364" s="28">
        <f t="shared" si="103"/>
      </c>
      <c r="L364" s="29">
        <f t="shared" si="141"/>
      </c>
      <c r="M364" s="28">
        <f t="shared" si="122"/>
      </c>
      <c r="N364" s="28">
        <f t="shared" si="160"/>
      </c>
      <c r="O364" s="29">
        <f t="shared" si="179"/>
      </c>
      <c r="P364" s="28">
        <f t="shared" si="198"/>
      </c>
      <c r="Q364" s="28">
        <f t="shared" si="217"/>
      </c>
      <c r="R364" s="30">
        <f t="shared" si="236"/>
      </c>
      <c r="S364" s="31">
        <f t="shared" si="255"/>
      </c>
      <c r="T364" s="30">
        <f t="shared" si="274"/>
      </c>
      <c r="U364" s="79">
        <f t="shared" si="84"/>
      </c>
      <c r="V364" s="49" t="s">
        <v>35</v>
      </c>
      <c r="W364" s="33" t="s">
        <v>36</v>
      </c>
      <c r="X364" s="80">
        <v>4</v>
      </c>
      <c r="Y364" s="34">
        <v>6</v>
      </c>
      <c r="Z364" s="36">
        <v>232938</v>
      </c>
      <c r="AA364" s="36">
        <v>785</v>
      </c>
      <c r="AB364" s="36">
        <v>211382</v>
      </c>
      <c r="AC364" s="36">
        <v>19721</v>
      </c>
      <c r="AD364" s="36">
        <v>1261</v>
      </c>
      <c r="AE364" s="34">
        <v>10</v>
      </c>
    </row>
    <row r="365">
      <c r="A365" s="19"/>
      <c r="B365" s="20" t="s">
        <v>46</v>
      </c>
      <c r="C365" s="21" t="s">
        <v>44</v>
      </c>
      <c r="D365" s="22">
        <f t="shared" si="57"/>
      </c>
      <c r="E365" s="24">
        <v>773.001</v>
      </c>
      <c r="F365" s="24">
        <v>732.785</v>
      </c>
      <c r="G365" s="24">
        <v>2448.231</v>
      </c>
      <c r="H365" s="25">
        <v>0</v>
      </c>
      <c r="I365" s="63">
        <v>0</v>
      </c>
      <c r="J365" s="27">
        <f t="shared" si="79"/>
      </c>
      <c r="K365" s="28">
        <f t="shared" si="103"/>
      </c>
      <c r="L365" s="29">
        <f t="shared" si="141"/>
      </c>
      <c r="M365" s="28">
        <f t="shared" si="122"/>
      </c>
      <c r="N365" s="28">
        <f t="shared" si="160"/>
      </c>
      <c r="O365" s="29">
        <f t="shared" si="179"/>
      </c>
      <c r="P365" s="28">
        <f t="shared" si="198"/>
      </c>
      <c r="Q365" s="28">
        <f t="shared" si="217"/>
      </c>
      <c r="R365" s="30">
        <f t="shared" si="236"/>
      </c>
      <c r="S365" s="31">
        <f t="shared" si="255"/>
      </c>
      <c r="T365" s="30">
        <f t="shared" si="274"/>
      </c>
      <c r="U365" s="79">
        <f t="shared" si="84"/>
      </c>
      <c r="V365" s="49" t="s">
        <v>35</v>
      </c>
      <c r="W365" s="33" t="s">
        <v>36</v>
      </c>
      <c r="X365" s="80">
        <v>0</v>
      </c>
      <c r="Y365" s="34">
        <v>0</v>
      </c>
      <c r="Z365" s="36">
        <v>186014</v>
      </c>
      <c r="AA365" s="36">
        <v>800</v>
      </c>
      <c r="AB365" s="36">
        <v>219209</v>
      </c>
      <c r="AC365" s="36">
        <v>15626</v>
      </c>
      <c r="AD365" s="36">
        <v>1114</v>
      </c>
      <c r="AE365" s="34">
        <v>3</v>
      </c>
    </row>
    <row r="366">
      <c r="A366" s="19"/>
      <c r="B366" s="20" t="s">
        <v>47</v>
      </c>
      <c r="C366" s="21" t="s">
        <v>44</v>
      </c>
      <c r="D366" s="22">
        <f t="shared" si="57"/>
      </c>
      <c r="E366" s="24">
        <v>289.753</v>
      </c>
      <c r="F366" s="24">
        <v>832.445</v>
      </c>
      <c r="G366" s="24">
        <v>2469.524</v>
      </c>
      <c r="H366" s="25">
        <v>4</v>
      </c>
      <c r="I366" s="63">
        <v>5361.279999999992</v>
      </c>
      <c r="J366" s="27">
        <f t="shared" si="79"/>
      </c>
      <c r="K366" s="28">
        <f t="shared" si="103"/>
      </c>
      <c r="L366" s="29">
        <f t="shared" si="141"/>
      </c>
      <c r="M366" s="28">
        <f t="shared" si="122"/>
      </c>
      <c r="N366" s="28">
        <f t="shared" si="160"/>
      </c>
      <c r="O366" s="29">
        <f t="shared" si="179"/>
      </c>
      <c r="P366" s="28">
        <f t="shared" si="198"/>
      </c>
      <c r="Q366" s="28">
        <f t="shared" si="217"/>
      </c>
      <c r="R366" s="30">
        <f t="shared" si="236"/>
      </c>
      <c r="S366" s="31">
        <f t="shared" si="255"/>
      </c>
      <c r="T366" s="30">
        <f t="shared" si="274"/>
      </c>
      <c r="U366" s="79">
        <f t="shared" si="84"/>
      </c>
      <c r="V366" s="49" t="s">
        <v>35</v>
      </c>
      <c r="W366" s="33" t="s">
        <v>36</v>
      </c>
      <c r="X366" s="80">
        <v>1</v>
      </c>
      <c r="Y366" s="34">
        <v>4</v>
      </c>
      <c r="Z366" s="36">
        <v>180218</v>
      </c>
      <c r="AA366" s="36">
        <v>1091</v>
      </c>
      <c r="AB366" s="36">
        <v>201531</v>
      </c>
      <c r="AC366" s="36">
        <v>17394</v>
      </c>
      <c r="AD366" s="36">
        <v>1291</v>
      </c>
      <c r="AE366" s="34">
        <v>7</v>
      </c>
    </row>
    <row r="367">
      <c r="A367" s="19"/>
      <c r="B367" s="38" t="s">
        <v>42</v>
      </c>
      <c r="C367" s="38"/>
      <c r="D367" s="73">
        <f>SUM(D362:D366)</f>
      </c>
      <c r="E367" s="73">
        <f>SUM(E362:E366)</f>
      </c>
      <c r="F367" s="73">
        <f>SUM(F362:F366)</f>
      </c>
      <c r="G367" s="73">
        <f>SUM(G362:G366)</f>
      </c>
      <c r="H367" s="40">
        <f>SUM(H362:H366)</f>
      </c>
      <c r="I367" s="62">
        <f>SUM(I362:I366)</f>
      </c>
      <c r="J367" s="42">
        <f t="shared" si="79"/>
      </c>
      <c r="K367" s="43">
        <f t="shared" si="103"/>
      </c>
      <c r="L367" s="44">
        <f t="shared" si="141"/>
      </c>
      <c r="M367" s="43">
        <f t="shared" si="122"/>
      </c>
      <c r="N367" s="43">
        <f t="shared" si="160"/>
      </c>
      <c r="O367" s="44">
        <f t="shared" si="179"/>
      </c>
      <c r="P367" s="43">
        <f t="shared" si="198"/>
      </c>
      <c r="Q367" s="43">
        <f t="shared" si="217"/>
      </c>
      <c r="R367" s="45">
        <f t="shared" si="236"/>
      </c>
      <c r="S367" s="46">
        <f t="shared" si="255"/>
      </c>
      <c r="T367" s="45">
        <f t="shared" si="274"/>
      </c>
      <c r="U367" s="81">
        <f t="shared" si="84"/>
      </c>
      <c r="V367" s="47"/>
      <c r="W367" s="47"/>
      <c r="X367" s="82">
        <f>SUM(X362:X366)</f>
      </c>
      <c r="Y367" s="48">
        <f>SUM(Y362:Y366)</f>
      </c>
      <c r="Z367" s="48">
        <f>SUM(Z362:Z366)</f>
      </c>
      <c r="AA367" s="48">
        <f>SUM(AA362:AA366)</f>
      </c>
      <c r="AB367" s="48">
        <f>SUM(AB362:AB366)</f>
      </c>
      <c r="AC367" s="48">
        <f>SUM(AC362:AC366)</f>
      </c>
      <c r="AD367" s="48">
        <f>SUM(AD362:AD366)</f>
      </c>
      <c r="AE367" s="48">
        <f>SUM(AE362:AE366)</f>
      </c>
    </row>
    <row r="368">
      <c r="A368" s="19"/>
      <c r="B368" s="70" t="s">
        <v>49</v>
      </c>
      <c r="C368" s="70"/>
      <c r="D368" s="74">
        <f>D367+D361+D354+D358</f>
      </c>
      <c r="E368" s="74">
        <f>E367+E361+E354+E358</f>
      </c>
      <c r="F368" s="74">
        <f>F367+F361+F354+F358</f>
      </c>
      <c r="G368" s="74">
        <f>G367+G361+G354+G358</f>
      </c>
      <c r="H368" s="75">
        <f>H367+H361+H354+H358</f>
      </c>
      <c r="I368" s="60">
        <f>I367+I361+I354+I358</f>
      </c>
      <c r="J368" s="54">
        <f t="shared" si="79"/>
      </c>
      <c r="K368" s="55">
        <f t="shared" si="103"/>
      </c>
      <c r="L368" s="54">
        <f t="shared" si="141"/>
      </c>
      <c r="M368" s="55">
        <f t="shared" si="122"/>
      </c>
      <c r="N368" s="55">
        <f t="shared" si="160"/>
      </c>
      <c r="O368" s="54">
        <f t="shared" si="179"/>
      </c>
      <c r="P368" s="55">
        <f t="shared" si="198"/>
      </c>
      <c r="Q368" s="55">
        <f t="shared" si="217"/>
      </c>
      <c r="R368" s="54">
        <f t="shared" si="236"/>
      </c>
      <c r="S368" s="56">
        <f t="shared" si="255"/>
      </c>
      <c r="T368" s="54">
        <f t="shared" si="274"/>
      </c>
      <c r="U368" s="83">
        <f t="shared" si="84"/>
      </c>
      <c r="V368" s="57"/>
      <c r="W368" s="57"/>
      <c r="X368" s="53">
        <f>X367+X361+X354+X358</f>
      </c>
      <c r="Y368" s="53">
        <f>Y367+Y361+Y354+Y358</f>
      </c>
      <c r="Z368" s="60">
        <f>Z367+Z361+Z354+Z358</f>
      </c>
      <c r="AA368" s="60">
        <f>AA367+AA361+AA354+AA358</f>
      </c>
      <c r="AB368" s="60">
        <f>AB367+AB361+AB354+AB358</f>
      </c>
      <c r="AC368" s="60">
        <f>AC367+AC361+AC354+AC358</f>
      </c>
      <c r="AD368" s="60">
        <f>AD367+AD361+AD354+AD358</f>
      </c>
      <c r="AE368" s="53">
        <f>AE367+AE361+AE354+AE358</f>
      </c>
    </row>
    <row customHeight="true" ht="18.452380952380953" r="369">
      <c r="A369" s="1" t="s">
        <v>1</v>
      </c>
      <c r="B369" s="1"/>
      <c r="C369" s="1"/>
      <c r="D369" s="2" t="s">
        <v>2</v>
      </c>
      <c r="E369" s="2"/>
      <c r="F369" s="2"/>
      <c r="G369" s="2"/>
      <c r="H369" s="2"/>
      <c r="I369" s="2"/>
      <c r="J369" s="2"/>
      <c r="K369" s="84" t="s">
        <v>3</v>
      </c>
      <c r="L369" s="84"/>
      <c r="M369" s="84"/>
      <c r="N369" s="84"/>
      <c r="O369" s="84"/>
      <c r="P369" s="84"/>
      <c r="Q369" s="84"/>
      <c r="R369" s="84"/>
      <c r="S369" s="84"/>
      <c r="T369" s="84"/>
      <c r="U369" s="3"/>
      <c r="V369" s="4"/>
      <c r="W369" s="4"/>
      <c r="X369" s="4"/>
      <c r="Y369" s="5"/>
      <c r="Z369" s="5"/>
      <c r="AA369" s="5"/>
      <c r="AB369" s="5"/>
      <c r="AC369" s="5"/>
      <c r="AD369" s="5"/>
      <c r="AE369" s="5"/>
    </row>
    <row customHeight="true" ht="18.452380952380953" r="370">
      <c r="A370" s="6" t="s">
        <v>4</v>
      </c>
      <c r="B370" s="7" t="s">
        <v>5</v>
      </c>
      <c r="C370" s="7" t="s">
        <v>6</v>
      </c>
      <c r="D370" s="8" t="s">
        <v>7</v>
      </c>
      <c r="E370" s="9" t="s">
        <v>8</v>
      </c>
      <c r="F370" s="9" t="s">
        <v>9</v>
      </c>
      <c r="G370" s="10" t="s">
        <v>10</v>
      </c>
      <c r="H370" s="11" t="s">
        <v>11</v>
      </c>
      <c r="I370" s="11" t="s">
        <v>12</v>
      </c>
      <c r="J370" s="12" t="s">
        <v>13</v>
      </c>
      <c r="K370" s="3" t="s">
        <v>14</v>
      </c>
      <c r="L370" s="3" t="s">
        <v>15</v>
      </c>
      <c r="M370" s="13" t="s">
        <v>16</v>
      </c>
      <c r="N370" s="13" t="s">
        <v>17</v>
      </c>
      <c r="O370" s="3" t="s">
        <v>18</v>
      </c>
      <c r="P370" s="13" t="s">
        <v>19</v>
      </c>
      <c r="Q370" s="13" t="s">
        <v>20</v>
      </c>
      <c r="R370" s="14" t="s">
        <v>21</v>
      </c>
      <c r="S370" s="13" t="s">
        <v>22</v>
      </c>
      <c r="T370" s="14" t="s">
        <v>23</v>
      </c>
      <c r="U370" s="77" t="s">
        <v>61</v>
      </c>
      <c r="V370" s="15" t="s">
        <v>24</v>
      </c>
      <c r="W370" s="15" t="s">
        <v>25</v>
      </c>
      <c r="X370" s="78" t="s">
        <v>62</v>
      </c>
      <c r="Y370" s="16" t="s">
        <v>26</v>
      </c>
      <c r="Z370" s="17" t="s">
        <v>27</v>
      </c>
      <c r="AA370" s="17" t="s">
        <v>28</v>
      </c>
      <c r="AB370" s="17" t="s">
        <v>29</v>
      </c>
      <c r="AC370" s="17" t="s">
        <v>30</v>
      </c>
      <c r="AD370" s="17" t="s">
        <v>31</v>
      </c>
      <c r="AE370" s="18" t="s">
        <v>32</v>
      </c>
    </row>
    <row customHeight="true" ht="18.452380952380953" r="371">
      <c r="A371" s="19">
        <v>46314</v>
      </c>
      <c r="B371" s="20" t="s">
        <v>58</v>
      </c>
      <c r="C371" s="21" t="s">
        <v>44</v>
      </c>
      <c r="D371" s="37">
        <f t="shared" ref="D371:D375" si="58">E371+F371+G371</f>
      </c>
      <c r="E371" s="24">
        <v>646.026</v>
      </c>
      <c r="F371" s="24">
        <v>926.578</v>
      </c>
      <c r="G371" s="24">
        <v>1538.721</v>
      </c>
      <c r="H371" s="25">
        <v>2</v>
      </c>
      <c r="I371" s="63">
        <v>4256.28</v>
      </c>
      <c r="J371" s="27">
        <f t="shared" ref="J371:J390" si="80">I371/D371</f>
      </c>
      <c r="K371" s="28">
        <f t="shared" ref="K371:K390" si="104">AA371/Z371</f>
      </c>
      <c r="L371" s="29">
        <f t="shared" ref="L371:L390" si="142">D371/AB371</f>
      </c>
      <c r="M371" s="28">
        <f t="shared" ref="M371:M390" si="123">AC371/AB371</f>
      </c>
      <c r="N371" s="28">
        <f t="shared" ref="N371:N390" si="161">AD371/AB371</f>
      </c>
      <c r="O371" s="29">
        <f t="shared" ref="O371:O390" si="180">D371/AD371</f>
      </c>
      <c r="P371" s="28">
        <f t="shared" ref="P371:P390" si="199">AE371/AD371</f>
      </c>
      <c r="Q371" s="28">
        <f t="shared" ref="Q371:Q390" si="218">H371/AE371</f>
      </c>
      <c r="R371" s="30">
        <f t="shared" ref="R371:R390" si="237">D371/H371</f>
      </c>
      <c r="S371" s="31">
        <f t="shared" ref="S371:S390" si="256">I371/H371</f>
      </c>
      <c r="T371" s="30">
        <f t="shared" ref="T371:T390" si="275">D371/Y371</f>
      </c>
      <c r="U371" s="79">
        <f t="shared" ref="U371:U390" si="85">X371/H371</f>
      </c>
      <c r="V371" s="32" t="s">
        <v>35</v>
      </c>
      <c r="W371" s="33" t="s">
        <v>39</v>
      </c>
      <c r="X371" s="80">
        <v>2</v>
      </c>
      <c r="Y371" s="34">
        <v>2</v>
      </c>
      <c r="Z371" s="35">
        <v>85644</v>
      </c>
      <c r="AA371" s="36">
        <v>454</v>
      </c>
      <c r="AB371" s="34">
        <v>121845</v>
      </c>
      <c r="AC371" s="34">
        <v>13855</v>
      </c>
      <c r="AD371" s="34">
        <v>1046</v>
      </c>
      <c r="AE371" s="34">
        <v>3</v>
      </c>
    </row>
    <row customHeight="true" ht="18.452380952380953" r="372">
      <c r="A372" s="19"/>
      <c r="B372" s="20" t="s">
        <v>56</v>
      </c>
      <c r="C372" s="21" t="s">
        <v>44</v>
      </c>
      <c r="D372" s="37">
        <f t="shared" si="58"/>
      </c>
      <c r="E372" s="24">
        <v>333.821</v>
      </c>
      <c r="F372" s="24">
        <v>1206.871</v>
      </c>
      <c r="G372" s="24">
        <v>724.78</v>
      </c>
      <c r="H372" s="25">
        <v>1</v>
      </c>
      <c r="I372" s="63">
        <v>233.8800000000001</v>
      </c>
      <c r="J372" s="27">
        <f t="shared" si="80"/>
      </c>
      <c r="K372" s="28">
        <f t="shared" si="104"/>
      </c>
      <c r="L372" s="29">
        <f t="shared" si="142"/>
      </c>
      <c r="M372" s="28">
        <f t="shared" si="123"/>
      </c>
      <c r="N372" s="28">
        <f t="shared" si="161"/>
      </c>
      <c r="O372" s="29">
        <f t="shared" si="180"/>
      </c>
      <c r="P372" s="28">
        <f t="shared" si="199"/>
      </c>
      <c r="Q372" s="28">
        <f t="shared" si="218"/>
      </c>
      <c r="R372" s="30">
        <f t="shared" si="237"/>
      </c>
      <c r="S372" s="31">
        <f t="shared" si="256"/>
      </c>
      <c r="T372" s="30">
        <f t="shared" si="275"/>
      </c>
      <c r="U372" s="79">
        <f t="shared" si="85"/>
      </c>
      <c r="V372" s="32" t="s">
        <v>35</v>
      </c>
      <c r="W372" s="33" t="s">
        <v>39</v>
      </c>
      <c r="X372" s="80">
        <v>0</v>
      </c>
      <c r="Y372" s="34">
        <v>1</v>
      </c>
      <c r="Z372" s="35">
        <v>79229</v>
      </c>
      <c r="AA372" s="36">
        <v>520</v>
      </c>
      <c r="AB372" s="34">
        <v>86764</v>
      </c>
      <c r="AC372" s="34">
        <v>11404</v>
      </c>
      <c r="AD372" s="34">
        <v>772</v>
      </c>
      <c r="AE372" s="34">
        <v>1</v>
      </c>
    </row>
    <row customHeight="true" ht="18.452380952380953" r="373">
      <c r="A373" s="19"/>
      <c r="B373" s="20" t="s">
        <v>57</v>
      </c>
      <c r="C373" s="21" t="s">
        <v>44</v>
      </c>
      <c r="D373" s="37">
        <f t="shared" si="58"/>
      </c>
      <c r="E373" s="24">
        <v>362.09</v>
      </c>
      <c r="F373" s="24">
        <v>1060.769</v>
      </c>
      <c r="G373" s="24">
        <v>623.862</v>
      </c>
      <c r="H373" s="25">
        <v>2</v>
      </c>
      <c r="I373" s="63">
        <v>1253.0100000000002</v>
      </c>
      <c r="J373" s="27">
        <f t="shared" si="80"/>
      </c>
      <c r="K373" s="28">
        <f t="shared" si="104"/>
      </c>
      <c r="L373" s="29">
        <f t="shared" si="142"/>
      </c>
      <c r="M373" s="28">
        <f t="shared" si="123"/>
      </c>
      <c r="N373" s="28">
        <f t="shared" si="161"/>
      </c>
      <c r="O373" s="29">
        <f t="shared" si="180"/>
      </c>
      <c r="P373" s="28">
        <f t="shared" si="199"/>
      </c>
      <c r="Q373" s="28">
        <f t="shared" si="218"/>
      </c>
      <c r="R373" s="30">
        <f t="shared" si="237"/>
      </c>
      <c r="S373" s="31">
        <f t="shared" si="256"/>
      </c>
      <c r="T373" s="30">
        <f t="shared" si="275"/>
      </c>
      <c r="U373" s="79">
        <f t="shared" si="85"/>
      </c>
      <c r="V373" s="32" t="s">
        <v>35</v>
      </c>
      <c r="W373" s="33" t="s">
        <v>39</v>
      </c>
      <c r="X373" s="80">
        <v>0</v>
      </c>
      <c r="Y373" s="34">
        <v>2</v>
      </c>
      <c r="Z373" s="35">
        <v>77413</v>
      </c>
      <c r="AA373" s="36">
        <v>658</v>
      </c>
      <c r="AB373" s="34">
        <v>73905</v>
      </c>
      <c r="AC373" s="34">
        <v>14204</v>
      </c>
      <c r="AD373" s="34">
        <v>934</v>
      </c>
      <c r="AE373" s="34">
        <v>2</v>
      </c>
    </row>
    <row customHeight="true" ht="18.452380952380953" r="374">
      <c r="A374" s="19"/>
      <c r="B374" s="20" t="s">
        <v>50</v>
      </c>
      <c r="C374" s="21" t="s">
        <v>44</v>
      </c>
      <c r="D374" s="37">
        <f t="shared" si="58"/>
      </c>
      <c r="E374" s="24">
        <v>511.706</v>
      </c>
      <c r="F374" s="24">
        <v>626.48</v>
      </c>
      <c r="G374" s="24">
        <v>942.512</v>
      </c>
      <c r="H374" s="25">
        <v>1</v>
      </c>
      <c r="I374" s="63">
        <v>385.0799999999999</v>
      </c>
      <c r="J374" s="27">
        <f t="shared" si="80"/>
      </c>
      <c r="K374" s="28">
        <f t="shared" si="104"/>
      </c>
      <c r="L374" s="29">
        <f t="shared" si="142"/>
      </c>
      <c r="M374" s="28">
        <f t="shared" si="123"/>
      </c>
      <c r="N374" s="28">
        <f t="shared" si="161"/>
      </c>
      <c r="O374" s="29">
        <f t="shared" si="180"/>
      </c>
      <c r="P374" s="28">
        <f t="shared" si="199"/>
      </c>
      <c r="Q374" s="28">
        <f t="shared" si="218"/>
      </c>
      <c r="R374" s="30">
        <f t="shared" si="237"/>
      </c>
      <c r="S374" s="31">
        <f t="shared" si="256"/>
      </c>
      <c r="T374" s="30">
        <f t="shared" si="275"/>
      </c>
      <c r="U374" s="79">
        <f t="shared" si="85"/>
      </c>
      <c r="V374" s="32" t="s">
        <v>35</v>
      </c>
      <c r="W374" s="33" t="s">
        <v>39</v>
      </c>
      <c r="X374" s="80">
        <v>0</v>
      </c>
      <c r="Y374" s="34">
        <v>1</v>
      </c>
      <c r="Z374" s="35">
        <v>77121</v>
      </c>
      <c r="AA374" s="36">
        <v>584</v>
      </c>
      <c r="AB374" s="34">
        <v>75386</v>
      </c>
      <c r="AC374" s="34">
        <v>10420</v>
      </c>
      <c r="AD374" s="34">
        <v>880</v>
      </c>
      <c r="AE374" s="34">
        <v>3</v>
      </c>
    </row>
    <row customHeight="true" ht="18.452380952380953" r="375">
      <c r="A375" s="19"/>
      <c r="B375" s="20" t="s">
        <v>51</v>
      </c>
      <c r="C375" s="21" t="s">
        <v>44</v>
      </c>
      <c r="D375" s="37">
        <f t="shared" si="58"/>
      </c>
      <c r="E375" s="24">
        <v>741.643</v>
      </c>
      <c r="F375" s="24">
        <v>278.465</v>
      </c>
      <c r="G375" s="24">
        <v>528.406</v>
      </c>
      <c r="H375" s="25">
        <v>1</v>
      </c>
      <c r="I375" s="63">
        <v>2485.08</v>
      </c>
      <c r="J375" s="27">
        <f t="shared" si="80"/>
      </c>
      <c r="K375" s="28">
        <f t="shared" si="104"/>
      </c>
      <c r="L375" s="29">
        <f t="shared" si="142"/>
      </c>
      <c r="M375" s="28">
        <f t="shared" si="123"/>
      </c>
      <c r="N375" s="28">
        <f t="shared" si="161"/>
      </c>
      <c r="O375" s="29">
        <f t="shared" si="180"/>
      </c>
      <c r="P375" s="28">
        <f t="shared" si="199"/>
      </c>
      <c r="Q375" s="28">
        <f t="shared" si="218"/>
      </c>
      <c r="R375" s="30">
        <f t="shared" si="237"/>
      </c>
      <c r="S375" s="31">
        <f t="shared" si="256"/>
      </c>
      <c r="T375" s="30">
        <f t="shared" si="275"/>
      </c>
      <c r="U375" s="79">
        <f t="shared" si="85"/>
      </c>
      <c r="V375" s="32" t="s">
        <v>35</v>
      </c>
      <c r="W375" s="33" t="s">
        <v>39</v>
      </c>
      <c r="X375" s="80">
        <v>1</v>
      </c>
      <c r="Y375" s="34">
        <v>1</v>
      </c>
      <c r="Z375" s="36">
        <v>57889</v>
      </c>
      <c r="AA375" s="36">
        <v>445</v>
      </c>
      <c r="AB375" s="36">
        <v>46797</v>
      </c>
      <c r="AC375" s="36">
        <v>5909</v>
      </c>
      <c r="AD375" s="34">
        <v>475</v>
      </c>
      <c r="AE375" s="34">
        <v>1</v>
      </c>
    </row>
    <row customHeight="true" ht="18.452380952380953" r="376">
      <c r="A376" s="19"/>
      <c r="B376" s="38" t="s">
        <v>42</v>
      </c>
      <c r="C376" s="38"/>
      <c r="D376" s="61">
        <f>SUM(D371:D375)</f>
      </c>
      <c r="E376" s="61">
        <f>SUM(E371:E375)</f>
      </c>
      <c r="F376" s="61">
        <f>SUM(F371:F375)</f>
      </c>
      <c r="G376" s="61">
        <f>SUM(G371:G375)</f>
      </c>
      <c r="H376" s="40">
        <f>SUM(H371:H375)</f>
      </c>
      <c r="I376" s="62">
        <f>SUM(I371:I375)</f>
      </c>
      <c r="J376" s="42">
        <f t="shared" si="80"/>
      </c>
      <c r="K376" s="43">
        <f t="shared" si="104"/>
      </c>
      <c r="L376" s="44">
        <f t="shared" si="142"/>
      </c>
      <c r="M376" s="43">
        <f t="shared" si="123"/>
      </c>
      <c r="N376" s="43">
        <f t="shared" si="161"/>
      </c>
      <c r="O376" s="44">
        <f t="shared" si="180"/>
      </c>
      <c r="P376" s="43">
        <f t="shared" si="199"/>
      </c>
      <c r="Q376" s="43">
        <f t="shared" si="218"/>
      </c>
      <c r="R376" s="45">
        <f t="shared" si="237"/>
      </c>
      <c r="S376" s="46">
        <f t="shared" si="256"/>
      </c>
      <c r="T376" s="45">
        <f t="shared" si="275"/>
      </c>
      <c r="U376" s="81">
        <f t="shared" si="85"/>
      </c>
      <c r="V376" s="47"/>
      <c r="W376" s="47"/>
      <c r="X376" s="82">
        <f>SUM(X371:X375)</f>
      </c>
      <c r="Y376" s="48">
        <f>SUM(Y371:Y375)</f>
      </c>
      <c r="Z376" s="48">
        <f>SUM(Z371:Z375)</f>
      </c>
      <c r="AA376" s="48">
        <f>SUM(AA371:AA375)</f>
      </c>
      <c r="AB376" s="48">
        <f>SUM(AB371:AB375)</f>
      </c>
      <c r="AC376" s="48">
        <f>SUM(AC371:AC375)</f>
      </c>
      <c r="AD376" s="48">
        <f>SUM(AD371:AD375)</f>
      </c>
      <c r="AE376" s="48">
        <f>SUM(AE371:AE375)</f>
      </c>
    </row>
    <row customHeight="true" ht="18.452380952380953" r="377">
      <c r="A377" s="19"/>
      <c r="B377" s="20" t="s">
        <v>33</v>
      </c>
      <c r="C377" s="21" t="s">
        <v>63</v>
      </c>
      <c r="D377" s="37">
        <f t="shared" ref="D377:D379" si="59">E377+F377+G377</f>
      </c>
      <c r="E377" s="24">
        <v>568.744</v>
      </c>
      <c r="F377" s="24">
        <v>271.559</v>
      </c>
      <c r="G377" s="24">
        <v>467.347</v>
      </c>
      <c r="H377" s="25">
        <v>2</v>
      </c>
      <c r="I377" s="63">
        <v>4595.16</v>
      </c>
      <c r="J377" s="27">
        <f t="shared" si="80"/>
      </c>
      <c r="K377" s="28">
        <f t="shared" si="104"/>
      </c>
      <c r="L377" s="29">
        <f t="shared" si="142"/>
      </c>
      <c r="M377" s="28">
        <f t="shared" si="123"/>
      </c>
      <c r="N377" s="28">
        <f t="shared" si="161"/>
      </c>
      <c r="O377" s="29">
        <f t="shared" si="180"/>
      </c>
      <c r="P377" s="28">
        <f t="shared" si="199"/>
      </c>
      <c r="Q377" s="28">
        <f t="shared" si="218"/>
      </c>
      <c r="R377" s="30">
        <f t="shared" si="237"/>
      </c>
      <c r="S377" s="31">
        <f t="shared" si="256"/>
      </c>
      <c r="T377" s="30">
        <f t="shared" si="275"/>
      </c>
      <c r="U377" s="79">
        <f t="shared" si="85"/>
      </c>
      <c r="V377" s="32" t="s">
        <v>35</v>
      </c>
      <c r="W377" s="33" t="s">
        <v>39</v>
      </c>
      <c r="X377" s="85">
        <v>1</v>
      </c>
      <c r="Y377" s="34">
        <v>2</v>
      </c>
      <c r="Z377" s="35">
        <v>45576</v>
      </c>
      <c r="AA377" s="36">
        <v>544</v>
      </c>
      <c r="AB377" s="34">
        <v>40358</v>
      </c>
      <c r="AC377" s="34">
        <v>5672</v>
      </c>
      <c r="AD377" s="34">
        <v>541</v>
      </c>
      <c r="AE377" s="34">
        <v>3</v>
      </c>
    </row>
    <row customHeight="true" ht="18.452380952380953" r="378">
      <c r="A378" s="19"/>
      <c r="B378" s="20" t="s">
        <v>37</v>
      </c>
      <c r="C378" s="21" t="s">
        <v>63</v>
      </c>
      <c r="D378" s="37">
        <f t="shared" si="59"/>
      </c>
      <c r="E378" s="24"/>
      <c r="F378" s="24"/>
      <c r="G378" s="24"/>
      <c r="H378" s="25"/>
      <c r="I378" s="63"/>
      <c r="J378" s="27">
        <f t="shared" si="80"/>
      </c>
      <c r="K378" s="28">
        <f t="shared" si="104"/>
      </c>
      <c r="L378" s="29">
        <f t="shared" si="142"/>
      </c>
      <c r="M378" s="28">
        <f t="shared" si="123"/>
      </c>
      <c r="N378" s="28">
        <f t="shared" si="161"/>
      </c>
      <c r="O378" s="29">
        <f t="shared" si="180"/>
      </c>
      <c r="P378" s="28">
        <f t="shared" si="199"/>
      </c>
      <c r="Q378" s="28">
        <f t="shared" si="218"/>
      </c>
      <c r="R378" s="30">
        <f t="shared" si="237"/>
      </c>
      <c r="S378" s="31">
        <f t="shared" si="256"/>
      </c>
      <c r="T378" s="30">
        <f t="shared" si="275"/>
      </c>
      <c r="U378" s="79">
        <f t="shared" si="85"/>
      </c>
      <c r="V378" s="32" t="s">
        <v>35</v>
      </c>
      <c r="W378" s="33" t="s">
        <v>39</v>
      </c>
      <c r="X378" s="80"/>
      <c r="Y378" s="34"/>
      <c r="Z378" s="36"/>
      <c r="AA378" s="36"/>
      <c r="AB378" s="34"/>
      <c r="AC378" s="34"/>
      <c r="AD378" s="34"/>
      <c r="AE378" s="34"/>
    </row>
    <row customHeight="true" ht="18.452380952380953" r="379">
      <c r="A379" s="19"/>
      <c r="B379" s="20" t="s">
        <v>38</v>
      </c>
      <c r="C379" s="21" t="s">
        <v>63</v>
      </c>
      <c r="D379" s="37">
        <f t="shared" si="59"/>
      </c>
      <c r="E379" s="24"/>
      <c r="F379" s="24"/>
      <c r="G379" s="24"/>
      <c r="H379" s="25"/>
      <c r="I379" s="63"/>
      <c r="J379" s="27">
        <f t="shared" si="80"/>
      </c>
      <c r="K379" s="28">
        <f t="shared" si="104"/>
      </c>
      <c r="L379" s="29">
        <f t="shared" si="142"/>
      </c>
      <c r="M379" s="28">
        <f t="shared" si="123"/>
      </c>
      <c r="N379" s="28">
        <f t="shared" si="161"/>
      </c>
      <c r="O379" s="29">
        <f t="shared" si="180"/>
      </c>
      <c r="P379" s="28">
        <f t="shared" si="199"/>
      </c>
      <c r="Q379" s="28">
        <f t="shared" si="218"/>
      </c>
      <c r="R379" s="30">
        <f t="shared" si="237"/>
      </c>
      <c r="S379" s="31">
        <f t="shared" si="256"/>
      </c>
      <c r="T379" s="30">
        <f t="shared" si="275"/>
      </c>
      <c r="U379" s="79">
        <f t="shared" si="85"/>
      </c>
      <c r="V379" s="32" t="s">
        <v>35</v>
      </c>
      <c r="W379" s="33" t="s">
        <v>36</v>
      </c>
      <c r="X379" s="80"/>
      <c r="Y379" s="34"/>
      <c r="Z379" s="36"/>
      <c r="AA379" s="36"/>
      <c r="AB379" s="34"/>
      <c r="AC379" s="34"/>
      <c r="AD379" s="34"/>
      <c r="AE379" s="34"/>
    </row>
    <row customHeight="true" ht="18.452380952380953" r="380">
      <c r="A380" s="19"/>
      <c r="B380" s="38" t="s">
        <v>42</v>
      </c>
      <c r="C380" s="38"/>
      <c r="D380" s="61">
        <f>SUM(D377:D379)</f>
      </c>
      <c r="E380" s="61">
        <f>SUM(E377:E379)</f>
      </c>
      <c r="F380" s="61">
        <f>SUM(F377:F379)</f>
      </c>
      <c r="G380" s="61">
        <f>SUM(G377:G379)</f>
      </c>
      <c r="H380" s="76">
        <f>SUM(H377:H379)</f>
      </c>
      <c r="I380" s="61">
        <f>SUM(I377:I379)</f>
      </c>
      <c r="J380" s="42">
        <f t="shared" si="80"/>
      </c>
      <c r="K380" s="43">
        <f t="shared" si="104"/>
      </c>
      <c r="L380" s="44">
        <f t="shared" si="142"/>
      </c>
      <c r="M380" s="43">
        <f t="shared" si="123"/>
      </c>
      <c r="N380" s="43">
        <f t="shared" si="161"/>
      </c>
      <c r="O380" s="44">
        <f t="shared" si="180"/>
      </c>
      <c r="P380" s="43">
        <f t="shared" si="199"/>
      </c>
      <c r="Q380" s="43">
        <f t="shared" si="218"/>
      </c>
      <c r="R380" s="45">
        <f t="shared" si="237"/>
      </c>
      <c r="S380" s="46">
        <f t="shared" si="256"/>
      </c>
      <c r="T380" s="45">
        <f t="shared" si="275"/>
      </c>
      <c r="U380" s="81">
        <f t="shared" si="85"/>
      </c>
      <c r="V380" s="47"/>
      <c r="W380" s="47"/>
      <c r="X380" s="82">
        <f>SUM(X377:X379)</f>
      </c>
      <c r="Y380" s="48">
        <f>SUM(Y377:Y379)</f>
      </c>
      <c r="Z380" s="48">
        <f>SUM(Z377:Z379)</f>
      </c>
      <c r="AA380" s="48">
        <f>SUM(AA377:AA379)</f>
      </c>
      <c r="AB380" s="48">
        <f>SUM(AB377:AB379)</f>
      </c>
      <c r="AC380" s="48">
        <f>SUM(AC377:AC379)</f>
      </c>
      <c r="AD380" s="48">
        <f>SUM(AD377:AD379)</f>
      </c>
      <c r="AE380" s="48">
        <f>SUM(AE377:AE379)</f>
      </c>
    </row>
    <row customHeight="true" ht="18.452380952380953" r="381">
      <c r="A381" s="19"/>
      <c r="B381" s="20" t="s">
        <v>40</v>
      </c>
      <c r="C381" s="21" t="s">
        <v>65</v>
      </c>
      <c r="D381" s="37">
        <f t="shared" ref="D381:D382" si="60">E381+F381+G381</f>
      </c>
      <c r="E381" s="24"/>
      <c r="F381" s="24"/>
      <c r="G381" s="24"/>
      <c r="H381" s="25"/>
      <c r="I381" s="63"/>
      <c r="J381" s="27">
        <f t="shared" si="80"/>
      </c>
      <c r="K381" s="28">
        <f t="shared" si="104"/>
      </c>
      <c r="L381" s="29">
        <f t="shared" si="142"/>
      </c>
      <c r="M381" s="28">
        <f t="shared" si="123"/>
      </c>
      <c r="N381" s="28">
        <f t="shared" si="161"/>
      </c>
      <c r="O381" s="29">
        <f t="shared" si="180"/>
      </c>
      <c r="P381" s="28">
        <f t="shared" si="199"/>
      </c>
      <c r="Q381" s="28">
        <f t="shared" si="218"/>
      </c>
      <c r="R381" s="30">
        <f t="shared" si="237"/>
      </c>
      <c r="S381" s="31">
        <f t="shared" si="256"/>
      </c>
      <c r="T381" s="30">
        <f t="shared" si="275"/>
      </c>
      <c r="U381" s="79">
        <f t="shared" si="85"/>
      </c>
      <c r="V381" s="32" t="s">
        <v>35</v>
      </c>
      <c r="W381" s="33" t="s">
        <v>36</v>
      </c>
      <c r="X381" s="80"/>
      <c r="Y381" s="34"/>
      <c r="Z381" s="36"/>
      <c r="AA381" s="36"/>
      <c r="AB381" s="36"/>
      <c r="AC381" s="36"/>
      <c r="AD381" s="34"/>
      <c r="AE381" s="34"/>
    </row>
    <row customHeight="true" ht="18.452380952380953" r="382">
      <c r="A382" s="19"/>
      <c r="B382" s="20" t="s">
        <v>41</v>
      </c>
      <c r="C382" s="21" t="s">
        <v>65</v>
      </c>
      <c r="D382" s="37">
        <f t="shared" si="60"/>
      </c>
      <c r="E382" s="24"/>
      <c r="F382" s="24"/>
      <c r="G382" s="24"/>
      <c r="H382" s="25"/>
      <c r="I382" s="63"/>
      <c r="J382" s="27">
        <f t="shared" si="80"/>
      </c>
      <c r="K382" s="28">
        <f t="shared" si="104"/>
      </c>
      <c r="L382" s="29">
        <f t="shared" si="142"/>
      </c>
      <c r="M382" s="28">
        <f t="shared" si="123"/>
      </c>
      <c r="N382" s="28">
        <f t="shared" si="161"/>
      </c>
      <c r="O382" s="29">
        <f t="shared" si="180"/>
      </c>
      <c r="P382" s="28">
        <f t="shared" si="199"/>
      </c>
      <c r="Q382" s="28">
        <f t="shared" si="218"/>
      </c>
      <c r="R382" s="30">
        <f t="shared" si="237"/>
      </c>
      <c r="S382" s="31">
        <f t="shared" si="256"/>
      </c>
      <c r="T382" s="30">
        <f t="shared" si="275"/>
      </c>
      <c r="U382" s="79">
        <f t="shared" si="85"/>
      </c>
      <c r="V382" s="32" t="s">
        <v>35</v>
      </c>
      <c r="W382" s="33" t="s">
        <v>36</v>
      </c>
      <c r="X382" s="80"/>
      <c r="Y382" s="34"/>
      <c r="Z382" s="36"/>
      <c r="AA382" s="36"/>
      <c r="AB382" s="36"/>
      <c r="AC382" s="36"/>
      <c r="AD382" s="34"/>
      <c r="AE382" s="34"/>
    </row>
    <row customHeight="true" ht="18.452380952380953" r="383">
      <c r="A383" s="19"/>
      <c r="B383" s="38" t="s">
        <v>42</v>
      </c>
      <c r="C383" s="38"/>
      <c r="D383" s="61">
        <f>SUM(D381:D382)</f>
      </c>
      <c r="E383" s="61">
        <f>SUM(E381:E382)</f>
      </c>
      <c r="F383" s="61">
        <f>SUM(F381:F382)</f>
      </c>
      <c r="G383" s="61">
        <f>SUM(G381:G382)</f>
      </c>
      <c r="H383" s="76">
        <f>SUM(H381:H382)</f>
      </c>
      <c r="I383" s="61">
        <f>SUM(I381:I382)</f>
      </c>
      <c r="J383" s="42">
        <f t="shared" si="80"/>
      </c>
      <c r="K383" s="43">
        <f t="shared" si="104"/>
      </c>
      <c r="L383" s="44">
        <f t="shared" si="142"/>
      </c>
      <c r="M383" s="43">
        <f t="shared" si="123"/>
      </c>
      <c r="N383" s="43">
        <f t="shared" si="161"/>
      </c>
      <c r="O383" s="44">
        <f t="shared" si="180"/>
      </c>
      <c r="P383" s="43">
        <f t="shared" si="199"/>
      </c>
      <c r="Q383" s="43">
        <f t="shared" si="218"/>
      </c>
      <c r="R383" s="45">
        <f t="shared" si="237"/>
      </c>
      <c r="S383" s="46">
        <f t="shared" si="256"/>
      </c>
      <c r="T383" s="45">
        <f t="shared" si="275"/>
      </c>
      <c r="U383" s="81">
        <f t="shared" si="85"/>
      </c>
      <c r="V383" s="47"/>
      <c r="W383" s="47"/>
      <c r="X383" s="82">
        <f>SUM(X381:X382)</f>
      </c>
      <c r="Y383" s="48">
        <f>SUM(Y381:Y382)</f>
      </c>
      <c r="Z383" s="48">
        <f>SUM(Z381:Z382)</f>
      </c>
      <c r="AA383" s="48">
        <f>SUM(AA381:AA382)</f>
      </c>
      <c r="AB383" s="48">
        <f>SUM(AB381:AB382)</f>
      </c>
      <c r="AC383" s="48">
        <f>SUM(AC381:AC382)</f>
      </c>
      <c r="AD383" s="48">
        <f>SUM(AD381:AD382)</f>
      </c>
      <c r="AE383" s="48">
        <f>SUM(AE381:AE382)</f>
      </c>
    </row>
    <row customHeight="true" ht="18.452380952380953" r="384">
      <c r="A384" s="19"/>
      <c r="B384" s="20" t="s">
        <v>53</v>
      </c>
      <c r="C384" s="21" t="s">
        <v>34</v>
      </c>
      <c r="D384" s="37">
        <f t="shared" ref="D384:D388" si="61">E384+F384+G384</f>
      </c>
      <c r="E384" s="24"/>
      <c r="F384" s="24"/>
      <c r="G384" s="24"/>
      <c r="H384" s="25"/>
      <c r="I384" s="63"/>
      <c r="J384" s="27">
        <f t="shared" si="80"/>
      </c>
      <c r="K384" s="28">
        <f t="shared" si="104"/>
      </c>
      <c r="L384" s="29">
        <f t="shared" si="142"/>
      </c>
      <c r="M384" s="28">
        <f t="shared" si="123"/>
      </c>
      <c r="N384" s="28">
        <f t="shared" si="161"/>
      </c>
      <c r="O384" s="29">
        <f t="shared" si="180"/>
      </c>
      <c r="P384" s="28">
        <f t="shared" si="199"/>
      </c>
      <c r="Q384" s="28">
        <f t="shared" si="218"/>
      </c>
      <c r="R384" s="30">
        <f t="shared" si="237"/>
      </c>
      <c r="S384" s="31">
        <f t="shared" si="256"/>
      </c>
      <c r="T384" s="30">
        <f t="shared" si="275"/>
      </c>
      <c r="U384" s="79">
        <f t="shared" si="85"/>
      </c>
      <c r="V384" s="49" t="s">
        <v>35</v>
      </c>
      <c r="W384" s="33" t="s">
        <v>36</v>
      </c>
      <c r="X384" s="80"/>
      <c r="Y384" s="34"/>
      <c r="Z384" s="35"/>
      <c r="AA384" s="36"/>
      <c r="AB384" s="36"/>
      <c r="AC384" s="36"/>
      <c r="AD384" s="36"/>
      <c r="AE384" s="34"/>
    </row>
    <row customHeight="true" ht="18.452380952380953" r="385">
      <c r="A385" s="19"/>
      <c r="B385" s="20" t="s">
        <v>43</v>
      </c>
      <c r="C385" s="21" t="s">
        <v>34</v>
      </c>
      <c r="D385" s="37">
        <f t="shared" si="61"/>
      </c>
      <c r="E385" s="24"/>
      <c r="F385" s="24"/>
      <c r="G385" s="24"/>
      <c r="H385" s="25"/>
      <c r="I385" s="63"/>
      <c r="J385" s="27">
        <f t="shared" si="80"/>
      </c>
      <c r="K385" s="28">
        <f t="shared" si="104"/>
      </c>
      <c r="L385" s="29">
        <f t="shared" si="142"/>
      </c>
      <c r="M385" s="28">
        <f t="shared" si="123"/>
      </c>
      <c r="N385" s="28">
        <f t="shared" si="161"/>
      </c>
      <c r="O385" s="29">
        <f t="shared" si="180"/>
      </c>
      <c r="P385" s="28">
        <f t="shared" si="199"/>
      </c>
      <c r="Q385" s="28">
        <f t="shared" si="218"/>
      </c>
      <c r="R385" s="30">
        <f t="shared" si="237"/>
      </c>
      <c r="S385" s="31">
        <f t="shared" si="256"/>
      </c>
      <c r="T385" s="30">
        <f t="shared" si="275"/>
      </c>
      <c r="U385" s="79">
        <f t="shared" si="85"/>
      </c>
      <c r="V385" s="49" t="s">
        <v>35</v>
      </c>
      <c r="W385" s="33" t="s">
        <v>36</v>
      </c>
      <c r="X385" s="80"/>
      <c r="Y385" s="34"/>
      <c r="Z385" s="36"/>
      <c r="AA385" s="36"/>
      <c r="AB385" s="36"/>
      <c r="AC385" s="36"/>
      <c r="AD385" s="36"/>
      <c r="AE385" s="34"/>
    </row>
    <row customHeight="true" ht="18.452380952380953" r="386">
      <c r="A386" s="19"/>
      <c r="B386" s="20" t="s">
        <v>45</v>
      </c>
      <c r="C386" s="21" t="s">
        <v>34</v>
      </c>
      <c r="D386" s="37">
        <f t="shared" si="61"/>
      </c>
      <c r="E386" s="24"/>
      <c r="F386" s="24"/>
      <c r="G386" s="24"/>
      <c r="H386" s="25"/>
      <c r="I386" s="63"/>
      <c r="J386" s="27">
        <f t="shared" si="80"/>
      </c>
      <c r="K386" s="28">
        <f t="shared" si="104"/>
      </c>
      <c r="L386" s="29">
        <f t="shared" si="142"/>
      </c>
      <c r="M386" s="28">
        <f t="shared" si="123"/>
      </c>
      <c r="N386" s="28">
        <f t="shared" si="161"/>
      </c>
      <c r="O386" s="29">
        <f t="shared" si="180"/>
      </c>
      <c r="P386" s="28">
        <f t="shared" si="199"/>
      </c>
      <c r="Q386" s="28">
        <f t="shared" si="218"/>
      </c>
      <c r="R386" s="30">
        <f t="shared" si="237"/>
      </c>
      <c r="S386" s="31">
        <f t="shared" si="256"/>
      </c>
      <c r="T386" s="30">
        <f t="shared" si="275"/>
      </c>
      <c r="U386" s="79">
        <f t="shared" si="85"/>
      </c>
      <c r="V386" s="49" t="s">
        <v>35</v>
      </c>
      <c r="W386" s="33" t="s">
        <v>36</v>
      </c>
      <c r="X386" s="80"/>
      <c r="Y386" s="34"/>
      <c r="Z386" s="36"/>
      <c r="AA386" s="36"/>
      <c r="AB386" s="36"/>
      <c r="AC386" s="36"/>
      <c r="AD386" s="36"/>
      <c r="AE386" s="34"/>
    </row>
    <row customHeight="true" ht="18.452380952380953" r="387">
      <c r="A387" s="19"/>
      <c r="B387" s="20" t="s">
        <v>46</v>
      </c>
      <c r="C387" s="21" t="s">
        <v>34</v>
      </c>
      <c r="D387" s="37">
        <f t="shared" si="61"/>
      </c>
      <c r="E387" s="24"/>
      <c r="F387" s="24"/>
      <c r="G387" s="24"/>
      <c r="H387" s="25"/>
      <c r="I387" s="63"/>
      <c r="J387" s="27">
        <f t="shared" si="80"/>
      </c>
      <c r="K387" s="28">
        <f t="shared" si="104"/>
      </c>
      <c r="L387" s="29">
        <f t="shared" si="142"/>
      </c>
      <c r="M387" s="28">
        <f t="shared" si="123"/>
      </c>
      <c r="N387" s="28">
        <f t="shared" si="161"/>
      </c>
      <c r="O387" s="29">
        <f t="shared" si="180"/>
      </c>
      <c r="P387" s="28">
        <f t="shared" si="199"/>
      </c>
      <c r="Q387" s="28">
        <f t="shared" si="218"/>
      </c>
      <c r="R387" s="30">
        <f t="shared" si="237"/>
      </c>
      <c r="S387" s="31">
        <f t="shared" si="256"/>
      </c>
      <c r="T387" s="30">
        <f t="shared" si="275"/>
      </c>
      <c r="U387" s="79">
        <f t="shared" si="85"/>
      </c>
      <c r="V387" s="49" t="s">
        <v>35</v>
      </c>
      <c r="W387" s="33" t="s">
        <v>36</v>
      </c>
      <c r="X387" s="80"/>
      <c r="Y387" s="34"/>
      <c r="Z387" s="36"/>
      <c r="AA387" s="36"/>
      <c r="AB387" s="36"/>
      <c r="AC387" s="36"/>
      <c r="AD387" s="36"/>
      <c r="AE387" s="34"/>
    </row>
    <row customHeight="true" ht="18.452380952380953" r="388">
      <c r="A388" s="19"/>
      <c r="B388" s="20" t="s">
        <v>47</v>
      </c>
      <c r="C388" s="21" t="s">
        <v>34</v>
      </c>
      <c r="D388" s="37">
        <f t="shared" si="61"/>
      </c>
      <c r="E388" s="24"/>
      <c r="F388" s="24"/>
      <c r="G388" s="24"/>
      <c r="H388" s="25"/>
      <c r="I388" s="63"/>
      <c r="J388" s="27">
        <f t="shared" si="80"/>
      </c>
      <c r="K388" s="28">
        <f t="shared" si="104"/>
      </c>
      <c r="L388" s="29">
        <f t="shared" si="142"/>
      </c>
      <c r="M388" s="28">
        <f t="shared" si="123"/>
      </c>
      <c r="N388" s="28">
        <f t="shared" si="161"/>
      </c>
      <c r="O388" s="29">
        <f t="shared" si="180"/>
      </c>
      <c r="P388" s="28">
        <f t="shared" si="199"/>
      </c>
      <c r="Q388" s="28">
        <f t="shared" si="218"/>
      </c>
      <c r="R388" s="30">
        <f t="shared" si="237"/>
      </c>
      <c r="S388" s="31">
        <f t="shared" si="256"/>
      </c>
      <c r="T388" s="30">
        <f t="shared" si="275"/>
      </c>
      <c r="U388" s="79">
        <f t="shared" si="85"/>
      </c>
      <c r="V388" s="49" t="s">
        <v>35</v>
      </c>
      <c r="W388" s="33" t="s">
        <v>36</v>
      </c>
      <c r="X388" s="80"/>
      <c r="Y388" s="34"/>
      <c r="Z388" s="36"/>
      <c r="AA388" s="36"/>
      <c r="AB388" s="36"/>
      <c r="AC388" s="36"/>
      <c r="AD388" s="36"/>
      <c r="AE388" s="34"/>
    </row>
    <row customHeight="true" ht="18.452380952380953" r="389">
      <c r="A389" s="19"/>
      <c r="B389" s="38" t="s">
        <v>42</v>
      </c>
      <c r="C389" s="38"/>
      <c r="D389" s="73">
        <f>SUM(D384:D388)</f>
      </c>
      <c r="E389" s="73">
        <f>SUM(E384:E388)</f>
      </c>
      <c r="F389" s="73">
        <f>SUM(F384:F388)</f>
      </c>
      <c r="G389" s="73">
        <f>SUM(G384:G388)</f>
      </c>
      <c r="H389" s="40">
        <f>SUM(H384:H388)</f>
      </c>
      <c r="I389" s="62">
        <f>SUM(I384:I388)</f>
      </c>
      <c r="J389" s="42">
        <f t="shared" si="80"/>
      </c>
      <c r="K389" s="43">
        <f t="shared" si="104"/>
      </c>
      <c r="L389" s="44">
        <f t="shared" si="142"/>
      </c>
      <c r="M389" s="43">
        <f t="shared" si="123"/>
      </c>
      <c r="N389" s="43">
        <f t="shared" si="161"/>
      </c>
      <c r="O389" s="44">
        <f t="shared" si="180"/>
      </c>
      <c r="P389" s="43">
        <f t="shared" si="199"/>
      </c>
      <c r="Q389" s="43">
        <f t="shared" si="218"/>
      </c>
      <c r="R389" s="45">
        <f t="shared" si="237"/>
      </c>
      <c r="S389" s="46">
        <f t="shared" si="256"/>
      </c>
      <c r="T389" s="45">
        <f t="shared" si="275"/>
      </c>
      <c r="U389" s="81">
        <f t="shared" si="85"/>
      </c>
      <c r="V389" s="47"/>
      <c r="W389" s="47"/>
      <c r="X389" s="82">
        <f>SUM(X384:X388)</f>
      </c>
      <c r="Y389" s="48">
        <f>SUM(Y384:Y388)</f>
      </c>
      <c r="Z389" s="48">
        <f>SUM(Z384:Z388)</f>
      </c>
      <c r="AA389" s="48">
        <f>SUM(AA384:AA388)</f>
      </c>
      <c r="AB389" s="48">
        <f>SUM(AB384:AB388)</f>
      </c>
      <c r="AC389" s="48">
        <f>SUM(AC384:AC388)</f>
      </c>
      <c r="AD389" s="48">
        <f>SUM(AD384:AD388)</f>
      </c>
      <c r="AE389" s="48">
        <f>SUM(AE384:AE388)</f>
      </c>
    </row>
    <row customHeight="true" ht="18.452380952380953" r="390">
      <c r="A390" s="19"/>
      <c r="B390" s="70" t="s">
        <v>49</v>
      </c>
      <c r="C390" s="70"/>
      <c r="D390" s="74">
        <f>D389+D383+D376+D380</f>
      </c>
      <c r="E390" s="74">
        <f>E389+E383+E376+E380</f>
      </c>
      <c r="F390" s="74">
        <f>F389+F383+F376+F380</f>
      </c>
      <c r="G390" s="74">
        <f>G389+G383+G376+G380</f>
      </c>
      <c r="H390" s="75">
        <f>H389+H383+H376+H380</f>
      </c>
      <c r="I390" s="60">
        <f>I389+I383+I376+I380</f>
      </c>
      <c r="J390" s="54">
        <f t="shared" si="80"/>
      </c>
      <c r="K390" s="55">
        <f t="shared" si="104"/>
      </c>
      <c r="L390" s="54">
        <f t="shared" si="142"/>
      </c>
      <c r="M390" s="55">
        <f t="shared" si="123"/>
      </c>
      <c r="N390" s="55">
        <f t="shared" si="161"/>
      </c>
      <c r="O390" s="54">
        <f t="shared" si="180"/>
      </c>
      <c r="P390" s="55">
        <f t="shared" si="199"/>
      </c>
      <c r="Q390" s="55">
        <f t="shared" si="218"/>
      </c>
      <c r="R390" s="54">
        <f t="shared" si="237"/>
      </c>
      <c r="S390" s="56">
        <f t="shared" si="256"/>
      </c>
      <c r="T390" s="54">
        <f t="shared" si="275"/>
      </c>
      <c r="U390" s="83">
        <f t="shared" si="85"/>
      </c>
      <c r="V390" s="57"/>
      <c r="W390" s="57"/>
      <c r="X390" s="53">
        <f>X389+X383+X376+X380</f>
      </c>
      <c r="Y390" s="53">
        <f>Y389+Y383+Y376+Y380</f>
      </c>
      <c r="Z390" s="60">
        <f>Z389+Z383+Z376+Z380</f>
      </c>
      <c r="AA390" s="60">
        <f>AA389+AA383+AA376+AA380</f>
      </c>
      <c r="AB390" s="60">
        <f>AB389+AB383+AB376+AB380</f>
      </c>
      <c r="AC390" s="60">
        <f>AC389+AC383+AC376+AC380</f>
      </c>
      <c r="AD390" s="60">
        <f>AD389+AD383+AD376+AD380</f>
      </c>
      <c r="AE390" s="53">
        <f>AE389+AE383+AE376+AE380</f>
      </c>
    </row>
    <row r="391">
      <c r="A391" s="86" t="s">
        <v>66</v>
      </c>
      <c r="B391" s="86">
        <v>1</v>
      </c>
      <c r="C391" s="87">
        <v>17136</v>
      </c>
      <c r="D391" s="88">
        <v>20</v>
      </c>
      <c r="E391" s="87">
        <v>9164</v>
      </c>
      <c r="F391" s="89">
        <v>737</v>
      </c>
      <c r="G391" s="88">
        <v>64</v>
      </c>
      <c r="H391" s="90">
        <f>H392-H390</f>
      </c>
      <c r="I391" s="90">
        <f>I392-I390</f>
      </c>
    </row>
    <row r="392">
      <c r="A392" s="86" t="s">
        <v>67</v>
      </c>
      <c r="B392" s="91">
        <v>1</v>
      </c>
      <c r="C392" s="92">
        <v>18758</v>
      </c>
      <c r="D392" s="93">
        <v>487</v>
      </c>
      <c r="E392" s="92">
        <v>17475</v>
      </c>
      <c r="F392" s="92">
        <v>3966</v>
      </c>
      <c r="G392" s="94">
        <v>384</v>
      </c>
      <c r="H392" s="90">
        <v>9</v>
      </c>
      <c r="I392" s="90">
        <v>13208.49</v>
      </c>
    </row>
    <row r="393">
      <c r="A393" s="86" t="s">
        <v>68</v>
      </c>
      <c r="B393" s="86">
        <v>0</v>
      </c>
      <c r="C393" s="87">
        <v>9682</v>
      </c>
      <c r="D393" s="89">
        <v>37</v>
      </c>
      <c r="E393" s="87">
        <v>13719</v>
      </c>
      <c r="F393" s="89">
        <v>969</v>
      </c>
      <c r="G393" s="88">
        <v>93</v>
      </c>
      <c r="H393" s="95"/>
    </row>
    <row r="394">
      <c r="A394" s="96" t="s">
        <v>69</v>
      </c>
      <c r="B394" s="97">
        <f>B393+B392+B391</f>
      </c>
      <c r="C394" s="97">
        <f>C391+C392+C393</f>
      </c>
      <c r="D394" s="97">
        <f>D391+D392+D393</f>
      </c>
      <c r="E394" s="97">
        <f>E391+E392+E393</f>
      </c>
      <c r="F394" s="97">
        <f>F391+F392+F393</f>
      </c>
      <c r="G394" s="97">
        <f>G391+G392+G393</f>
      </c>
    </row>
  </sheetData>
  <mergeCells>
    <mergeCell ref="B336:C336"/>
    <mergeCell ref="B339:C339"/>
    <mergeCell ref="B332:C332"/>
    <mergeCell ref="K325:T325"/>
    <mergeCell ref="D325:J325"/>
    <mergeCell ref="A325:C325"/>
    <mergeCell ref="V325:W325"/>
    <mergeCell ref="A308:A324"/>
    <mergeCell ref="B320:C320"/>
    <mergeCell ref="B323:C323"/>
    <mergeCell ref="B324:C324"/>
    <mergeCell ref="B316:C316"/>
    <mergeCell ref="B313:C313"/>
    <mergeCell ref="K306:T306"/>
    <mergeCell ref="D306:J306"/>
    <mergeCell ref="A306:C306"/>
    <mergeCell ref="V306:W306"/>
    <mergeCell ref="B273:C273"/>
    <mergeCell ref="B276:C276"/>
    <mergeCell ref="B283:C283"/>
    <mergeCell ref="B282:C282"/>
    <mergeCell ref="B269:C269"/>
    <mergeCell ref="K262:T262"/>
    <mergeCell ref="D262:J262"/>
    <mergeCell ref="A262:C262"/>
    <mergeCell ref="B261:C261"/>
    <mergeCell ref="B260:C260"/>
    <mergeCell ref="B254:C254"/>
    <mergeCell ref="B248:C248"/>
    <mergeCell ref="A243:A261"/>
    <mergeCell ref="K241:T241"/>
    <mergeCell ref="D241:J241"/>
    <mergeCell ref="A241:C241"/>
    <mergeCell ref="B240:C240"/>
    <mergeCell ref="B239:C239"/>
    <mergeCell ref="B233:C233"/>
    <mergeCell ref="B227:C227"/>
    <mergeCell ref="A222:A240"/>
    <mergeCell ref="K220:T220"/>
    <mergeCell ref="D220:J220"/>
    <mergeCell ref="A220:C220"/>
    <mergeCell ref="B219:C219"/>
    <mergeCell ref="B218:C218"/>
    <mergeCell ref="B212:C212"/>
    <mergeCell ref="B206:C206"/>
    <mergeCell ref="A201:A219"/>
    <mergeCell ref="K199:T199"/>
    <mergeCell ref="D199:J199"/>
    <mergeCell ref="A199:C199"/>
    <mergeCell ref="B198:C198"/>
    <mergeCell ref="B197:C197"/>
    <mergeCell ref="B191:C191"/>
    <mergeCell ref="B185:C185"/>
    <mergeCell ref="A180:A198"/>
    <mergeCell ref="K178:T178"/>
    <mergeCell ref="D178:J178"/>
    <mergeCell ref="A178:C178"/>
    <mergeCell ref="B177:C177"/>
    <mergeCell ref="B176:C176"/>
    <mergeCell ref="B170:C170"/>
    <mergeCell ref="B164:C164"/>
    <mergeCell ref="A159:A177"/>
    <mergeCell ref="K157:T157"/>
    <mergeCell ref="D157:J157"/>
    <mergeCell ref="A157:C157"/>
    <mergeCell ref="B156:C156"/>
    <mergeCell ref="B155:C155"/>
    <mergeCell ref="B149:C149"/>
    <mergeCell ref="B143:C143"/>
    <mergeCell ref="A138:A156"/>
    <mergeCell ref="K136:T136"/>
    <mergeCell ref="D136:J136"/>
    <mergeCell ref="A136:C136"/>
    <mergeCell ref="B135:C135"/>
    <mergeCell ref="B134:C134"/>
    <mergeCell ref="B128:C128"/>
    <mergeCell ref="B122:C122"/>
    <mergeCell ref="A117:A135"/>
    <mergeCell ref="K115:T115"/>
    <mergeCell ref="D115:J115"/>
    <mergeCell ref="A115:C115"/>
    <mergeCell ref="B93:C93"/>
    <mergeCell ref="B92:C92"/>
    <mergeCell ref="B86:C86"/>
    <mergeCell ref="B80:C80"/>
    <mergeCell ref="A75:A93"/>
    <mergeCell ref="K73:T73"/>
    <mergeCell ref="D73:J73"/>
    <mergeCell ref="A73:C73"/>
    <mergeCell ref="K1:T1"/>
    <mergeCell ref="D1:J1"/>
    <mergeCell ref="A1:C1"/>
    <mergeCell ref="A3:A15"/>
    <mergeCell ref="B8:C8"/>
    <mergeCell ref="B14:C14"/>
    <mergeCell ref="B15:C15"/>
    <mergeCell ref="K16:T16"/>
    <mergeCell ref="D16:J16"/>
    <mergeCell ref="A16:C16"/>
    <mergeCell ref="B22:C22"/>
    <mergeCell ref="A18:A33"/>
    <mergeCell ref="B32:C32"/>
    <mergeCell ref="B33:C33"/>
    <mergeCell ref="B26:C26"/>
    <mergeCell ref="K34:T34"/>
    <mergeCell ref="D34:J34"/>
    <mergeCell ref="A34:C34"/>
    <mergeCell ref="B40:C40"/>
    <mergeCell ref="A36:A51"/>
    <mergeCell ref="B50:C50"/>
    <mergeCell ref="B51:C51"/>
    <mergeCell ref="B44:C44"/>
    <mergeCell ref="K52:T52"/>
    <mergeCell ref="D52:J52"/>
    <mergeCell ref="A52:C52"/>
    <mergeCell ref="A54:A72"/>
    <mergeCell ref="B65:C65"/>
    <mergeCell ref="B71:C71"/>
    <mergeCell ref="B72:C72"/>
    <mergeCell ref="B59:C59"/>
    <mergeCell ref="K94:T94"/>
    <mergeCell ref="D94:J94"/>
    <mergeCell ref="A94:C94"/>
    <mergeCell ref="A96:A114"/>
    <mergeCell ref="B101:C101"/>
    <mergeCell ref="B107:C107"/>
    <mergeCell ref="B113:C113"/>
    <mergeCell ref="B114:C114"/>
    <mergeCell ref="A264:A283"/>
    <mergeCell ref="K284:T284"/>
    <mergeCell ref="D284:J284"/>
    <mergeCell ref="A284:C284"/>
    <mergeCell ref="A286:A305"/>
    <mergeCell ref="B291:C291"/>
    <mergeCell ref="B295:C295"/>
    <mergeCell ref="B298:C298"/>
    <mergeCell ref="B304:C304"/>
    <mergeCell ref="B305:C305"/>
    <mergeCell ref="V284:W284"/>
    <mergeCell ref="V94:W94"/>
    <mergeCell ref="V52:W52"/>
    <mergeCell ref="V34:W34"/>
    <mergeCell ref="V16:W16"/>
    <mergeCell ref="V1:W1"/>
    <mergeCell ref="V73:W73"/>
    <mergeCell ref="V115:W115"/>
    <mergeCell ref="V136:W136"/>
    <mergeCell ref="V157:W157"/>
    <mergeCell ref="V178:W178"/>
    <mergeCell ref="V199:W199"/>
    <mergeCell ref="V220:W220"/>
    <mergeCell ref="V241:W241"/>
    <mergeCell ref="V262:W262"/>
    <mergeCell ref="A327:A346"/>
    <mergeCell ref="B345:C345"/>
    <mergeCell ref="B346:C346"/>
    <mergeCell ref="K347:T347"/>
    <mergeCell ref="D347:J347"/>
    <mergeCell ref="A347:C347"/>
    <mergeCell ref="V347:W347"/>
    <mergeCell ref="A349:A368"/>
    <mergeCell ref="B354:C354"/>
    <mergeCell ref="B358:C358"/>
    <mergeCell ref="B361:C361"/>
    <mergeCell ref="B367:C367"/>
    <mergeCell ref="B368:C368"/>
    <mergeCell ref="K369:T369"/>
    <mergeCell ref="D369:J369"/>
    <mergeCell ref="A369:C369"/>
    <mergeCell ref="V369:W369"/>
    <mergeCell ref="A371:A390"/>
    <mergeCell ref="B376:C376"/>
    <mergeCell ref="B380:C380"/>
    <mergeCell ref="B383:C383"/>
    <mergeCell ref="B389:C389"/>
    <mergeCell ref="B390:C390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20" min="20" style="0" width="11.211267605633802"/>
    <col collapsed="false" customWidth="true" hidden="false" max="8" min="8" style="0" width="11.211267605633802"/>
    <col collapsed="false" customWidth="true" hidden="false" max="12" min="12" style="0" width="11.211267605633802"/>
    <col collapsed="false" customWidth="true" hidden="false" max="16" min="16" style="0" width="11.211267605633802"/>
    <col collapsed="false" customWidth="true" hidden="false" max="15" min="15" style="0" width="11.211267605633802"/>
    <col collapsed="false" customWidth="true" hidden="false" max="19" min="19" style="0" width="11.211267605633802"/>
    <col collapsed="false" customWidth="true" hidden="false" max="3" min="3" style="0" width="11.211267605633802"/>
    <col collapsed="false" customWidth="true" hidden="false" max="7" min="7" style="0" width="11.211267605633802"/>
    <col collapsed="false" customWidth="true" hidden="false" max="11" min="11" style="0" width="11.211267605633802"/>
    <col collapsed="false" customWidth="true" hidden="false" max="18" min="18" style="0" width="11.211267605633802"/>
    <col collapsed="false" customWidth="true" hidden="false" max="6" min="6" style="0" width="11.211267605633802"/>
    <col collapsed="false" customWidth="true" hidden="false" max="10" min="10" style="0" width="11.211267605633802"/>
    <col collapsed="false" customWidth="true" hidden="false" max="14" min="14" style="0" width="11.211267605633802"/>
    <col collapsed="false" customWidth="true" hidden="false" max="13" min="13" style="0" width="11.211267605633802"/>
    <col collapsed="false" customWidth="true" hidden="false" max="21" min="21" style="0" width="11.211267605633802"/>
  </cols>
  <sheetData>
    <row r="1">
      <c r="A1" s="98" t="s">
        <v>70</v>
      </c>
      <c r="B1" s="98"/>
      <c r="C1" s="98"/>
      <c r="D1" s="99" t="s">
        <v>71</v>
      </c>
      <c r="E1" s="99"/>
      <c r="F1" s="99"/>
      <c r="G1" s="99"/>
      <c r="H1" s="100"/>
      <c r="I1" s="100"/>
      <c r="J1" s="100"/>
      <c r="K1" s="101" t="s">
        <v>72</v>
      </c>
      <c r="L1" s="101"/>
      <c r="M1" s="101"/>
      <c r="N1" s="101"/>
      <c r="O1" s="101"/>
      <c r="P1" s="101"/>
      <c r="Q1" s="101"/>
      <c r="R1" s="101"/>
      <c r="S1" s="101"/>
      <c r="T1" s="101"/>
      <c r="U1" s="102"/>
      <c r="V1" s="102"/>
      <c r="W1" s="103"/>
      <c r="X1" s="103"/>
      <c r="Y1" s="103"/>
      <c r="Z1" s="103"/>
      <c r="AA1" s="103"/>
      <c r="AB1" s="103"/>
      <c r="AC1" s="103"/>
      <c r="AD1" s="104"/>
      <c r="AE1" s="104"/>
    </row>
    <row r="2">
      <c r="A2" s="105" t="s">
        <v>73</v>
      </c>
      <c r="B2" s="106" t="s">
        <v>74</v>
      </c>
      <c r="C2" s="106" t="s">
        <v>75</v>
      </c>
      <c r="D2" s="107" t="s">
        <v>76</v>
      </c>
      <c r="E2" s="108" t="s">
        <v>77</v>
      </c>
      <c r="F2" s="108" t="s">
        <v>78</v>
      </c>
      <c r="G2" s="108" t="s">
        <v>79</v>
      </c>
      <c r="H2" s="109" t="s">
        <v>80</v>
      </c>
      <c r="I2" s="109" t="s">
        <v>81</v>
      </c>
      <c r="J2" s="110" t="s">
        <v>82</v>
      </c>
      <c r="K2" s="101" t="s">
        <v>83</v>
      </c>
      <c r="L2" s="101" t="s">
        <v>84</v>
      </c>
      <c r="M2" s="111" t="s">
        <v>85</v>
      </c>
      <c r="N2" s="111" t="s">
        <v>86</v>
      </c>
      <c r="O2" s="101" t="s">
        <v>87</v>
      </c>
      <c r="P2" s="111" t="s">
        <v>88</v>
      </c>
      <c r="Q2" s="111" t="s">
        <v>89</v>
      </c>
      <c r="R2" s="112" t="s">
        <v>90</v>
      </c>
      <c r="S2" s="111" t="s">
        <v>91</v>
      </c>
      <c r="T2" s="112" t="s">
        <v>92</v>
      </c>
      <c r="U2" s="113" t="s">
        <v>93</v>
      </c>
      <c r="V2" s="113" t="s">
        <v>94</v>
      </c>
      <c r="W2" s="114" t="s">
        <v>95</v>
      </c>
      <c r="X2" s="115" t="s">
        <v>96</v>
      </c>
      <c r="Y2" s="115" t="s">
        <v>97</v>
      </c>
      <c r="Z2" s="115" t="s">
        <v>98</v>
      </c>
      <c r="AA2" s="115" t="s">
        <v>99</v>
      </c>
      <c r="AB2" s="115" t="s">
        <v>100</v>
      </c>
      <c r="AC2" s="116" t="s">
        <v>101</v>
      </c>
      <c r="AD2" s="104"/>
      <c r="AE2" s="104"/>
    </row>
    <row r="3">
      <c r="A3" s="117">
        <v>46286</v>
      </c>
      <c r="B3" s="118" t="s">
        <v>102</v>
      </c>
      <c r="C3" s="119" t="s">
        <v>103</v>
      </c>
      <c r="D3" s="120">
        <f t="shared" ref="D3:D5" si="0">E3+F3</f>
      </c>
      <c r="E3" s="121">
        <v>0</v>
      </c>
      <c r="F3" s="120">
        <v>154.767</v>
      </c>
      <c r="G3" s="120"/>
      <c r="H3" s="122">
        <v>0</v>
      </c>
      <c r="I3" s="123">
        <v>0</v>
      </c>
      <c r="J3" s="124">
        <f t="shared" ref="J3:J11" si="98">I3/D3</f>
      </c>
      <c r="K3" s="125">
        <f t="shared" ref="K3:K11" si="58">Y3/X3</f>
      </c>
      <c r="L3" s="126">
        <f t="shared" ref="L3:L11" si="38">D3/Z3</f>
      </c>
      <c r="M3" s="125">
        <f t="shared" ref="M3:M11" si="68">AA3/Z3</f>
      </c>
      <c r="N3" s="125">
        <f t="shared" ref="N3:N11" si="12">AB3/Z3</f>
      </c>
      <c r="O3" s="126">
        <f t="shared" ref="O3:O11" si="108">D3/AB3</f>
      </c>
      <c r="P3" s="125">
        <f t="shared" ref="P3:P11" si="78">AC3/AB3</f>
      </c>
      <c r="Q3" s="125">
        <f t="shared" ref="Q3:Q11" si="48">H3/AC3</f>
      </c>
      <c r="R3" s="127">
        <f t="shared" ref="R3:R11" si="22">D3/H3</f>
      </c>
      <c r="S3" s="128">
        <f t="shared" ref="S3:S11" si="118">I3/H3</f>
      </c>
      <c r="T3" s="127">
        <f t="shared" ref="T3:T11" si="88">D3/W3</f>
      </c>
      <c r="U3" s="129" t="s">
        <v>104</v>
      </c>
      <c r="V3" s="130" t="s">
        <v>105</v>
      </c>
      <c r="W3" s="131">
        <v>0</v>
      </c>
      <c r="X3" s="132">
        <v>1489</v>
      </c>
      <c r="Y3" s="133">
        <v>10</v>
      </c>
      <c r="Z3" s="131">
        <v>625</v>
      </c>
      <c r="AA3" s="131">
        <v>54</v>
      </c>
      <c r="AB3" s="131">
        <v>22</v>
      </c>
      <c r="AC3" s="131">
        <v>0</v>
      </c>
      <c r="AD3" s="104"/>
      <c r="AE3" s="104"/>
    </row>
    <row r="4">
      <c r="A4" s="134"/>
      <c r="B4" s="118" t="s">
        <v>106</v>
      </c>
      <c r="C4" s="119" t="s">
        <v>103</v>
      </c>
      <c r="D4" s="120">
        <f t="shared" si="0"/>
      </c>
      <c r="E4" s="121">
        <v>0</v>
      </c>
      <c r="F4" s="120">
        <v>234.108</v>
      </c>
      <c r="G4" s="120"/>
      <c r="H4" s="122">
        <v>0</v>
      </c>
      <c r="I4" s="123">
        <v>0</v>
      </c>
      <c r="J4" s="124">
        <f t="shared" si="98"/>
      </c>
      <c r="K4" s="125">
        <f t="shared" si="58"/>
      </c>
      <c r="L4" s="126">
        <f t="shared" si="38"/>
      </c>
      <c r="M4" s="125">
        <f t="shared" si="68"/>
      </c>
      <c r="N4" s="125">
        <f t="shared" si="12"/>
      </c>
      <c r="O4" s="126">
        <f t="shared" si="108"/>
      </c>
      <c r="P4" s="125">
        <f t="shared" si="78"/>
      </c>
      <c r="Q4" s="125">
        <f t="shared" si="48"/>
      </c>
      <c r="R4" s="127">
        <f t="shared" si="22"/>
      </c>
      <c r="S4" s="128">
        <f t="shared" si="118"/>
      </c>
      <c r="T4" s="127">
        <f t="shared" si="88"/>
      </c>
      <c r="U4" s="129" t="s">
        <v>104</v>
      </c>
      <c r="V4" s="130" t="s">
        <v>107</v>
      </c>
      <c r="W4" s="131">
        <v>0</v>
      </c>
      <c r="X4" s="132">
        <v>3451</v>
      </c>
      <c r="Y4" s="132">
        <v>14</v>
      </c>
      <c r="Z4" s="133">
        <v>2792</v>
      </c>
      <c r="AA4" s="133">
        <v>231</v>
      </c>
      <c r="AB4" s="131">
        <v>31</v>
      </c>
      <c r="AC4" s="131">
        <v>0</v>
      </c>
      <c r="AD4" s="104"/>
      <c r="AE4" s="104"/>
    </row>
    <row r="5">
      <c r="A5" s="134"/>
      <c r="B5" s="118" t="s">
        <v>108</v>
      </c>
      <c r="C5" s="119" t="s">
        <v>103</v>
      </c>
      <c r="D5" s="120">
        <f t="shared" si="0"/>
      </c>
      <c r="E5" s="121">
        <v>0</v>
      </c>
      <c r="F5" s="120">
        <v>229.888</v>
      </c>
      <c r="G5" s="120"/>
      <c r="H5" s="122">
        <v>1</v>
      </c>
      <c r="I5" s="135">
        <v>1216.08</v>
      </c>
      <c r="J5" s="124">
        <f t="shared" si="98"/>
      </c>
      <c r="K5" s="125">
        <f t="shared" si="58"/>
      </c>
      <c r="L5" s="126">
        <f t="shared" si="38"/>
      </c>
      <c r="M5" s="125">
        <f t="shared" si="68"/>
      </c>
      <c r="N5" s="125">
        <f t="shared" si="12"/>
      </c>
      <c r="O5" s="126">
        <f t="shared" si="108"/>
      </c>
      <c r="P5" s="125">
        <f t="shared" si="78"/>
      </c>
      <c r="Q5" s="125">
        <f t="shared" si="48"/>
      </c>
      <c r="R5" s="127">
        <f t="shared" si="22"/>
      </c>
      <c r="S5" s="128">
        <f t="shared" si="118"/>
      </c>
      <c r="T5" s="127">
        <f t="shared" si="88"/>
      </c>
      <c r="U5" s="129" t="s">
        <v>104</v>
      </c>
      <c r="V5" s="130" t="s">
        <v>107</v>
      </c>
      <c r="W5" s="131">
        <v>1</v>
      </c>
      <c r="X5" s="133">
        <v>4407</v>
      </c>
      <c r="Y5" s="133">
        <v>9</v>
      </c>
      <c r="Z5" s="133">
        <v>2911</v>
      </c>
      <c r="AA5" s="133">
        <v>184</v>
      </c>
      <c r="AB5" s="131">
        <v>38</v>
      </c>
      <c r="AC5" s="131">
        <v>1</v>
      </c>
      <c r="AD5" s="104"/>
      <c r="AE5" s="104"/>
    </row>
    <row r="6">
      <c r="A6" s="134"/>
      <c r="B6" s="136" t="s">
        <v>109</v>
      </c>
      <c r="C6" s="136"/>
      <c r="D6" s="137">
        <f>SUM(D3:D5)</f>
      </c>
      <c r="E6" s="137">
        <f>SUM(E3:E5)</f>
      </c>
      <c r="F6" s="137">
        <f>SUM(F3:F5)</f>
      </c>
      <c r="G6" s="137"/>
      <c r="H6" s="138">
        <f>SUM(H3:H5)</f>
      </c>
      <c r="I6" s="139">
        <f>SUM(I3:I5)</f>
      </c>
      <c r="J6" s="140">
        <f t="shared" si="98"/>
      </c>
      <c r="K6" s="141">
        <f t="shared" si="58"/>
      </c>
      <c r="L6" s="142">
        <f t="shared" si="38"/>
      </c>
      <c r="M6" s="141">
        <f t="shared" si="68"/>
      </c>
      <c r="N6" s="141">
        <f t="shared" si="12"/>
      </c>
      <c r="O6" s="142">
        <f t="shared" si="108"/>
      </c>
      <c r="P6" s="141">
        <f t="shared" si="78"/>
      </c>
      <c r="Q6" s="141">
        <f t="shared" si="48"/>
      </c>
      <c r="R6" s="143">
        <f t="shared" si="22"/>
      </c>
      <c r="S6" s="144">
        <f t="shared" si="118"/>
      </c>
      <c r="T6" s="143">
        <f t="shared" si="88"/>
      </c>
      <c r="U6" s="145"/>
      <c r="V6" s="145"/>
      <c r="W6" s="146">
        <f>SUM(W3:W5)</f>
      </c>
      <c r="X6" s="146">
        <f>SUM(X3:X5)</f>
      </c>
      <c r="Y6" s="146">
        <f>SUM(Y3:Y5)</f>
      </c>
      <c r="Z6" s="146">
        <f>SUM(Z3:Z5)</f>
      </c>
      <c r="AA6" s="146">
        <f>SUM(AA3:AA5)</f>
      </c>
      <c r="AB6" s="146">
        <f>SUM(AB3:AB5)</f>
      </c>
      <c r="AC6" s="146">
        <f>SUM(AC3:AC5)</f>
      </c>
      <c r="AD6" s="104"/>
      <c r="AE6" s="104"/>
    </row>
    <row r="7">
      <c r="A7" s="134"/>
      <c r="B7" s="118" t="s">
        <v>110</v>
      </c>
      <c r="C7" s="119" t="s">
        <v>111</v>
      </c>
      <c r="D7" s="120">
        <f t="shared" ref="D7:D9" si="1">E7+F7</f>
      </c>
      <c r="E7" s="121">
        <v>0</v>
      </c>
      <c r="F7" s="120">
        <v>631.03</v>
      </c>
      <c r="G7" s="120"/>
      <c r="H7" s="147">
        <v>2</v>
      </c>
      <c r="I7" s="135">
        <v>1616.88</v>
      </c>
      <c r="J7" s="124">
        <f t="shared" si="98"/>
      </c>
      <c r="K7" s="125">
        <f t="shared" si="58"/>
      </c>
      <c r="L7" s="126">
        <f t="shared" si="38"/>
      </c>
      <c r="M7" s="125">
        <f t="shared" si="68"/>
      </c>
      <c r="N7" s="125">
        <f t="shared" si="12"/>
      </c>
      <c r="O7" s="126">
        <f t="shared" si="108"/>
      </c>
      <c r="P7" s="125">
        <f t="shared" si="78"/>
      </c>
      <c r="Q7" s="125">
        <f t="shared" si="48"/>
      </c>
      <c r="R7" s="127">
        <f t="shared" si="22"/>
      </c>
      <c r="S7" s="128">
        <f t="shared" si="118"/>
      </c>
      <c r="T7" s="127">
        <f t="shared" si="88"/>
      </c>
      <c r="U7" s="148" t="s">
        <v>104</v>
      </c>
      <c r="V7" s="148" t="s">
        <v>107</v>
      </c>
      <c r="W7" s="131">
        <v>2</v>
      </c>
      <c r="X7" s="132">
        <v>13006</v>
      </c>
      <c r="Y7" s="133">
        <v>15</v>
      </c>
      <c r="Z7" s="133">
        <v>17143</v>
      </c>
      <c r="AA7" s="133">
        <v>842</v>
      </c>
      <c r="AB7" s="133">
        <v>92</v>
      </c>
      <c r="AC7" s="131">
        <v>2</v>
      </c>
      <c r="AD7" s="104"/>
      <c r="AE7" s="104"/>
    </row>
    <row r="8">
      <c r="A8" s="134"/>
      <c r="B8" s="118" t="s">
        <v>112</v>
      </c>
      <c r="C8" s="119" t="s">
        <v>111</v>
      </c>
      <c r="D8" s="120">
        <f t="shared" si="1"/>
      </c>
      <c r="E8" s="121">
        <v>0</v>
      </c>
      <c r="F8" s="120">
        <v>673.605</v>
      </c>
      <c r="G8" s="120"/>
      <c r="H8" s="147">
        <v>1</v>
      </c>
      <c r="I8" s="135">
        <v>6774.839999999999</v>
      </c>
      <c r="J8" s="124">
        <f t="shared" si="98"/>
      </c>
      <c r="K8" s="125">
        <f t="shared" si="58"/>
      </c>
      <c r="L8" s="126">
        <f t="shared" si="38"/>
      </c>
      <c r="M8" s="125">
        <f t="shared" si="68"/>
      </c>
      <c r="N8" s="125">
        <f t="shared" si="12"/>
      </c>
      <c r="O8" s="126">
        <f t="shared" si="108"/>
      </c>
      <c r="P8" s="125">
        <f t="shared" si="78"/>
      </c>
      <c r="Q8" s="125">
        <f t="shared" si="48"/>
      </c>
      <c r="R8" s="127">
        <f t="shared" si="22"/>
      </c>
      <c r="S8" s="128">
        <f t="shared" si="118"/>
      </c>
      <c r="T8" s="127">
        <f t="shared" si="88"/>
      </c>
      <c r="U8" s="148" t="s">
        <v>104</v>
      </c>
      <c r="V8" s="148" t="s">
        <v>107</v>
      </c>
      <c r="W8" s="131">
        <v>1</v>
      </c>
      <c r="X8" s="133">
        <v>14777</v>
      </c>
      <c r="Y8" s="133">
        <v>7</v>
      </c>
      <c r="Z8" s="133">
        <v>17822</v>
      </c>
      <c r="AA8" s="133">
        <v>1026</v>
      </c>
      <c r="AB8" s="133">
        <v>98</v>
      </c>
      <c r="AC8" s="131">
        <v>1</v>
      </c>
      <c r="AD8" s="104"/>
      <c r="AE8" s="104"/>
    </row>
    <row r="9">
      <c r="A9" s="134"/>
      <c r="B9" s="118" t="s">
        <v>113</v>
      </c>
      <c r="C9" s="119" t="s">
        <v>111</v>
      </c>
      <c r="D9" s="120">
        <f t="shared" si="1"/>
      </c>
      <c r="E9" s="121">
        <v>0</v>
      </c>
      <c r="F9" s="120">
        <v>492.346</v>
      </c>
      <c r="G9" s="120"/>
      <c r="H9" s="147">
        <v>3</v>
      </c>
      <c r="I9" s="135">
        <v>1693.800000000001</v>
      </c>
      <c r="J9" s="124">
        <f t="shared" si="98"/>
      </c>
      <c r="K9" s="125">
        <f t="shared" si="58"/>
      </c>
      <c r="L9" s="126">
        <f t="shared" si="38"/>
      </c>
      <c r="M9" s="125">
        <f t="shared" si="68"/>
      </c>
      <c r="N9" s="125">
        <f t="shared" si="12"/>
      </c>
      <c r="O9" s="126">
        <f t="shared" si="108"/>
      </c>
      <c r="P9" s="125">
        <f t="shared" si="78"/>
      </c>
      <c r="Q9" s="125">
        <f t="shared" si="48"/>
      </c>
      <c r="R9" s="127">
        <f t="shared" si="22"/>
      </c>
      <c r="S9" s="128">
        <f t="shared" si="118"/>
      </c>
      <c r="T9" s="127">
        <f t="shared" si="88"/>
      </c>
      <c r="U9" s="148" t="s">
        <v>104</v>
      </c>
      <c r="V9" s="148" t="s">
        <v>107</v>
      </c>
      <c r="W9" s="131">
        <v>3</v>
      </c>
      <c r="X9" s="133">
        <v>11970</v>
      </c>
      <c r="Y9" s="133">
        <v>15</v>
      </c>
      <c r="Z9" s="133">
        <v>17668</v>
      </c>
      <c r="AA9" s="133">
        <v>956</v>
      </c>
      <c r="AB9" s="133">
        <v>88</v>
      </c>
      <c r="AC9" s="131">
        <v>3</v>
      </c>
      <c r="AD9" s="104"/>
      <c r="AE9" s="104"/>
    </row>
    <row r="10">
      <c r="A10" s="134"/>
      <c r="B10" s="136" t="s">
        <v>109</v>
      </c>
      <c r="C10" s="136"/>
      <c r="D10" s="137">
        <f>SUM(D7:D9)</f>
      </c>
      <c r="E10" s="137">
        <f>SUM(E7:E9)</f>
      </c>
      <c r="F10" s="137">
        <f>SUM(F7:F9)</f>
      </c>
      <c r="G10" s="137"/>
      <c r="H10" s="138">
        <f>SUM(H7:H9)</f>
      </c>
      <c r="I10" s="139">
        <f>SUM(I7:I9)</f>
      </c>
      <c r="J10" s="140">
        <f t="shared" si="98"/>
      </c>
      <c r="K10" s="141">
        <f t="shared" si="58"/>
      </c>
      <c r="L10" s="142">
        <f t="shared" si="38"/>
      </c>
      <c r="M10" s="141">
        <f t="shared" si="68"/>
      </c>
      <c r="N10" s="141">
        <f t="shared" si="12"/>
      </c>
      <c r="O10" s="142">
        <f t="shared" si="108"/>
      </c>
      <c r="P10" s="141">
        <f t="shared" si="78"/>
      </c>
      <c r="Q10" s="141">
        <f t="shared" si="48"/>
      </c>
      <c r="R10" s="143">
        <f t="shared" si="22"/>
      </c>
      <c r="S10" s="144">
        <f t="shared" si="118"/>
      </c>
      <c r="T10" s="143">
        <f t="shared" si="88"/>
      </c>
      <c r="U10" s="145"/>
      <c r="V10" s="145"/>
      <c r="W10" s="146">
        <f>SUM(W7:W9)</f>
      </c>
      <c r="X10" s="146">
        <f>SUM(X7:X9)</f>
      </c>
      <c r="Y10" s="146">
        <f>SUM(Y7:Y9)</f>
      </c>
      <c r="Z10" s="146">
        <f>SUM(Z7:Z9)</f>
      </c>
      <c r="AA10" s="146">
        <f>SUM(AA7:AA9)</f>
      </c>
      <c r="AB10" s="146">
        <f>SUM(AB7:AB9)</f>
      </c>
      <c r="AC10" s="146">
        <f>SUM(AC7:AC9)</f>
      </c>
      <c r="AD10" s="104"/>
      <c r="AE10" s="104"/>
    </row>
    <row r="11">
      <c r="A11" s="134"/>
      <c r="B11" s="149" t="s">
        <v>114</v>
      </c>
      <c r="C11" s="149"/>
      <c r="D11" s="150">
        <f>D6+D10</f>
      </c>
      <c r="E11" s="150">
        <f>E6+E10</f>
      </c>
      <c r="F11" s="150">
        <f>F6+F10</f>
      </c>
      <c r="G11" s="150"/>
      <c r="H11" s="151">
        <f>H6+H10</f>
      </c>
      <c r="I11" s="151">
        <f>I6+I10</f>
      </c>
      <c r="J11" s="152">
        <f t="shared" si="98"/>
      </c>
      <c r="K11" s="153">
        <f t="shared" si="58"/>
      </c>
      <c r="L11" s="152">
        <f t="shared" si="38"/>
      </c>
      <c r="M11" s="153">
        <f t="shared" si="68"/>
      </c>
      <c r="N11" s="153">
        <f t="shared" si="12"/>
      </c>
      <c r="O11" s="152">
        <f t="shared" si="108"/>
      </c>
      <c r="P11" s="153">
        <f t="shared" si="78"/>
      </c>
      <c r="Q11" s="153">
        <f t="shared" si="48"/>
      </c>
      <c r="R11" s="152">
        <f t="shared" si="22"/>
      </c>
      <c r="S11" s="154">
        <f t="shared" si="118"/>
      </c>
      <c r="T11" s="152">
        <f t="shared" si="88"/>
      </c>
      <c r="U11" s="155"/>
      <c r="V11" s="155"/>
      <c r="W11" s="151">
        <f>W6+W10</f>
      </c>
      <c r="X11" s="151">
        <f>X6+X10</f>
      </c>
      <c r="Y11" s="151">
        <f>Y6+Y10</f>
      </c>
      <c r="Z11" s="151">
        <f>Z6+Z10</f>
      </c>
      <c r="AA11" s="151">
        <f>AA6+AA10</f>
      </c>
      <c r="AB11" s="151">
        <f>AB6+AB10</f>
      </c>
      <c r="AC11" s="151">
        <f>AC6+AC10</f>
      </c>
      <c r="AD11" s="104"/>
      <c r="AE11" s="104"/>
    </row>
    <row r="12">
      <c r="A12" s="98" t="s">
        <v>70</v>
      </c>
      <c r="B12" s="98"/>
      <c r="C12" s="98"/>
      <c r="D12" s="99" t="s">
        <v>71</v>
      </c>
      <c r="E12" s="99"/>
      <c r="F12" s="99"/>
      <c r="G12" s="99"/>
      <c r="H12" s="99"/>
      <c r="I12" s="99"/>
      <c r="J12" s="99"/>
      <c r="K12" s="101" t="s">
        <v>72</v>
      </c>
      <c r="L12" s="101"/>
      <c r="M12" s="101"/>
      <c r="N12" s="101"/>
      <c r="O12" s="101"/>
      <c r="P12" s="101"/>
      <c r="Q12" s="101"/>
      <c r="R12" s="101"/>
      <c r="S12" s="101"/>
      <c r="T12" s="101"/>
      <c r="U12" s="102"/>
      <c r="V12" s="102"/>
      <c r="W12" s="103"/>
      <c r="X12" s="103"/>
      <c r="Y12" s="103"/>
      <c r="Z12" s="103"/>
      <c r="AA12" s="103"/>
      <c r="AB12" s="103"/>
      <c r="AC12" s="103"/>
      <c r="AD12" s="104"/>
      <c r="AE12" s="104"/>
    </row>
    <row r="13">
      <c r="A13" s="105" t="s">
        <v>73</v>
      </c>
      <c r="B13" s="106" t="s">
        <v>74</v>
      </c>
      <c r="C13" s="106" t="s">
        <v>75</v>
      </c>
      <c r="D13" s="107" t="s">
        <v>76</v>
      </c>
      <c r="E13" s="108" t="s">
        <v>77</v>
      </c>
      <c r="F13" s="108" t="s">
        <v>78</v>
      </c>
      <c r="G13" s="108" t="s">
        <v>79</v>
      </c>
      <c r="H13" s="109" t="s">
        <v>80</v>
      </c>
      <c r="I13" s="109" t="s">
        <v>81</v>
      </c>
      <c r="J13" s="110" t="s">
        <v>82</v>
      </c>
      <c r="K13" s="101" t="s">
        <v>83</v>
      </c>
      <c r="L13" s="101" t="s">
        <v>84</v>
      </c>
      <c r="M13" s="111" t="s">
        <v>85</v>
      </c>
      <c r="N13" s="111" t="s">
        <v>86</v>
      </c>
      <c r="O13" s="101" t="s">
        <v>87</v>
      </c>
      <c r="P13" s="111" t="s">
        <v>88</v>
      </c>
      <c r="Q13" s="111" t="s">
        <v>89</v>
      </c>
      <c r="R13" s="112" t="s">
        <v>90</v>
      </c>
      <c r="S13" s="111" t="s">
        <v>91</v>
      </c>
      <c r="T13" s="112" t="s">
        <v>92</v>
      </c>
      <c r="U13" s="113" t="s">
        <v>93</v>
      </c>
      <c r="V13" s="113" t="s">
        <v>94</v>
      </c>
      <c r="W13" s="114" t="s">
        <v>95</v>
      </c>
      <c r="X13" s="115" t="s">
        <v>96</v>
      </c>
      <c r="Y13" s="115" t="s">
        <v>97</v>
      </c>
      <c r="Z13" s="115" t="s">
        <v>98</v>
      </c>
      <c r="AA13" s="115" t="s">
        <v>99</v>
      </c>
      <c r="AB13" s="115" t="s">
        <v>100</v>
      </c>
      <c r="AC13" s="116" t="s">
        <v>101</v>
      </c>
      <c r="AD13" s="104"/>
      <c r="AE13" s="104"/>
    </row>
    <row r="14">
      <c r="A14" s="117">
        <v>46287</v>
      </c>
      <c r="B14" s="118" t="s">
        <v>102</v>
      </c>
      <c r="C14" s="119" t="s">
        <v>103</v>
      </c>
      <c r="D14" s="120">
        <f t="shared" ref="D14:D16" si="2">E14+F14</f>
      </c>
      <c r="E14" s="121">
        <v>0</v>
      </c>
      <c r="F14" s="120">
        <v>858.895</v>
      </c>
      <c r="G14" s="120"/>
      <c r="H14" s="122">
        <v>0</v>
      </c>
      <c r="I14" s="123">
        <v>0</v>
      </c>
      <c r="J14" s="124">
        <f t="shared" ref="J14:J22" si="99">I14/D14</f>
      </c>
      <c r="K14" s="125">
        <f t="shared" ref="K14:K22" si="59">Y14/X14</f>
      </c>
      <c r="L14" s="126">
        <f t="shared" ref="L14:L22" si="39">D14/Z14</f>
      </c>
      <c r="M14" s="125">
        <f t="shared" ref="M14:M22" si="69">AA14/Z14</f>
      </c>
      <c r="N14" s="125">
        <f t="shared" ref="N14:N22" si="13">AB14/Z14</f>
      </c>
      <c r="O14" s="126">
        <f t="shared" ref="O14:O22" si="109">D14/AB14</f>
      </c>
      <c r="P14" s="125">
        <f t="shared" ref="P14:P22" si="79">AC14/AB14</f>
      </c>
      <c r="Q14" s="125">
        <f t="shared" ref="Q14:Q22" si="49">H14/AC14</f>
      </c>
      <c r="R14" s="127">
        <f t="shared" ref="R14:R22" si="23">D14/H14</f>
      </c>
      <c r="S14" s="128">
        <f t="shared" ref="S14:S22" si="119">I14/H14</f>
      </c>
      <c r="T14" s="127">
        <f t="shared" ref="T14:T22" si="89">D14/W14</f>
      </c>
      <c r="U14" s="129" t="s">
        <v>104</v>
      </c>
      <c r="V14" s="130" t="s">
        <v>115</v>
      </c>
      <c r="W14" s="131">
        <v>0</v>
      </c>
      <c r="X14" s="132">
        <v>14133</v>
      </c>
      <c r="Y14" s="133">
        <v>12</v>
      </c>
      <c r="Z14" s="131">
        <v>21444</v>
      </c>
      <c r="AA14" s="131">
        <v>1261</v>
      </c>
      <c r="AB14" s="131">
        <v>79</v>
      </c>
      <c r="AC14" s="131">
        <v>1</v>
      </c>
      <c r="AD14" s="104"/>
      <c r="AE14" s="104"/>
    </row>
    <row r="15">
      <c r="A15" s="117"/>
      <c r="B15" s="118" t="s">
        <v>106</v>
      </c>
      <c r="C15" s="119" t="s">
        <v>103</v>
      </c>
      <c r="D15" s="120">
        <f t="shared" si="2"/>
      </c>
      <c r="E15" s="121">
        <v>0</v>
      </c>
      <c r="F15" s="120">
        <v>2578.404</v>
      </c>
      <c r="G15" s="120"/>
      <c r="H15" s="122">
        <v>1</v>
      </c>
      <c r="I15" s="123">
        <v>225.84</v>
      </c>
      <c r="J15" s="124">
        <f t="shared" si="99"/>
      </c>
      <c r="K15" s="125">
        <f t="shared" si="59"/>
      </c>
      <c r="L15" s="126">
        <f t="shared" si="39"/>
      </c>
      <c r="M15" s="125">
        <f t="shared" si="69"/>
      </c>
      <c r="N15" s="125">
        <f t="shared" si="13"/>
      </c>
      <c r="O15" s="126">
        <f t="shared" si="109"/>
      </c>
      <c r="P15" s="125">
        <f t="shared" si="79"/>
      </c>
      <c r="Q15" s="125">
        <f t="shared" si="49"/>
      </c>
      <c r="R15" s="127">
        <f t="shared" si="23"/>
      </c>
      <c r="S15" s="128">
        <f t="shared" si="119"/>
      </c>
      <c r="T15" s="127">
        <f t="shared" si="89"/>
      </c>
      <c r="U15" s="129" t="s">
        <v>104</v>
      </c>
      <c r="V15" s="130" t="s">
        <v>115</v>
      </c>
      <c r="W15" s="131">
        <v>1</v>
      </c>
      <c r="X15" s="132">
        <v>48027</v>
      </c>
      <c r="Y15" s="132">
        <v>18</v>
      </c>
      <c r="Z15" s="133">
        <v>97693</v>
      </c>
      <c r="AA15" s="133">
        <v>5199</v>
      </c>
      <c r="AB15" s="131">
        <v>243</v>
      </c>
      <c r="AC15" s="131">
        <v>3</v>
      </c>
      <c r="AD15" s="104"/>
      <c r="AE15" s="104"/>
    </row>
    <row r="16">
      <c r="A16" s="117"/>
      <c r="B16" s="118" t="s">
        <v>108</v>
      </c>
      <c r="C16" s="119" t="s">
        <v>103</v>
      </c>
      <c r="D16" s="120">
        <f t="shared" si="2"/>
      </c>
      <c r="E16" s="121">
        <v>0</v>
      </c>
      <c r="F16" s="120">
        <v>1345.7</v>
      </c>
      <c r="G16" s="120"/>
      <c r="H16" s="122">
        <v>1</v>
      </c>
      <c r="I16" s="135">
        <v>201.60000000000005</v>
      </c>
      <c r="J16" s="124">
        <f t="shared" si="99"/>
      </c>
      <c r="K16" s="125">
        <f t="shared" si="59"/>
      </c>
      <c r="L16" s="126">
        <f t="shared" si="39"/>
      </c>
      <c r="M16" s="125">
        <f t="shared" si="69"/>
      </c>
      <c r="N16" s="125">
        <f t="shared" si="13"/>
      </c>
      <c r="O16" s="126">
        <f t="shared" si="109"/>
      </c>
      <c r="P16" s="125">
        <f t="shared" si="79"/>
      </c>
      <c r="Q16" s="125">
        <f t="shared" si="49"/>
      </c>
      <c r="R16" s="127">
        <f t="shared" si="23"/>
      </c>
      <c r="S16" s="128">
        <f t="shared" si="119"/>
      </c>
      <c r="T16" s="127">
        <f t="shared" si="89"/>
      </c>
      <c r="U16" s="129" t="s">
        <v>104</v>
      </c>
      <c r="V16" s="130" t="s">
        <v>115</v>
      </c>
      <c r="W16" s="131">
        <v>1</v>
      </c>
      <c r="X16" s="133">
        <v>35046</v>
      </c>
      <c r="Y16" s="133">
        <v>9</v>
      </c>
      <c r="Z16" s="133">
        <v>60366</v>
      </c>
      <c r="AA16" s="133">
        <v>3196</v>
      </c>
      <c r="AB16" s="131">
        <v>163</v>
      </c>
      <c r="AC16" s="131">
        <v>2</v>
      </c>
      <c r="AD16" s="104"/>
      <c r="AE16" s="104"/>
    </row>
    <row r="17">
      <c r="A17" s="117"/>
      <c r="B17" s="136" t="s">
        <v>109</v>
      </c>
      <c r="C17" s="136"/>
      <c r="D17" s="137">
        <f>SUM(D14:D16)</f>
      </c>
      <c r="E17" s="137">
        <f>SUM(E14:E16)</f>
      </c>
      <c r="F17" s="137">
        <f>SUM(F14:F16)</f>
      </c>
      <c r="G17" s="137"/>
      <c r="H17" s="138">
        <f>SUM(H14:H16)</f>
      </c>
      <c r="I17" s="139">
        <f>SUM(I14:I16)</f>
      </c>
      <c r="J17" s="140">
        <f t="shared" si="99"/>
      </c>
      <c r="K17" s="141">
        <f t="shared" si="59"/>
      </c>
      <c r="L17" s="142">
        <f t="shared" si="39"/>
      </c>
      <c r="M17" s="141">
        <f t="shared" si="69"/>
      </c>
      <c r="N17" s="141">
        <f t="shared" si="13"/>
      </c>
      <c r="O17" s="142">
        <f t="shared" si="109"/>
      </c>
      <c r="P17" s="141">
        <f t="shared" si="79"/>
      </c>
      <c r="Q17" s="141">
        <f t="shared" si="49"/>
      </c>
      <c r="R17" s="143">
        <f t="shared" si="23"/>
      </c>
      <c r="S17" s="144">
        <f t="shared" si="119"/>
      </c>
      <c r="T17" s="143">
        <f t="shared" si="89"/>
      </c>
      <c r="U17" s="145"/>
      <c r="V17" s="145"/>
      <c r="W17" s="146">
        <f>SUM(W14:W16)</f>
      </c>
      <c r="X17" s="146">
        <f>SUM(X14:X16)</f>
      </c>
      <c r="Y17" s="146">
        <f>SUM(Y14:Y16)</f>
      </c>
      <c r="Z17" s="146">
        <f>SUM(Z14:Z16)</f>
      </c>
      <c r="AA17" s="146">
        <f>SUM(AA14:AA16)</f>
      </c>
      <c r="AB17" s="146">
        <f>SUM(AB14:AB16)</f>
      </c>
      <c r="AC17" s="146">
        <f>SUM(AC14:AC16)</f>
      </c>
      <c r="AD17" s="104"/>
      <c r="AE17" s="104"/>
    </row>
    <row r="18">
      <c r="A18" s="117"/>
      <c r="B18" s="118" t="s">
        <v>110</v>
      </c>
      <c r="C18" s="119" t="s">
        <v>111</v>
      </c>
      <c r="D18" s="120">
        <f t="shared" ref="D18:D20" si="3">E18+F18</f>
      </c>
      <c r="E18" s="121">
        <v>0</v>
      </c>
      <c r="F18" s="120">
        <v>906.744</v>
      </c>
      <c r="G18" s="120"/>
      <c r="H18" s="147">
        <v>1</v>
      </c>
      <c r="I18" s="135">
        <v>1440.3</v>
      </c>
      <c r="J18" s="124">
        <f t="shared" si="99"/>
      </c>
      <c r="K18" s="125">
        <f t="shared" si="59"/>
      </c>
      <c r="L18" s="126">
        <f t="shared" si="39"/>
      </c>
      <c r="M18" s="125">
        <f t="shared" si="69"/>
      </c>
      <c r="N18" s="125">
        <f t="shared" si="13"/>
      </c>
      <c r="O18" s="126">
        <f t="shared" si="109"/>
      </c>
      <c r="P18" s="125">
        <f t="shared" si="79"/>
      </c>
      <c r="Q18" s="125">
        <f t="shared" si="49"/>
      </c>
      <c r="R18" s="127">
        <f t="shared" si="23"/>
      </c>
      <c r="S18" s="128">
        <f t="shared" si="119"/>
      </c>
      <c r="T18" s="127">
        <f t="shared" si="89"/>
      </c>
      <c r="U18" s="148" t="s">
        <v>104</v>
      </c>
      <c r="V18" s="130" t="s">
        <v>115</v>
      </c>
      <c r="W18" s="131">
        <v>1</v>
      </c>
      <c r="X18" s="132">
        <v>19719</v>
      </c>
      <c r="Y18" s="133">
        <v>13</v>
      </c>
      <c r="Z18" s="133">
        <v>24799</v>
      </c>
      <c r="AA18" s="133">
        <v>1226</v>
      </c>
      <c r="AB18" s="133">
        <v>149</v>
      </c>
      <c r="AC18" s="131">
        <v>2</v>
      </c>
      <c r="AD18" s="104"/>
      <c r="AE18" s="104"/>
    </row>
    <row r="19">
      <c r="A19" s="117"/>
      <c r="B19" s="118" t="s">
        <v>112</v>
      </c>
      <c r="C19" s="119" t="s">
        <v>111</v>
      </c>
      <c r="D19" s="120">
        <f t="shared" si="3"/>
      </c>
      <c r="E19" s="121">
        <v>0</v>
      </c>
      <c r="F19" s="120">
        <v>531.222</v>
      </c>
      <c r="G19" s="120"/>
      <c r="H19" s="147">
        <v>3</v>
      </c>
      <c r="I19" s="135">
        <v>5740.040000000001</v>
      </c>
      <c r="J19" s="124">
        <f t="shared" si="99"/>
      </c>
      <c r="K19" s="125">
        <f t="shared" si="59"/>
      </c>
      <c r="L19" s="126">
        <f t="shared" si="39"/>
      </c>
      <c r="M19" s="125">
        <f t="shared" si="69"/>
      </c>
      <c r="N19" s="125">
        <f t="shared" si="13"/>
      </c>
      <c r="O19" s="126">
        <f t="shared" si="109"/>
      </c>
      <c r="P19" s="125">
        <f t="shared" si="79"/>
      </c>
      <c r="Q19" s="125">
        <f t="shared" si="49"/>
      </c>
      <c r="R19" s="127">
        <f t="shared" si="23"/>
      </c>
      <c r="S19" s="128">
        <f t="shared" si="119"/>
      </c>
      <c r="T19" s="127">
        <f t="shared" si="89"/>
      </c>
      <c r="U19" s="148" t="s">
        <v>104</v>
      </c>
      <c r="V19" s="130" t="s">
        <v>115</v>
      </c>
      <c r="W19" s="131">
        <v>2</v>
      </c>
      <c r="X19" s="133">
        <v>13778</v>
      </c>
      <c r="Y19" s="133">
        <v>12</v>
      </c>
      <c r="Z19" s="133">
        <v>17377</v>
      </c>
      <c r="AA19" s="133">
        <v>856</v>
      </c>
      <c r="AB19" s="133">
        <v>82</v>
      </c>
      <c r="AC19" s="131">
        <v>3</v>
      </c>
      <c r="AD19" s="104"/>
      <c r="AE19" s="104"/>
    </row>
    <row r="20">
      <c r="A20" s="117"/>
      <c r="B20" s="118" t="s">
        <v>113</v>
      </c>
      <c r="C20" s="119" t="s">
        <v>111</v>
      </c>
      <c r="D20" s="120">
        <f t="shared" si="3"/>
      </c>
      <c r="E20" s="121">
        <v>0</v>
      </c>
      <c r="F20" s="120">
        <v>736.453</v>
      </c>
      <c r="G20" s="120"/>
      <c r="H20" s="147">
        <v>4</v>
      </c>
      <c r="I20" s="135">
        <v>7290.76</v>
      </c>
      <c r="J20" s="124">
        <f t="shared" si="99"/>
      </c>
      <c r="K20" s="125">
        <f t="shared" si="59"/>
      </c>
      <c r="L20" s="126">
        <f t="shared" si="39"/>
      </c>
      <c r="M20" s="125">
        <f t="shared" si="69"/>
      </c>
      <c r="N20" s="125">
        <f t="shared" si="13"/>
      </c>
      <c r="O20" s="126">
        <f t="shared" si="109"/>
      </c>
      <c r="P20" s="125">
        <f t="shared" si="79"/>
      </c>
      <c r="Q20" s="125">
        <f t="shared" si="49"/>
      </c>
      <c r="R20" s="127">
        <f t="shared" si="23"/>
      </c>
      <c r="S20" s="128">
        <f t="shared" si="119"/>
      </c>
      <c r="T20" s="127">
        <f t="shared" si="89"/>
      </c>
      <c r="U20" s="148" t="s">
        <v>104</v>
      </c>
      <c r="V20" s="130" t="s">
        <v>107</v>
      </c>
      <c r="W20" s="131">
        <v>3</v>
      </c>
      <c r="X20" s="133">
        <v>21648</v>
      </c>
      <c r="Y20" s="133">
        <v>6</v>
      </c>
      <c r="Z20" s="133">
        <v>37894</v>
      </c>
      <c r="AA20" s="133">
        <v>1868</v>
      </c>
      <c r="AB20" s="133">
        <v>99</v>
      </c>
      <c r="AC20" s="131">
        <v>4</v>
      </c>
      <c r="AD20" s="104"/>
      <c r="AE20" s="104"/>
    </row>
    <row r="21">
      <c r="A21" s="117"/>
      <c r="B21" s="136" t="s">
        <v>109</v>
      </c>
      <c r="C21" s="136"/>
      <c r="D21" s="137">
        <f>SUM(D18:D20)</f>
      </c>
      <c r="E21" s="137">
        <f>SUM(E18:E20)</f>
      </c>
      <c r="F21" s="137">
        <f>SUM(F18:F20)</f>
      </c>
      <c r="G21" s="137"/>
      <c r="H21" s="138">
        <f>SUM(H18:H20)</f>
      </c>
      <c r="I21" s="139">
        <f>SUM(I18:I20)</f>
      </c>
      <c r="J21" s="140">
        <f t="shared" si="99"/>
      </c>
      <c r="K21" s="141">
        <f t="shared" si="59"/>
      </c>
      <c r="L21" s="142">
        <f t="shared" si="39"/>
      </c>
      <c r="M21" s="141">
        <f t="shared" si="69"/>
      </c>
      <c r="N21" s="141">
        <f t="shared" si="13"/>
      </c>
      <c r="O21" s="142">
        <f t="shared" si="109"/>
      </c>
      <c r="P21" s="141">
        <f t="shared" si="79"/>
      </c>
      <c r="Q21" s="141">
        <f t="shared" si="49"/>
      </c>
      <c r="R21" s="143">
        <f t="shared" si="23"/>
      </c>
      <c r="S21" s="144">
        <f t="shared" si="119"/>
      </c>
      <c r="T21" s="143">
        <f t="shared" si="89"/>
      </c>
      <c r="U21" s="145"/>
      <c r="V21" s="145"/>
      <c r="W21" s="146">
        <f>SUM(W18:W20)</f>
      </c>
      <c r="X21" s="146">
        <f>SUM(X18:X20)</f>
      </c>
      <c r="Y21" s="146">
        <f>SUM(Y18:Y20)</f>
      </c>
      <c r="Z21" s="146">
        <f>SUM(Z18:Z20)</f>
      </c>
      <c r="AA21" s="146">
        <f>SUM(AA18:AA20)</f>
      </c>
      <c r="AB21" s="146">
        <f>SUM(AB18:AB20)</f>
      </c>
      <c r="AC21" s="146">
        <f>SUM(AC18:AC20)</f>
      </c>
      <c r="AD21" s="104"/>
      <c r="AE21" s="104"/>
    </row>
    <row r="22">
      <c r="A22" s="117"/>
      <c r="B22" s="149" t="s">
        <v>114</v>
      </c>
      <c r="C22" s="149"/>
      <c r="D22" s="150">
        <f>D17+D21</f>
      </c>
      <c r="E22" s="150">
        <f>E17+E21</f>
      </c>
      <c r="F22" s="150">
        <f>F17+F21</f>
      </c>
      <c r="G22" s="150"/>
      <c r="H22" s="151">
        <f>H17+H21</f>
      </c>
      <c r="I22" s="151">
        <f>I17+I21</f>
      </c>
      <c r="J22" s="152">
        <f t="shared" si="99"/>
      </c>
      <c r="K22" s="153">
        <f t="shared" si="59"/>
      </c>
      <c r="L22" s="152">
        <f t="shared" si="39"/>
      </c>
      <c r="M22" s="153">
        <f t="shared" si="69"/>
      </c>
      <c r="N22" s="153">
        <f t="shared" si="13"/>
      </c>
      <c r="O22" s="152">
        <f t="shared" si="109"/>
      </c>
      <c r="P22" s="153">
        <f t="shared" si="79"/>
      </c>
      <c r="Q22" s="153">
        <f t="shared" si="49"/>
      </c>
      <c r="R22" s="152">
        <f t="shared" si="23"/>
      </c>
      <c r="S22" s="154">
        <f t="shared" si="119"/>
      </c>
      <c r="T22" s="152">
        <f t="shared" si="89"/>
      </c>
      <c r="U22" s="155"/>
      <c r="V22" s="155"/>
      <c r="W22" s="151">
        <f>W17+W21</f>
      </c>
      <c r="X22" s="151">
        <f>X17+X21</f>
      </c>
      <c r="Y22" s="151">
        <f>Y17+Y21</f>
      </c>
      <c r="Z22" s="151">
        <f>Z17+Z21</f>
      </c>
      <c r="AA22" s="151">
        <f>AA17+AA21</f>
      </c>
      <c r="AB22" s="151">
        <f>AB17+AB21</f>
      </c>
      <c r="AC22" s="151">
        <f>AC17+AC21</f>
      </c>
      <c r="AD22" s="104"/>
      <c r="AE22" s="104"/>
    </row>
    <row r="23">
      <c r="A23" s="98" t="s">
        <v>70</v>
      </c>
      <c r="B23" s="98"/>
      <c r="C23" s="98"/>
      <c r="D23" s="99" t="s">
        <v>71</v>
      </c>
      <c r="E23" s="99"/>
      <c r="F23" s="99"/>
      <c r="G23" s="99"/>
      <c r="H23" s="99"/>
      <c r="I23" s="99"/>
      <c r="J23" s="99"/>
      <c r="K23" s="101" t="s">
        <v>72</v>
      </c>
      <c r="L23" s="101"/>
      <c r="M23" s="101"/>
      <c r="N23" s="101"/>
      <c r="O23" s="101"/>
      <c r="P23" s="101"/>
      <c r="Q23" s="101"/>
      <c r="R23" s="101"/>
      <c r="S23" s="101"/>
      <c r="T23" s="101"/>
      <c r="U23" s="102"/>
      <c r="V23" s="102"/>
      <c r="W23" s="103"/>
      <c r="X23" s="103"/>
      <c r="Y23" s="103"/>
      <c r="Z23" s="103"/>
      <c r="AA23" s="103"/>
      <c r="AB23" s="103"/>
      <c r="AC23" s="103"/>
      <c r="AD23" s="104"/>
      <c r="AE23" s="104"/>
    </row>
    <row r="24">
      <c r="A24" s="105" t="s">
        <v>73</v>
      </c>
      <c r="B24" s="106" t="s">
        <v>74</v>
      </c>
      <c r="C24" s="106" t="s">
        <v>75</v>
      </c>
      <c r="D24" s="156" t="s">
        <v>76</v>
      </c>
      <c r="E24" s="157" t="s">
        <v>77</v>
      </c>
      <c r="F24" s="157" t="s">
        <v>78</v>
      </c>
      <c r="G24" s="157" t="s">
        <v>79</v>
      </c>
      <c r="H24" s="158" t="s">
        <v>80</v>
      </c>
      <c r="I24" s="158" t="s">
        <v>81</v>
      </c>
      <c r="J24" s="159" t="s">
        <v>82</v>
      </c>
      <c r="K24" s="101" t="s">
        <v>83</v>
      </c>
      <c r="L24" s="101" t="s">
        <v>84</v>
      </c>
      <c r="M24" s="111" t="s">
        <v>85</v>
      </c>
      <c r="N24" s="111" t="s">
        <v>86</v>
      </c>
      <c r="O24" s="101" t="s">
        <v>87</v>
      </c>
      <c r="P24" s="111" t="s">
        <v>88</v>
      </c>
      <c r="Q24" s="111" t="s">
        <v>89</v>
      </c>
      <c r="R24" s="112" t="s">
        <v>90</v>
      </c>
      <c r="S24" s="111" t="s">
        <v>91</v>
      </c>
      <c r="T24" s="112" t="s">
        <v>92</v>
      </c>
      <c r="U24" s="113" t="s">
        <v>93</v>
      </c>
      <c r="V24" s="113" t="s">
        <v>94</v>
      </c>
      <c r="W24" s="114" t="s">
        <v>95</v>
      </c>
      <c r="X24" s="115" t="s">
        <v>96</v>
      </c>
      <c r="Y24" s="115" t="s">
        <v>97</v>
      </c>
      <c r="Z24" s="115" t="s">
        <v>98</v>
      </c>
      <c r="AA24" s="115" t="s">
        <v>99</v>
      </c>
      <c r="AB24" s="115" t="s">
        <v>100</v>
      </c>
      <c r="AC24" s="116" t="s">
        <v>101</v>
      </c>
      <c r="AD24" s="104"/>
      <c r="AE24" s="104"/>
    </row>
    <row r="25">
      <c r="A25" s="117">
        <v>46288</v>
      </c>
      <c r="B25" s="118" t="s">
        <v>102</v>
      </c>
      <c r="C25" s="119" t="s">
        <v>111</v>
      </c>
      <c r="D25" s="160">
        <f t="shared" ref="D25:D27" si="4">E25+F25</f>
      </c>
      <c r="E25" s="161">
        <v>38.888</v>
      </c>
      <c r="F25" s="160">
        <v>692.4</v>
      </c>
      <c r="G25" s="160"/>
      <c r="H25" s="162">
        <v>1</v>
      </c>
      <c r="I25" s="163">
        <v>2485.08</v>
      </c>
      <c r="J25" s="164">
        <f t="shared" ref="J25:J33" si="100">I25/D25</f>
      </c>
      <c r="K25" s="125">
        <f t="shared" ref="K25:K33" si="60">Y25/X25</f>
      </c>
      <c r="L25" s="126">
        <f t="shared" ref="L25:L33" si="40">D25/Z25</f>
      </c>
      <c r="M25" s="125">
        <f t="shared" ref="M25:M33" si="70">AA25/Z25</f>
      </c>
      <c r="N25" s="125">
        <f t="shared" ref="N25:N33" si="14">AB25/Z25</f>
      </c>
      <c r="O25" s="126">
        <f t="shared" ref="O25:O33" si="110">D25/AB25</f>
      </c>
      <c r="P25" s="125">
        <f t="shared" ref="P25:P33" si="80">AC25/AB25</f>
      </c>
      <c r="Q25" s="125">
        <f t="shared" ref="Q25:Q33" si="50">H25/AC25</f>
      </c>
      <c r="R25" s="127">
        <f t="shared" ref="R25:R33" si="24">D25/H25</f>
      </c>
      <c r="S25" s="128">
        <f t="shared" ref="S25:S33" si="120">I25/H25</f>
      </c>
      <c r="T25" s="127">
        <f t="shared" ref="T25:T33" si="90">D25/W25</f>
      </c>
      <c r="U25" s="129" t="s">
        <v>104</v>
      </c>
      <c r="V25" s="130" t="s">
        <v>115</v>
      </c>
      <c r="W25" s="131">
        <v>1</v>
      </c>
      <c r="X25" s="132">
        <v>17183</v>
      </c>
      <c r="Y25" s="133">
        <v>5</v>
      </c>
      <c r="Z25" s="131">
        <v>22422</v>
      </c>
      <c r="AA25" s="131">
        <v>1255</v>
      </c>
      <c r="AB25" s="131">
        <v>68</v>
      </c>
      <c r="AC25" s="131">
        <v>3</v>
      </c>
      <c r="AD25" s="104"/>
      <c r="AE25" s="104"/>
    </row>
    <row r="26">
      <c r="A26" s="117"/>
      <c r="B26" s="118" t="s">
        <v>106</v>
      </c>
      <c r="C26" s="119" t="s">
        <v>111</v>
      </c>
      <c r="D26" s="160">
        <f t="shared" si="4"/>
      </c>
      <c r="E26" s="161">
        <v>194.478</v>
      </c>
      <c r="F26" s="160">
        <v>1556.597</v>
      </c>
      <c r="G26" s="160"/>
      <c r="H26" s="162">
        <v>3</v>
      </c>
      <c r="I26" s="163">
        <v>2580.24</v>
      </c>
      <c r="J26" s="164">
        <f t="shared" si="100"/>
      </c>
      <c r="K26" s="125">
        <f t="shared" si="60"/>
      </c>
      <c r="L26" s="126">
        <f t="shared" si="40"/>
      </c>
      <c r="M26" s="125">
        <f t="shared" si="70"/>
      </c>
      <c r="N26" s="125">
        <f t="shared" si="14"/>
      </c>
      <c r="O26" s="126">
        <f t="shared" si="110"/>
      </c>
      <c r="P26" s="125">
        <f t="shared" si="80"/>
      </c>
      <c r="Q26" s="125">
        <f t="shared" si="50"/>
      </c>
      <c r="R26" s="127">
        <f t="shared" si="24"/>
      </c>
      <c r="S26" s="128">
        <f t="shared" si="120"/>
      </c>
      <c r="T26" s="127">
        <f t="shared" si="90"/>
      </c>
      <c r="U26" s="129" t="s">
        <v>104</v>
      </c>
      <c r="V26" s="130" t="s">
        <v>107</v>
      </c>
      <c r="W26" s="131">
        <v>3</v>
      </c>
      <c r="X26" s="132">
        <v>39732</v>
      </c>
      <c r="Y26" s="132">
        <v>9</v>
      </c>
      <c r="Z26" s="133">
        <v>64583</v>
      </c>
      <c r="AA26" s="133">
        <v>3094</v>
      </c>
      <c r="AB26" s="131">
        <v>155</v>
      </c>
      <c r="AC26" s="131">
        <v>3</v>
      </c>
      <c r="AD26" s="104"/>
      <c r="AE26" s="104"/>
    </row>
    <row r="27">
      <c r="A27" s="117"/>
      <c r="B27" s="118" t="s">
        <v>108</v>
      </c>
      <c r="C27" s="119" t="s">
        <v>111</v>
      </c>
      <c r="D27" s="160">
        <f t="shared" si="4"/>
      </c>
      <c r="E27" s="161">
        <v>175.908</v>
      </c>
      <c r="F27" s="160">
        <v>1901.143</v>
      </c>
      <c r="G27" s="160"/>
      <c r="H27" s="162">
        <v>2</v>
      </c>
      <c r="I27" s="165">
        <v>2055.12</v>
      </c>
      <c r="J27" s="164">
        <f t="shared" si="100"/>
      </c>
      <c r="K27" s="125">
        <f t="shared" si="60"/>
      </c>
      <c r="L27" s="126">
        <f t="shared" si="40"/>
      </c>
      <c r="M27" s="125">
        <f t="shared" si="70"/>
      </c>
      <c r="N27" s="125">
        <f t="shared" si="14"/>
      </c>
      <c r="O27" s="126">
        <f t="shared" si="110"/>
      </c>
      <c r="P27" s="125">
        <f t="shared" si="80"/>
      </c>
      <c r="Q27" s="125">
        <f t="shared" si="50"/>
      </c>
      <c r="R27" s="127">
        <f t="shared" si="24"/>
      </c>
      <c r="S27" s="128">
        <f t="shared" si="120"/>
      </c>
      <c r="T27" s="127">
        <f t="shared" si="90"/>
      </c>
      <c r="U27" s="129" t="s">
        <v>104</v>
      </c>
      <c r="V27" s="130" t="s">
        <v>107</v>
      </c>
      <c r="W27" s="131">
        <v>2</v>
      </c>
      <c r="X27" s="133">
        <v>53953</v>
      </c>
      <c r="Y27" s="133">
        <v>12</v>
      </c>
      <c r="Z27" s="133">
        <v>100568</v>
      </c>
      <c r="AA27" s="133">
        <v>4113</v>
      </c>
      <c r="AB27" s="131">
        <v>381</v>
      </c>
      <c r="AC27" s="131">
        <v>3</v>
      </c>
      <c r="AD27" s="104"/>
      <c r="AE27" s="104"/>
    </row>
    <row r="28">
      <c r="A28" s="117"/>
      <c r="B28" s="136" t="s">
        <v>109</v>
      </c>
      <c r="C28" s="136"/>
      <c r="D28" s="166">
        <f>SUM(D25:D27)</f>
      </c>
      <c r="E28" s="166">
        <f>SUM(E25:E27)</f>
      </c>
      <c r="F28" s="166">
        <f>SUM(F25:F27)</f>
      </c>
      <c r="G28" s="166"/>
      <c r="H28" s="167">
        <f>SUM(H25:H27)</f>
      </c>
      <c r="I28" s="168">
        <f>SUM(I25:I27)</f>
      </c>
      <c r="J28" s="169">
        <f t="shared" si="100"/>
      </c>
      <c r="K28" s="141">
        <f t="shared" si="60"/>
      </c>
      <c r="L28" s="142">
        <f t="shared" si="40"/>
      </c>
      <c r="M28" s="141">
        <f t="shared" si="70"/>
      </c>
      <c r="N28" s="141">
        <f t="shared" si="14"/>
      </c>
      <c r="O28" s="142">
        <f t="shared" si="110"/>
      </c>
      <c r="P28" s="141">
        <f t="shared" si="80"/>
      </c>
      <c r="Q28" s="141">
        <f t="shared" si="50"/>
      </c>
      <c r="R28" s="143">
        <f t="shared" si="24"/>
      </c>
      <c r="S28" s="144">
        <f t="shared" si="120"/>
      </c>
      <c r="T28" s="143">
        <f t="shared" si="90"/>
      </c>
      <c r="U28" s="145"/>
      <c r="V28" s="145"/>
      <c r="W28" s="146">
        <f>SUM(W25:W27)</f>
      </c>
      <c r="X28" s="146">
        <f>SUM(X25:X27)</f>
      </c>
      <c r="Y28" s="146">
        <f>SUM(Y25:Y27)</f>
      </c>
      <c r="Z28" s="146">
        <f>SUM(Z25:Z27)</f>
      </c>
      <c r="AA28" s="146">
        <f>SUM(AA25:AA27)</f>
      </c>
      <c r="AB28" s="146">
        <f>SUM(AB25:AB27)</f>
      </c>
      <c r="AC28" s="146">
        <f>SUM(AC25:AC27)</f>
      </c>
      <c r="AD28" s="104"/>
      <c r="AE28" s="104"/>
    </row>
    <row r="29">
      <c r="A29" s="117"/>
      <c r="B29" s="118" t="s">
        <v>110</v>
      </c>
      <c r="C29" s="119" t="s">
        <v>103</v>
      </c>
      <c r="D29" s="160">
        <f t="shared" ref="D29:D31" si="5">E29+F29</f>
      </c>
      <c r="E29" s="161">
        <v>327.872</v>
      </c>
      <c r="F29" s="160">
        <v>1158.466</v>
      </c>
      <c r="G29" s="160"/>
      <c r="H29" s="162">
        <v>0</v>
      </c>
      <c r="I29" s="163">
        <v>0</v>
      </c>
      <c r="J29" s="164">
        <f t="shared" si="100"/>
      </c>
      <c r="K29" s="125">
        <f t="shared" si="60"/>
      </c>
      <c r="L29" s="126">
        <f t="shared" si="40"/>
      </c>
      <c r="M29" s="125">
        <f t="shared" si="70"/>
      </c>
      <c r="N29" s="125">
        <f t="shared" si="14"/>
      </c>
      <c r="O29" s="126">
        <f t="shared" si="110"/>
      </c>
      <c r="P29" s="125">
        <f t="shared" si="80"/>
      </c>
      <c r="Q29" s="125">
        <f t="shared" si="50"/>
      </c>
      <c r="R29" s="127">
        <f t="shared" si="24"/>
      </c>
      <c r="S29" s="128">
        <f t="shared" si="120"/>
      </c>
      <c r="T29" s="127">
        <f t="shared" si="90"/>
      </c>
      <c r="U29" s="148" t="s">
        <v>104</v>
      </c>
      <c r="V29" s="130" t="s">
        <v>107</v>
      </c>
      <c r="W29" s="131">
        <v>0</v>
      </c>
      <c r="X29" s="132">
        <v>31721</v>
      </c>
      <c r="Y29" s="133">
        <v>16</v>
      </c>
      <c r="Z29" s="133">
        <v>43225</v>
      </c>
      <c r="AA29" s="133">
        <v>1755</v>
      </c>
      <c r="AB29" s="133">
        <v>389</v>
      </c>
      <c r="AC29" s="131">
        <v>1</v>
      </c>
      <c r="AD29" s="104"/>
      <c r="AE29" s="104"/>
    </row>
    <row r="30">
      <c r="A30" s="117"/>
      <c r="B30" s="118" t="s">
        <v>112</v>
      </c>
      <c r="C30" s="119" t="s">
        <v>103</v>
      </c>
      <c r="D30" s="160">
        <f t="shared" si="5"/>
      </c>
      <c r="E30" s="161">
        <v>175.779</v>
      </c>
      <c r="F30" s="160">
        <v>786.439</v>
      </c>
      <c r="G30" s="160"/>
      <c r="H30" s="170">
        <v>1</v>
      </c>
      <c r="I30" s="165">
        <v>2602.8</v>
      </c>
      <c r="J30" s="164">
        <f t="shared" si="100"/>
      </c>
      <c r="K30" s="125">
        <f t="shared" si="60"/>
      </c>
      <c r="L30" s="126">
        <f t="shared" si="40"/>
      </c>
      <c r="M30" s="125">
        <f t="shared" si="70"/>
      </c>
      <c r="N30" s="125">
        <f t="shared" si="14"/>
      </c>
      <c r="O30" s="126">
        <f t="shared" si="110"/>
      </c>
      <c r="P30" s="125">
        <f t="shared" si="80"/>
      </c>
      <c r="Q30" s="125">
        <f t="shared" si="50"/>
      </c>
      <c r="R30" s="127">
        <f t="shared" si="24"/>
      </c>
      <c r="S30" s="128">
        <f t="shared" si="120"/>
      </c>
      <c r="T30" s="127">
        <f t="shared" si="90"/>
      </c>
      <c r="U30" s="148" t="s">
        <v>104</v>
      </c>
      <c r="V30" s="130" t="s">
        <v>107</v>
      </c>
      <c r="W30" s="131">
        <v>1</v>
      </c>
      <c r="X30" s="133">
        <v>23333</v>
      </c>
      <c r="Y30" s="133">
        <v>17</v>
      </c>
      <c r="Z30" s="133">
        <v>31884</v>
      </c>
      <c r="AA30" s="133">
        <v>1230</v>
      </c>
      <c r="AB30" s="133">
        <v>181</v>
      </c>
      <c r="AC30" s="131">
        <v>1</v>
      </c>
      <c r="AD30" s="104"/>
      <c r="AE30" s="104"/>
    </row>
    <row r="31">
      <c r="A31" s="117"/>
      <c r="B31" s="118" t="s">
        <v>113</v>
      </c>
      <c r="C31" s="119" t="s">
        <v>103</v>
      </c>
      <c r="D31" s="160">
        <f t="shared" si="5"/>
      </c>
      <c r="E31" s="161">
        <v>98.011</v>
      </c>
      <c r="F31" s="160">
        <v>475.441</v>
      </c>
      <c r="G31" s="160"/>
      <c r="H31" s="162">
        <v>0</v>
      </c>
      <c r="I31" s="163">
        <v>0</v>
      </c>
      <c r="J31" s="164">
        <f t="shared" si="100"/>
      </c>
      <c r="K31" s="125">
        <f t="shared" si="60"/>
      </c>
      <c r="L31" s="126">
        <f t="shared" si="40"/>
      </c>
      <c r="M31" s="125">
        <f t="shared" si="70"/>
      </c>
      <c r="N31" s="125">
        <f t="shared" si="14"/>
      </c>
      <c r="O31" s="126">
        <f t="shared" si="110"/>
      </c>
      <c r="P31" s="125">
        <f t="shared" si="80"/>
      </c>
      <c r="Q31" s="125">
        <f t="shared" si="50"/>
      </c>
      <c r="R31" s="127">
        <f t="shared" si="24"/>
      </c>
      <c r="S31" s="128">
        <f t="shared" si="120"/>
      </c>
      <c r="T31" s="127">
        <f t="shared" si="90"/>
      </c>
      <c r="U31" s="148" t="s">
        <v>104</v>
      </c>
      <c r="V31" s="130" t="s">
        <v>107</v>
      </c>
      <c r="W31" s="131">
        <v>0</v>
      </c>
      <c r="X31" s="133">
        <v>15591</v>
      </c>
      <c r="Y31" s="133">
        <v>8</v>
      </c>
      <c r="Z31" s="133">
        <v>19877</v>
      </c>
      <c r="AA31" s="133">
        <v>986</v>
      </c>
      <c r="AB31" s="133">
        <v>156</v>
      </c>
      <c r="AC31" s="131">
        <v>0</v>
      </c>
      <c r="AD31" s="104"/>
      <c r="AE31" s="104"/>
    </row>
    <row r="32">
      <c r="A32" s="117"/>
      <c r="B32" s="136" t="s">
        <v>109</v>
      </c>
      <c r="C32" s="136"/>
      <c r="D32" s="166">
        <f>SUM(D29:D31)</f>
      </c>
      <c r="E32" s="166">
        <f>SUM(E29:E31)</f>
      </c>
      <c r="F32" s="166">
        <f>SUM(F29:F31)</f>
      </c>
      <c r="G32" s="166"/>
      <c r="H32" s="167">
        <f>SUM(H29:H31)</f>
      </c>
      <c r="I32" s="168">
        <f>SUM(I29:I31)</f>
      </c>
      <c r="J32" s="169">
        <f t="shared" si="100"/>
      </c>
      <c r="K32" s="141">
        <f t="shared" si="60"/>
      </c>
      <c r="L32" s="142">
        <f t="shared" si="40"/>
      </c>
      <c r="M32" s="141">
        <f t="shared" si="70"/>
      </c>
      <c r="N32" s="141">
        <f t="shared" si="14"/>
      </c>
      <c r="O32" s="142">
        <f t="shared" si="110"/>
      </c>
      <c r="P32" s="141">
        <f t="shared" si="80"/>
      </c>
      <c r="Q32" s="141">
        <f t="shared" si="50"/>
      </c>
      <c r="R32" s="143">
        <f t="shared" si="24"/>
      </c>
      <c r="S32" s="144">
        <f t="shared" si="120"/>
      </c>
      <c r="T32" s="143">
        <f t="shared" si="90"/>
      </c>
      <c r="U32" s="145"/>
      <c r="V32" s="145"/>
      <c r="W32" s="146">
        <f>SUM(W29:W31)</f>
      </c>
      <c r="X32" s="146">
        <f>SUM(X29:X31)</f>
      </c>
      <c r="Y32" s="146">
        <f>SUM(Y29:Y31)</f>
      </c>
      <c r="Z32" s="146">
        <f>SUM(Z29:Z31)</f>
      </c>
      <c r="AA32" s="146">
        <f>SUM(AA29:AA31)</f>
      </c>
      <c r="AB32" s="146">
        <f>SUM(AB29:AB31)</f>
      </c>
      <c r="AC32" s="146">
        <f>SUM(AC29:AC31)</f>
      </c>
      <c r="AD32" s="104"/>
      <c r="AE32" s="104"/>
    </row>
    <row r="33">
      <c r="A33" s="117"/>
      <c r="B33" s="149" t="s">
        <v>114</v>
      </c>
      <c r="C33" s="149"/>
      <c r="D33" s="171">
        <f>D28+D32</f>
      </c>
      <c r="E33" s="171">
        <f>E28+E32</f>
      </c>
      <c r="F33" s="171">
        <f>F28+F32</f>
      </c>
      <c r="G33" s="171"/>
      <c r="H33" s="172">
        <f>H28+H32</f>
      </c>
      <c r="I33" s="172">
        <f>I28+I32</f>
      </c>
      <c r="J33" s="173">
        <f t="shared" si="100"/>
      </c>
      <c r="K33" s="153">
        <f t="shared" si="60"/>
      </c>
      <c r="L33" s="152">
        <f t="shared" si="40"/>
      </c>
      <c r="M33" s="153">
        <f t="shared" si="70"/>
      </c>
      <c r="N33" s="153">
        <f t="shared" si="14"/>
      </c>
      <c r="O33" s="152">
        <f t="shared" si="110"/>
      </c>
      <c r="P33" s="153">
        <f t="shared" si="80"/>
      </c>
      <c r="Q33" s="153">
        <f t="shared" si="50"/>
      </c>
      <c r="R33" s="152">
        <f t="shared" si="24"/>
      </c>
      <c r="S33" s="154">
        <f t="shared" si="120"/>
      </c>
      <c r="T33" s="152">
        <f t="shared" si="90"/>
      </c>
      <c r="U33" s="155"/>
      <c r="V33" s="155"/>
      <c r="W33" s="151">
        <f>W28+W32</f>
      </c>
      <c r="X33" s="151">
        <f>X28+X32</f>
      </c>
      <c r="Y33" s="151">
        <f>Y28+Y32</f>
      </c>
      <c r="Z33" s="151">
        <f>Z28+Z32</f>
      </c>
      <c r="AA33" s="151">
        <f>AA28+AA32</f>
      </c>
      <c r="AB33" s="151">
        <f>AB28+AB32</f>
      </c>
      <c r="AC33" s="151">
        <f>AC28+AC32</f>
      </c>
      <c r="AD33" s="104"/>
      <c r="AE33" s="104"/>
    </row>
    <row customHeight="true" ht="18.452380952380953" r="34">
      <c r="A34" s="98" t="s">
        <v>70</v>
      </c>
      <c r="B34" s="98"/>
      <c r="C34" s="98"/>
      <c r="D34" s="174" t="s">
        <v>71</v>
      </c>
      <c r="E34" s="174"/>
      <c r="F34" s="174"/>
      <c r="G34" s="174"/>
      <c r="H34" s="174"/>
      <c r="I34" s="174"/>
      <c r="J34" s="174"/>
      <c r="K34" s="101" t="s">
        <v>72</v>
      </c>
      <c r="L34" s="101"/>
      <c r="M34" s="101"/>
      <c r="N34" s="101"/>
      <c r="O34" s="101"/>
      <c r="P34" s="101"/>
      <c r="Q34" s="101"/>
      <c r="R34" s="101"/>
      <c r="S34" s="101"/>
      <c r="T34" s="101"/>
      <c r="U34" s="102"/>
      <c r="V34" s="102"/>
      <c r="W34" s="103"/>
      <c r="X34" s="103"/>
      <c r="Y34" s="103"/>
      <c r="Z34" s="103"/>
      <c r="AA34" s="103"/>
      <c r="AB34" s="103"/>
      <c r="AC34" s="103"/>
      <c r="AD34" s="104"/>
      <c r="AE34" s="104"/>
    </row>
    <row customHeight="true" ht="18.452380952380953" r="35">
      <c r="A35" s="105" t="s">
        <v>73</v>
      </c>
      <c r="B35" s="106" t="s">
        <v>74</v>
      </c>
      <c r="C35" s="106" t="s">
        <v>75</v>
      </c>
      <c r="D35" s="156" t="s">
        <v>76</v>
      </c>
      <c r="E35" s="157" t="s">
        <v>77</v>
      </c>
      <c r="F35" s="157" t="s">
        <v>78</v>
      </c>
      <c r="G35" s="157" t="s">
        <v>79</v>
      </c>
      <c r="H35" s="158" t="s">
        <v>80</v>
      </c>
      <c r="I35" s="158" t="s">
        <v>81</v>
      </c>
      <c r="J35" s="159" t="s">
        <v>82</v>
      </c>
      <c r="K35" s="101" t="s">
        <v>83</v>
      </c>
      <c r="L35" s="101" t="s">
        <v>84</v>
      </c>
      <c r="M35" s="111" t="s">
        <v>85</v>
      </c>
      <c r="N35" s="111" t="s">
        <v>86</v>
      </c>
      <c r="O35" s="101" t="s">
        <v>87</v>
      </c>
      <c r="P35" s="111" t="s">
        <v>88</v>
      </c>
      <c r="Q35" s="111" t="s">
        <v>89</v>
      </c>
      <c r="R35" s="112" t="s">
        <v>90</v>
      </c>
      <c r="S35" s="111" t="s">
        <v>91</v>
      </c>
      <c r="T35" s="112" t="s">
        <v>92</v>
      </c>
      <c r="U35" s="113" t="s">
        <v>93</v>
      </c>
      <c r="V35" s="113" t="s">
        <v>94</v>
      </c>
      <c r="W35" s="114" t="s">
        <v>95</v>
      </c>
      <c r="X35" s="115" t="s">
        <v>96</v>
      </c>
      <c r="Y35" s="115" t="s">
        <v>97</v>
      </c>
      <c r="Z35" s="115" t="s">
        <v>98</v>
      </c>
      <c r="AA35" s="115" t="s">
        <v>99</v>
      </c>
      <c r="AB35" s="115" t="s">
        <v>100</v>
      </c>
      <c r="AC35" s="116" t="s">
        <v>101</v>
      </c>
      <c r="AD35" s="104"/>
      <c r="AE35" s="104"/>
    </row>
    <row customHeight="true" ht="18.452380952380953" r="36">
      <c r="A36" s="117">
        <v>46289</v>
      </c>
      <c r="B36" s="118" t="s">
        <v>106</v>
      </c>
      <c r="C36" s="119" t="s">
        <v>111</v>
      </c>
      <c r="D36" s="120">
        <f t="shared" ref="D36:D40" si="6">E36+F36</f>
      </c>
      <c r="E36" s="121">
        <v>60.885</v>
      </c>
      <c r="F36" s="120">
        <v>443.092</v>
      </c>
      <c r="G36" s="120"/>
      <c r="H36" s="122">
        <v>0</v>
      </c>
      <c r="I36" s="123">
        <v>0</v>
      </c>
      <c r="J36" s="124">
        <f t="shared" ref="J36:J42" si="101">I36/D36</f>
      </c>
      <c r="K36" s="125">
        <f t="shared" ref="K36:K42" si="61">Y36/X36</f>
      </c>
      <c r="L36" s="126">
        <f t="shared" ref="L36:L42" si="41">D36/Z36</f>
      </c>
      <c r="M36" s="125">
        <f t="shared" ref="M36:M42" si="71">AA36/Z36</f>
      </c>
      <c r="N36" s="125">
        <f t="shared" ref="N36:N42" si="15">AB36/Z36</f>
      </c>
      <c r="O36" s="126">
        <f t="shared" ref="O36:O42" si="111">D36/AB36</f>
      </c>
      <c r="P36" s="125">
        <f t="shared" ref="P36:P42" si="81">AC36/AB36</f>
      </c>
      <c r="Q36" s="125">
        <f t="shared" ref="Q36:Q42" si="51">H36/AC36</f>
      </c>
      <c r="R36" s="127">
        <f t="shared" ref="R36:R42" si="25">D36/H36</f>
      </c>
      <c r="S36" s="128">
        <f t="shared" ref="S36:S42" si="121">I36/H36</f>
      </c>
      <c r="T36" s="127">
        <f t="shared" ref="T36:T42" si="91">D36/W36</f>
      </c>
      <c r="U36" s="129" t="s">
        <v>104</v>
      </c>
      <c r="V36" s="130" t="s">
        <v>105</v>
      </c>
      <c r="W36" s="131">
        <v>0</v>
      </c>
      <c r="X36" s="132">
        <v>7469</v>
      </c>
      <c r="Y36" s="133">
        <v>2</v>
      </c>
      <c r="Z36" s="131">
        <v>11250</v>
      </c>
      <c r="AA36" s="131">
        <v>591</v>
      </c>
      <c r="AB36" s="131">
        <v>89</v>
      </c>
      <c r="AC36" s="131">
        <v>0</v>
      </c>
      <c r="AD36" s="104"/>
      <c r="AE36" s="104"/>
    </row>
    <row customHeight="true" ht="18.452380952380953" r="37">
      <c r="A37" s="117"/>
      <c r="B37" s="118" t="s">
        <v>108</v>
      </c>
      <c r="C37" s="119" t="s">
        <v>111</v>
      </c>
      <c r="D37" s="120">
        <f t="shared" si="6"/>
      </c>
      <c r="E37" s="121">
        <v>118.267</v>
      </c>
      <c r="F37" s="120">
        <v>460.149</v>
      </c>
      <c r="G37" s="120"/>
      <c r="H37" s="122">
        <v>1</v>
      </c>
      <c r="I37" s="123">
        <v>236.88</v>
      </c>
      <c r="J37" s="124">
        <f t="shared" si="101"/>
      </c>
      <c r="K37" s="125">
        <f t="shared" si="61"/>
      </c>
      <c r="L37" s="126">
        <f t="shared" si="41"/>
      </c>
      <c r="M37" s="125">
        <f t="shared" si="71"/>
      </c>
      <c r="N37" s="125">
        <f t="shared" si="15"/>
      </c>
      <c r="O37" s="126">
        <f t="shared" si="111"/>
      </c>
      <c r="P37" s="125">
        <f t="shared" si="81"/>
      </c>
      <c r="Q37" s="125">
        <f t="shared" si="51"/>
      </c>
      <c r="R37" s="127">
        <f t="shared" si="25"/>
      </c>
      <c r="S37" s="128">
        <f t="shared" si="121"/>
      </c>
      <c r="T37" s="127">
        <f t="shared" si="91"/>
      </c>
      <c r="U37" s="129" t="s">
        <v>104</v>
      </c>
      <c r="V37" s="130" t="s">
        <v>105</v>
      </c>
      <c r="W37" s="131">
        <v>1</v>
      </c>
      <c r="X37" s="132">
        <v>8932</v>
      </c>
      <c r="Y37" s="132">
        <v>21</v>
      </c>
      <c r="Z37" s="133">
        <v>13558</v>
      </c>
      <c r="AA37" s="133">
        <v>721</v>
      </c>
      <c r="AB37" s="131">
        <v>148</v>
      </c>
      <c r="AC37" s="131">
        <v>2</v>
      </c>
      <c r="AD37" s="104"/>
      <c r="AE37" s="104"/>
    </row>
    <row customHeight="true" ht="18.452380952380953" r="38">
      <c r="A38" s="117"/>
      <c r="B38" s="118" t="s">
        <v>110</v>
      </c>
      <c r="C38" s="119" t="s">
        <v>111</v>
      </c>
      <c r="D38" s="120">
        <f t="shared" si="6"/>
      </c>
      <c r="E38" s="121">
        <v>147.596</v>
      </c>
      <c r="F38" s="120">
        <v>578.158</v>
      </c>
      <c r="G38" s="120"/>
      <c r="H38" s="122">
        <v>1</v>
      </c>
      <c r="I38" s="135">
        <v>5084.64</v>
      </c>
      <c r="J38" s="124">
        <f t="shared" si="101"/>
      </c>
      <c r="K38" s="125">
        <f t="shared" si="61"/>
      </c>
      <c r="L38" s="126">
        <f t="shared" si="41"/>
      </c>
      <c r="M38" s="125">
        <f t="shared" si="71"/>
      </c>
      <c r="N38" s="125">
        <f t="shared" si="15"/>
      </c>
      <c r="O38" s="126">
        <f t="shared" si="111"/>
      </c>
      <c r="P38" s="125">
        <f t="shared" si="81"/>
      </c>
      <c r="Q38" s="125">
        <f t="shared" si="51"/>
      </c>
      <c r="R38" s="127">
        <f t="shared" si="25"/>
      </c>
      <c r="S38" s="128">
        <f t="shared" si="121"/>
      </c>
      <c r="T38" s="127">
        <f t="shared" si="91"/>
      </c>
      <c r="U38" s="129" t="s">
        <v>104</v>
      </c>
      <c r="V38" s="130" t="s">
        <v>105</v>
      </c>
      <c r="W38" s="131">
        <v>1</v>
      </c>
      <c r="X38" s="133">
        <v>13059</v>
      </c>
      <c r="Y38" s="133">
        <v>37</v>
      </c>
      <c r="Z38" s="133">
        <v>20726</v>
      </c>
      <c r="AA38" s="133">
        <v>1174</v>
      </c>
      <c r="AB38" s="131">
        <v>231</v>
      </c>
      <c r="AC38" s="131">
        <v>2</v>
      </c>
      <c r="AD38" s="104"/>
      <c r="AE38" s="104"/>
    </row>
    <row customHeight="true" ht="18.452380952380953" r="39">
      <c r="A39" s="117"/>
      <c r="B39" s="118" t="s">
        <v>112</v>
      </c>
      <c r="C39" s="119" t="s">
        <v>111</v>
      </c>
      <c r="D39" s="120">
        <f t="shared" si="6"/>
      </c>
      <c r="E39" s="121">
        <v>143.761</v>
      </c>
      <c r="F39" s="120">
        <v>833.621</v>
      </c>
      <c r="G39" s="120"/>
      <c r="H39" s="147">
        <v>3</v>
      </c>
      <c r="I39" s="135">
        <v>3719.76</v>
      </c>
      <c r="J39" s="124">
        <f t="shared" si="101"/>
      </c>
      <c r="K39" s="125">
        <f t="shared" si="61"/>
      </c>
      <c r="L39" s="126">
        <f t="shared" si="41"/>
      </c>
      <c r="M39" s="125">
        <f t="shared" si="71"/>
      </c>
      <c r="N39" s="125">
        <f t="shared" si="15"/>
      </c>
      <c r="O39" s="126">
        <f t="shared" si="111"/>
      </c>
      <c r="P39" s="125">
        <f t="shared" si="81"/>
      </c>
      <c r="Q39" s="125">
        <f t="shared" si="51"/>
      </c>
      <c r="R39" s="127">
        <f t="shared" si="25"/>
      </c>
      <c r="S39" s="128">
        <f t="shared" si="121"/>
      </c>
      <c r="T39" s="127">
        <f t="shared" si="91"/>
      </c>
      <c r="U39" s="148" t="s">
        <v>104</v>
      </c>
      <c r="V39" s="130" t="s">
        <v>105</v>
      </c>
      <c r="W39" s="131">
        <v>3</v>
      </c>
      <c r="X39" s="133">
        <v>23520</v>
      </c>
      <c r="Y39" s="133">
        <v>65</v>
      </c>
      <c r="Z39" s="133">
        <v>29475</v>
      </c>
      <c r="AA39" s="133">
        <v>1518</v>
      </c>
      <c r="AB39" s="133">
        <v>232</v>
      </c>
      <c r="AC39" s="131">
        <v>7</v>
      </c>
      <c r="AD39" s="104"/>
      <c r="AE39" s="104"/>
    </row>
    <row customHeight="true" ht="18.452380952380953" r="40">
      <c r="A40" s="117"/>
      <c r="B40" s="118" t="s">
        <v>113</v>
      </c>
      <c r="C40" s="119" t="s">
        <v>111</v>
      </c>
      <c r="D40" s="120">
        <f t="shared" si="6"/>
      </c>
      <c r="E40" s="121">
        <v>200.316</v>
      </c>
      <c r="F40" s="120">
        <v>789.801</v>
      </c>
      <c r="G40" s="120"/>
      <c r="H40" s="122">
        <v>3</v>
      </c>
      <c r="I40" s="123">
        <v>8532.12</v>
      </c>
      <c r="J40" s="124">
        <f t="shared" si="101"/>
      </c>
      <c r="K40" s="125">
        <f t="shared" si="61"/>
      </c>
      <c r="L40" s="126">
        <f t="shared" si="41"/>
      </c>
      <c r="M40" s="125">
        <f t="shared" si="71"/>
      </c>
      <c r="N40" s="125">
        <f t="shared" si="15"/>
      </c>
      <c r="O40" s="126">
        <f t="shared" si="111"/>
      </c>
      <c r="P40" s="125">
        <f t="shared" si="81"/>
      </c>
      <c r="Q40" s="125">
        <f t="shared" si="51"/>
      </c>
      <c r="R40" s="127">
        <f t="shared" si="25"/>
      </c>
      <c r="S40" s="128">
        <f t="shared" si="121"/>
      </c>
      <c r="T40" s="127">
        <f t="shared" si="91"/>
      </c>
      <c r="U40" s="148" t="s">
        <v>104</v>
      </c>
      <c r="V40" s="130" t="s">
        <v>107</v>
      </c>
      <c r="W40" s="131">
        <v>3</v>
      </c>
      <c r="X40" s="133">
        <v>26138</v>
      </c>
      <c r="Y40" s="133">
        <v>181</v>
      </c>
      <c r="Z40" s="133">
        <v>28359</v>
      </c>
      <c r="AA40" s="133">
        <v>1814</v>
      </c>
      <c r="AB40" s="133">
        <v>348</v>
      </c>
      <c r="AC40" s="131">
        <v>5</v>
      </c>
      <c r="AD40" s="104"/>
      <c r="AE40" s="104"/>
    </row>
    <row r="41">
      <c r="A41" s="117"/>
      <c r="B41" s="136" t="s">
        <v>109</v>
      </c>
      <c r="C41" s="136"/>
      <c r="D41" s="137">
        <f>SUM(D36:D40)</f>
      </c>
      <c r="E41" s="137">
        <f>SUM(E36:E40)</f>
      </c>
      <c r="F41" s="137">
        <f>SUM(F36:F40)</f>
      </c>
      <c r="G41" s="137"/>
      <c r="H41" s="137">
        <f>SUM(H36:H40)</f>
      </c>
      <c r="I41" s="137">
        <f>SUM(I36:I40)</f>
      </c>
      <c r="J41" s="140">
        <f t="shared" si="101"/>
      </c>
      <c r="K41" s="141">
        <f t="shared" si="61"/>
      </c>
      <c r="L41" s="142">
        <f t="shared" si="41"/>
      </c>
      <c r="M41" s="141">
        <f t="shared" si="71"/>
      </c>
      <c r="N41" s="141">
        <f t="shared" si="15"/>
      </c>
      <c r="O41" s="142">
        <f t="shared" si="111"/>
      </c>
      <c r="P41" s="141">
        <f t="shared" si="81"/>
      </c>
      <c r="Q41" s="141">
        <f t="shared" si="51"/>
      </c>
      <c r="R41" s="143">
        <f t="shared" si="25"/>
      </c>
      <c r="S41" s="144">
        <f t="shared" si="121"/>
      </c>
      <c r="T41" s="143">
        <f t="shared" si="91"/>
      </c>
      <c r="U41" s="145"/>
      <c r="V41" s="145"/>
      <c r="W41" s="146">
        <f>SUM(W36:W40)</f>
      </c>
      <c r="X41" s="146">
        <f>SUM(X36:X40)</f>
      </c>
      <c r="Y41" s="146">
        <f>SUM(Y36:Y40)</f>
      </c>
      <c r="Z41" s="146">
        <f>SUM(Z36:Z40)</f>
      </c>
      <c r="AA41" s="146">
        <f>SUM(AA36:AA40)</f>
      </c>
      <c r="AB41" s="146">
        <f>SUM(AB36:AB40)</f>
      </c>
      <c r="AC41" s="146">
        <f>SUM(AC36:AC40)</f>
      </c>
      <c r="AD41" s="104"/>
      <c r="AE41" s="104"/>
    </row>
    <row r="42">
      <c r="A42" s="117"/>
      <c r="B42" s="149" t="s">
        <v>114</v>
      </c>
      <c r="C42" s="149"/>
      <c r="D42" s="150">
        <f>D41</f>
      </c>
      <c r="E42" s="150">
        <f>E41</f>
      </c>
      <c r="F42" s="150">
        <f>F41</f>
      </c>
      <c r="G42" s="150"/>
      <c r="H42" s="150">
        <f>H41</f>
      </c>
      <c r="I42" s="150">
        <f>I41</f>
      </c>
      <c r="J42" s="152">
        <f t="shared" si="101"/>
      </c>
      <c r="K42" s="153">
        <f t="shared" si="61"/>
      </c>
      <c r="L42" s="152">
        <f t="shared" si="41"/>
      </c>
      <c r="M42" s="153">
        <f t="shared" si="71"/>
      </c>
      <c r="N42" s="153">
        <f t="shared" si="15"/>
      </c>
      <c r="O42" s="152">
        <f t="shared" si="111"/>
      </c>
      <c r="P42" s="153">
        <f t="shared" si="81"/>
      </c>
      <c r="Q42" s="153">
        <f t="shared" si="51"/>
      </c>
      <c r="R42" s="152">
        <f t="shared" si="25"/>
      </c>
      <c r="S42" s="154">
        <f t="shared" si="121"/>
      </c>
      <c r="T42" s="152">
        <f t="shared" si="91"/>
      </c>
      <c r="U42" s="155"/>
      <c r="V42" s="155"/>
      <c r="W42" s="151">
        <f>W41</f>
      </c>
      <c r="X42" s="151">
        <f>X41</f>
      </c>
      <c r="Y42" s="151">
        <f>Y41</f>
      </c>
      <c r="Z42" s="151">
        <f>Z41</f>
      </c>
      <c r="AA42" s="151">
        <f>AA41</f>
      </c>
      <c r="AB42" s="151">
        <f>AB41</f>
      </c>
      <c r="AC42" s="151">
        <f>AC41</f>
      </c>
      <c r="AD42" s="104"/>
      <c r="AE42" s="104"/>
    </row>
    <row r="43">
      <c r="A43" s="98" t="s">
        <v>70</v>
      </c>
      <c r="B43" s="98"/>
      <c r="C43" s="98"/>
      <c r="D43" s="99" t="s">
        <v>71</v>
      </c>
      <c r="E43" s="99"/>
      <c r="F43" s="99"/>
      <c r="G43" s="99"/>
      <c r="H43" s="99"/>
      <c r="I43" s="99"/>
      <c r="J43" s="99"/>
      <c r="K43" s="101" t="s">
        <v>72</v>
      </c>
      <c r="L43" s="101"/>
      <c r="M43" s="101"/>
      <c r="N43" s="101"/>
      <c r="O43" s="101"/>
      <c r="P43" s="101"/>
      <c r="Q43" s="101"/>
      <c r="R43" s="101"/>
      <c r="S43" s="101"/>
      <c r="T43" s="101"/>
      <c r="U43" s="102"/>
      <c r="V43" s="102"/>
      <c r="W43" s="103"/>
      <c r="X43" s="103"/>
      <c r="Y43" s="103"/>
      <c r="Z43" s="103"/>
      <c r="AA43" s="103"/>
      <c r="AB43" s="103"/>
      <c r="AC43" s="103"/>
      <c r="AD43" s="104"/>
      <c r="AE43" s="104"/>
    </row>
    <row r="44">
      <c r="A44" s="105" t="s">
        <v>73</v>
      </c>
      <c r="B44" s="106" t="s">
        <v>74</v>
      </c>
      <c r="C44" s="106" t="s">
        <v>75</v>
      </c>
      <c r="D44" s="107" t="s">
        <v>76</v>
      </c>
      <c r="E44" s="108" t="s">
        <v>77</v>
      </c>
      <c r="F44" s="108" t="s">
        <v>78</v>
      </c>
      <c r="G44" s="108" t="s">
        <v>79</v>
      </c>
      <c r="H44" s="109" t="s">
        <v>80</v>
      </c>
      <c r="I44" s="109" t="s">
        <v>81</v>
      </c>
      <c r="J44" s="110" t="s">
        <v>82</v>
      </c>
      <c r="K44" s="101" t="s">
        <v>83</v>
      </c>
      <c r="L44" s="101" t="s">
        <v>84</v>
      </c>
      <c r="M44" s="111" t="s">
        <v>85</v>
      </c>
      <c r="N44" s="111" t="s">
        <v>86</v>
      </c>
      <c r="O44" s="101" t="s">
        <v>87</v>
      </c>
      <c r="P44" s="111" t="s">
        <v>88</v>
      </c>
      <c r="Q44" s="111" t="s">
        <v>89</v>
      </c>
      <c r="R44" s="112" t="s">
        <v>90</v>
      </c>
      <c r="S44" s="111" t="s">
        <v>91</v>
      </c>
      <c r="T44" s="112" t="s">
        <v>92</v>
      </c>
      <c r="U44" s="113" t="s">
        <v>93</v>
      </c>
      <c r="V44" s="113" t="s">
        <v>94</v>
      </c>
      <c r="W44" s="114" t="s">
        <v>95</v>
      </c>
      <c r="X44" s="115" t="s">
        <v>96</v>
      </c>
      <c r="Y44" s="115" t="s">
        <v>97</v>
      </c>
      <c r="Z44" s="115" t="s">
        <v>98</v>
      </c>
      <c r="AA44" s="115" t="s">
        <v>99</v>
      </c>
      <c r="AB44" s="115" t="s">
        <v>100</v>
      </c>
      <c r="AC44" s="116" t="s">
        <v>101</v>
      </c>
      <c r="AD44" s="104"/>
      <c r="AE44" s="104"/>
    </row>
    <row r="45">
      <c r="A45" s="117">
        <v>46290</v>
      </c>
      <c r="B45" s="118" t="s">
        <v>106</v>
      </c>
      <c r="C45" s="119" t="s">
        <v>111</v>
      </c>
      <c r="D45" s="120">
        <f t="shared" ref="D45:D49" si="7">E45+F45</f>
      </c>
      <c r="E45" s="121">
        <v>419.827</v>
      </c>
      <c r="F45" s="120">
        <v>1780.167</v>
      </c>
      <c r="G45" s="120"/>
      <c r="H45" s="122">
        <v>3</v>
      </c>
      <c r="I45" s="123">
        <v>3075.12</v>
      </c>
      <c r="J45" s="124">
        <f t="shared" ref="J45:J51" si="102">I45/D45</f>
      </c>
      <c r="K45" s="125">
        <f t="shared" ref="K45:K51" si="62">Y45/X45</f>
      </c>
      <c r="L45" s="126">
        <f t="shared" ref="L45:L51" si="42">D45/Z45</f>
      </c>
      <c r="M45" s="125">
        <f t="shared" ref="M45:M51" si="72">AA45/Z45</f>
      </c>
      <c r="N45" s="125">
        <f t="shared" ref="N45:N51" si="16">AB45/Z45</f>
      </c>
      <c r="O45" s="126">
        <f t="shared" ref="O45:O51" si="112">D45/AB45</f>
      </c>
      <c r="P45" s="125">
        <f t="shared" ref="P45:P51" si="82">AC45/AB45</f>
      </c>
      <c r="Q45" s="125">
        <f t="shared" ref="Q45:Q51" si="52">H45/AC45</f>
      </c>
      <c r="R45" s="127">
        <f t="shared" ref="R45:R51" si="26">D45/H45</f>
      </c>
      <c r="S45" s="128">
        <f t="shared" ref="S45:S51" si="122">I45/H45</f>
      </c>
      <c r="T45" s="127">
        <f t="shared" ref="T45:T51" si="92">D45/W45</f>
      </c>
      <c r="U45" s="129" t="s">
        <v>104</v>
      </c>
      <c r="V45" s="130" t="s">
        <v>105</v>
      </c>
      <c r="W45" s="131">
        <v>3</v>
      </c>
      <c r="X45" s="132">
        <v>45852</v>
      </c>
      <c r="Y45" s="133">
        <v>126</v>
      </c>
      <c r="Z45" s="131">
        <v>70189</v>
      </c>
      <c r="AA45" s="131">
        <v>3704</v>
      </c>
      <c r="AB45" s="131">
        <v>492</v>
      </c>
      <c r="AC45" s="131">
        <v>8</v>
      </c>
      <c r="AD45" s="104"/>
      <c r="AE45" s="104"/>
    </row>
    <row r="46">
      <c r="A46" s="117"/>
      <c r="B46" s="118" t="s">
        <v>108</v>
      </c>
      <c r="C46" s="119" t="s">
        <v>111</v>
      </c>
      <c r="D46" s="120">
        <f t="shared" si="7"/>
      </c>
      <c r="E46" s="121">
        <v>1140.013</v>
      </c>
      <c r="F46" s="120">
        <v>1724.624</v>
      </c>
      <c r="G46" s="120"/>
      <c r="H46" s="122">
        <v>2</v>
      </c>
      <c r="I46" s="123">
        <v>739.0799999999999</v>
      </c>
      <c r="J46" s="124">
        <f t="shared" si="102"/>
      </c>
      <c r="K46" s="125">
        <f t="shared" si="62"/>
      </c>
      <c r="L46" s="126">
        <f t="shared" si="42"/>
      </c>
      <c r="M46" s="125">
        <f t="shared" si="72"/>
      </c>
      <c r="N46" s="125">
        <f t="shared" si="16"/>
      </c>
      <c r="O46" s="126">
        <f t="shared" si="112"/>
      </c>
      <c r="P46" s="125">
        <f t="shared" si="82"/>
      </c>
      <c r="Q46" s="125">
        <f t="shared" si="52"/>
      </c>
      <c r="R46" s="127">
        <f t="shared" si="26"/>
      </c>
      <c r="S46" s="128">
        <f t="shared" si="122"/>
      </c>
      <c r="T46" s="127">
        <f t="shared" si="92"/>
      </c>
      <c r="U46" s="129" t="s">
        <v>104</v>
      </c>
      <c r="V46" s="130" t="s">
        <v>105</v>
      </c>
      <c r="W46" s="131">
        <v>2</v>
      </c>
      <c r="X46" s="132">
        <v>109517</v>
      </c>
      <c r="Y46" s="132">
        <v>887</v>
      </c>
      <c r="Z46" s="133">
        <v>62581</v>
      </c>
      <c r="AA46" s="133">
        <v>3263</v>
      </c>
      <c r="AB46" s="131">
        <v>714</v>
      </c>
      <c r="AC46" s="131">
        <v>5</v>
      </c>
      <c r="AD46" s="104"/>
      <c r="AE46" s="104"/>
    </row>
    <row r="47">
      <c r="A47" s="117"/>
      <c r="B47" s="118" t="s">
        <v>110</v>
      </c>
      <c r="C47" s="119" t="s">
        <v>111</v>
      </c>
      <c r="D47" s="120">
        <f t="shared" si="7"/>
      </c>
      <c r="E47" s="121">
        <v>734.787</v>
      </c>
      <c r="F47" s="120">
        <v>1515.416</v>
      </c>
      <c r="G47" s="120"/>
      <c r="H47" s="122">
        <v>2</v>
      </c>
      <c r="I47" s="135">
        <v>988.2000000000007</v>
      </c>
      <c r="J47" s="124">
        <f t="shared" si="102"/>
      </c>
      <c r="K47" s="125">
        <f t="shared" si="62"/>
      </c>
      <c r="L47" s="126">
        <f t="shared" si="42"/>
      </c>
      <c r="M47" s="125">
        <f t="shared" si="72"/>
      </c>
      <c r="N47" s="125">
        <f t="shared" si="16"/>
      </c>
      <c r="O47" s="126">
        <f t="shared" si="112"/>
      </c>
      <c r="P47" s="125">
        <f t="shared" si="82"/>
      </c>
      <c r="Q47" s="125">
        <f t="shared" si="52"/>
      </c>
      <c r="R47" s="127">
        <f t="shared" si="26"/>
      </c>
      <c r="S47" s="128">
        <f t="shared" si="122"/>
      </c>
      <c r="T47" s="127">
        <f t="shared" si="92"/>
      </c>
      <c r="U47" s="129" t="s">
        <v>104</v>
      </c>
      <c r="V47" s="130" t="s">
        <v>105</v>
      </c>
      <c r="W47" s="131">
        <v>1</v>
      </c>
      <c r="X47" s="133">
        <v>84236</v>
      </c>
      <c r="Y47" s="133">
        <v>792</v>
      </c>
      <c r="Z47" s="133">
        <v>60466</v>
      </c>
      <c r="AA47" s="133">
        <v>3364</v>
      </c>
      <c r="AB47" s="131">
        <v>618</v>
      </c>
      <c r="AC47" s="131">
        <v>3</v>
      </c>
      <c r="AD47" s="104"/>
      <c r="AE47" s="104"/>
    </row>
    <row r="48">
      <c r="A48" s="117"/>
      <c r="B48" s="118" t="s">
        <v>112</v>
      </c>
      <c r="C48" s="119" t="s">
        <v>111</v>
      </c>
      <c r="D48" s="120">
        <f t="shared" si="7"/>
      </c>
      <c r="E48" s="121">
        <v>137.742</v>
      </c>
      <c r="F48" s="120">
        <v>1600.178</v>
      </c>
      <c r="G48" s="120"/>
      <c r="H48" s="122">
        <v>0</v>
      </c>
      <c r="I48" s="123">
        <v>0</v>
      </c>
      <c r="J48" s="124">
        <f t="shared" si="102"/>
      </c>
      <c r="K48" s="125">
        <f t="shared" si="62"/>
      </c>
      <c r="L48" s="126">
        <f t="shared" si="42"/>
      </c>
      <c r="M48" s="125">
        <f t="shared" si="72"/>
      </c>
      <c r="N48" s="125">
        <f t="shared" si="16"/>
      </c>
      <c r="O48" s="126">
        <f t="shared" si="112"/>
      </c>
      <c r="P48" s="125">
        <f t="shared" si="82"/>
      </c>
      <c r="Q48" s="125">
        <f t="shared" si="52"/>
      </c>
      <c r="R48" s="127">
        <f t="shared" si="26"/>
      </c>
      <c r="S48" s="128">
        <f t="shared" si="122"/>
      </c>
      <c r="T48" s="127">
        <f t="shared" si="92"/>
      </c>
      <c r="U48" s="148" t="s">
        <v>104</v>
      </c>
      <c r="V48" s="130" t="s">
        <v>105</v>
      </c>
      <c r="W48" s="131">
        <v>0</v>
      </c>
      <c r="X48" s="133">
        <v>43254</v>
      </c>
      <c r="Y48" s="133">
        <v>78</v>
      </c>
      <c r="Z48" s="133">
        <v>58897</v>
      </c>
      <c r="AA48" s="133">
        <v>3020</v>
      </c>
      <c r="AB48" s="133">
        <v>276</v>
      </c>
      <c r="AC48" s="131">
        <v>2</v>
      </c>
      <c r="AD48" s="104"/>
      <c r="AE48" s="104"/>
    </row>
    <row r="49">
      <c r="A49" s="117"/>
      <c r="B49" s="118" t="s">
        <v>113</v>
      </c>
      <c r="C49" s="119" t="s">
        <v>111</v>
      </c>
      <c r="D49" s="120">
        <f t="shared" si="7"/>
      </c>
      <c r="E49" s="121">
        <v>144.581</v>
      </c>
      <c r="F49" s="120">
        <v>219.76</v>
      </c>
      <c r="G49" s="120"/>
      <c r="H49" s="122">
        <v>0</v>
      </c>
      <c r="I49" s="123">
        <v>0</v>
      </c>
      <c r="J49" s="124">
        <f t="shared" si="102"/>
      </c>
      <c r="K49" s="125">
        <f t="shared" si="62"/>
      </c>
      <c r="L49" s="126">
        <f t="shared" si="42"/>
      </c>
      <c r="M49" s="125">
        <f t="shared" si="72"/>
      </c>
      <c r="N49" s="125">
        <f t="shared" si="16"/>
      </c>
      <c r="O49" s="126">
        <f t="shared" si="112"/>
      </c>
      <c r="P49" s="125">
        <f t="shared" si="82"/>
      </c>
      <c r="Q49" s="125">
        <f t="shared" si="52"/>
      </c>
      <c r="R49" s="127">
        <f t="shared" si="26"/>
      </c>
      <c r="S49" s="128">
        <f t="shared" si="122"/>
      </c>
      <c r="T49" s="127">
        <f t="shared" si="92"/>
      </c>
      <c r="U49" s="148" t="s">
        <v>104</v>
      </c>
      <c r="V49" s="130" t="s">
        <v>107</v>
      </c>
      <c r="W49" s="131">
        <v>0</v>
      </c>
      <c r="X49" s="133">
        <v>11073</v>
      </c>
      <c r="Y49" s="133">
        <v>58</v>
      </c>
      <c r="Z49" s="133">
        <v>6205</v>
      </c>
      <c r="AA49" s="133">
        <v>389</v>
      </c>
      <c r="AB49" s="133">
        <v>200</v>
      </c>
      <c r="AC49" s="131">
        <v>1</v>
      </c>
      <c r="AD49" s="104"/>
      <c r="AE49" s="104"/>
    </row>
    <row r="50">
      <c r="A50" s="117"/>
      <c r="B50" s="136" t="s">
        <v>109</v>
      </c>
      <c r="C50" s="136"/>
      <c r="D50" s="137">
        <f>SUM(D45:D49)</f>
      </c>
      <c r="E50" s="137">
        <f>SUM(E45:E49)</f>
      </c>
      <c r="F50" s="137">
        <f>SUM(F45:F49)</f>
      </c>
      <c r="G50" s="137"/>
      <c r="H50" s="137">
        <f>SUM(H45:H49)</f>
      </c>
      <c r="I50" s="137">
        <f>SUM(I45:I49)</f>
      </c>
      <c r="J50" s="140">
        <f t="shared" si="102"/>
      </c>
      <c r="K50" s="141">
        <f t="shared" si="62"/>
      </c>
      <c r="L50" s="142">
        <f t="shared" si="42"/>
      </c>
      <c r="M50" s="141">
        <f t="shared" si="72"/>
      </c>
      <c r="N50" s="141">
        <f t="shared" si="16"/>
      </c>
      <c r="O50" s="142">
        <f t="shared" si="112"/>
      </c>
      <c r="P50" s="141">
        <f t="shared" si="82"/>
      </c>
      <c r="Q50" s="141">
        <f t="shared" si="52"/>
      </c>
      <c r="R50" s="143">
        <f t="shared" si="26"/>
      </c>
      <c r="S50" s="144">
        <f t="shared" si="122"/>
      </c>
      <c r="T50" s="143">
        <f t="shared" si="92"/>
      </c>
      <c r="U50" s="145"/>
      <c r="V50" s="145"/>
      <c r="W50" s="146">
        <f>SUM(W45:W49)</f>
      </c>
      <c r="X50" s="146">
        <f>SUM(X45:X49)</f>
      </c>
      <c r="Y50" s="146">
        <f>SUM(Y45:Y49)</f>
      </c>
      <c r="Z50" s="146">
        <f>SUM(Z45:Z49)</f>
      </c>
      <c r="AA50" s="146">
        <f>SUM(AA45:AA49)</f>
      </c>
      <c r="AB50" s="146">
        <f>SUM(AB45:AB49)</f>
      </c>
      <c r="AC50" s="146">
        <f>SUM(AC45:AC49)</f>
      </c>
      <c r="AD50" s="104"/>
      <c r="AE50" s="104"/>
    </row>
    <row r="51">
      <c r="A51" s="117"/>
      <c r="B51" s="149" t="s">
        <v>114</v>
      </c>
      <c r="C51" s="149"/>
      <c r="D51" s="150">
        <f>D50</f>
      </c>
      <c r="E51" s="150">
        <f>E50</f>
      </c>
      <c r="F51" s="150">
        <f>F50</f>
      </c>
      <c r="G51" s="150"/>
      <c r="H51" s="150">
        <f>H50</f>
      </c>
      <c r="I51" s="150">
        <f>I50</f>
      </c>
      <c r="J51" s="152">
        <f t="shared" si="102"/>
      </c>
      <c r="K51" s="153">
        <f t="shared" si="62"/>
      </c>
      <c r="L51" s="152">
        <f t="shared" si="42"/>
      </c>
      <c r="M51" s="153">
        <f t="shared" si="72"/>
      </c>
      <c r="N51" s="153">
        <f t="shared" si="16"/>
      </c>
      <c r="O51" s="152">
        <f t="shared" si="112"/>
      </c>
      <c r="P51" s="153">
        <f t="shared" si="82"/>
      </c>
      <c r="Q51" s="153">
        <f t="shared" si="52"/>
      </c>
      <c r="R51" s="152">
        <f t="shared" si="26"/>
      </c>
      <c r="S51" s="154">
        <f t="shared" si="122"/>
      </c>
      <c r="T51" s="152">
        <f t="shared" si="92"/>
      </c>
      <c r="U51" s="155"/>
      <c r="V51" s="155"/>
      <c r="W51" s="151">
        <f>W50</f>
      </c>
      <c r="X51" s="151">
        <f>X50</f>
      </c>
      <c r="Y51" s="151">
        <f>Y50</f>
      </c>
      <c r="Z51" s="151">
        <f>Z50</f>
      </c>
      <c r="AA51" s="151">
        <f>AA50</f>
      </c>
      <c r="AB51" s="151">
        <f>AB50</f>
      </c>
      <c r="AC51" s="151">
        <f>AC50</f>
      </c>
      <c r="AD51" s="104"/>
      <c r="AE51" s="104"/>
    </row>
    <row r="52">
      <c r="A52" s="98" t="s">
        <v>70</v>
      </c>
      <c r="B52" s="98"/>
      <c r="C52" s="98"/>
      <c r="D52" s="99" t="s">
        <v>71</v>
      </c>
      <c r="E52" s="99"/>
      <c r="F52" s="99"/>
      <c r="G52" s="99"/>
      <c r="H52" s="99"/>
      <c r="I52" s="99"/>
      <c r="J52" s="99"/>
      <c r="K52" s="101" t="s">
        <v>72</v>
      </c>
      <c r="L52" s="101"/>
      <c r="M52" s="101"/>
      <c r="N52" s="101"/>
      <c r="O52" s="101"/>
      <c r="P52" s="101"/>
      <c r="Q52" s="101"/>
      <c r="R52" s="101"/>
      <c r="S52" s="101"/>
      <c r="T52" s="101"/>
      <c r="U52" s="102"/>
      <c r="V52" s="102"/>
      <c r="W52" s="103"/>
      <c r="X52" s="103"/>
      <c r="Y52" s="103"/>
      <c r="Z52" s="103"/>
      <c r="AA52" s="103"/>
      <c r="AB52" s="103"/>
      <c r="AC52" s="103"/>
      <c r="AD52" s="104"/>
      <c r="AE52" s="104"/>
    </row>
    <row r="53">
      <c r="A53" s="105" t="s">
        <v>73</v>
      </c>
      <c r="B53" s="106" t="s">
        <v>74</v>
      </c>
      <c r="C53" s="106" t="s">
        <v>75</v>
      </c>
      <c r="D53" s="107" t="s">
        <v>76</v>
      </c>
      <c r="E53" s="108" t="s">
        <v>77</v>
      </c>
      <c r="F53" s="108" t="s">
        <v>78</v>
      </c>
      <c r="G53" s="108" t="s">
        <v>79</v>
      </c>
      <c r="H53" s="109" t="s">
        <v>80</v>
      </c>
      <c r="I53" s="109" t="s">
        <v>81</v>
      </c>
      <c r="J53" s="110" t="s">
        <v>82</v>
      </c>
      <c r="K53" s="101" t="s">
        <v>83</v>
      </c>
      <c r="L53" s="101" t="s">
        <v>84</v>
      </c>
      <c r="M53" s="111" t="s">
        <v>85</v>
      </c>
      <c r="N53" s="111" t="s">
        <v>86</v>
      </c>
      <c r="O53" s="101" t="s">
        <v>87</v>
      </c>
      <c r="P53" s="111" t="s">
        <v>88</v>
      </c>
      <c r="Q53" s="111" t="s">
        <v>89</v>
      </c>
      <c r="R53" s="112" t="s">
        <v>90</v>
      </c>
      <c r="S53" s="111" t="s">
        <v>91</v>
      </c>
      <c r="T53" s="112" t="s">
        <v>92</v>
      </c>
      <c r="U53" s="113" t="s">
        <v>93</v>
      </c>
      <c r="V53" s="113" t="s">
        <v>94</v>
      </c>
      <c r="W53" s="114" t="s">
        <v>95</v>
      </c>
      <c r="X53" s="115" t="s">
        <v>96</v>
      </c>
      <c r="Y53" s="115" t="s">
        <v>97</v>
      </c>
      <c r="Z53" s="115" t="s">
        <v>98</v>
      </c>
      <c r="AA53" s="115" t="s">
        <v>99</v>
      </c>
      <c r="AB53" s="115" t="s">
        <v>100</v>
      </c>
      <c r="AC53" s="116" t="s">
        <v>101</v>
      </c>
      <c r="AD53" s="104"/>
      <c r="AE53" s="104"/>
    </row>
    <row r="54">
      <c r="A54" s="117">
        <v>46291</v>
      </c>
      <c r="B54" s="118" t="s">
        <v>116</v>
      </c>
      <c r="C54" s="119" t="s">
        <v>103</v>
      </c>
      <c r="D54" s="120">
        <f t="shared" ref="D54:D56" si="8">E54+F54</f>
      </c>
      <c r="E54" s="121">
        <v>158.726</v>
      </c>
      <c r="F54" s="120">
        <v>266.859</v>
      </c>
      <c r="G54" s="120"/>
      <c r="H54" s="122">
        <v>0</v>
      </c>
      <c r="I54" s="123">
        <v>0</v>
      </c>
      <c r="J54" s="124">
        <f t="shared" ref="J54:J64" si="103">I54/D54</f>
      </c>
      <c r="K54" s="125">
        <f t="shared" ref="K54:K64" si="63">Y54/X54</f>
      </c>
      <c r="L54" s="126">
        <f t="shared" ref="L54:L64" si="43">D54/Z54</f>
      </c>
      <c r="M54" s="125">
        <f t="shared" ref="M54:M64" si="73">AA54/Z54</f>
      </c>
      <c r="N54" s="125">
        <f t="shared" ref="N54:N64" si="17">AB54/Z54</f>
      </c>
      <c r="O54" s="126">
        <f t="shared" ref="O54:O64" si="113">D54/AB54</f>
      </c>
      <c r="P54" s="125">
        <f t="shared" ref="P54:P64" si="83">AC54/AB54</f>
      </c>
      <c r="Q54" s="125">
        <f t="shared" ref="Q54:Q64" si="53">H54/AC54</f>
      </c>
      <c r="R54" s="127">
        <f t="shared" ref="R54:R64" si="27">D54/H54</f>
      </c>
      <c r="S54" s="128">
        <f t="shared" ref="S54:S64" si="123">I54/H54</f>
      </c>
      <c r="T54" s="127">
        <f t="shared" ref="T54:T64" si="93">D54/W54</f>
      </c>
      <c r="U54" s="129" t="s">
        <v>104</v>
      </c>
      <c r="V54" s="130" t="s">
        <v>105</v>
      </c>
      <c r="W54" s="131">
        <v>0</v>
      </c>
      <c r="X54" s="132">
        <v>5910</v>
      </c>
      <c r="Y54" s="133">
        <v>26</v>
      </c>
      <c r="Z54" s="131">
        <v>3226</v>
      </c>
      <c r="AA54" s="131">
        <v>199</v>
      </c>
      <c r="AB54" s="131">
        <v>163</v>
      </c>
      <c r="AC54" s="131">
        <v>3</v>
      </c>
      <c r="AD54" s="104"/>
      <c r="AE54" s="104"/>
    </row>
    <row r="55">
      <c r="A55" s="117"/>
      <c r="B55" s="118" t="s">
        <v>117</v>
      </c>
      <c r="C55" s="119" t="s">
        <v>103</v>
      </c>
      <c r="D55" s="120">
        <f t="shared" si="8"/>
      </c>
      <c r="E55" s="121">
        <v>272.027</v>
      </c>
      <c r="F55" s="120">
        <v>230.108</v>
      </c>
      <c r="G55" s="120"/>
      <c r="H55" s="122">
        <v>2</v>
      </c>
      <c r="I55" s="123">
        <v>1446</v>
      </c>
      <c r="J55" s="124">
        <f t="shared" si="103"/>
      </c>
      <c r="K55" s="125">
        <f t="shared" si="63"/>
      </c>
      <c r="L55" s="126">
        <f t="shared" si="43"/>
      </c>
      <c r="M55" s="125">
        <f t="shared" si="73"/>
      </c>
      <c r="N55" s="125">
        <f t="shared" si="17"/>
      </c>
      <c r="O55" s="126">
        <f t="shared" si="113"/>
      </c>
      <c r="P55" s="125">
        <f t="shared" si="83"/>
      </c>
      <c r="Q55" s="125">
        <f t="shared" si="53"/>
      </c>
      <c r="R55" s="127">
        <f t="shared" si="27"/>
      </c>
      <c r="S55" s="128">
        <f t="shared" si="123"/>
      </c>
      <c r="T55" s="127">
        <f t="shared" si="93"/>
      </c>
      <c r="U55" s="129" t="s">
        <v>104</v>
      </c>
      <c r="V55" s="130" t="s">
        <v>105</v>
      </c>
      <c r="W55" s="131">
        <v>2</v>
      </c>
      <c r="X55" s="132">
        <v>6605</v>
      </c>
      <c r="Y55" s="132">
        <v>25</v>
      </c>
      <c r="Z55" s="133">
        <v>3423</v>
      </c>
      <c r="AA55" s="133">
        <v>260</v>
      </c>
      <c r="AB55" s="131">
        <v>158</v>
      </c>
      <c r="AC55" s="131">
        <v>4</v>
      </c>
      <c r="AD55" s="104"/>
      <c r="AE55" s="104"/>
    </row>
    <row r="56">
      <c r="A56" s="117"/>
      <c r="B56" s="118" t="s">
        <v>102</v>
      </c>
      <c r="C56" s="119" t="s">
        <v>103</v>
      </c>
      <c r="D56" s="120">
        <f t="shared" si="8"/>
      </c>
      <c r="E56" s="121">
        <v>328.714</v>
      </c>
      <c r="F56" s="120">
        <v>575.634</v>
      </c>
      <c r="G56" s="120"/>
      <c r="H56" s="122">
        <v>2</v>
      </c>
      <c r="I56" s="135">
        <v>2162.6400000000003</v>
      </c>
      <c r="J56" s="124">
        <f t="shared" si="103"/>
      </c>
      <c r="K56" s="125">
        <f t="shared" si="63"/>
      </c>
      <c r="L56" s="126">
        <f t="shared" si="43"/>
      </c>
      <c r="M56" s="125">
        <f t="shared" si="73"/>
      </c>
      <c r="N56" s="125">
        <f t="shared" si="17"/>
      </c>
      <c r="O56" s="126">
        <f t="shared" si="113"/>
      </c>
      <c r="P56" s="125">
        <f t="shared" si="83"/>
      </c>
      <c r="Q56" s="125">
        <f t="shared" si="53"/>
      </c>
      <c r="R56" s="127">
        <f t="shared" si="27"/>
      </c>
      <c r="S56" s="128">
        <f t="shared" si="123"/>
      </c>
      <c r="T56" s="127">
        <f t="shared" si="93"/>
      </c>
      <c r="U56" s="129" t="s">
        <v>104</v>
      </c>
      <c r="V56" s="130" t="s">
        <v>105</v>
      </c>
      <c r="W56" s="131">
        <v>2</v>
      </c>
      <c r="X56" s="133">
        <v>11450</v>
      </c>
      <c r="Y56" s="133">
        <v>36</v>
      </c>
      <c r="Z56" s="133">
        <v>13171</v>
      </c>
      <c r="AA56" s="133">
        <v>809</v>
      </c>
      <c r="AB56" s="131">
        <v>219</v>
      </c>
      <c r="AC56" s="131">
        <v>3</v>
      </c>
      <c r="AD56" s="104"/>
      <c r="AE56" s="104"/>
    </row>
    <row r="57">
      <c r="A57" s="117"/>
      <c r="B57" s="136" t="s">
        <v>109</v>
      </c>
      <c r="C57" s="136"/>
      <c r="D57" s="137">
        <f>SUM(D54:D56)</f>
      </c>
      <c r="E57" s="137">
        <f>SUM(E54:E56)</f>
      </c>
      <c r="F57" s="137">
        <f>SUM(F54:F56)</f>
      </c>
      <c r="G57" s="137"/>
      <c r="H57" s="138">
        <f>SUM(H54:H56)</f>
      </c>
      <c r="I57" s="139">
        <f>SUM(I54:I56)</f>
      </c>
      <c r="J57" s="140">
        <f t="shared" si="103"/>
      </c>
      <c r="K57" s="141">
        <f t="shared" si="63"/>
      </c>
      <c r="L57" s="142">
        <f t="shared" si="43"/>
      </c>
      <c r="M57" s="141">
        <f t="shared" si="73"/>
      </c>
      <c r="N57" s="141">
        <f t="shared" si="17"/>
      </c>
      <c r="O57" s="142">
        <f t="shared" si="113"/>
      </c>
      <c r="P57" s="141">
        <f t="shared" si="83"/>
      </c>
      <c r="Q57" s="141">
        <f t="shared" si="53"/>
      </c>
      <c r="R57" s="143">
        <f t="shared" si="27"/>
      </c>
      <c r="S57" s="144">
        <f t="shared" si="123"/>
      </c>
      <c r="T57" s="143">
        <f t="shared" si="93"/>
      </c>
      <c r="U57" s="145"/>
      <c r="V57" s="145"/>
      <c r="W57" s="146">
        <f>SUM(W54:W56)</f>
      </c>
      <c r="X57" s="146">
        <f>SUM(X54:X56)</f>
      </c>
      <c r="Y57" s="146">
        <f>SUM(Y54:Y56)</f>
      </c>
      <c r="Z57" s="146">
        <f>SUM(Z54:Z56)</f>
      </c>
      <c r="AA57" s="146">
        <f>SUM(AA54:AA56)</f>
      </c>
      <c r="AB57" s="146">
        <f>SUM(AB54:AB56)</f>
      </c>
      <c r="AC57" s="146">
        <f>SUM(AC54:AC56)</f>
      </c>
      <c r="AD57" s="104"/>
      <c r="AE57" s="104"/>
    </row>
    <row r="58">
      <c r="A58" s="117"/>
      <c r="B58" s="118" t="s">
        <v>106</v>
      </c>
      <c r="C58" s="119" t="s">
        <v>111</v>
      </c>
      <c r="D58" s="120">
        <f t="shared" ref="D58:D62" si="9">E58+F58</f>
      </c>
      <c r="E58" s="121">
        <v>367.91</v>
      </c>
      <c r="F58" s="120">
        <v>1051.963</v>
      </c>
      <c r="G58" s="120"/>
      <c r="H58" s="122">
        <v>4</v>
      </c>
      <c r="I58" s="123">
        <v>5860.679999999999</v>
      </c>
      <c r="J58" s="124">
        <f t="shared" si="103"/>
      </c>
      <c r="K58" s="125">
        <f t="shared" si="63"/>
      </c>
      <c r="L58" s="126">
        <f t="shared" si="43"/>
      </c>
      <c r="M58" s="125">
        <f t="shared" si="73"/>
      </c>
      <c r="N58" s="125">
        <f t="shared" si="17"/>
      </c>
      <c r="O58" s="126">
        <f t="shared" si="113"/>
      </c>
      <c r="P58" s="125">
        <f t="shared" si="83"/>
      </c>
      <c r="Q58" s="125">
        <f t="shared" si="53"/>
      </c>
      <c r="R58" s="127">
        <f t="shared" si="27"/>
      </c>
      <c r="S58" s="128">
        <f t="shared" si="123"/>
      </c>
      <c r="T58" s="127">
        <f t="shared" si="93"/>
      </c>
      <c r="U58" s="148" t="s">
        <v>104</v>
      </c>
      <c r="V58" s="130" t="s">
        <v>105</v>
      </c>
      <c r="W58" s="131">
        <v>3</v>
      </c>
      <c r="X58" s="132">
        <v>24051</v>
      </c>
      <c r="Y58" s="133">
        <v>58</v>
      </c>
      <c r="Z58" s="133">
        <v>26872</v>
      </c>
      <c r="AA58" s="133">
        <v>1416</v>
      </c>
      <c r="AB58" s="133">
        <v>308</v>
      </c>
      <c r="AC58" s="131">
        <v>5</v>
      </c>
      <c r="AD58" s="104"/>
      <c r="AE58" s="104"/>
    </row>
    <row r="59">
      <c r="A59" s="117"/>
      <c r="B59" s="118" t="s">
        <v>108</v>
      </c>
      <c r="C59" s="119" t="s">
        <v>111</v>
      </c>
      <c r="D59" s="120">
        <f t="shared" si="9"/>
      </c>
      <c r="E59" s="121">
        <v>782.646</v>
      </c>
      <c r="F59" s="120">
        <v>804.837</v>
      </c>
      <c r="G59" s="120"/>
      <c r="H59" s="122">
        <v>0</v>
      </c>
      <c r="I59" s="123">
        <v>0</v>
      </c>
      <c r="J59" s="124">
        <f t="shared" si="103"/>
      </c>
      <c r="K59" s="125">
        <f t="shared" si="63"/>
      </c>
      <c r="L59" s="126">
        <f t="shared" si="43"/>
      </c>
      <c r="M59" s="125">
        <f t="shared" si="73"/>
      </c>
      <c r="N59" s="125">
        <f t="shared" si="17"/>
      </c>
      <c r="O59" s="126">
        <f t="shared" si="113"/>
      </c>
      <c r="P59" s="125">
        <f t="shared" si="83"/>
      </c>
      <c r="Q59" s="125">
        <f t="shared" si="53"/>
      </c>
      <c r="R59" s="127">
        <f t="shared" si="27"/>
      </c>
      <c r="S59" s="128">
        <f t="shared" si="123"/>
      </c>
      <c r="T59" s="127">
        <f t="shared" si="93"/>
      </c>
      <c r="U59" s="148" t="s">
        <v>104</v>
      </c>
      <c r="V59" s="130" t="s">
        <v>105</v>
      </c>
      <c r="W59" s="131">
        <v>0</v>
      </c>
      <c r="X59" s="133">
        <v>39776</v>
      </c>
      <c r="Y59" s="133">
        <v>231</v>
      </c>
      <c r="Z59" s="133">
        <v>12194</v>
      </c>
      <c r="AA59" s="133">
        <v>592</v>
      </c>
      <c r="AB59" s="133">
        <v>601</v>
      </c>
      <c r="AC59" s="131">
        <v>1</v>
      </c>
      <c r="AD59" s="104"/>
      <c r="AE59" s="104"/>
    </row>
    <row customHeight="true" ht="18.452380952380953" r="60">
      <c r="A60" s="117"/>
      <c r="B60" s="118" t="s">
        <v>110</v>
      </c>
      <c r="C60" s="119" t="s">
        <v>111</v>
      </c>
      <c r="D60" s="120">
        <f t="shared" si="9"/>
      </c>
      <c r="E60" s="121">
        <v>237.87</v>
      </c>
      <c r="F60" s="120">
        <v>389.882</v>
      </c>
      <c r="G60" s="120"/>
      <c r="H60" s="122">
        <v>0</v>
      </c>
      <c r="I60" s="123">
        <v>0</v>
      </c>
      <c r="J60" s="124">
        <f t="shared" si="103"/>
      </c>
      <c r="K60" s="125">
        <f t="shared" si="63"/>
      </c>
      <c r="L60" s="126">
        <f t="shared" si="43"/>
      </c>
      <c r="M60" s="125">
        <f t="shared" si="73"/>
      </c>
      <c r="N60" s="125">
        <f t="shared" si="17"/>
      </c>
      <c r="O60" s="126">
        <f t="shared" si="113"/>
      </c>
      <c r="P60" s="125">
        <f t="shared" si="83"/>
      </c>
      <c r="Q60" s="125">
        <f t="shared" si="53"/>
      </c>
      <c r="R60" s="127">
        <f t="shared" si="27"/>
      </c>
      <c r="S60" s="128">
        <f t="shared" si="123"/>
      </c>
      <c r="T60" s="127">
        <f t="shared" si="93"/>
      </c>
      <c r="U60" s="148" t="s">
        <v>104</v>
      </c>
      <c r="V60" s="130" t="s">
        <v>105</v>
      </c>
      <c r="W60" s="131">
        <v>0</v>
      </c>
      <c r="X60" s="133">
        <v>12891</v>
      </c>
      <c r="Y60" s="133">
        <v>116</v>
      </c>
      <c r="Z60" s="133">
        <v>4318</v>
      </c>
      <c r="AA60" s="133">
        <v>175</v>
      </c>
      <c r="AB60" s="133">
        <v>172</v>
      </c>
      <c r="AC60" s="131">
        <v>1</v>
      </c>
      <c r="AD60" s="104"/>
      <c r="AE60" s="104"/>
    </row>
    <row customHeight="true" ht="18.452380952380953" r="61">
      <c r="A61" s="117"/>
      <c r="B61" s="118" t="s">
        <v>112</v>
      </c>
      <c r="C61" s="119" t="s">
        <v>111</v>
      </c>
      <c r="D61" s="120">
        <f t="shared" si="9"/>
      </c>
      <c r="E61" s="121">
        <v>168.684</v>
      </c>
      <c r="F61" s="120">
        <v>834.768</v>
      </c>
      <c r="G61" s="120"/>
      <c r="H61" s="122">
        <v>0</v>
      </c>
      <c r="I61" s="123">
        <v>0</v>
      </c>
      <c r="J61" s="124">
        <f t="shared" si="103"/>
      </c>
      <c r="K61" s="125">
        <f t="shared" si="63"/>
      </c>
      <c r="L61" s="126">
        <f t="shared" si="43"/>
      </c>
      <c r="M61" s="125">
        <f t="shared" si="73"/>
      </c>
      <c r="N61" s="125">
        <f t="shared" si="17"/>
      </c>
      <c r="O61" s="126">
        <f t="shared" si="113"/>
      </c>
      <c r="P61" s="125">
        <f t="shared" si="83"/>
      </c>
      <c r="Q61" s="125">
        <f t="shared" si="53"/>
      </c>
      <c r="R61" s="127">
        <f t="shared" si="27"/>
      </c>
      <c r="S61" s="128">
        <f t="shared" si="123"/>
      </c>
      <c r="T61" s="127">
        <f t="shared" si="93"/>
      </c>
      <c r="U61" s="148" t="s">
        <v>104</v>
      </c>
      <c r="V61" s="130" t="s">
        <v>105</v>
      </c>
      <c r="W61" s="131">
        <v>0</v>
      </c>
      <c r="X61" s="133">
        <v>11472</v>
      </c>
      <c r="Y61" s="133">
        <v>96</v>
      </c>
      <c r="Z61" s="133">
        <v>4259</v>
      </c>
      <c r="AA61" s="133">
        <v>175</v>
      </c>
      <c r="AB61" s="133">
        <v>115</v>
      </c>
      <c r="AC61" s="131">
        <v>2</v>
      </c>
      <c r="AD61" s="104"/>
      <c r="AE61" s="104"/>
    </row>
    <row r="62">
      <c r="A62" s="117"/>
      <c r="B62" s="118" t="s">
        <v>113</v>
      </c>
      <c r="C62" s="119" t="s">
        <v>111</v>
      </c>
      <c r="D62" s="120">
        <f t="shared" si="9"/>
      </c>
      <c r="E62" s="121">
        <v>177.46</v>
      </c>
      <c r="F62" s="120">
        <v>394.812</v>
      </c>
      <c r="G62" s="120"/>
      <c r="H62" s="122">
        <v>1</v>
      </c>
      <c r="I62" s="123">
        <v>2485.08</v>
      </c>
      <c r="J62" s="124">
        <f t="shared" si="103"/>
      </c>
      <c r="K62" s="125">
        <f t="shared" si="63"/>
      </c>
      <c r="L62" s="126">
        <f t="shared" si="43"/>
      </c>
      <c r="M62" s="125">
        <f t="shared" si="73"/>
      </c>
      <c r="N62" s="125">
        <f t="shared" si="17"/>
      </c>
      <c r="O62" s="126">
        <f t="shared" si="113"/>
      </c>
      <c r="P62" s="125">
        <f t="shared" si="83"/>
      </c>
      <c r="Q62" s="125">
        <f t="shared" si="53"/>
      </c>
      <c r="R62" s="127">
        <f t="shared" si="27"/>
      </c>
      <c r="S62" s="128">
        <f t="shared" si="123"/>
      </c>
      <c r="T62" s="127">
        <f t="shared" si="93"/>
      </c>
      <c r="U62" s="148" t="s">
        <v>104</v>
      </c>
      <c r="V62" s="130" t="s">
        <v>107</v>
      </c>
      <c r="W62" s="131">
        <v>1</v>
      </c>
      <c r="X62" s="133">
        <v>15873</v>
      </c>
      <c r="Y62" s="133">
        <v>105</v>
      </c>
      <c r="Z62" s="133">
        <v>5619</v>
      </c>
      <c r="AA62" s="133">
        <v>267</v>
      </c>
      <c r="AB62" s="133">
        <v>131</v>
      </c>
      <c r="AC62" s="131">
        <v>3</v>
      </c>
      <c r="AD62" s="104"/>
      <c r="AE62" s="104"/>
    </row>
    <row r="63">
      <c r="A63" s="117"/>
      <c r="B63" s="136" t="s">
        <v>109</v>
      </c>
      <c r="C63" s="136"/>
      <c r="D63" s="137">
        <f>SUM(D58:D62)</f>
      </c>
      <c r="E63" s="137">
        <f>SUM(E58:E62)</f>
      </c>
      <c r="F63" s="137">
        <f>SUM(F58:F62)</f>
      </c>
      <c r="G63" s="137"/>
      <c r="H63" s="138">
        <f>SUM(H58:H62)</f>
      </c>
      <c r="I63" s="139">
        <f>SUM(I58:I62)</f>
      </c>
      <c r="J63" s="140">
        <f t="shared" si="103"/>
      </c>
      <c r="K63" s="141">
        <f t="shared" si="63"/>
      </c>
      <c r="L63" s="142">
        <f t="shared" si="43"/>
      </c>
      <c r="M63" s="141">
        <f t="shared" si="73"/>
      </c>
      <c r="N63" s="141">
        <f t="shared" si="17"/>
      </c>
      <c r="O63" s="142">
        <f t="shared" si="113"/>
      </c>
      <c r="P63" s="141">
        <f t="shared" si="83"/>
      </c>
      <c r="Q63" s="141">
        <f t="shared" si="53"/>
      </c>
      <c r="R63" s="143">
        <f t="shared" si="27"/>
      </c>
      <c r="S63" s="144">
        <f t="shared" si="123"/>
      </c>
      <c r="T63" s="143">
        <f t="shared" si="93"/>
      </c>
      <c r="U63" s="145"/>
      <c r="V63" s="145"/>
      <c r="W63" s="146">
        <f>SUM(W58:W62)</f>
      </c>
      <c r="X63" s="146">
        <f>SUM(X58:X62)</f>
      </c>
      <c r="Y63" s="146">
        <f>SUM(Y58:Y62)</f>
      </c>
      <c r="Z63" s="146">
        <f>SUM(Z58:Z62)</f>
      </c>
      <c r="AA63" s="146">
        <f>SUM(AA58:AA62)</f>
      </c>
      <c r="AB63" s="146">
        <f>SUM(AB58:AB62)</f>
      </c>
      <c r="AC63" s="146">
        <f>SUM(AC58:AC62)</f>
      </c>
      <c r="AD63" s="104"/>
      <c r="AE63" s="104"/>
    </row>
    <row r="64">
      <c r="A64" s="117"/>
      <c r="B64" s="149" t="s">
        <v>114</v>
      </c>
      <c r="C64" s="149"/>
      <c r="D64" s="150">
        <f>D57+D63</f>
      </c>
      <c r="E64" s="150">
        <f>E57+E63</f>
      </c>
      <c r="F64" s="150">
        <f>F57+F63</f>
      </c>
      <c r="G64" s="150"/>
      <c r="H64" s="151">
        <f>H57+H63</f>
      </c>
      <c r="I64" s="151">
        <f>I57+I63</f>
      </c>
      <c r="J64" s="152">
        <f t="shared" si="103"/>
      </c>
      <c r="K64" s="153">
        <f t="shared" si="63"/>
      </c>
      <c r="L64" s="152">
        <f t="shared" si="43"/>
      </c>
      <c r="M64" s="153">
        <f t="shared" si="73"/>
      </c>
      <c r="N64" s="153">
        <f t="shared" si="17"/>
      </c>
      <c r="O64" s="152">
        <f t="shared" si="113"/>
      </c>
      <c r="P64" s="153">
        <f t="shared" si="83"/>
      </c>
      <c r="Q64" s="153">
        <f t="shared" si="53"/>
      </c>
      <c r="R64" s="152">
        <f t="shared" si="27"/>
      </c>
      <c r="S64" s="154">
        <f t="shared" si="123"/>
      </c>
      <c r="T64" s="152">
        <f t="shared" si="93"/>
      </c>
      <c r="U64" s="155"/>
      <c r="V64" s="155"/>
      <c r="W64" s="151">
        <f>W57+W63</f>
      </c>
      <c r="X64" s="151">
        <f>X57+X63</f>
      </c>
      <c r="Y64" s="151">
        <f>Y57+Y63</f>
      </c>
      <c r="Z64" s="151">
        <f>Z57+Z63</f>
      </c>
      <c r="AA64" s="151">
        <f>AA57+AA63</f>
      </c>
      <c r="AB64" s="151">
        <f>AB57+AB63</f>
      </c>
      <c r="AC64" s="151">
        <f>AC57+AC63</f>
      </c>
      <c r="AD64" s="104"/>
      <c r="AE64" s="104"/>
    </row>
    <row r="65">
      <c r="A65" s="98" t="s">
        <v>70</v>
      </c>
      <c r="B65" s="98"/>
      <c r="C65" s="98"/>
      <c r="D65" s="99" t="s">
        <v>71</v>
      </c>
      <c r="E65" s="99"/>
      <c r="F65" s="99"/>
      <c r="G65" s="99"/>
      <c r="H65" s="99"/>
      <c r="I65" s="99"/>
      <c r="J65" s="99"/>
      <c r="K65" s="101" t="s">
        <v>72</v>
      </c>
      <c r="L65" s="101"/>
      <c r="M65" s="101"/>
      <c r="N65" s="101"/>
      <c r="O65" s="101"/>
      <c r="P65" s="101"/>
      <c r="Q65" s="101"/>
      <c r="R65" s="101"/>
      <c r="S65" s="101"/>
      <c r="T65" s="101"/>
      <c r="U65" s="102"/>
      <c r="V65" s="102"/>
      <c r="W65" s="103"/>
      <c r="X65" s="103"/>
      <c r="Y65" s="103"/>
      <c r="Z65" s="103"/>
      <c r="AA65" s="103"/>
      <c r="AB65" s="103"/>
      <c r="AC65" s="103"/>
      <c r="AD65" s="104"/>
      <c r="AE65" s="104"/>
    </row>
    <row r="66">
      <c r="A66" s="105" t="s">
        <v>73</v>
      </c>
      <c r="B66" s="106" t="s">
        <v>74</v>
      </c>
      <c r="C66" s="106" t="s">
        <v>75</v>
      </c>
      <c r="D66" s="107" t="s">
        <v>76</v>
      </c>
      <c r="E66" s="108" t="s">
        <v>77</v>
      </c>
      <c r="F66" s="108" t="s">
        <v>78</v>
      </c>
      <c r="G66" s="108" t="s">
        <v>79</v>
      </c>
      <c r="H66" s="109" t="s">
        <v>80</v>
      </c>
      <c r="I66" s="109" t="s">
        <v>81</v>
      </c>
      <c r="J66" s="110" t="s">
        <v>82</v>
      </c>
      <c r="K66" s="101" t="s">
        <v>83</v>
      </c>
      <c r="L66" s="101" t="s">
        <v>84</v>
      </c>
      <c r="M66" s="111" t="s">
        <v>85</v>
      </c>
      <c r="N66" s="111" t="s">
        <v>86</v>
      </c>
      <c r="O66" s="101" t="s">
        <v>87</v>
      </c>
      <c r="P66" s="111" t="s">
        <v>88</v>
      </c>
      <c r="Q66" s="111" t="s">
        <v>89</v>
      </c>
      <c r="R66" s="112" t="s">
        <v>90</v>
      </c>
      <c r="S66" s="111" t="s">
        <v>91</v>
      </c>
      <c r="T66" s="112" t="s">
        <v>92</v>
      </c>
      <c r="U66" s="113" t="s">
        <v>93</v>
      </c>
      <c r="V66" s="113" t="s">
        <v>94</v>
      </c>
      <c r="W66" s="114" t="s">
        <v>95</v>
      </c>
      <c r="X66" s="115" t="s">
        <v>96</v>
      </c>
      <c r="Y66" s="115" t="s">
        <v>97</v>
      </c>
      <c r="Z66" s="115" t="s">
        <v>98</v>
      </c>
      <c r="AA66" s="115" t="s">
        <v>99</v>
      </c>
      <c r="AB66" s="115" t="s">
        <v>100</v>
      </c>
      <c r="AC66" s="116" t="s">
        <v>101</v>
      </c>
      <c r="AD66" s="104"/>
      <c r="AE66" s="104"/>
    </row>
    <row r="67">
      <c r="A67" s="117">
        <v>46292</v>
      </c>
      <c r="B67" s="118" t="s">
        <v>116</v>
      </c>
      <c r="C67" s="119" t="s">
        <v>103</v>
      </c>
      <c r="D67" s="120">
        <f t="shared" ref="D67:D69" si="10">E67+F67</f>
      </c>
      <c r="E67" s="121">
        <v>252.558</v>
      </c>
      <c r="F67" s="120">
        <v>547.769</v>
      </c>
      <c r="G67" s="120"/>
      <c r="H67" s="122">
        <v>1</v>
      </c>
      <c r="I67" s="123">
        <v>627</v>
      </c>
      <c r="J67" s="124">
        <f t="shared" ref="J67:J77" si="104">I67/D67</f>
      </c>
      <c r="K67" s="125">
        <f t="shared" ref="K67:K77" si="64">Y67/X67</f>
      </c>
      <c r="L67" s="126">
        <f t="shared" ref="L67:L77" si="44">D67/Z67</f>
      </c>
      <c r="M67" s="125">
        <f t="shared" ref="M67:M77" si="74">AA67/Z67</f>
      </c>
      <c r="N67" s="125">
        <f t="shared" ref="N67:N77" si="18">AB67/Z67</f>
      </c>
      <c r="O67" s="126">
        <f t="shared" ref="O67:O77" si="114">D67/AB67</f>
      </c>
      <c r="P67" s="125">
        <f t="shared" ref="P67:P77" si="84">AC67/AB67</f>
      </c>
      <c r="Q67" s="125">
        <f t="shared" ref="Q67:Q77" si="54">H67/AC67</f>
      </c>
      <c r="R67" s="127">
        <f t="shared" ref="R67:R77" si="28">D67/H67</f>
      </c>
      <c r="S67" s="128">
        <f t="shared" ref="S67:S77" si="124">I67/H67</f>
      </c>
      <c r="T67" s="127">
        <f t="shared" ref="T67:T77" si="94">D67/W67</f>
      </c>
      <c r="U67" s="129" t="s">
        <v>104</v>
      </c>
      <c r="V67" s="130" t="s">
        <v>105</v>
      </c>
      <c r="W67" s="131">
        <v>1</v>
      </c>
      <c r="X67" s="132">
        <v>10931</v>
      </c>
      <c r="Y67" s="133">
        <v>37</v>
      </c>
      <c r="Z67" s="131">
        <v>12230</v>
      </c>
      <c r="AA67" s="131">
        <v>685</v>
      </c>
      <c r="AB67" s="131">
        <v>183</v>
      </c>
      <c r="AC67" s="131">
        <v>1</v>
      </c>
      <c r="AD67" s="104"/>
      <c r="AE67" s="104"/>
    </row>
    <row r="68">
      <c r="A68" s="117"/>
      <c r="B68" s="118" t="s">
        <v>117</v>
      </c>
      <c r="C68" s="119" t="s">
        <v>103</v>
      </c>
      <c r="D68" s="120">
        <f t="shared" si="10"/>
      </c>
      <c r="E68" s="121">
        <v>291.08</v>
      </c>
      <c r="F68" s="120">
        <v>732.321</v>
      </c>
      <c r="G68" s="120"/>
      <c r="H68" s="122">
        <v>1</v>
      </c>
      <c r="I68" s="123">
        <v>1318.92</v>
      </c>
      <c r="J68" s="124">
        <f t="shared" si="104"/>
      </c>
      <c r="K68" s="125">
        <f t="shared" si="64"/>
      </c>
      <c r="L68" s="126">
        <f t="shared" si="44"/>
      </c>
      <c r="M68" s="125">
        <f t="shared" si="74"/>
      </c>
      <c r="N68" s="125">
        <f t="shared" si="18"/>
      </c>
      <c r="O68" s="126">
        <f t="shared" si="114"/>
      </c>
      <c r="P68" s="125">
        <f t="shared" si="84"/>
      </c>
      <c r="Q68" s="125">
        <f t="shared" si="54"/>
      </c>
      <c r="R68" s="127">
        <f t="shared" si="28"/>
      </c>
      <c r="S68" s="128">
        <f t="shared" si="124"/>
      </c>
      <c r="T68" s="127">
        <f t="shared" si="94"/>
      </c>
      <c r="U68" s="129" t="s">
        <v>104</v>
      </c>
      <c r="V68" s="130" t="s">
        <v>105</v>
      </c>
      <c r="W68" s="131">
        <v>1</v>
      </c>
      <c r="X68" s="132">
        <v>12748</v>
      </c>
      <c r="Y68" s="132">
        <v>36</v>
      </c>
      <c r="Z68" s="133">
        <v>15348</v>
      </c>
      <c r="AA68" s="133">
        <v>1005</v>
      </c>
      <c r="AB68" s="131">
        <v>194</v>
      </c>
      <c r="AC68" s="131">
        <v>1</v>
      </c>
      <c r="AD68" s="104"/>
      <c r="AE68" s="104"/>
    </row>
    <row r="69">
      <c r="A69" s="117"/>
      <c r="B69" s="118" t="s">
        <v>102</v>
      </c>
      <c r="C69" s="119" t="s">
        <v>103</v>
      </c>
      <c r="D69" s="120">
        <f t="shared" si="10"/>
      </c>
      <c r="E69" s="121">
        <v>331.674</v>
      </c>
      <c r="F69" s="120">
        <v>520.27</v>
      </c>
      <c r="G69" s="120"/>
      <c r="H69" s="122">
        <v>1</v>
      </c>
      <c r="I69" s="135">
        <v>891.1199999999999</v>
      </c>
      <c r="J69" s="124">
        <f t="shared" si="104"/>
      </c>
      <c r="K69" s="125">
        <f t="shared" si="64"/>
      </c>
      <c r="L69" s="126">
        <f t="shared" si="44"/>
      </c>
      <c r="M69" s="125">
        <f t="shared" si="74"/>
      </c>
      <c r="N69" s="125">
        <f t="shared" si="18"/>
      </c>
      <c r="O69" s="126">
        <f t="shared" si="114"/>
      </c>
      <c r="P69" s="125">
        <f t="shared" si="84"/>
      </c>
      <c r="Q69" s="125">
        <f t="shared" si="54"/>
      </c>
      <c r="R69" s="127">
        <f t="shared" si="28"/>
      </c>
      <c r="S69" s="128">
        <f t="shared" si="124"/>
      </c>
      <c r="T69" s="127">
        <f t="shared" si="94"/>
      </c>
      <c r="U69" s="129" t="s">
        <v>104</v>
      </c>
      <c r="V69" s="130" t="s">
        <v>105</v>
      </c>
      <c r="W69" s="131">
        <v>1</v>
      </c>
      <c r="X69" s="133">
        <v>12277</v>
      </c>
      <c r="Y69" s="133">
        <v>65</v>
      </c>
      <c r="Z69" s="133">
        <v>10514</v>
      </c>
      <c r="AA69" s="133">
        <v>629</v>
      </c>
      <c r="AB69" s="131">
        <v>229</v>
      </c>
      <c r="AC69" s="131">
        <v>2</v>
      </c>
      <c r="AD69" s="104"/>
      <c r="AE69" s="104"/>
    </row>
    <row r="70">
      <c r="A70" s="117"/>
      <c r="B70" s="136" t="s">
        <v>109</v>
      </c>
      <c r="C70" s="136"/>
      <c r="D70" s="137">
        <f>SUM(D67:D69)</f>
      </c>
      <c r="E70" s="137">
        <f>SUM(E67:E69)</f>
      </c>
      <c r="F70" s="137">
        <f>SUM(F67:F69)</f>
      </c>
      <c r="G70" s="137"/>
      <c r="H70" s="138">
        <f>SUM(H67:H69)</f>
      </c>
      <c r="I70" s="139">
        <f>SUM(I67:I69)</f>
      </c>
      <c r="J70" s="140">
        <f t="shared" si="104"/>
      </c>
      <c r="K70" s="141">
        <f t="shared" si="64"/>
      </c>
      <c r="L70" s="142">
        <f t="shared" si="44"/>
      </c>
      <c r="M70" s="141">
        <f t="shared" si="74"/>
      </c>
      <c r="N70" s="141">
        <f t="shared" si="18"/>
      </c>
      <c r="O70" s="142">
        <f t="shared" si="114"/>
      </c>
      <c r="P70" s="141">
        <f t="shared" si="84"/>
      </c>
      <c r="Q70" s="141">
        <f t="shared" si="54"/>
      </c>
      <c r="R70" s="143">
        <f t="shared" si="28"/>
      </c>
      <c r="S70" s="144">
        <f t="shared" si="124"/>
      </c>
      <c r="T70" s="143">
        <f t="shared" si="94"/>
      </c>
      <c r="U70" s="145"/>
      <c r="V70" s="145"/>
      <c r="W70" s="146">
        <f>SUM(W67:W69)</f>
      </c>
      <c r="X70" s="146">
        <f>SUM(X67:X69)</f>
      </c>
      <c r="Y70" s="146">
        <f>SUM(Y67:Y69)</f>
      </c>
      <c r="Z70" s="146">
        <f>SUM(Z67:Z69)</f>
      </c>
      <c r="AA70" s="146">
        <f>SUM(AA67:AA69)</f>
      </c>
      <c r="AB70" s="146">
        <f>SUM(AB67:AB69)</f>
      </c>
      <c r="AC70" s="146">
        <f>SUM(AC67:AC69)</f>
      </c>
      <c r="AD70" s="104"/>
      <c r="AE70" s="104"/>
    </row>
    <row r="71">
      <c r="A71" s="117"/>
      <c r="B71" s="118" t="s">
        <v>106</v>
      </c>
      <c r="C71" s="119" t="s">
        <v>111</v>
      </c>
      <c r="D71" s="120">
        <f t="shared" ref="D71:D75" si="11">E71+F71</f>
      </c>
      <c r="E71" s="121">
        <v>426.996</v>
      </c>
      <c r="F71" s="120">
        <v>329.807</v>
      </c>
      <c r="G71" s="120"/>
      <c r="H71" s="122">
        <v>1</v>
      </c>
      <c r="I71" s="123">
        <v>1680.7200000000003</v>
      </c>
      <c r="J71" s="124">
        <f t="shared" si="104"/>
      </c>
      <c r="K71" s="125">
        <f t="shared" si="64"/>
      </c>
      <c r="L71" s="126">
        <f t="shared" si="44"/>
      </c>
      <c r="M71" s="125">
        <f t="shared" si="74"/>
      </c>
      <c r="N71" s="125">
        <f t="shared" si="18"/>
      </c>
      <c r="O71" s="126">
        <f t="shared" si="114"/>
      </c>
      <c r="P71" s="125">
        <f t="shared" si="84"/>
      </c>
      <c r="Q71" s="125">
        <f t="shared" si="54"/>
      </c>
      <c r="R71" s="127">
        <f t="shared" si="28"/>
      </c>
      <c r="S71" s="128">
        <f t="shared" si="124"/>
      </c>
      <c r="T71" s="127">
        <f t="shared" si="94"/>
      </c>
      <c r="U71" s="148" t="s">
        <v>104</v>
      </c>
      <c r="V71" s="130" t="s">
        <v>105</v>
      </c>
      <c r="W71" s="131">
        <v>1</v>
      </c>
      <c r="X71" s="132">
        <v>17267</v>
      </c>
      <c r="Y71" s="133">
        <v>205</v>
      </c>
      <c r="Z71" s="133">
        <v>5926</v>
      </c>
      <c r="AA71" s="133">
        <v>316</v>
      </c>
      <c r="AB71" s="133">
        <v>258</v>
      </c>
      <c r="AC71" s="131">
        <v>2</v>
      </c>
      <c r="AD71" s="104"/>
      <c r="AE71" s="104"/>
    </row>
    <row r="72">
      <c r="A72" s="117"/>
      <c r="B72" s="118" t="s">
        <v>108</v>
      </c>
      <c r="C72" s="119" t="s">
        <v>111</v>
      </c>
      <c r="D72" s="120">
        <f t="shared" si="11"/>
      </c>
      <c r="E72" s="121">
        <v>409.1</v>
      </c>
      <c r="F72" s="120">
        <v>670.677</v>
      </c>
      <c r="G72" s="120"/>
      <c r="H72" s="122">
        <v>0</v>
      </c>
      <c r="I72" s="123">
        <v>0</v>
      </c>
      <c r="J72" s="124">
        <f t="shared" si="104"/>
      </c>
      <c r="K72" s="125">
        <f t="shared" si="64"/>
      </c>
      <c r="L72" s="126">
        <f t="shared" si="44"/>
      </c>
      <c r="M72" s="125">
        <f t="shared" si="74"/>
      </c>
      <c r="N72" s="125">
        <f t="shared" si="18"/>
      </c>
      <c r="O72" s="126">
        <f t="shared" si="114"/>
      </c>
      <c r="P72" s="125">
        <f t="shared" si="84"/>
      </c>
      <c r="Q72" s="125">
        <f t="shared" si="54"/>
      </c>
      <c r="R72" s="127">
        <f t="shared" si="28"/>
      </c>
      <c r="S72" s="128">
        <f t="shared" si="124"/>
      </c>
      <c r="T72" s="127">
        <f t="shared" si="94"/>
      </c>
      <c r="U72" s="148" t="s">
        <v>104</v>
      </c>
      <c r="V72" s="130" t="s">
        <v>105</v>
      </c>
      <c r="W72" s="131">
        <v>0</v>
      </c>
      <c r="X72" s="133">
        <v>23561</v>
      </c>
      <c r="Y72" s="133">
        <v>382</v>
      </c>
      <c r="Z72" s="133">
        <v>13209</v>
      </c>
      <c r="AA72" s="133">
        <v>582</v>
      </c>
      <c r="AB72" s="133">
        <v>250</v>
      </c>
      <c r="AC72" s="131">
        <v>0</v>
      </c>
      <c r="AD72" s="104"/>
      <c r="AE72" s="104"/>
    </row>
    <row r="73">
      <c r="A73" s="117"/>
      <c r="B73" s="118" t="s">
        <v>110</v>
      </c>
      <c r="C73" s="119" t="s">
        <v>111</v>
      </c>
      <c r="D73" s="120">
        <f t="shared" si="11"/>
      </c>
      <c r="E73" s="121">
        <v>250.6</v>
      </c>
      <c r="F73" s="120">
        <v>746.674</v>
      </c>
      <c r="G73" s="120"/>
      <c r="H73" s="122">
        <v>0</v>
      </c>
      <c r="I73" s="123">
        <v>0</v>
      </c>
      <c r="J73" s="124">
        <f t="shared" si="104"/>
      </c>
      <c r="K73" s="125">
        <f t="shared" si="64"/>
      </c>
      <c r="L73" s="126">
        <f t="shared" si="44"/>
      </c>
      <c r="M73" s="125">
        <f t="shared" si="74"/>
      </c>
      <c r="N73" s="125">
        <f t="shared" si="18"/>
      </c>
      <c r="O73" s="126">
        <f t="shared" si="114"/>
      </c>
      <c r="P73" s="125">
        <f t="shared" si="84"/>
      </c>
      <c r="Q73" s="125">
        <f t="shared" si="54"/>
      </c>
      <c r="R73" s="127">
        <f t="shared" si="28"/>
      </c>
      <c r="S73" s="128">
        <f t="shared" si="124"/>
      </c>
      <c r="T73" s="127">
        <f t="shared" si="94"/>
      </c>
      <c r="U73" s="148" t="s">
        <v>104</v>
      </c>
      <c r="V73" s="130" t="s">
        <v>105</v>
      </c>
      <c r="W73" s="131">
        <v>0</v>
      </c>
      <c r="X73" s="133">
        <v>21498</v>
      </c>
      <c r="Y73" s="133">
        <v>342</v>
      </c>
      <c r="Z73" s="133">
        <v>13734</v>
      </c>
      <c r="AA73" s="133">
        <v>595</v>
      </c>
      <c r="AB73" s="133">
        <v>161</v>
      </c>
      <c r="AC73" s="131">
        <v>1</v>
      </c>
      <c r="AD73" s="104"/>
      <c r="AE73" s="104"/>
    </row>
    <row r="74">
      <c r="A74" s="117"/>
      <c r="B74" s="118" t="s">
        <v>112</v>
      </c>
      <c r="C74" s="119" t="s">
        <v>111</v>
      </c>
      <c r="D74" s="120">
        <f t="shared" si="11"/>
      </c>
      <c r="E74" s="121">
        <v>104.167</v>
      </c>
      <c r="F74" s="120">
        <v>613.915</v>
      </c>
      <c r="G74" s="120"/>
      <c r="H74" s="122">
        <v>3</v>
      </c>
      <c r="I74" s="123">
        <v>2844.84</v>
      </c>
      <c r="J74" s="124">
        <f t="shared" si="104"/>
      </c>
      <c r="K74" s="125">
        <f t="shared" si="64"/>
      </c>
      <c r="L74" s="126">
        <f t="shared" si="44"/>
      </c>
      <c r="M74" s="125">
        <f t="shared" si="74"/>
      </c>
      <c r="N74" s="125">
        <f t="shared" si="18"/>
      </c>
      <c r="O74" s="126">
        <f t="shared" si="114"/>
      </c>
      <c r="P74" s="125">
        <f t="shared" si="84"/>
      </c>
      <c r="Q74" s="125">
        <f t="shared" si="54"/>
      </c>
      <c r="R74" s="127">
        <f t="shared" si="28"/>
      </c>
      <c r="S74" s="128">
        <f t="shared" si="124"/>
      </c>
      <c r="T74" s="127">
        <f t="shared" si="94"/>
      </c>
      <c r="U74" s="148" t="s">
        <v>104</v>
      </c>
      <c r="V74" s="130" t="s">
        <v>105</v>
      </c>
      <c r="W74" s="131">
        <v>2</v>
      </c>
      <c r="X74" s="133">
        <v>11841</v>
      </c>
      <c r="Y74" s="133">
        <v>100</v>
      </c>
      <c r="Z74" s="133">
        <v>7976</v>
      </c>
      <c r="AA74" s="133">
        <v>382</v>
      </c>
      <c r="AB74" s="133">
        <v>104</v>
      </c>
      <c r="AC74" s="131">
        <v>4</v>
      </c>
      <c r="AD74" s="104"/>
      <c r="AE74" s="104"/>
    </row>
    <row r="75">
      <c r="A75" s="117"/>
      <c r="B75" s="118" t="s">
        <v>113</v>
      </c>
      <c r="C75" s="119" t="s">
        <v>111</v>
      </c>
      <c r="D75" s="120">
        <f t="shared" si="11"/>
      </c>
      <c r="E75" s="121">
        <v>67.464</v>
      </c>
      <c r="F75" s="120">
        <v>645.425</v>
      </c>
      <c r="G75" s="120"/>
      <c r="H75" s="122">
        <v>2</v>
      </c>
      <c r="I75" s="123">
        <v>1884.5200000000004</v>
      </c>
      <c r="J75" s="124">
        <f t="shared" si="104"/>
      </c>
      <c r="K75" s="125">
        <f t="shared" si="64"/>
      </c>
      <c r="L75" s="126">
        <f t="shared" si="44"/>
      </c>
      <c r="M75" s="125">
        <f t="shared" si="74"/>
      </c>
      <c r="N75" s="125">
        <f t="shared" si="18"/>
      </c>
      <c r="O75" s="126">
        <f t="shared" si="114"/>
      </c>
      <c r="P75" s="125">
        <f t="shared" si="84"/>
      </c>
      <c r="Q75" s="125">
        <f t="shared" si="54"/>
      </c>
      <c r="R75" s="127">
        <f t="shared" si="28"/>
      </c>
      <c r="S75" s="128">
        <f t="shared" si="124"/>
      </c>
      <c r="T75" s="127">
        <f t="shared" si="94"/>
      </c>
      <c r="U75" s="148" t="s">
        <v>104</v>
      </c>
      <c r="V75" s="130" t="s">
        <v>107</v>
      </c>
      <c r="W75" s="131">
        <v>2</v>
      </c>
      <c r="X75" s="133">
        <v>22346</v>
      </c>
      <c r="Y75" s="133">
        <v>80</v>
      </c>
      <c r="Z75" s="133">
        <v>12997</v>
      </c>
      <c r="AA75" s="133">
        <v>604</v>
      </c>
      <c r="AB75" s="133">
        <v>118</v>
      </c>
      <c r="AC75" s="131">
        <v>4</v>
      </c>
      <c r="AD75" s="104"/>
      <c r="AE75" s="104"/>
    </row>
    <row r="76">
      <c r="A76" s="117"/>
      <c r="B76" s="136" t="s">
        <v>109</v>
      </c>
      <c r="C76" s="136"/>
      <c r="D76" s="137">
        <f>SUM(D71:D75)</f>
      </c>
      <c r="E76" s="137">
        <f>SUM(E71:E75)</f>
      </c>
      <c r="F76" s="137">
        <f>SUM(F71:F75)</f>
      </c>
      <c r="G76" s="137"/>
      <c r="H76" s="138">
        <f>SUM(H71:H75)</f>
      </c>
      <c r="I76" s="139">
        <f>SUM(I71:I75)</f>
      </c>
      <c r="J76" s="140">
        <f t="shared" si="104"/>
      </c>
      <c r="K76" s="141">
        <f t="shared" si="64"/>
      </c>
      <c r="L76" s="142">
        <f t="shared" si="44"/>
      </c>
      <c r="M76" s="141">
        <f t="shared" si="74"/>
      </c>
      <c r="N76" s="141">
        <f t="shared" si="18"/>
      </c>
      <c r="O76" s="142">
        <f t="shared" si="114"/>
      </c>
      <c r="P76" s="141">
        <f t="shared" si="84"/>
      </c>
      <c r="Q76" s="141">
        <f t="shared" si="54"/>
      </c>
      <c r="R76" s="143">
        <f t="shared" si="28"/>
      </c>
      <c r="S76" s="144">
        <f t="shared" si="124"/>
      </c>
      <c r="T76" s="143">
        <f t="shared" si="94"/>
      </c>
      <c r="U76" s="145"/>
      <c r="V76" s="145"/>
      <c r="W76" s="146">
        <f>SUM(W71:W75)</f>
      </c>
      <c r="X76" s="146">
        <f>SUM(X71:X75)</f>
      </c>
      <c r="Y76" s="146">
        <f>SUM(Y71:Y75)</f>
      </c>
      <c r="Z76" s="146">
        <f>SUM(Z71:Z75)</f>
      </c>
      <c r="AA76" s="146">
        <f>SUM(AA71:AA75)</f>
      </c>
      <c r="AB76" s="146">
        <f>SUM(AB71:AB75)</f>
      </c>
      <c r="AC76" s="146">
        <f>SUM(AC71:AC75)</f>
      </c>
      <c r="AD76" s="104"/>
      <c r="AE76" s="104"/>
    </row>
    <row r="77">
      <c r="A77" s="117"/>
      <c r="B77" s="149" t="s">
        <v>114</v>
      </c>
      <c r="C77" s="149"/>
      <c r="D77" s="150">
        <f>D70+D76</f>
      </c>
      <c r="E77" s="150">
        <f>E70+E76</f>
      </c>
      <c r="F77" s="150">
        <f>F70+F76</f>
      </c>
      <c r="G77" s="150"/>
      <c r="H77" s="151">
        <f>H70+H76</f>
      </c>
      <c r="I77" s="151">
        <f>I70+I76</f>
      </c>
      <c r="J77" s="152">
        <f t="shared" si="104"/>
      </c>
      <c r="K77" s="153">
        <f t="shared" si="64"/>
      </c>
      <c r="L77" s="152">
        <f t="shared" si="44"/>
      </c>
      <c r="M77" s="153">
        <f t="shared" si="74"/>
      </c>
      <c r="N77" s="153">
        <f t="shared" si="18"/>
      </c>
      <c r="O77" s="152">
        <f t="shared" si="114"/>
      </c>
      <c r="P77" s="153">
        <f t="shared" si="84"/>
      </c>
      <c r="Q77" s="153">
        <f t="shared" si="54"/>
      </c>
      <c r="R77" s="152">
        <f t="shared" si="28"/>
      </c>
      <c r="S77" s="154">
        <f t="shared" si="124"/>
      </c>
      <c r="T77" s="152">
        <f t="shared" si="94"/>
      </c>
      <c r="U77" s="155"/>
      <c r="V77" s="155"/>
      <c r="W77" s="151">
        <f>W70+W76</f>
      </c>
      <c r="X77" s="151">
        <f>X70+X76</f>
      </c>
      <c r="Y77" s="151">
        <f>Y70+Y76</f>
      </c>
      <c r="Z77" s="151">
        <f>Z70+Z76</f>
      </c>
      <c r="AA77" s="151">
        <f>AA70+AA76</f>
      </c>
      <c r="AB77" s="151">
        <f>AB70+AB76</f>
      </c>
      <c r="AC77" s="151">
        <f>AC70+AC76</f>
      </c>
      <c r="AD77" s="104"/>
      <c r="AE77" s="104"/>
    </row>
    <row r="78">
      <c r="A78" s="98" t="s">
        <v>70</v>
      </c>
      <c r="B78" s="98"/>
      <c r="C78" s="98"/>
      <c r="D78" s="99" t="s">
        <v>71</v>
      </c>
      <c r="E78" s="99"/>
      <c r="F78" s="99"/>
      <c r="G78" s="99"/>
      <c r="H78" s="99"/>
      <c r="I78" s="99"/>
      <c r="J78" s="99"/>
      <c r="K78" s="101" t="s">
        <v>72</v>
      </c>
      <c r="L78" s="101"/>
      <c r="M78" s="101"/>
      <c r="N78" s="101"/>
      <c r="O78" s="101"/>
      <c r="P78" s="101"/>
      <c r="Q78" s="101"/>
      <c r="R78" s="101"/>
      <c r="S78" s="101"/>
      <c r="T78" s="101"/>
      <c r="U78" s="102"/>
      <c r="V78" s="102"/>
      <c r="W78" s="103"/>
      <c r="X78" s="103"/>
      <c r="Y78" s="103"/>
      <c r="Z78" s="103"/>
      <c r="AA78" s="103"/>
      <c r="AB78" s="103"/>
      <c r="AC78" s="103"/>
      <c r="AD78" s="104"/>
      <c r="AE78" s="104"/>
    </row>
    <row r="79">
      <c r="A79" s="105" t="s">
        <v>73</v>
      </c>
      <c r="B79" s="106" t="s">
        <v>74</v>
      </c>
      <c r="C79" s="106" t="s">
        <v>75</v>
      </c>
      <c r="D79" s="107" t="s">
        <v>76</v>
      </c>
      <c r="E79" s="108" t="s">
        <v>77</v>
      </c>
      <c r="F79" s="108" t="s">
        <v>78</v>
      </c>
      <c r="G79" s="175" t="s">
        <v>79</v>
      </c>
      <c r="H79" s="109" t="s">
        <v>80</v>
      </c>
      <c r="I79" s="109" t="s">
        <v>81</v>
      </c>
      <c r="J79" s="110" t="s">
        <v>82</v>
      </c>
      <c r="K79" s="101" t="s">
        <v>83</v>
      </c>
      <c r="L79" s="101" t="s">
        <v>84</v>
      </c>
      <c r="M79" s="111" t="s">
        <v>85</v>
      </c>
      <c r="N79" s="111" t="s">
        <v>86</v>
      </c>
      <c r="O79" s="101" t="s">
        <v>87</v>
      </c>
      <c r="P79" s="111" t="s">
        <v>88</v>
      </c>
      <c r="Q79" s="111" t="s">
        <v>89</v>
      </c>
      <c r="R79" s="112" t="s">
        <v>90</v>
      </c>
      <c r="S79" s="111" t="s">
        <v>91</v>
      </c>
      <c r="T79" s="112" t="s">
        <v>92</v>
      </c>
      <c r="U79" s="113" t="s">
        <v>93</v>
      </c>
      <c r="V79" s="113" t="s">
        <v>94</v>
      </c>
      <c r="W79" s="114" t="s">
        <v>95</v>
      </c>
      <c r="X79" s="115" t="s">
        <v>96</v>
      </c>
      <c r="Y79" s="115" t="s">
        <v>97</v>
      </c>
      <c r="Z79" s="115" t="s">
        <v>98</v>
      </c>
      <c r="AA79" s="115" t="s">
        <v>99</v>
      </c>
      <c r="AB79" s="115" t="s">
        <v>100</v>
      </c>
      <c r="AC79" s="116" t="s">
        <v>101</v>
      </c>
      <c r="AD79" s="104"/>
      <c r="AE79" s="104"/>
    </row>
    <row r="80">
      <c r="A80" s="117">
        <v>46293</v>
      </c>
      <c r="B80" s="118" t="s">
        <v>116</v>
      </c>
      <c r="C80" s="119" t="s">
        <v>103</v>
      </c>
      <c r="D80" s="120">
        <f t="shared" ref="D80:D82" si="32">E80+F80+G80</f>
      </c>
      <c r="E80" s="121">
        <v>131.475</v>
      </c>
      <c r="F80" s="120">
        <v>598.309</v>
      </c>
      <c r="G80" s="120">
        <v>265.896</v>
      </c>
      <c r="H80" s="122">
        <v>1</v>
      </c>
      <c r="I80" s="123">
        <v>1771.1999999999998</v>
      </c>
      <c r="J80" s="124">
        <f t="shared" ref="J80:J90" si="105">I80/D80</f>
      </c>
      <c r="K80" s="125">
        <f t="shared" ref="K80:K90" si="65">Y80/X80</f>
      </c>
      <c r="L80" s="126">
        <f t="shared" ref="L80:L90" si="45">D80/Z80</f>
      </c>
      <c r="M80" s="125">
        <f t="shared" ref="M80:M90" si="75">AA80/Z80</f>
      </c>
      <c r="N80" s="125">
        <f t="shared" ref="N80:N90" si="19">AB80/Z80</f>
      </c>
      <c r="O80" s="126">
        <f t="shared" ref="O80:O90" si="115">D80/AB80</f>
      </c>
      <c r="P80" s="125">
        <f t="shared" ref="P80:P90" si="85">AC80/AB80</f>
      </c>
      <c r="Q80" s="125">
        <f t="shared" ref="Q80:Q90" si="55">H80/AC80</f>
      </c>
      <c r="R80" s="127">
        <f t="shared" ref="R80:R90" si="29">D80/H80</f>
      </c>
      <c r="S80" s="128">
        <f t="shared" ref="S80:S90" si="125">I80/H80</f>
      </c>
      <c r="T80" s="127">
        <f t="shared" ref="T80:T90" si="95">D80/W80</f>
      </c>
      <c r="U80" s="129" t="s">
        <v>104</v>
      </c>
      <c r="V80" s="130" t="s">
        <v>105</v>
      </c>
      <c r="W80" s="131">
        <v>1</v>
      </c>
      <c r="X80" s="132">
        <v>14148</v>
      </c>
      <c r="Y80" s="133">
        <v>34</v>
      </c>
      <c r="Z80" s="131">
        <v>16289</v>
      </c>
      <c r="AA80" s="131">
        <v>1138</v>
      </c>
      <c r="AB80" s="131">
        <v>131</v>
      </c>
      <c r="AC80" s="131">
        <v>2</v>
      </c>
      <c r="AD80" s="104"/>
      <c r="AE80" s="104"/>
    </row>
    <row r="81">
      <c r="A81" s="117"/>
      <c r="B81" s="118" t="s">
        <v>117</v>
      </c>
      <c r="C81" s="119" t="s">
        <v>103</v>
      </c>
      <c r="D81" s="120">
        <f t="shared" si="32"/>
      </c>
      <c r="E81" s="121">
        <v>201.314</v>
      </c>
      <c r="F81" s="120">
        <v>428.211</v>
      </c>
      <c r="G81" s="120">
        <v>347.372</v>
      </c>
      <c r="H81" s="122">
        <v>1</v>
      </c>
      <c r="I81" s="123">
        <v>206.63999999999987</v>
      </c>
      <c r="J81" s="124">
        <f t="shared" si="105"/>
      </c>
      <c r="K81" s="125">
        <f t="shared" si="65"/>
      </c>
      <c r="L81" s="126">
        <f t="shared" si="45"/>
      </c>
      <c r="M81" s="125">
        <f t="shared" si="75"/>
      </c>
      <c r="N81" s="125">
        <f t="shared" si="19"/>
      </c>
      <c r="O81" s="126">
        <f t="shared" si="115"/>
      </c>
      <c r="P81" s="125">
        <f t="shared" si="85"/>
      </c>
      <c r="Q81" s="125">
        <f t="shared" si="55"/>
      </c>
      <c r="R81" s="127">
        <f t="shared" si="29"/>
      </c>
      <c r="S81" s="128">
        <f t="shared" si="125"/>
      </c>
      <c r="T81" s="127">
        <f t="shared" si="95"/>
      </c>
      <c r="U81" s="129" t="s">
        <v>104</v>
      </c>
      <c r="V81" s="130" t="s">
        <v>105</v>
      </c>
      <c r="W81" s="131">
        <v>0</v>
      </c>
      <c r="X81" s="132">
        <v>12642</v>
      </c>
      <c r="Y81" s="132">
        <v>31</v>
      </c>
      <c r="Z81" s="133">
        <v>12483</v>
      </c>
      <c r="AA81" s="133">
        <v>928</v>
      </c>
      <c r="AB81" s="131">
        <v>211</v>
      </c>
      <c r="AC81" s="131">
        <v>3</v>
      </c>
      <c r="AD81" s="104"/>
      <c r="AE81" s="104"/>
    </row>
    <row r="82">
      <c r="A82" s="117"/>
      <c r="B82" s="118" t="s">
        <v>102</v>
      </c>
      <c r="C82" s="119" t="s">
        <v>103</v>
      </c>
      <c r="D82" s="120">
        <f t="shared" si="32"/>
      </c>
      <c r="E82" s="121">
        <v>106.129</v>
      </c>
      <c r="F82" s="120">
        <v>702.953</v>
      </c>
      <c r="G82" s="120">
        <v>291.363</v>
      </c>
      <c r="H82" s="122">
        <v>0</v>
      </c>
      <c r="I82" s="123">
        <v>0</v>
      </c>
      <c r="J82" s="124">
        <f t="shared" si="105"/>
      </c>
      <c r="K82" s="125">
        <f t="shared" si="65"/>
      </c>
      <c r="L82" s="126">
        <f t="shared" si="45"/>
      </c>
      <c r="M82" s="125">
        <f t="shared" si="75"/>
      </c>
      <c r="N82" s="125">
        <f t="shared" si="19"/>
      </c>
      <c r="O82" s="126">
        <f t="shared" si="115"/>
      </c>
      <c r="P82" s="125">
        <f t="shared" si="85"/>
      </c>
      <c r="Q82" s="125">
        <f t="shared" si="55"/>
      </c>
      <c r="R82" s="127">
        <f t="shared" si="29"/>
      </c>
      <c r="S82" s="128">
        <f t="shared" si="125"/>
      </c>
      <c r="T82" s="127">
        <f t="shared" si="95"/>
      </c>
      <c r="U82" s="129" t="s">
        <v>104</v>
      </c>
      <c r="V82" s="130" t="s">
        <v>105</v>
      </c>
      <c r="W82" s="131">
        <v>0</v>
      </c>
      <c r="X82" s="133">
        <v>23029</v>
      </c>
      <c r="Y82" s="133">
        <v>33</v>
      </c>
      <c r="Z82" s="133">
        <v>26810</v>
      </c>
      <c r="AA82" s="133">
        <v>1987</v>
      </c>
      <c r="AB82" s="131">
        <v>233</v>
      </c>
      <c r="AC82" s="131">
        <v>0</v>
      </c>
      <c r="AD82" s="104"/>
      <c r="AE82" s="104"/>
    </row>
    <row r="83">
      <c r="A83" s="117"/>
      <c r="B83" s="136" t="s">
        <v>109</v>
      </c>
      <c r="C83" s="136"/>
      <c r="D83" s="137">
        <f>SUM(D80:D82)</f>
      </c>
      <c r="E83" s="137">
        <f>SUM(E80:E82)</f>
      </c>
      <c r="F83" s="137">
        <f>SUM(F80:F82)</f>
      </c>
      <c r="G83" s="137">
        <f>SUM(G80:G82)</f>
      </c>
      <c r="H83" s="138">
        <f>SUM(H80:H82)</f>
      </c>
      <c r="I83" s="139">
        <f>SUM(I80:I82)</f>
      </c>
      <c r="J83" s="140">
        <f t="shared" si="105"/>
      </c>
      <c r="K83" s="141">
        <f t="shared" si="65"/>
      </c>
      <c r="L83" s="142">
        <f t="shared" si="45"/>
      </c>
      <c r="M83" s="141">
        <f t="shared" si="75"/>
      </c>
      <c r="N83" s="141">
        <f t="shared" si="19"/>
      </c>
      <c r="O83" s="142">
        <f t="shared" si="115"/>
      </c>
      <c r="P83" s="141">
        <f t="shared" si="85"/>
      </c>
      <c r="Q83" s="141">
        <f t="shared" si="55"/>
      </c>
      <c r="R83" s="143">
        <f t="shared" si="29"/>
      </c>
      <c r="S83" s="144">
        <f t="shared" si="125"/>
      </c>
      <c r="T83" s="143">
        <f t="shared" si="95"/>
      </c>
      <c r="U83" s="145"/>
      <c r="V83" s="145"/>
      <c r="W83" s="146">
        <f>SUM(W80:W82)</f>
      </c>
      <c r="X83" s="146">
        <f>SUM(X80:X82)</f>
      </c>
      <c r="Y83" s="146">
        <f>SUM(Y80:Y82)</f>
      </c>
      <c r="Z83" s="146">
        <f>SUM(Z80:Z82)</f>
      </c>
      <c r="AA83" s="146">
        <f>SUM(AA80:AA82)</f>
      </c>
      <c r="AB83" s="146">
        <f>SUM(AB80:AB82)</f>
      </c>
      <c r="AC83" s="146">
        <f>SUM(AC80:AC82)</f>
      </c>
      <c r="AD83" s="104"/>
      <c r="AE83" s="104"/>
    </row>
    <row r="84">
      <c r="A84" s="117"/>
      <c r="B84" s="118" t="s">
        <v>106</v>
      </c>
      <c r="C84" s="119" t="s">
        <v>111</v>
      </c>
      <c r="D84" s="120">
        <f t="shared" ref="D84:D88" si="33">E84+F84+G84</f>
      </c>
      <c r="E84" s="121">
        <v>85.576</v>
      </c>
      <c r="F84" s="120">
        <v>437.346</v>
      </c>
      <c r="G84" s="120">
        <v>285.334</v>
      </c>
      <c r="H84" s="122">
        <v>0</v>
      </c>
      <c r="I84" s="123">
        <v>0</v>
      </c>
      <c r="J84" s="124">
        <f t="shared" si="105"/>
      </c>
      <c r="K84" s="125">
        <f t="shared" si="65"/>
      </c>
      <c r="L84" s="126">
        <f t="shared" si="45"/>
      </c>
      <c r="M84" s="125">
        <f t="shared" si="75"/>
      </c>
      <c r="N84" s="125">
        <f t="shared" si="19"/>
      </c>
      <c r="O84" s="126">
        <f t="shared" si="115"/>
      </c>
      <c r="P84" s="125">
        <f t="shared" si="85"/>
      </c>
      <c r="Q84" s="125">
        <f t="shared" si="55"/>
      </c>
      <c r="R84" s="127">
        <f t="shared" si="29"/>
      </c>
      <c r="S84" s="128">
        <f t="shared" si="125"/>
      </c>
      <c r="T84" s="127">
        <f t="shared" si="95"/>
      </c>
      <c r="U84" s="148" t="s">
        <v>104</v>
      </c>
      <c r="V84" s="130" t="s">
        <v>105</v>
      </c>
      <c r="W84" s="131">
        <v>0</v>
      </c>
      <c r="X84" s="132">
        <v>13454</v>
      </c>
      <c r="Y84" s="133">
        <v>35</v>
      </c>
      <c r="Z84" s="133">
        <v>16003</v>
      </c>
      <c r="AA84" s="133">
        <v>897</v>
      </c>
      <c r="AB84" s="133">
        <v>188</v>
      </c>
      <c r="AC84" s="131">
        <v>1</v>
      </c>
      <c r="AD84" s="104"/>
      <c r="AE84" s="104"/>
    </row>
    <row r="85">
      <c r="A85" s="117"/>
      <c r="B85" s="118" t="s">
        <v>108</v>
      </c>
      <c r="C85" s="119" t="s">
        <v>111</v>
      </c>
      <c r="D85" s="120">
        <f t="shared" si="33"/>
      </c>
      <c r="E85" s="121">
        <v>73.908</v>
      </c>
      <c r="F85" s="120">
        <v>308.816</v>
      </c>
      <c r="G85" s="120">
        <v>470.425</v>
      </c>
      <c r="H85" s="122">
        <v>5</v>
      </c>
      <c r="I85" s="123">
        <v>12721</v>
      </c>
      <c r="J85" s="124">
        <f t="shared" si="105"/>
      </c>
      <c r="K85" s="125">
        <f t="shared" si="65"/>
      </c>
      <c r="L85" s="126">
        <f t="shared" si="45"/>
      </c>
      <c r="M85" s="125">
        <f t="shared" si="75"/>
      </c>
      <c r="N85" s="125">
        <f t="shared" si="19"/>
      </c>
      <c r="O85" s="126">
        <f t="shared" si="115"/>
      </c>
      <c r="P85" s="125">
        <f t="shared" si="85"/>
      </c>
      <c r="Q85" s="125">
        <f t="shared" si="55"/>
      </c>
      <c r="R85" s="127">
        <f t="shared" si="29"/>
      </c>
      <c r="S85" s="128">
        <f t="shared" si="125"/>
      </c>
      <c r="T85" s="127">
        <f t="shared" si="95"/>
      </c>
      <c r="U85" s="148" t="s">
        <v>104</v>
      </c>
      <c r="V85" s="130" t="s">
        <v>105</v>
      </c>
      <c r="W85" s="131">
        <v>5</v>
      </c>
      <c r="X85" s="133">
        <v>12633</v>
      </c>
      <c r="Y85" s="133">
        <v>44</v>
      </c>
      <c r="Z85" s="133">
        <v>16201</v>
      </c>
      <c r="AA85" s="133">
        <v>832</v>
      </c>
      <c r="AB85" s="133">
        <v>242</v>
      </c>
      <c r="AC85" s="131">
        <v>9</v>
      </c>
      <c r="AD85" s="104"/>
      <c r="AE85" s="104"/>
    </row>
    <row r="86">
      <c r="A86" s="117"/>
      <c r="B86" s="118" t="s">
        <v>110</v>
      </c>
      <c r="C86" s="119" t="s">
        <v>111</v>
      </c>
      <c r="D86" s="120">
        <f t="shared" si="33"/>
      </c>
      <c r="E86" s="121">
        <v>59.489</v>
      </c>
      <c r="F86" s="120">
        <v>642.796</v>
      </c>
      <c r="G86" s="120">
        <v>1691.607</v>
      </c>
      <c r="H86" s="122">
        <v>2</v>
      </c>
      <c r="I86" s="123">
        <v>2536.9199999999983</v>
      </c>
      <c r="J86" s="124">
        <f t="shared" si="105"/>
      </c>
      <c r="K86" s="125">
        <f t="shared" si="65"/>
      </c>
      <c r="L86" s="126">
        <f t="shared" si="45"/>
      </c>
      <c r="M86" s="125">
        <f t="shared" si="75"/>
      </c>
      <c r="N86" s="125">
        <f t="shared" si="19"/>
      </c>
      <c r="O86" s="126">
        <f t="shared" si="115"/>
      </c>
      <c r="P86" s="125">
        <f t="shared" si="85"/>
      </c>
      <c r="Q86" s="125">
        <f t="shared" si="55"/>
      </c>
      <c r="R86" s="127">
        <f t="shared" si="29"/>
      </c>
      <c r="S86" s="128">
        <f t="shared" si="125"/>
      </c>
      <c r="T86" s="127">
        <f t="shared" si="95"/>
      </c>
      <c r="U86" s="148" t="s">
        <v>104</v>
      </c>
      <c r="V86" s="130" t="s">
        <v>105</v>
      </c>
      <c r="W86" s="131">
        <v>1</v>
      </c>
      <c r="X86" s="133">
        <v>37785</v>
      </c>
      <c r="Y86" s="133">
        <v>48</v>
      </c>
      <c r="Z86" s="133">
        <v>61667</v>
      </c>
      <c r="AA86" s="133">
        <v>3270</v>
      </c>
      <c r="AB86" s="133">
        <v>432</v>
      </c>
      <c r="AC86" s="131">
        <v>4</v>
      </c>
      <c r="AD86" s="104"/>
      <c r="AE86" s="104"/>
    </row>
    <row r="87">
      <c r="A87" s="117"/>
      <c r="B87" s="118" t="s">
        <v>112</v>
      </c>
      <c r="C87" s="119" t="s">
        <v>111</v>
      </c>
      <c r="D87" s="120">
        <f t="shared" si="33"/>
      </c>
      <c r="E87" s="121">
        <v>43.156</v>
      </c>
      <c r="F87" s="120">
        <v>996.671</v>
      </c>
      <c r="G87" s="120">
        <v>632.191</v>
      </c>
      <c r="H87" s="122">
        <v>3</v>
      </c>
      <c r="I87" s="123">
        <v>5785.880000000001</v>
      </c>
      <c r="J87" s="124">
        <f t="shared" si="105"/>
      </c>
      <c r="K87" s="125">
        <f t="shared" si="65"/>
      </c>
      <c r="L87" s="126">
        <f t="shared" si="45"/>
      </c>
      <c r="M87" s="125">
        <f t="shared" si="75"/>
      </c>
      <c r="N87" s="125">
        <f t="shared" si="19"/>
      </c>
      <c r="O87" s="126">
        <f t="shared" si="115"/>
      </c>
      <c r="P87" s="125">
        <f t="shared" si="85"/>
      </c>
      <c r="Q87" s="125">
        <f t="shared" si="55"/>
      </c>
      <c r="R87" s="127">
        <f t="shared" si="29"/>
      </c>
      <c r="S87" s="128">
        <f t="shared" si="125"/>
      </c>
      <c r="T87" s="127">
        <f t="shared" si="95"/>
      </c>
      <c r="U87" s="148" t="s">
        <v>104</v>
      </c>
      <c r="V87" s="130" t="s">
        <v>105</v>
      </c>
      <c r="W87" s="131">
        <v>3</v>
      </c>
      <c r="X87" s="133">
        <v>43346</v>
      </c>
      <c r="Y87" s="133">
        <v>83</v>
      </c>
      <c r="Z87" s="133">
        <v>49831</v>
      </c>
      <c r="AA87" s="133">
        <v>2953</v>
      </c>
      <c r="AB87" s="133">
        <v>347</v>
      </c>
      <c r="AC87" s="131">
        <v>5</v>
      </c>
      <c r="AD87" s="104"/>
      <c r="AE87" s="104"/>
    </row>
    <row r="88">
      <c r="A88" s="117"/>
      <c r="B88" s="118" t="s">
        <v>113</v>
      </c>
      <c r="C88" s="119" t="s">
        <v>111</v>
      </c>
      <c r="D88" s="120">
        <f t="shared" si="33"/>
      </c>
      <c r="E88" s="121">
        <v>32.972</v>
      </c>
      <c r="F88" s="120">
        <v>979.605</v>
      </c>
      <c r="G88" s="120">
        <v>457.817</v>
      </c>
      <c r="H88" s="122">
        <v>2</v>
      </c>
      <c r="I88" s="123">
        <v>6104.5</v>
      </c>
      <c r="J88" s="124">
        <f t="shared" si="105"/>
      </c>
      <c r="K88" s="125">
        <f t="shared" si="65"/>
      </c>
      <c r="L88" s="126">
        <f t="shared" si="45"/>
      </c>
      <c r="M88" s="125">
        <f t="shared" si="75"/>
      </c>
      <c r="N88" s="125">
        <f t="shared" si="19"/>
      </c>
      <c r="O88" s="126">
        <f t="shared" si="115"/>
      </c>
      <c r="P88" s="125">
        <f t="shared" si="85"/>
      </c>
      <c r="Q88" s="125">
        <f t="shared" si="55"/>
      </c>
      <c r="R88" s="127">
        <f t="shared" si="29"/>
      </c>
      <c r="S88" s="128">
        <f t="shared" si="125"/>
      </c>
      <c r="T88" s="127">
        <f t="shared" si="95"/>
      </c>
      <c r="U88" s="148" t="s">
        <v>104</v>
      </c>
      <c r="V88" s="130" t="s">
        <v>107</v>
      </c>
      <c r="W88" s="131">
        <v>1</v>
      </c>
      <c r="X88" s="133">
        <v>40916</v>
      </c>
      <c r="Y88" s="133">
        <v>74</v>
      </c>
      <c r="Z88" s="133">
        <v>48420</v>
      </c>
      <c r="AA88" s="133">
        <v>2922</v>
      </c>
      <c r="AB88" s="133">
        <v>389</v>
      </c>
      <c r="AC88" s="131">
        <v>3</v>
      </c>
      <c r="AD88" s="104"/>
      <c r="AE88" s="104"/>
    </row>
    <row r="89">
      <c r="A89" s="117"/>
      <c r="B89" s="136" t="s">
        <v>109</v>
      </c>
      <c r="C89" s="136"/>
      <c r="D89" s="137">
        <f>SUM(D84:D88)</f>
      </c>
      <c r="E89" s="137">
        <f>SUM(E84:E88)</f>
      </c>
      <c r="F89" s="137">
        <f>SUM(F84:F88)</f>
      </c>
      <c r="G89" s="137">
        <f>SUM(G84:G88)</f>
      </c>
      <c r="H89" s="138">
        <f>SUM(H84:H88)</f>
      </c>
      <c r="I89" s="139">
        <f>SUM(I84:I88)</f>
      </c>
      <c r="J89" s="140">
        <f t="shared" si="105"/>
      </c>
      <c r="K89" s="141">
        <f t="shared" si="65"/>
      </c>
      <c r="L89" s="142">
        <f t="shared" si="45"/>
      </c>
      <c r="M89" s="141">
        <f t="shared" si="75"/>
      </c>
      <c r="N89" s="141">
        <f t="shared" si="19"/>
      </c>
      <c r="O89" s="142">
        <f t="shared" si="115"/>
      </c>
      <c r="P89" s="141">
        <f t="shared" si="85"/>
      </c>
      <c r="Q89" s="141">
        <f t="shared" si="55"/>
      </c>
      <c r="R89" s="143">
        <f t="shared" si="29"/>
      </c>
      <c r="S89" s="144">
        <f t="shared" si="125"/>
      </c>
      <c r="T89" s="143">
        <f t="shared" si="95"/>
      </c>
      <c r="U89" s="145"/>
      <c r="V89" s="145"/>
      <c r="W89" s="146">
        <f>SUM(W84:W88)</f>
      </c>
      <c r="X89" s="146">
        <f>SUM(X84:X88)</f>
      </c>
      <c r="Y89" s="146">
        <f>SUM(Y84:Y88)</f>
      </c>
      <c r="Z89" s="146">
        <f>SUM(Z84:Z88)</f>
      </c>
      <c r="AA89" s="146">
        <f>SUM(AA84:AA88)</f>
      </c>
      <c r="AB89" s="146">
        <f>SUM(AB84:AB88)</f>
      </c>
      <c r="AC89" s="146">
        <f>SUM(AC84:AC88)</f>
      </c>
      <c r="AD89" s="104"/>
      <c r="AE89" s="104"/>
    </row>
    <row r="90">
      <c r="A90" s="117"/>
      <c r="B90" s="149" t="s">
        <v>114</v>
      </c>
      <c r="C90" s="149"/>
      <c r="D90" s="150">
        <f>D83+D89</f>
      </c>
      <c r="E90" s="150">
        <f>E83+E89</f>
      </c>
      <c r="F90" s="150">
        <f>F83+F89</f>
      </c>
      <c r="G90" s="150">
        <f>G83+G89</f>
      </c>
      <c r="H90" s="151">
        <f>H83+H89</f>
      </c>
      <c r="I90" s="151">
        <f>I83+I89</f>
      </c>
      <c r="J90" s="152">
        <f t="shared" si="105"/>
      </c>
      <c r="K90" s="153">
        <f t="shared" si="65"/>
      </c>
      <c r="L90" s="152">
        <f t="shared" si="45"/>
      </c>
      <c r="M90" s="153">
        <f t="shared" si="75"/>
      </c>
      <c r="N90" s="153">
        <f t="shared" si="19"/>
      </c>
      <c r="O90" s="152">
        <f t="shared" si="115"/>
      </c>
      <c r="P90" s="153">
        <f t="shared" si="85"/>
      </c>
      <c r="Q90" s="153">
        <f t="shared" si="55"/>
      </c>
      <c r="R90" s="152">
        <f t="shared" si="29"/>
      </c>
      <c r="S90" s="154">
        <f t="shared" si="125"/>
      </c>
      <c r="T90" s="152">
        <f t="shared" si="95"/>
      </c>
      <c r="U90" s="155"/>
      <c r="V90" s="155"/>
      <c r="W90" s="151">
        <f>W83+W89</f>
      </c>
      <c r="X90" s="151">
        <f>X83+X89</f>
      </c>
      <c r="Y90" s="151">
        <f>Y83+Y89</f>
      </c>
      <c r="Z90" s="151">
        <f>Z83+Z89</f>
      </c>
      <c r="AA90" s="151">
        <f>AA83+AA89</f>
      </c>
      <c r="AB90" s="151">
        <f>AB83+AB89</f>
      </c>
      <c r="AC90" s="151">
        <f>AC83+AC89</f>
      </c>
      <c r="AD90" s="104"/>
      <c r="AE90" s="104"/>
    </row>
    <row customHeight="true" ht="18.452380952380953" r="91">
      <c r="A91" s="98" t="s">
        <v>70</v>
      </c>
      <c r="B91" s="98"/>
      <c r="C91" s="98"/>
      <c r="D91" s="99" t="s">
        <v>71</v>
      </c>
      <c r="E91" s="99"/>
      <c r="F91" s="99"/>
      <c r="G91" s="99"/>
      <c r="H91" s="99"/>
      <c r="I91" s="99"/>
      <c r="J91" s="99"/>
      <c r="K91" s="101" t="s">
        <v>72</v>
      </c>
      <c r="L91" s="101"/>
      <c r="M91" s="101"/>
      <c r="N91" s="101"/>
      <c r="O91" s="101"/>
      <c r="P91" s="101"/>
      <c r="Q91" s="101"/>
      <c r="R91" s="101"/>
      <c r="S91" s="101"/>
      <c r="T91" s="101"/>
      <c r="U91" s="102"/>
      <c r="V91" s="102"/>
      <c r="W91" s="103"/>
      <c r="X91" s="103"/>
      <c r="Y91" s="103"/>
      <c r="Z91" s="103"/>
      <c r="AA91" s="103"/>
      <c r="AB91" s="103"/>
      <c r="AC91" s="103"/>
      <c r="AD91" s="104"/>
      <c r="AE91" s="104"/>
    </row>
    <row r="92">
      <c r="A92" s="105" t="s">
        <v>73</v>
      </c>
      <c r="B92" s="106" t="s">
        <v>74</v>
      </c>
      <c r="C92" s="106" t="s">
        <v>75</v>
      </c>
      <c r="D92" s="107" t="s">
        <v>76</v>
      </c>
      <c r="E92" s="108" t="s">
        <v>77</v>
      </c>
      <c r="F92" s="108" t="s">
        <v>78</v>
      </c>
      <c r="G92" s="175" t="s">
        <v>79</v>
      </c>
      <c r="H92" s="109" t="s">
        <v>80</v>
      </c>
      <c r="I92" s="109" t="s">
        <v>81</v>
      </c>
      <c r="J92" s="110" t="s">
        <v>82</v>
      </c>
      <c r="K92" s="101" t="s">
        <v>83</v>
      </c>
      <c r="L92" s="101" t="s">
        <v>84</v>
      </c>
      <c r="M92" s="111" t="s">
        <v>85</v>
      </c>
      <c r="N92" s="111" t="s">
        <v>86</v>
      </c>
      <c r="O92" s="101" t="s">
        <v>87</v>
      </c>
      <c r="P92" s="111" t="s">
        <v>88</v>
      </c>
      <c r="Q92" s="111" t="s">
        <v>89</v>
      </c>
      <c r="R92" s="112" t="s">
        <v>90</v>
      </c>
      <c r="S92" s="111" t="s">
        <v>91</v>
      </c>
      <c r="T92" s="112" t="s">
        <v>92</v>
      </c>
      <c r="U92" s="113" t="s">
        <v>93</v>
      </c>
      <c r="V92" s="113" t="s">
        <v>94</v>
      </c>
      <c r="W92" s="114" t="s">
        <v>95</v>
      </c>
      <c r="X92" s="115" t="s">
        <v>96</v>
      </c>
      <c r="Y92" s="115" t="s">
        <v>97</v>
      </c>
      <c r="Z92" s="115" t="s">
        <v>98</v>
      </c>
      <c r="AA92" s="115" t="s">
        <v>99</v>
      </c>
      <c r="AB92" s="115" t="s">
        <v>100</v>
      </c>
      <c r="AC92" s="116" t="s">
        <v>101</v>
      </c>
    </row>
    <row r="93">
      <c r="A93" s="117">
        <v>46294</v>
      </c>
      <c r="B93" s="118" t="s">
        <v>118</v>
      </c>
      <c r="C93" s="119" t="s">
        <v>103</v>
      </c>
      <c r="D93" s="120">
        <f t="shared" ref="D93:D97" si="34">E93+F93+G93</f>
      </c>
      <c r="E93" s="121">
        <v>39.841</v>
      </c>
      <c r="F93" s="121">
        <v>584.1</v>
      </c>
      <c r="G93" s="121">
        <v>533.94</v>
      </c>
      <c r="H93" s="122">
        <v>0</v>
      </c>
      <c r="I93" s="123">
        <v>0</v>
      </c>
      <c r="J93" s="124">
        <f t="shared" ref="J93:J105" si="106">I93/D93</f>
      </c>
      <c r="K93" s="125">
        <f t="shared" ref="K93:K105" si="66">Y93/X93</f>
      </c>
      <c r="L93" s="126">
        <f t="shared" ref="L93:L105" si="46">D93/Z93</f>
      </c>
      <c r="M93" s="125">
        <f t="shared" ref="M93:M105" si="76">AA93/Z93</f>
      </c>
      <c r="N93" s="125">
        <f t="shared" ref="N93:N105" si="20">AB93/Z93</f>
      </c>
      <c r="O93" s="126">
        <f t="shared" ref="O93:O105" si="116">D93/AB93</f>
      </c>
      <c r="P93" s="125">
        <f t="shared" ref="P93:P105" si="86">AC93/AB93</f>
      </c>
      <c r="Q93" s="125">
        <f t="shared" ref="Q93:Q105" si="56">H93/AC93</f>
      </c>
      <c r="R93" s="127">
        <f t="shared" ref="R93:R105" si="30">D93/H93</f>
      </c>
      <c r="S93" s="128">
        <f t="shared" ref="S93:S105" si="126">I93/H93</f>
      </c>
      <c r="T93" s="127">
        <f t="shared" ref="T93:T105" si="96">D93/W93</f>
      </c>
      <c r="U93" s="129" t="s">
        <v>104</v>
      </c>
      <c r="V93" s="130" t="s">
        <v>119</v>
      </c>
      <c r="W93" s="131">
        <v>0</v>
      </c>
      <c r="X93" s="132">
        <v>19969</v>
      </c>
      <c r="Y93" s="133">
        <v>34</v>
      </c>
      <c r="Z93" s="131">
        <v>16693</v>
      </c>
      <c r="AA93" s="131">
        <v>1194</v>
      </c>
      <c r="AB93" s="131">
        <v>173</v>
      </c>
      <c r="AC93" s="131">
        <v>1</v>
      </c>
    </row>
    <row customHeight="true" ht="18.452380952380953" r="94">
      <c r="A94" s="117"/>
      <c r="B94" s="118" t="s">
        <v>120</v>
      </c>
      <c r="C94" s="119" t="s">
        <v>103</v>
      </c>
      <c r="D94" s="120">
        <f t="shared" si="34"/>
      </c>
      <c r="E94" s="121">
        <v>44.821</v>
      </c>
      <c r="F94" s="120">
        <v>371.426</v>
      </c>
      <c r="G94" s="120">
        <v>288.182</v>
      </c>
      <c r="H94" s="122">
        <v>0</v>
      </c>
      <c r="I94" s="123">
        <v>0</v>
      </c>
      <c r="J94" s="124">
        <f t="shared" si="106"/>
      </c>
      <c r="K94" s="125">
        <f t="shared" si="66"/>
      </c>
      <c r="L94" s="126">
        <f t="shared" si="46"/>
      </c>
      <c r="M94" s="125">
        <f t="shared" si="76"/>
      </c>
      <c r="N94" s="125">
        <f t="shared" si="20"/>
      </c>
      <c r="O94" s="126">
        <f t="shared" si="116"/>
      </c>
      <c r="P94" s="125">
        <f t="shared" si="86"/>
      </c>
      <c r="Q94" s="125">
        <f t="shared" si="56"/>
      </c>
      <c r="R94" s="127">
        <f t="shared" si="30"/>
      </c>
      <c r="S94" s="128">
        <f t="shared" si="126"/>
      </c>
      <c r="T94" s="127">
        <f t="shared" si="96"/>
      </c>
      <c r="U94" s="129" t="s">
        <v>104</v>
      </c>
      <c r="V94" s="130" t="s">
        <v>119</v>
      </c>
      <c r="W94" s="131">
        <v>0</v>
      </c>
      <c r="X94" s="132">
        <v>15105</v>
      </c>
      <c r="Y94" s="133">
        <v>61</v>
      </c>
      <c r="Z94" s="131">
        <v>8309</v>
      </c>
      <c r="AA94" s="131">
        <v>612</v>
      </c>
      <c r="AB94" s="131">
        <v>168</v>
      </c>
      <c r="AC94" s="131">
        <v>0</v>
      </c>
    </row>
    <row customHeight="true" ht="18.452380952380953" r="95">
      <c r="A95" s="117"/>
      <c r="B95" s="118" t="s">
        <v>116</v>
      </c>
      <c r="C95" s="119" t="s">
        <v>103</v>
      </c>
      <c r="D95" s="120">
        <f t="shared" si="34"/>
      </c>
      <c r="E95" s="121">
        <v>69.27</v>
      </c>
      <c r="F95" s="120">
        <v>357.624</v>
      </c>
      <c r="G95" s="120">
        <v>433.687</v>
      </c>
      <c r="H95" s="122">
        <v>3</v>
      </c>
      <c r="I95" s="123">
        <v>2319.7200000000003</v>
      </c>
      <c r="J95" s="124">
        <f t="shared" si="106"/>
      </c>
      <c r="K95" s="125">
        <f t="shared" si="66"/>
      </c>
      <c r="L95" s="126">
        <f t="shared" si="46"/>
      </c>
      <c r="M95" s="125">
        <f t="shared" si="76"/>
      </c>
      <c r="N95" s="125">
        <f t="shared" si="20"/>
      </c>
      <c r="O95" s="126">
        <f t="shared" si="116"/>
      </c>
      <c r="P95" s="125">
        <f t="shared" si="86"/>
      </c>
      <c r="Q95" s="125">
        <f t="shared" si="56"/>
      </c>
      <c r="R95" s="127">
        <f t="shared" si="30"/>
      </c>
      <c r="S95" s="128">
        <f t="shared" si="126"/>
      </c>
      <c r="T95" s="127">
        <f t="shared" si="96"/>
      </c>
      <c r="U95" s="129" t="s">
        <v>104</v>
      </c>
      <c r="V95" s="130" t="s">
        <v>105</v>
      </c>
      <c r="W95" s="131">
        <v>3</v>
      </c>
      <c r="X95" s="132">
        <v>18732</v>
      </c>
      <c r="Y95" s="133">
        <v>94</v>
      </c>
      <c r="Z95" s="131">
        <v>11067</v>
      </c>
      <c r="AA95" s="131">
        <v>713</v>
      </c>
      <c r="AB95" s="131">
        <v>235</v>
      </c>
      <c r="AC95" s="131">
        <v>4</v>
      </c>
    </row>
    <row r="96">
      <c r="A96" s="117"/>
      <c r="B96" s="118" t="s">
        <v>117</v>
      </c>
      <c r="C96" s="119" t="s">
        <v>103</v>
      </c>
      <c r="D96" s="120">
        <f t="shared" si="34"/>
      </c>
      <c r="E96" s="121">
        <v>83.666</v>
      </c>
      <c r="F96" s="120">
        <v>305.632</v>
      </c>
      <c r="G96" s="120">
        <v>889.841</v>
      </c>
      <c r="H96" s="122">
        <v>0</v>
      </c>
      <c r="I96" s="123">
        <v>0</v>
      </c>
      <c r="J96" s="124">
        <f t="shared" si="106"/>
      </c>
      <c r="K96" s="125">
        <f t="shared" si="66"/>
      </c>
      <c r="L96" s="126">
        <f t="shared" si="46"/>
      </c>
      <c r="M96" s="125">
        <f t="shared" si="76"/>
      </c>
      <c r="N96" s="125">
        <f t="shared" si="20"/>
      </c>
      <c r="O96" s="126">
        <f t="shared" si="116"/>
      </c>
      <c r="P96" s="125">
        <f t="shared" si="86"/>
      </c>
      <c r="Q96" s="125">
        <f t="shared" si="56"/>
      </c>
      <c r="R96" s="127">
        <f t="shared" si="30"/>
      </c>
      <c r="S96" s="128">
        <f t="shared" si="126"/>
      </c>
      <c r="T96" s="127">
        <f t="shared" si="96"/>
      </c>
      <c r="U96" s="129" t="s">
        <v>104</v>
      </c>
      <c r="V96" s="130" t="s">
        <v>105</v>
      </c>
      <c r="W96" s="131">
        <v>0</v>
      </c>
      <c r="X96" s="132">
        <v>27390</v>
      </c>
      <c r="Y96" s="132">
        <v>160</v>
      </c>
      <c r="Z96" s="133">
        <v>14628</v>
      </c>
      <c r="AA96" s="133">
        <v>972</v>
      </c>
      <c r="AB96" s="131">
        <v>288</v>
      </c>
      <c r="AC96" s="131">
        <v>2</v>
      </c>
    </row>
    <row r="97">
      <c r="A97" s="117"/>
      <c r="B97" s="118" t="s">
        <v>102</v>
      </c>
      <c r="C97" s="119" t="s">
        <v>103</v>
      </c>
      <c r="D97" s="120">
        <f t="shared" si="34"/>
      </c>
      <c r="E97" s="121">
        <v>77.559</v>
      </c>
      <c r="F97" s="120">
        <v>230.85</v>
      </c>
      <c r="G97" s="120">
        <v>728.097</v>
      </c>
      <c r="H97" s="122">
        <v>1</v>
      </c>
      <c r="I97" s="123">
        <v>548</v>
      </c>
      <c r="J97" s="124">
        <f t="shared" si="106"/>
      </c>
      <c r="K97" s="125">
        <f t="shared" si="66"/>
      </c>
      <c r="L97" s="126">
        <f t="shared" si="46"/>
      </c>
      <c r="M97" s="125">
        <f t="shared" si="76"/>
      </c>
      <c r="N97" s="125">
        <f t="shared" si="20"/>
      </c>
      <c r="O97" s="126">
        <f t="shared" si="116"/>
      </c>
      <c r="P97" s="125">
        <f t="shared" si="86"/>
      </c>
      <c r="Q97" s="125">
        <f t="shared" si="56"/>
      </c>
      <c r="R97" s="127">
        <f t="shared" si="30"/>
      </c>
      <c r="S97" s="128">
        <f t="shared" si="126"/>
      </c>
      <c r="T97" s="127">
        <f t="shared" si="96"/>
      </c>
      <c r="U97" s="129" t="s">
        <v>104</v>
      </c>
      <c r="V97" s="130" t="s">
        <v>105</v>
      </c>
      <c r="W97" s="131">
        <v>1</v>
      </c>
      <c r="X97" s="133">
        <v>17808</v>
      </c>
      <c r="Y97" s="133">
        <v>135</v>
      </c>
      <c r="Z97" s="133">
        <v>6495</v>
      </c>
      <c r="AA97" s="133">
        <v>395</v>
      </c>
      <c r="AB97" s="131">
        <v>205</v>
      </c>
      <c r="AC97" s="131">
        <v>1</v>
      </c>
    </row>
    <row r="98">
      <c r="A98" s="117"/>
      <c r="B98" s="136" t="s">
        <v>109</v>
      </c>
      <c r="C98" s="136"/>
      <c r="D98" s="137">
        <f>SUM(D93:D97)</f>
      </c>
      <c r="E98" s="137">
        <f>SUM(E93:E97)</f>
      </c>
      <c r="F98" s="137">
        <f>SUM(F93:F97)</f>
      </c>
      <c r="G98" s="137">
        <f>SUM(G93:G97)</f>
      </c>
      <c r="H98" s="138">
        <f>SUM(H93:H97)</f>
      </c>
      <c r="I98" s="139">
        <f>SUM(I93:I97)</f>
      </c>
      <c r="J98" s="140">
        <f t="shared" si="106"/>
      </c>
      <c r="K98" s="141">
        <f t="shared" si="66"/>
      </c>
      <c r="L98" s="142">
        <f t="shared" si="46"/>
      </c>
      <c r="M98" s="141">
        <f t="shared" si="76"/>
      </c>
      <c r="N98" s="141">
        <f t="shared" si="20"/>
      </c>
      <c r="O98" s="142">
        <f t="shared" si="116"/>
      </c>
      <c r="P98" s="141">
        <f t="shared" si="86"/>
      </c>
      <c r="Q98" s="141">
        <f t="shared" si="56"/>
      </c>
      <c r="R98" s="143">
        <f t="shared" si="30"/>
      </c>
      <c r="S98" s="144">
        <f t="shared" si="126"/>
      </c>
      <c r="T98" s="143">
        <f t="shared" si="96"/>
      </c>
      <c r="U98" s="145"/>
      <c r="V98" s="145"/>
      <c r="W98" s="146">
        <f>SUM(W93:W97)</f>
      </c>
      <c r="X98" s="146">
        <f>SUM(X93:X97)</f>
      </c>
      <c r="Y98" s="146">
        <f>SUM(Y93:Y97)</f>
      </c>
      <c r="Z98" s="146">
        <f>SUM(Z93:Z97)</f>
      </c>
      <c r="AA98" s="146">
        <f>SUM(AA93:AA97)</f>
      </c>
      <c r="AB98" s="146">
        <f>SUM(AB93:AB97)</f>
      </c>
      <c r="AC98" s="146">
        <f>SUM(AC93:AC97)</f>
      </c>
    </row>
    <row r="99">
      <c r="A99" s="117"/>
      <c r="B99" s="118" t="s">
        <v>106</v>
      </c>
      <c r="C99" s="119" t="s">
        <v>111</v>
      </c>
      <c r="D99" s="120">
        <f t="shared" ref="D99:D103" si="35">E99+F99+G99</f>
      </c>
      <c r="E99" s="121">
        <v>105.074</v>
      </c>
      <c r="F99" s="120">
        <v>224.324</v>
      </c>
      <c r="G99" s="120">
        <v>881.341</v>
      </c>
      <c r="H99" s="122">
        <v>2</v>
      </c>
      <c r="I99" s="123">
        <v>2988.7200000000003</v>
      </c>
      <c r="J99" s="124">
        <f t="shared" si="106"/>
      </c>
      <c r="K99" s="125">
        <f t="shared" si="66"/>
      </c>
      <c r="L99" s="126">
        <f t="shared" si="46"/>
      </c>
      <c r="M99" s="125">
        <f t="shared" si="76"/>
      </c>
      <c r="N99" s="125">
        <f t="shared" si="20"/>
      </c>
      <c r="O99" s="126">
        <f t="shared" si="116"/>
      </c>
      <c r="P99" s="125">
        <f t="shared" si="86"/>
      </c>
      <c r="Q99" s="125">
        <f t="shared" si="56"/>
      </c>
      <c r="R99" s="127">
        <f t="shared" si="30"/>
      </c>
      <c r="S99" s="128">
        <f t="shared" si="126"/>
      </c>
      <c r="T99" s="127">
        <f t="shared" si="96"/>
      </c>
      <c r="U99" s="148" t="s">
        <v>104</v>
      </c>
      <c r="V99" s="130" t="s">
        <v>105</v>
      </c>
      <c r="W99" s="131">
        <v>2</v>
      </c>
      <c r="X99" s="132">
        <v>16784</v>
      </c>
      <c r="Y99" s="133">
        <v>152</v>
      </c>
      <c r="Z99" s="133">
        <v>11504</v>
      </c>
      <c r="AA99" s="133">
        <v>550</v>
      </c>
      <c r="AB99" s="133">
        <v>268</v>
      </c>
      <c r="AC99" s="131">
        <v>2</v>
      </c>
    </row>
    <row r="100">
      <c r="A100" s="117"/>
      <c r="B100" s="118" t="s">
        <v>108</v>
      </c>
      <c r="C100" s="119" t="s">
        <v>111</v>
      </c>
      <c r="D100" s="120">
        <f t="shared" si="35"/>
      </c>
      <c r="E100" s="121">
        <v>121.043</v>
      </c>
      <c r="F100" s="120">
        <v>308.3</v>
      </c>
      <c r="G100" s="120">
        <v>1977.751</v>
      </c>
      <c r="H100" s="122">
        <v>1</v>
      </c>
      <c r="I100" s="123">
        <v>2485.08</v>
      </c>
      <c r="J100" s="124">
        <f t="shared" si="106"/>
      </c>
      <c r="K100" s="125">
        <f t="shared" si="66"/>
      </c>
      <c r="L100" s="126">
        <f t="shared" si="46"/>
      </c>
      <c r="M100" s="125">
        <f t="shared" si="76"/>
      </c>
      <c r="N100" s="125">
        <f t="shared" si="20"/>
      </c>
      <c r="O100" s="126">
        <f t="shared" si="116"/>
      </c>
      <c r="P100" s="125">
        <f t="shared" si="86"/>
      </c>
      <c r="Q100" s="125">
        <f t="shared" si="56"/>
      </c>
      <c r="R100" s="127">
        <f t="shared" si="30"/>
      </c>
      <c r="S100" s="128">
        <f t="shared" si="126"/>
      </c>
      <c r="T100" s="127">
        <f t="shared" si="96"/>
      </c>
      <c r="U100" s="148" t="s">
        <v>104</v>
      </c>
      <c r="V100" s="130" t="s">
        <v>105</v>
      </c>
      <c r="W100" s="131">
        <v>1</v>
      </c>
      <c r="X100" s="133">
        <v>41522</v>
      </c>
      <c r="Y100" s="133">
        <v>220</v>
      </c>
      <c r="Z100" s="133">
        <v>51732</v>
      </c>
      <c r="AA100" s="133">
        <v>2486</v>
      </c>
      <c r="AB100" s="133">
        <v>373</v>
      </c>
      <c r="AC100" s="131">
        <v>4</v>
      </c>
    </row>
    <row r="101">
      <c r="A101" s="117"/>
      <c r="B101" s="118" t="s">
        <v>110</v>
      </c>
      <c r="C101" s="119" t="s">
        <v>111</v>
      </c>
      <c r="D101" s="120">
        <f t="shared" si="35"/>
      </c>
      <c r="E101" s="121">
        <v>104.152</v>
      </c>
      <c r="F101" s="120">
        <v>241.489</v>
      </c>
      <c r="G101" s="120">
        <v>1542.547</v>
      </c>
      <c r="H101" s="122">
        <v>4</v>
      </c>
      <c r="I101" s="123">
        <v>8453.52</v>
      </c>
      <c r="J101" s="124">
        <f t="shared" si="106"/>
      </c>
      <c r="K101" s="125">
        <f t="shared" si="66"/>
      </c>
      <c r="L101" s="126">
        <f t="shared" si="46"/>
      </c>
      <c r="M101" s="125">
        <f t="shared" si="76"/>
      </c>
      <c r="N101" s="125">
        <f t="shared" si="20"/>
      </c>
      <c r="O101" s="126">
        <f t="shared" si="116"/>
      </c>
      <c r="P101" s="125">
        <f t="shared" si="86"/>
      </c>
      <c r="Q101" s="125">
        <f t="shared" si="56"/>
      </c>
      <c r="R101" s="127">
        <f t="shared" si="30"/>
      </c>
      <c r="S101" s="128">
        <f t="shared" si="126"/>
      </c>
      <c r="T101" s="127">
        <f t="shared" si="96"/>
      </c>
      <c r="U101" s="148" t="s">
        <v>104</v>
      </c>
      <c r="V101" s="130" t="s">
        <v>105</v>
      </c>
      <c r="W101" s="131">
        <v>1</v>
      </c>
      <c r="X101" s="133">
        <v>39434</v>
      </c>
      <c r="Y101" s="133">
        <v>309</v>
      </c>
      <c r="Z101" s="133">
        <v>36553</v>
      </c>
      <c r="AA101" s="133">
        <v>1609</v>
      </c>
      <c r="AB101" s="133">
        <v>368</v>
      </c>
      <c r="AC101" s="131">
        <v>6</v>
      </c>
    </row>
    <row r="102">
      <c r="A102" s="117"/>
      <c r="B102" s="118" t="s">
        <v>112</v>
      </c>
      <c r="C102" s="119" t="s">
        <v>111</v>
      </c>
      <c r="D102" s="120">
        <f t="shared" si="35"/>
      </c>
      <c r="E102" s="121">
        <v>86.754</v>
      </c>
      <c r="F102" s="120">
        <v>177.106</v>
      </c>
      <c r="G102" s="120">
        <v>1403.543</v>
      </c>
      <c r="H102" s="122">
        <v>1</v>
      </c>
      <c r="I102" s="123">
        <v>1188.4799999999996</v>
      </c>
      <c r="J102" s="124">
        <f t="shared" si="106"/>
      </c>
      <c r="K102" s="125">
        <f t="shared" si="66"/>
      </c>
      <c r="L102" s="126">
        <f t="shared" si="46"/>
      </c>
      <c r="M102" s="125">
        <f t="shared" si="76"/>
      </c>
      <c r="N102" s="125">
        <f t="shared" si="20"/>
      </c>
      <c r="O102" s="126">
        <f t="shared" si="116"/>
      </c>
      <c r="P102" s="125">
        <f t="shared" si="86"/>
      </c>
      <c r="Q102" s="125">
        <f t="shared" si="56"/>
      </c>
      <c r="R102" s="127">
        <f t="shared" si="30"/>
      </c>
      <c r="S102" s="128">
        <f t="shared" si="126"/>
      </c>
      <c r="T102" s="127">
        <f t="shared" si="96"/>
      </c>
      <c r="U102" s="148" t="s">
        <v>104</v>
      </c>
      <c r="V102" s="130" t="s">
        <v>105</v>
      </c>
      <c r="W102" s="131">
        <v>1</v>
      </c>
      <c r="X102" s="133">
        <v>46140</v>
      </c>
      <c r="Y102" s="133">
        <v>483</v>
      </c>
      <c r="Z102" s="133">
        <v>19555</v>
      </c>
      <c r="AA102" s="133">
        <v>1086</v>
      </c>
      <c r="AB102" s="133">
        <v>303</v>
      </c>
      <c r="AC102" s="131">
        <v>2</v>
      </c>
    </row>
    <row r="103">
      <c r="A103" s="117"/>
      <c r="B103" s="118" t="s">
        <v>113</v>
      </c>
      <c r="C103" s="119" t="s">
        <v>111</v>
      </c>
      <c r="D103" s="120">
        <f t="shared" si="35"/>
      </c>
      <c r="E103" s="121">
        <v>158.936</v>
      </c>
      <c r="F103" s="120">
        <v>87.4</v>
      </c>
      <c r="G103" s="120">
        <v>840.895</v>
      </c>
      <c r="H103" s="122">
        <v>2</v>
      </c>
      <c r="I103" s="123">
        <v>5128.079999999998</v>
      </c>
      <c r="J103" s="124">
        <f t="shared" si="106"/>
      </c>
      <c r="K103" s="125">
        <f t="shared" si="66"/>
      </c>
      <c r="L103" s="126">
        <f t="shared" si="46"/>
      </c>
      <c r="M103" s="125">
        <f t="shared" si="76"/>
      </c>
      <c r="N103" s="125">
        <f t="shared" si="20"/>
      </c>
      <c r="O103" s="126">
        <f t="shared" si="116"/>
      </c>
      <c r="P103" s="125">
        <f t="shared" si="86"/>
      </c>
      <c r="Q103" s="125">
        <f t="shared" si="56"/>
      </c>
      <c r="R103" s="127">
        <f t="shared" si="30"/>
      </c>
      <c r="S103" s="128">
        <f t="shared" si="126"/>
      </c>
      <c r="T103" s="127">
        <f t="shared" si="96"/>
      </c>
      <c r="U103" s="148" t="s">
        <v>104</v>
      </c>
      <c r="V103" s="130" t="s">
        <v>105</v>
      </c>
      <c r="W103" s="131">
        <v>0</v>
      </c>
      <c r="X103" s="133">
        <v>52729</v>
      </c>
      <c r="Y103" s="133">
        <v>814</v>
      </c>
      <c r="Z103" s="133">
        <v>7907</v>
      </c>
      <c r="AA103" s="133">
        <v>395</v>
      </c>
      <c r="AB103" s="133">
        <v>534</v>
      </c>
      <c r="AC103" s="131">
        <v>2</v>
      </c>
    </row>
    <row r="104">
      <c r="A104" s="117"/>
      <c r="B104" s="136" t="s">
        <v>109</v>
      </c>
      <c r="C104" s="136"/>
      <c r="D104" s="137">
        <f>SUM(D99:D103)</f>
      </c>
      <c r="E104" s="137">
        <f>SUM(E99:E103)</f>
      </c>
      <c r="F104" s="137">
        <f>SUM(F99:F103)</f>
      </c>
      <c r="G104" s="137">
        <f>SUM(G99:G103)</f>
      </c>
      <c r="H104" s="138">
        <f>SUM(H99:H103)</f>
      </c>
      <c r="I104" s="139">
        <f>SUM(I99:I103)</f>
      </c>
      <c r="J104" s="140">
        <f t="shared" si="106"/>
      </c>
      <c r="K104" s="141">
        <f t="shared" si="66"/>
      </c>
      <c r="L104" s="142">
        <f t="shared" si="46"/>
      </c>
      <c r="M104" s="141">
        <f t="shared" si="76"/>
      </c>
      <c r="N104" s="141">
        <f t="shared" si="20"/>
      </c>
      <c r="O104" s="142">
        <f t="shared" si="116"/>
      </c>
      <c r="P104" s="141">
        <f t="shared" si="86"/>
      </c>
      <c r="Q104" s="141">
        <f t="shared" si="56"/>
      </c>
      <c r="R104" s="143">
        <f t="shared" si="30"/>
      </c>
      <c r="S104" s="144">
        <f t="shared" si="126"/>
      </c>
      <c r="T104" s="143">
        <f t="shared" si="96"/>
      </c>
      <c r="U104" s="145"/>
      <c r="V104" s="145"/>
      <c r="W104" s="146">
        <f>SUM(W99:W103)</f>
      </c>
      <c r="X104" s="146">
        <f>SUM(X99:X103)</f>
      </c>
      <c r="Y104" s="146">
        <f>SUM(Y99:Y103)</f>
      </c>
      <c r="Z104" s="146">
        <f>SUM(Z99:Z103)</f>
      </c>
      <c r="AA104" s="146">
        <f>SUM(AA99:AA103)</f>
      </c>
      <c r="AB104" s="146">
        <f>SUM(AB99:AB103)</f>
      </c>
      <c r="AC104" s="146">
        <f>SUM(AC99:AC103)</f>
      </c>
    </row>
    <row r="105">
      <c r="A105" s="117"/>
      <c r="B105" s="149" t="s">
        <v>114</v>
      </c>
      <c r="C105" s="149"/>
      <c r="D105" s="150">
        <f>D98+D104</f>
      </c>
      <c r="E105" s="150">
        <f>E98+E104</f>
      </c>
      <c r="F105" s="150">
        <f>F98+F104</f>
      </c>
      <c r="G105" s="150">
        <f>G98+G104</f>
      </c>
      <c r="H105" s="151">
        <f>H98+H104</f>
      </c>
      <c r="I105" s="151">
        <f>I98+I104</f>
      </c>
      <c r="J105" s="152">
        <f t="shared" si="106"/>
      </c>
      <c r="K105" s="153">
        <f t="shared" si="66"/>
      </c>
      <c r="L105" s="152">
        <f t="shared" si="46"/>
      </c>
      <c r="M105" s="153">
        <f t="shared" si="76"/>
      </c>
      <c r="N105" s="153">
        <f t="shared" si="20"/>
      </c>
      <c r="O105" s="152">
        <f t="shared" si="116"/>
      </c>
      <c r="P105" s="153">
        <f t="shared" si="86"/>
      </c>
      <c r="Q105" s="153">
        <f t="shared" si="56"/>
      </c>
      <c r="R105" s="152">
        <f t="shared" si="30"/>
      </c>
      <c r="S105" s="154">
        <f t="shared" si="126"/>
      </c>
      <c r="T105" s="152">
        <f t="shared" si="96"/>
      </c>
      <c r="U105" s="155"/>
      <c r="V105" s="155"/>
      <c r="W105" s="151">
        <f>W98+W104</f>
      </c>
      <c r="X105" s="151">
        <f>X98+X104</f>
      </c>
      <c r="Y105" s="151">
        <f>Y98+Y104</f>
      </c>
      <c r="Z105" s="151">
        <f>Z98+Z104</f>
      </c>
      <c r="AA105" s="151">
        <f>AA98+AA104</f>
      </c>
      <c r="AB105" s="151">
        <f>AB98+AB104</f>
      </c>
      <c r="AC105" s="151">
        <f>AC98+AC104</f>
      </c>
    </row>
    <row customHeight="true" ht="18.452380952380953" r="106">
      <c r="A106" s="98" t="s">
        <v>70</v>
      </c>
      <c r="B106" s="98"/>
      <c r="C106" s="98"/>
      <c r="D106" s="99" t="s">
        <v>71</v>
      </c>
      <c r="E106" s="99"/>
      <c r="F106" s="99"/>
      <c r="G106" s="99"/>
      <c r="H106" s="99"/>
      <c r="I106" s="99"/>
      <c r="J106" s="99"/>
      <c r="K106" s="101" t="s">
        <v>72</v>
      </c>
      <c r="L106" s="101"/>
      <c r="M106" s="101"/>
      <c r="N106" s="101"/>
      <c r="O106" s="101"/>
      <c r="P106" s="101"/>
      <c r="Q106" s="101"/>
      <c r="R106" s="101"/>
      <c r="S106" s="101"/>
      <c r="T106" s="101"/>
      <c r="U106" s="102"/>
      <c r="V106" s="102"/>
      <c r="W106" s="103"/>
      <c r="X106" s="103"/>
      <c r="Y106" s="103"/>
      <c r="Z106" s="103"/>
      <c r="AA106" s="103"/>
      <c r="AB106" s="103"/>
      <c r="AC106" s="103"/>
      <c r="AD106" s="104"/>
      <c r="AE106" s="104"/>
    </row>
    <row r="107">
      <c r="A107" s="105" t="s">
        <v>73</v>
      </c>
      <c r="B107" s="106" t="s">
        <v>74</v>
      </c>
      <c r="C107" s="106" t="s">
        <v>75</v>
      </c>
      <c r="D107" s="107" t="s">
        <v>76</v>
      </c>
      <c r="E107" s="108" t="s">
        <v>77</v>
      </c>
      <c r="F107" s="108" t="s">
        <v>78</v>
      </c>
      <c r="G107" s="175" t="s">
        <v>79</v>
      </c>
      <c r="H107" s="109" t="s">
        <v>80</v>
      </c>
      <c r="I107" s="109" t="s">
        <v>81</v>
      </c>
      <c r="J107" s="110" t="s">
        <v>82</v>
      </c>
      <c r="K107" s="101" t="s">
        <v>83</v>
      </c>
      <c r="L107" s="101" t="s">
        <v>84</v>
      </c>
      <c r="M107" s="111" t="s">
        <v>85</v>
      </c>
      <c r="N107" s="111" t="s">
        <v>86</v>
      </c>
      <c r="O107" s="101" t="s">
        <v>87</v>
      </c>
      <c r="P107" s="111" t="s">
        <v>88</v>
      </c>
      <c r="Q107" s="111" t="s">
        <v>89</v>
      </c>
      <c r="R107" s="112" t="s">
        <v>90</v>
      </c>
      <c r="S107" s="111" t="s">
        <v>91</v>
      </c>
      <c r="T107" s="112" t="s">
        <v>92</v>
      </c>
      <c r="U107" s="113" t="s">
        <v>93</v>
      </c>
      <c r="V107" s="113" t="s">
        <v>94</v>
      </c>
      <c r="W107" s="114" t="s">
        <v>95</v>
      </c>
      <c r="X107" s="115" t="s">
        <v>96</v>
      </c>
      <c r="Y107" s="115" t="s">
        <v>97</v>
      </c>
      <c r="Z107" s="115" t="s">
        <v>98</v>
      </c>
      <c r="AA107" s="115" t="s">
        <v>99</v>
      </c>
      <c r="AB107" s="115" t="s">
        <v>100</v>
      </c>
      <c r="AC107" s="116" t="s">
        <v>101</v>
      </c>
    </row>
    <row r="108">
      <c r="A108" s="117">
        <v>46295</v>
      </c>
      <c r="B108" s="118" t="s">
        <v>118</v>
      </c>
      <c r="C108" s="119" t="s">
        <v>103</v>
      </c>
      <c r="D108" s="120">
        <f t="shared" ref="D108:D112" si="36">E108+F108+G108</f>
      </c>
      <c r="E108" s="121">
        <v>64.955</v>
      </c>
      <c r="F108" s="121">
        <v>144.078</v>
      </c>
      <c r="G108" s="121">
        <v>476.17</v>
      </c>
      <c r="H108" s="122">
        <v>0</v>
      </c>
      <c r="I108" s="123">
        <v>0</v>
      </c>
      <c r="J108" s="124">
        <f t="shared" ref="J108:J120" si="107">I108/D108</f>
      </c>
      <c r="K108" s="125">
        <f t="shared" ref="K108:K120" si="67">Y108/X108</f>
      </c>
      <c r="L108" s="126">
        <f t="shared" ref="L108:L120" si="47">D108/Z108</f>
      </c>
      <c r="M108" s="125">
        <f t="shared" ref="M108:M120" si="77">AA108/Z108</f>
      </c>
      <c r="N108" s="125">
        <f t="shared" ref="N108:N120" si="21">AB108/Z108</f>
      </c>
      <c r="O108" s="126">
        <f t="shared" ref="O108:O120" si="117">D108/AB108</f>
      </c>
      <c r="P108" s="125">
        <f t="shared" ref="P108:P120" si="87">AC108/AB108</f>
      </c>
      <c r="Q108" s="125">
        <f t="shared" ref="Q108:Q120" si="57">H108/AC108</f>
      </c>
      <c r="R108" s="127">
        <f t="shared" ref="R108:R120" si="31">D108/H108</f>
      </c>
      <c r="S108" s="128">
        <f t="shared" ref="S108:S120" si="127">I108/H108</f>
      </c>
      <c r="T108" s="127">
        <f t="shared" ref="T108:T120" si="97">D108/W108</f>
      </c>
      <c r="U108" s="129" t="s">
        <v>104</v>
      </c>
      <c r="V108" s="130" t="s">
        <v>119</v>
      </c>
      <c r="W108" s="131">
        <v>0</v>
      </c>
      <c r="X108" s="132">
        <v>22109</v>
      </c>
      <c r="Y108" s="133">
        <v>61</v>
      </c>
      <c r="Z108" s="131">
        <v>4772</v>
      </c>
      <c r="AA108" s="131">
        <v>341</v>
      </c>
      <c r="AB108" s="131">
        <v>115</v>
      </c>
      <c r="AC108" s="131">
        <v>2</v>
      </c>
    </row>
    <row r="109">
      <c r="A109" s="117"/>
      <c r="B109" s="118" t="s">
        <v>120</v>
      </c>
      <c r="C109" s="119" t="s">
        <v>103</v>
      </c>
      <c r="D109" s="120">
        <f t="shared" si="36"/>
      </c>
      <c r="E109" s="121">
        <v>86.276</v>
      </c>
      <c r="F109" s="120">
        <v>161.342</v>
      </c>
      <c r="G109" s="120">
        <v>432.161</v>
      </c>
      <c r="H109" s="122">
        <v>2</v>
      </c>
      <c r="I109" s="123">
        <v>2716.92</v>
      </c>
      <c r="J109" s="124">
        <f t="shared" si="107"/>
      </c>
      <c r="K109" s="125">
        <f t="shared" si="67"/>
      </c>
      <c r="L109" s="126">
        <f t="shared" si="47"/>
      </c>
      <c r="M109" s="125">
        <f t="shared" si="77"/>
      </c>
      <c r="N109" s="125">
        <f t="shared" si="21"/>
      </c>
      <c r="O109" s="126">
        <f t="shared" si="117"/>
      </c>
      <c r="P109" s="125">
        <f t="shared" si="87"/>
      </c>
      <c r="Q109" s="125">
        <f t="shared" si="57"/>
      </c>
      <c r="R109" s="127">
        <f t="shared" si="31"/>
      </c>
      <c r="S109" s="128">
        <f t="shared" si="127"/>
      </c>
      <c r="T109" s="127">
        <f t="shared" si="97"/>
      </c>
      <c r="U109" s="129" t="s">
        <v>104</v>
      </c>
      <c r="V109" s="130" t="s">
        <v>119</v>
      </c>
      <c r="W109" s="131">
        <v>2</v>
      </c>
      <c r="X109" s="132">
        <v>15120</v>
      </c>
      <c r="Y109" s="133">
        <v>83</v>
      </c>
      <c r="Z109" s="131">
        <v>3154</v>
      </c>
      <c r="AA109" s="131">
        <v>246</v>
      </c>
      <c r="AB109" s="131">
        <v>187</v>
      </c>
      <c r="AC109" s="131">
        <v>2</v>
      </c>
    </row>
    <row r="110">
      <c r="A110" s="117"/>
      <c r="B110" s="118" t="s">
        <v>116</v>
      </c>
      <c r="C110" s="119" t="s">
        <v>103</v>
      </c>
      <c r="D110" s="120">
        <f t="shared" si="36"/>
      </c>
      <c r="E110" s="121">
        <v>156.844</v>
      </c>
      <c r="F110" s="120">
        <v>170.104</v>
      </c>
      <c r="G110" s="120">
        <v>460.329</v>
      </c>
      <c r="H110" s="122">
        <v>1</v>
      </c>
      <c r="I110" s="123">
        <v>1640</v>
      </c>
      <c r="J110" s="124">
        <f t="shared" si="107"/>
      </c>
      <c r="K110" s="125">
        <f t="shared" si="67"/>
      </c>
      <c r="L110" s="126">
        <f t="shared" si="47"/>
      </c>
      <c r="M110" s="125">
        <f t="shared" si="77"/>
      </c>
      <c r="N110" s="125">
        <f t="shared" si="21"/>
      </c>
      <c r="O110" s="126">
        <f t="shared" si="117"/>
      </c>
      <c r="P110" s="125">
        <f t="shared" si="87"/>
      </c>
      <c r="Q110" s="125">
        <f t="shared" si="57"/>
      </c>
      <c r="R110" s="127">
        <f t="shared" si="31"/>
      </c>
      <c r="S110" s="128">
        <f t="shared" si="127"/>
      </c>
      <c r="T110" s="127">
        <f t="shared" si="97"/>
      </c>
      <c r="U110" s="129" t="s">
        <v>104</v>
      </c>
      <c r="V110" s="130" t="s">
        <v>105</v>
      </c>
      <c r="W110" s="131">
        <v>1</v>
      </c>
      <c r="X110" s="132">
        <v>12089</v>
      </c>
      <c r="Y110" s="133">
        <v>61</v>
      </c>
      <c r="Z110" s="131">
        <v>1641</v>
      </c>
      <c r="AA110" s="131">
        <v>113</v>
      </c>
      <c r="AB110" s="131">
        <v>155</v>
      </c>
      <c r="AC110" s="131">
        <v>1</v>
      </c>
    </row>
    <row r="111">
      <c r="A111" s="117"/>
      <c r="B111" s="118" t="s">
        <v>117</v>
      </c>
      <c r="C111" s="119" t="s">
        <v>103</v>
      </c>
      <c r="D111" s="120">
        <f t="shared" si="36"/>
      </c>
      <c r="E111" s="121">
        <v>248.489</v>
      </c>
      <c r="F111" s="120">
        <v>257.065</v>
      </c>
      <c r="G111" s="120">
        <v>300.48</v>
      </c>
      <c r="H111" s="122">
        <v>0</v>
      </c>
      <c r="I111" s="123">
        <v>0</v>
      </c>
      <c r="J111" s="124">
        <f t="shared" si="107"/>
      </c>
      <c r="K111" s="125">
        <f t="shared" si="67"/>
      </c>
      <c r="L111" s="126">
        <f t="shared" si="47"/>
      </c>
      <c r="M111" s="125">
        <f t="shared" si="77"/>
      </c>
      <c r="N111" s="125">
        <f t="shared" si="21"/>
      </c>
      <c r="O111" s="126">
        <f t="shared" si="117"/>
      </c>
      <c r="P111" s="125">
        <f t="shared" si="87"/>
      </c>
      <c r="Q111" s="125">
        <f t="shared" si="57"/>
      </c>
      <c r="R111" s="127">
        <f t="shared" si="31"/>
      </c>
      <c r="S111" s="128">
        <f t="shared" si="127"/>
      </c>
      <c r="T111" s="127">
        <f t="shared" si="97"/>
      </c>
      <c r="U111" s="129" t="s">
        <v>104</v>
      </c>
      <c r="V111" s="130" t="s">
        <v>105</v>
      </c>
      <c r="W111" s="131">
        <v>0</v>
      </c>
      <c r="X111" s="132">
        <v>21966</v>
      </c>
      <c r="Y111" s="132">
        <v>90</v>
      </c>
      <c r="Z111" s="133">
        <v>2895</v>
      </c>
      <c r="AA111" s="133">
        <v>205</v>
      </c>
      <c r="AB111" s="131">
        <v>152</v>
      </c>
      <c r="AC111" s="131">
        <v>0</v>
      </c>
    </row>
    <row r="112">
      <c r="A112" s="117"/>
      <c r="B112" s="118" t="s">
        <v>102</v>
      </c>
      <c r="C112" s="119" t="s">
        <v>103</v>
      </c>
      <c r="D112" s="120">
        <f t="shared" si="36"/>
      </c>
      <c r="E112" s="121">
        <v>235.11</v>
      </c>
      <c r="F112" s="120">
        <v>155.314</v>
      </c>
      <c r="G112" s="120">
        <v>310.285</v>
      </c>
      <c r="H112" s="122">
        <v>1</v>
      </c>
      <c r="I112" s="123">
        <v>189.47999999999956</v>
      </c>
      <c r="J112" s="124">
        <f t="shared" si="107"/>
      </c>
      <c r="K112" s="125">
        <f t="shared" si="67"/>
      </c>
      <c r="L112" s="126">
        <f t="shared" si="47"/>
      </c>
      <c r="M112" s="125">
        <f t="shared" si="77"/>
      </c>
      <c r="N112" s="125">
        <f t="shared" si="21"/>
      </c>
      <c r="O112" s="126">
        <f t="shared" si="117"/>
      </c>
      <c r="P112" s="125">
        <f t="shared" si="87"/>
      </c>
      <c r="Q112" s="125">
        <f t="shared" si="57"/>
      </c>
      <c r="R112" s="127">
        <f t="shared" si="31"/>
      </c>
      <c r="S112" s="128">
        <f t="shared" si="127"/>
      </c>
      <c r="T112" s="127">
        <f t="shared" si="97"/>
      </c>
      <c r="U112" s="129" t="s">
        <v>104</v>
      </c>
      <c r="V112" s="130" t="s">
        <v>105</v>
      </c>
      <c r="W112" s="131">
        <v>1</v>
      </c>
      <c r="X112" s="133">
        <v>13229</v>
      </c>
      <c r="Y112" s="133">
        <v>77</v>
      </c>
      <c r="Z112" s="133">
        <v>4571</v>
      </c>
      <c r="AA112" s="133">
        <v>399</v>
      </c>
      <c r="AB112" s="131">
        <v>179</v>
      </c>
      <c r="AC112" s="131">
        <v>2</v>
      </c>
    </row>
    <row r="113">
      <c r="A113" s="117"/>
      <c r="B113" s="136" t="s">
        <v>109</v>
      </c>
      <c r="C113" s="136"/>
      <c r="D113" s="137">
        <f>SUM(D108:D112)</f>
      </c>
      <c r="E113" s="137">
        <f>SUM(E108:E112)</f>
      </c>
      <c r="F113" s="137">
        <f>SUM(F108:F112)</f>
      </c>
      <c r="G113" s="137">
        <f>SUM(G108:G112)</f>
      </c>
      <c r="H113" s="138">
        <f>SUM(H108:H112)</f>
      </c>
      <c r="I113" s="139">
        <f>SUM(I108:I112)</f>
      </c>
      <c r="J113" s="140">
        <f t="shared" si="107"/>
      </c>
      <c r="K113" s="141">
        <f t="shared" si="67"/>
      </c>
      <c r="L113" s="142">
        <f t="shared" si="47"/>
      </c>
      <c r="M113" s="141">
        <f t="shared" si="77"/>
      </c>
      <c r="N113" s="141">
        <f t="shared" si="21"/>
      </c>
      <c r="O113" s="142">
        <f t="shared" si="117"/>
      </c>
      <c r="P113" s="141">
        <f t="shared" si="87"/>
      </c>
      <c r="Q113" s="141">
        <f t="shared" si="57"/>
      </c>
      <c r="R113" s="143">
        <f t="shared" si="31"/>
      </c>
      <c r="S113" s="144">
        <f t="shared" si="127"/>
      </c>
      <c r="T113" s="143">
        <f t="shared" si="97"/>
      </c>
      <c r="U113" s="145"/>
      <c r="V113" s="145"/>
      <c r="W113" s="146">
        <f>SUM(W108:W112)</f>
      </c>
      <c r="X113" s="146">
        <f>SUM(X108:X112)</f>
      </c>
      <c r="Y113" s="146">
        <f>SUM(Y108:Y112)</f>
      </c>
      <c r="Z113" s="146">
        <f>SUM(Z108:Z112)</f>
      </c>
      <c r="AA113" s="146">
        <f>SUM(AA108:AA112)</f>
      </c>
      <c r="AB113" s="146">
        <f>SUM(AB108:AB112)</f>
      </c>
      <c r="AC113" s="146">
        <f>SUM(AC108:AC112)</f>
      </c>
    </row>
    <row r="114">
      <c r="A114" s="117"/>
      <c r="B114" s="118" t="s">
        <v>106</v>
      </c>
      <c r="C114" s="119" t="s">
        <v>111</v>
      </c>
      <c r="D114" s="120">
        <f t="shared" ref="D114:D118" si="37">E114+F114+G114</f>
      </c>
      <c r="E114" s="121">
        <v>318.112</v>
      </c>
      <c r="F114" s="120">
        <v>173.268</v>
      </c>
      <c r="G114" s="120">
        <v>327.903</v>
      </c>
      <c r="H114" s="122">
        <v>0</v>
      </c>
      <c r="I114" s="123">
        <v>0</v>
      </c>
      <c r="J114" s="124">
        <f t="shared" si="107"/>
      </c>
      <c r="K114" s="125">
        <f t="shared" si="67"/>
      </c>
      <c r="L114" s="126">
        <f t="shared" si="47"/>
      </c>
      <c r="M114" s="125">
        <f t="shared" si="77"/>
      </c>
      <c r="N114" s="125">
        <f t="shared" si="21"/>
      </c>
      <c r="O114" s="126">
        <f t="shared" si="117"/>
      </c>
      <c r="P114" s="125">
        <f t="shared" si="87"/>
      </c>
      <c r="Q114" s="125">
        <f t="shared" si="57"/>
      </c>
      <c r="R114" s="127">
        <f t="shared" si="31"/>
      </c>
      <c r="S114" s="128">
        <f t="shared" si="127"/>
      </c>
      <c r="T114" s="127">
        <f t="shared" si="97"/>
      </c>
      <c r="U114" s="148" t="s">
        <v>104</v>
      </c>
      <c r="V114" s="130" t="s">
        <v>105</v>
      </c>
      <c r="W114" s="131">
        <v>0</v>
      </c>
      <c r="X114" s="132">
        <v>20376</v>
      </c>
      <c r="Y114" s="133">
        <v>110</v>
      </c>
      <c r="Z114" s="133">
        <v>4997</v>
      </c>
      <c r="AA114" s="133">
        <v>359</v>
      </c>
      <c r="AB114" s="133">
        <v>183</v>
      </c>
      <c r="AC114" s="131">
        <v>0</v>
      </c>
    </row>
    <row r="115">
      <c r="A115" s="117"/>
      <c r="B115" s="118" t="s">
        <v>108</v>
      </c>
      <c r="C115" s="119" t="s">
        <v>111</v>
      </c>
      <c r="D115" s="120">
        <f t="shared" si="37"/>
      </c>
      <c r="E115" s="121">
        <v>433.329</v>
      </c>
      <c r="F115" s="120">
        <v>306.819</v>
      </c>
      <c r="G115" s="120">
        <v>623.387</v>
      </c>
      <c r="H115" s="122">
        <v>2</v>
      </c>
      <c r="I115" s="123">
        <v>2694.3600000000006</v>
      </c>
      <c r="J115" s="124">
        <f t="shared" si="107"/>
      </c>
      <c r="K115" s="125">
        <f t="shared" si="67"/>
      </c>
      <c r="L115" s="126">
        <f t="shared" si="47"/>
      </c>
      <c r="M115" s="125">
        <f t="shared" si="77"/>
      </c>
      <c r="N115" s="125">
        <f t="shared" si="21"/>
      </c>
      <c r="O115" s="126">
        <f t="shared" si="117"/>
      </c>
      <c r="P115" s="125">
        <f t="shared" si="87"/>
      </c>
      <c r="Q115" s="125">
        <f t="shared" si="57"/>
      </c>
      <c r="R115" s="127">
        <f t="shared" si="31"/>
      </c>
      <c r="S115" s="128">
        <f t="shared" si="127"/>
      </c>
      <c r="T115" s="127">
        <f t="shared" si="97"/>
      </c>
      <c r="U115" s="148" t="s">
        <v>104</v>
      </c>
      <c r="V115" s="130" t="s">
        <v>105</v>
      </c>
      <c r="W115" s="131">
        <v>2</v>
      </c>
      <c r="X115" s="133">
        <v>33980</v>
      </c>
      <c r="Y115" s="133">
        <v>224</v>
      </c>
      <c r="Z115" s="133">
        <v>14451</v>
      </c>
      <c r="AA115" s="133">
        <v>743</v>
      </c>
      <c r="AB115" s="133">
        <v>251</v>
      </c>
      <c r="AC115" s="131">
        <v>2</v>
      </c>
    </row>
    <row r="116">
      <c r="A116" s="117"/>
      <c r="B116" s="118" t="s">
        <v>110</v>
      </c>
      <c r="C116" s="119" t="s">
        <v>111</v>
      </c>
      <c r="D116" s="120">
        <f t="shared" si="37"/>
      </c>
      <c r="E116" s="121">
        <v>478.987</v>
      </c>
      <c r="F116" s="120">
        <v>533.173</v>
      </c>
      <c r="G116" s="120">
        <v>739.941</v>
      </c>
      <c r="H116" s="122">
        <v>1</v>
      </c>
      <c r="I116" s="123">
        <v>3188.16</v>
      </c>
      <c r="J116" s="124">
        <f t="shared" si="107"/>
      </c>
      <c r="K116" s="125">
        <f t="shared" si="67"/>
      </c>
      <c r="L116" s="126">
        <f t="shared" si="47"/>
      </c>
      <c r="M116" s="125">
        <f t="shared" si="77"/>
      </c>
      <c r="N116" s="125">
        <f t="shared" si="21"/>
      </c>
      <c r="O116" s="126">
        <f t="shared" si="117"/>
      </c>
      <c r="P116" s="125">
        <f t="shared" si="87"/>
      </c>
      <c r="Q116" s="125">
        <f t="shared" si="57"/>
      </c>
      <c r="R116" s="127">
        <f t="shared" si="31"/>
      </c>
      <c r="S116" s="128">
        <f t="shared" si="127"/>
      </c>
      <c r="T116" s="127">
        <f t="shared" si="97"/>
      </c>
      <c r="U116" s="148" t="s">
        <v>104</v>
      </c>
      <c r="V116" s="130" t="s">
        <v>105</v>
      </c>
      <c r="W116" s="131">
        <v>1</v>
      </c>
      <c r="X116" s="133">
        <v>57850</v>
      </c>
      <c r="Y116" s="133">
        <v>463</v>
      </c>
      <c r="Z116" s="133">
        <v>29719</v>
      </c>
      <c r="AA116" s="133">
        <v>1629</v>
      </c>
      <c r="AB116" s="133">
        <v>327</v>
      </c>
      <c r="AC116" s="131">
        <v>5</v>
      </c>
    </row>
    <row r="117">
      <c r="A117" s="117"/>
      <c r="B117" s="118" t="s">
        <v>112</v>
      </c>
      <c r="C117" s="119" t="s">
        <v>111</v>
      </c>
      <c r="D117" s="120">
        <f t="shared" si="37"/>
      </c>
      <c r="E117" s="121">
        <v>1618.962</v>
      </c>
      <c r="F117" s="120">
        <v>260.406</v>
      </c>
      <c r="G117" s="120">
        <v>669.8</v>
      </c>
      <c r="H117" s="122">
        <v>1</v>
      </c>
      <c r="I117" s="123">
        <v>4397.4</v>
      </c>
      <c r="J117" s="124">
        <f t="shared" si="107"/>
      </c>
      <c r="K117" s="125">
        <f t="shared" si="67"/>
      </c>
      <c r="L117" s="126">
        <f t="shared" si="47"/>
      </c>
      <c r="M117" s="125">
        <f t="shared" si="77"/>
      </c>
      <c r="N117" s="125">
        <f t="shared" si="21"/>
      </c>
      <c r="O117" s="126">
        <f t="shared" si="117"/>
      </c>
      <c r="P117" s="125">
        <f t="shared" si="87"/>
      </c>
      <c r="Q117" s="125">
        <f t="shared" si="57"/>
      </c>
      <c r="R117" s="127">
        <f t="shared" si="31"/>
      </c>
      <c r="S117" s="128">
        <f t="shared" si="127"/>
      </c>
      <c r="T117" s="127">
        <f t="shared" si="97"/>
      </c>
      <c r="U117" s="148" t="s">
        <v>104</v>
      </c>
      <c r="V117" s="130" t="s">
        <v>105</v>
      </c>
      <c r="W117" s="131">
        <v>1</v>
      </c>
      <c r="X117" s="133">
        <v>126523</v>
      </c>
      <c r="Y117" s="133">
        <v>1468</v>
      </c>
      <c r="Z117" s="133">
        <v>10524</v>
      </c>
      <c r="AA117" s="133">
        <v>631</v>
      </c>
      <c r="AB117" s="133">
        <v>660</v>
      </c>
      <c r="AC117" s="131">
        <v>4</v>
      </c>
    </row>
    <row r="118">
      <c r="A118" s="117"/>
      <c r="B118" s="118" t="s">
        <v>113</v>
      </c>
      <c r="C118" s="119" t="s">
        <v>111</v>
      </c>
      <c r="D118" s="120">
        <f t="shared" si="37"/>
      </c>
      <c r="E118" s="121">
        <f>1010.806</f>
      </c>
      <c r="F118" s="120">
        <v>442.495</v>
      </c>
      <c r="G118" s="120">
        <v>608.223</v>
      </c>
      <c r="H118" s="122">
        <v>2</v>
      </c>
      <c r="I118" s="123">
        <v>4436.040000000001</v>
      </c>
      <c r="J118" s="124">
        <f t="shared" si="107"/>
      </c>
      <c r="K118" s="125">
        <f t="shared" si="67"/>
      </c>
      <c r="L118" s="126">
        <f t="shared" si="47"/>
      </c>
      <c r="M118" s="125">
        <f t="shared" si="77"/>
      </c>
      <c r="N118" s="125">
        <f t="shared" si="21"/>
      </c>
      <c r="O118" s="126">
        <f t="shared" si="117"/>
      </c>
      <c r="P118" s="125">
        <f t="shared" si="87"/>
      </c>
      <c r="Q118" s="125">
        <f t="shared" si="57"/>
      </c>
      <c r="R118" s="127">
        <f t="shared" si="31"/>
      </c>
      <c r="S118" s="128">
        <f t="shared" si="127"/>
      </c>
      <c r="T118" s="127">
        <f t="shared" si="97"/>
      </c>
      <c r="U118" s="148" t="s">
        <v>104</v>
      </c>
      <c r="V118" s="130" t="s">
        <v>107</v>
      </c>
      <c r="W118" s="131">
        <v>2</v>
      </c>
      <c r="X118" s="133">
        <v>102104</v>
      </c>
      <c r="Y118" s="133">
        <v>1479</v>
      </c>
      <c r="Z118" s="133">
        <v>17056</v>
      </c>
      <c r="AA118" s="133">
        <v>1112</v>
      </c>
      <c r="AB118" s="133">
        <v>629</v>
      </c>
      <c r="AC118" s="131">
        <v>3</v>
      </c>
    </row>
    <row r="119">
      <c r="A119" s="117"/>
      <c r="B119" s="136" t="s">
        <v>109</v>
      </c>
      <c r="C119" s="136"/>
      <c r="D119" s="137">
        <f>SUM(D114:D118)</f>
      </c>
      <c r="E119" s="137">
        <f>SUM(E114:E118)</f>
      </c>
      <c r="F119" s="137">
        <f>SUM(F114:F118)</f>
      </c>
      <c r="G119" s="137">
        <f>SUM(G114:G118)</f>
      </c>
      <c r="H119" s="138">
        <f>SUM(H114:H118)</f>
      </c>
      <c r="I119" s="139">
        <f>SUM(I114:I118)</f>
      </c>
      <c r="J119" s="140">
        <f t="shared" si="107"/>
      </c>
      <c r="K119" s="141">
        <f t="shared" si="67"/>
      </c>
      <c r="L119" s="142">
        <f t="shared" si="47"/>
      </c>
      <c r="M119" s="141">
        <f t="shared" si="77"/>
      </c>
      <c r="N119" s="141">
        <f t="shared" si="21"/>
      </c>
      <c r="O119" s="142">
        <f t="shared" si="117"/>
      </c>
      <c r="P119" s="141">
        <f t="shared" si="87"/>
      </c>
      <c r="Q119" s="141">
        <f t="shared" si="57"/>
      </c>
      <c r="R119" s="143">
        <f t="shared" si="31"/>
      </c>
      <c r="S119" s="144">
        <f t="shared" si="127"/>
      </c>
      <c r="T119" s="143">
        <f t="shared" si="97"/>
      </c>
      <c r="U119" s="145"/>
      <c r="V119" s="145"/>
      <c r="W119" s="146">
        <f>SUM(W114:W118)</f>
      </c>
      <c r="X119" s="146">
        <f>SUM(X114:X118)</f>
      </c>
      <c r="Y119" s="146">
        <f>SUM(Y114:Y118)</f>
      </c>
      <c r="Z119" s="146">
        <f>SUM(Z114:Z118)</f>
      </c>
      <c r="AA119" s="146">
        <f>SUM(AA114:AA118)</f>
      </c>
      <c r="AB119" s="146">
        <f>SUM(AB114:AB118)</f>
      </c>
      <c r="AC119" s="146">
        <f>SUM(AC114:AC118)</f>
      </c>
    </row>
    <row r="120">
      <c r="A120" s="117"/>
      <c r="B120" s="149" t="s">
        <v>114</v>
      </c>
      <c r="C120" s="149"/>
      <c r="D120" s="150">
        <f>D113+D119</f>
      </c>
      <c r="E120" s="150">
        <f>E113+E119</f>
      </c>
      <c r="F120" s="150">
        <f>F113+F119</f>
      </c>
      <c r="G120" s="150">
        <f>G113+G119</f>
      </c>
      <c r="H120" s="151">
        <f>H113+H119</f>
      </c>
      <c r="I120" s="151">
        <f>I113+I119</f>
      </c>
      <c r="J120" s="152">
        <f t="shared" si="107"/>
      </c>
      <c r="K120" s="153">
        <f t="shared" si="67"/>
      </c>
      <c r="L120" s="152">
        <f t="shared" si="47"/>
      </c>
      <c r="M120" s="153">
        <f t="shared" si="77"/>
      </c>
      <c r="N120" s="153">
        <f t="shared" si="21"/>
      </c>
      <c r="O120" s="152">
        <f t="shared" si="117"/>
      </c>
      <c r="P120" s="153">
        <f t="shared" si="87"/>
      </c>
      <c r="Q120" s="153">
        <f t="shared" si="57"/>
      </c>
      <c r="R120" s="152">
        <f t="shared" si="31"/>
      </c>
      <c r="S120" s="154">
        <f t="shared" si="127"/>
      </c>
      <c r="T120" s="152">
        <f t="shared" si="97"/>
      </c>
      <c r="U120" s="155"/>
      <c r="V120" s="155"/>
      <c r="W120" s="151">
        <f>W113+W119</f>
      </c>
      <c r="X120" s="151">
        <f>X113+X119</f>
      </c>
      <c r="Y120" s="151">
        <f>Y113+Y119</f>
      </c>
      <c r="Z120" s="151">
        <f>Z113+Z119</f>
      </c>
      <c r="AA120" s="151">
        <f>AA113+AA119</f>
      </c>
      <c r="AB120" s="151">
        <f>AB113+AB119</f>
      </c>
      <c r="AC120" s="151">
        <f>AC113+AC119</f>
      </c>
    </row>
    <row r="121">
      <c r="D121" s="176"/>
      <c r="E121" s="176">
        <f>E122-E120</f>
      </c>
      <c r="F121" s="176">
        <f>F122-F120</f>
      </c>
      <c r="G121" s="176">
        <f>G122-G120</f>
      </c>
      <c r="H121">
        <f>H122-H120</f>
      </c>
      <c r="I121">
        <f>I122-I120</f>
      </c>
    </row>
    <row r="122">
      <c r="D122" s="176"/>
      <c r="E122" s="176"/>
      <c r="F122" s="176"/>
      <c r="G122" s="176"/>
      <c r="H122" s="177">
        <v>10</v>
      </c>
      <c r="I122">
        <v>19262.36</v>
      </c>
      <c r="W122" s="177" t="s">
        <v>121</v>
      </c>
      <c r="X122">
        <v>1</v>
      </c>
      <c r="Y122" s="178">
        <v>14779</v>
      </c>
      <c r="Z122">
        <v>16</v>
      </c>
      <c r="AA122" s="178">
        <v>11939</v>
      </c>
      <c r="AB122" s="178">
        <v>787</v>
      </c>
      <c r="AC122">
        <v>54</v>
      </c>
    </row>
    <row r="123">
      <c r="D123" s="176"/>
      <c r="E123" s="176"/>
      <c r="F123" s="176"/>
      <c r="G123" s="176"/>
      <c r="W123" s="177" t="s">
        <v>122</v>
      </c>
      <c r="X123">
        <v>0</v>
      </c>
      <c r="Y123" s="178">
        <v>55583</v>
      </c>
      <c r="Z123" s="178">
        <v>1045</v>
      </c>
      <c r="AA123" s="178">
        <v>344</v>
      </c>
      <c r="AB123" s="178">
        <v>0</v>
      </c>
      <c r="AC123">
        <v>364</v>
      </c>
    </row>
    <row r="124">
      <c r="D124" s="176"/>
      <c r="E124" s="176"/>
      <c r="F124" s="176"/>
      <c r="G124" s="176"/>
      <c r="W124" s="177" t="s">
        <v>123</v>
      </c>
      <c r="X124" s="177">
        <v>1</v>
      </c>
      <c r="Y124" s="178">
        <v>31742</v>
      </c>
      <c r="Z124" s="178">
        <v>418</v>
      </c>
      <c r="AA124" s="178">
        <v>4773</v>
      </c>
      <c r="AB124" s="178">
        <v>325</v>
      </c>
      <c r="AC124">
        <v>211</v>
      </c>
    </row>
    <row r="125">
      <c r="D125" s="176"/>
      <c r="E125" s="176"/>
      <c r="F125" s="176"/>
      <c r="G125" s="176"/>
      <c r="X125">
        <f>SUM(X122:X124)</f>
      </c>
      <c r="Y125">
        <f>SUM(Y122:Y124)</f>
      </c>
      <c r="Z125">
        <f>SUM(Z122:Z124)</f>
      </c>
      <c r="AA125">
        <f>SUM(AA122:AA124)</f>
      </c>
      <c r="AB125">
        <f>SUM(AB122:AB124)</f>
      </c>
      <c r="AC125">
        <f>SUM(AC122:AC124)</f>
      </c>
    </row>
    <row r="126">
      <c r="D126" s="176"/>
      <c r="E126" s="176"/>
      <c r="F126" s="176"/>
      <c r="G126" s="176"/>
    </row>
    <row r="127">
      <c r="D127" s="176"/>
      <c r="E127" s="176"/>
      <c r="F127" s="176"/>
      <c r="G127" s="176"/>
    </row>
    <row r="128">
      <c r="D128" s="176"/>
      <c r="E128" s="176"/>
      <c r="F128" s="176"/>
      <c r="G128" s="176"/>
    </row>
    <row r="129">
      <c r="D129" s="176"/>
      <c r="E129" s="176"/>
      <c r="F129" s="176"/>
      <c r="G129" s="176"/>
    </row>
    <row r="130">
      <c r="D130" s="176"/>
      <c r="E130" s="176"/>
      <c r="F130" s="176"/>
      <c r="G130" s="176"/>
    </row>
    <row r="131">
      <c r="D131" s="176"/>
      <c r="E131" s="176"/>
      <c r="F131" s="176"/>
      <c r="G131" s="176"/>
    </row>
    <row r="132">
      <c r="D132" s="176"/>
      <c r="E132" s="176"/>
      <c r="F132" s="176"/>
      <c r="G132" s="176"/>
    </row>
    <row r="133">
      <c r="D133" s="176"/>
      <c r="E133" s="176"/>
      <c r="F133" s="176"/>
      <c r="G133" s="176"/>
    </row>
    <row r="134">
      <c r="D134" s="176"/>
      <c r="E134" s="176"/>
      <c r="F134" s="176"/>
      <c r="G134" s="176"/>
    </row>
    <row r="135">
      <c r="D135" s="176"/>
      <c r="E135" s="176"/>
      <c r="F135" s="176"/>
      <c r="G135" s="176"/>
    </row>
    <row r="136">
      <c r="D136" s="176"/>
      <c r="E136" s="176"/>
      <c r="F136" s="176"/>
      <c r="G136" s="176"/>
    </row>
    <row r="137">
      <c r="D137" s="176"/>
      <c r="E137" s="176"/>
      <c r="F137" s="176"/>
      <c r="G137" s="176"/>
    </row>
    <row r="138">
      <c r="D138" s="176"/>
      <c r="E138" s="176"/>
      <c r="F138" s="176"/>
      <c r="G138" s="176"/>
    </row>
    <row r="139">
      <c r="D139" s="176"/>
      <c r="E139" s="176"/>
      <c r="F139" s="176"/>
      <c r="G139" s="176"/>
    </row>
    <row r="140">
      <c r="D140" s="176"/>
      <c r="E140" s="176"/>
      <c r="F140" s="176"/>
      <c r="G140" s="176"/>
    </row>
    <row r="141">
      <c r="D141" s="176"/>
      <c r="E141" s="176"/>
      <c r="F141" s="176"/>
      <c r="G141" s="176"/>
    </row>
    <row r="142">
      <c r="D142" s="176"/>
      <c r="E142" s="176"/>
      <c r="F142" s="176"/>
      <c r="G142" s="176"/>
    </row>
    <row r="143">
      <c r="D143" s="176"/>
      <c r="E143" s="176"/>
      <c r="F143" s="176"/>
      <c r="G143" s="176"/>
    </row>
    <row r="144">
      <c r="D144" s="176"/>
      <c r="E144" s="176"/>
      <c r="F144" s="176"/>
      <c r="G144" s="176"/>
    </row>
    <row r="145">
      <c r="D145" s="176"/>
      <c r="E145" s="176"/>
      <c r="F145" s="176"/>
      <c r="G145" s="176"/>
    </row>
    <row r="146">
      <c r="D146" s="176"/>
      <c r="E146" s="176"/>
      <c r="F146" s="176"/>
      <c r="G146" s="176"/>
    </row>
    <row r="147">
      <c r="D147" s="176"/>
      <c r="E147" s="176"/>
      <c r="F147" s="176"/>
      <c r="G147" s="176"/>
    </row>
    <row r="148">
      <c r="D148" s="176"/>
      <c r="E148" s="176"/>
      <c r="F148" s="176"/>
      <c r="G148" s="176"/>
    </row>
    <row r="149">
      <c r="D149" s="176"/>
      <c r="E149" s="176"/>
      <c r="F149" s="176"/>
      <c r="G149" s="176"/>
    </row>
    <row r="150">
      <c r="D150" s="176"/>
      <c r="E150" s="176"/>
      <c r="F150" s="176"/>
      <c r="G150" s="176"/>
    </row>
    <row r="151">
      <c r="D151" s="176"/>
      <c r="E151" s="176"/>
      <c r="F151" s="176"/>
      <c r="G151" s="176"/>
    </row>
    <row r="152">
      <c r="D152" s="176"/>
      <c r="E152" s="176"/>
      <c r="F152" s="176"/>
      <c r="G152" s="176"/>
    </row>
    <row r="153">
      <c r="D153" s="176"/>
      <c r="E153" s="176"/>
      <c r="F153" s="176"/>
      <c r="G153" s="176"/>
    </row>
    <row r="154">
      <c r="D154" s="176"/>
      <c r="E154" s="176"/>
      <c r="F154" s="176"/>
      <c r="G154" s="176"/>
    </row>
    <row r="155">
      <c r="D155" s="176"/>
      <c r="E155" s="176"/>
      <c r="F155" s="176"/>
      <c r="G155" s="176"/>
    </row>
    <row r="156">
      <c r="D156" s="176"/>
      <c r="E156" s="176"/>
      <c r="F156" s="176"/>
      <c r="G156" s="176"/>
    </row>
    <row r="157">
      <c r="D157" s="176"/>
      <c r="E157" s="176"/>
      <c r="F157" s="176"/>
      <c r="G157" s="176"/>
    </row>
    <row r="158">
      <c r="D158" s="176"/>
      <c r="E158" s="176"/>
      <c r="F158" s="176"/>
      <c r="G158" s="176"/>
    </row>
    <row r="159">
      <c r="D159" s="176"/>
      <c r="E159" s="176"/>
      <c r="F159" s="176"/>
      <c r="G159" s="176"/>
    </row>
    <row r="160">
      <c r="D160" s="176"/>
      <c r="E160" s="176"/>
      <c r="F160" s="176"/>
      <c r="G160" s="176"/>
    </row>
    <row r="161">
      <c r="D161" s="176"/>
      <c r="E161" s="176"/>
      <c r="F161" s="176"/>
      <c r="G161" s="176"/>
    </row>
    <row r="162">
      <c r="D162" s="176"/>
      <c r="E162" s="176"/>
      <c r="F162" s="176"/>
      <c r="G162" s="176"/>
    </row>
    <row r="163">
      <c r="D163" s="176"/>
      <c r="E163" s="176"/>
      <c r="F163" s="176"/>
      <c r="G163" s="176"/>
    </row>
    <row r="164">
      <c r="D164" s="176"/>
      <c r="E164" s="176"/>
      <c r="F164" s="176"/>
      <c r="G164" s="176"/>
    </row>
    <row r="165">
      <c r="D165" s="176"/>
      <c r="E165" s="176"/>
      <c r="F165" s="176"/>
      <c r="G165" s="176"/>
    </row>
    <row r="166">
      <c r="D166" s="176"/>
      <c r="E166" s="176"/>
      <c r="F166" s="176"/>
      <c r="G166" s="176"/>
    </row>
    <row r="167">
      <c r="D167" s="176"/>
      <c r="E167" s="176"/>
      <c r="F167" s="176"/>
      <c r="G167" s="176"/>
    </row>
    <row r="168">
      <c r="D168" s="176"/>
      <c r="E168" s="176"/>
      <c r="F168" s="176"/>
      <c r="G168" s="176"/>
    </row>
    <row r="169">
      <c r="D169" s="176"/>
      <c r="E169" s="176"/>
      <c r="F169" s="176"/>
      <c r="G169" s="176"/>
    </row>
    <row r="170">
      <c r="D170" s="176"/>
      <c r="E170" s="176"/>
      <c r="F170" s="176"/>
      <c r="G170" s="176"/>
    </row>
    <row r="171">
      <c r="D171" s="176"/>
      <c r="E171" s="176"/>
      <c r="F171" s="176"/>
      <c r="G171" s="176"/>
    </row>
    <row r="172">
      <c r="D172" s="176"/>
      <c r="E172" s="176"/>
      <c r="F172" s="176"/>
      <c r="G172" s="176"/>
    </row>
    <row r="173">
      <c r="D173" s="176"/>
      <c r="E173" s="176"/>
      <c r="F173" s="176"/>
      <c r="G173" s="176"/>
    </row>
    <row r="174">
      <c r="D174" s="176"/>
      <c r="E174" s="176"/>
      <c r="F174" s="176"/>
      <c r="G174" s="176"/>
    </row>
    <row r="175">
      <c r="D175" s="176"/>
      <c r="E175" s="176"/>
      <c r="F175" s="176"/>
      <c r="G175" s="176"/>
    </row>
    <row r="176">
      <c r="D176" s="176"/>
      <c r="E176" s="176"/>
      <c r="F176" s="176"/>
      <c r="G176" s="176"/>
    </row>
    <row r="177">
      <c r="D177" s="176"/>
      <c r="E177" s="176"/>
      <c r="F177" s="176"/>
      <c r="G177" s="176"/>
    </row>
    <row r="178">
      <c r="D178" s="176"/>
      <c r="E178" s="176"/>
      <c r="F178" s="176"/>
      <c r="G178" s="176"/>
    </row>
    <row r="179">
      <c r="D179" s="176"/>
      <c r="E179" s="176"/>
      <c r="F179" s="176"/>
      <c r="G179" s="176"/>
    </row>
    <row r="180">
      <c r="D180" s="176"/>
      <c r="E180" s="176"/>
      <c r="F180" s="176"/>
      <c r="G180" s="176"/>
    </row>
    <row r="181">
      <c r="D181" s="176"/>
      <c r="E181" s="176"/>
      <c r="F181" s="176"/>
      <c r="G181" s="176"/>
    </row>
    <row r="182">
      <c r="D182" s="176"/>
      <c r="E182" s="176"/>
      <c r="F182" s="176"/>
      <c r="G182" s="176"/>
    </row>
    <row r="183">
      <c r="D183" s="176"/>
      <c r="E183" s="176"/>
      <c r="F183" s="176"/>
      <c r="G183" s="176"/>
    </row>
    <row r="184">
      <c r="D184" s="176"/>
      <c r="E184" s="176"/>
      <c r="F184" s="176"/>
      <c r="G184" s="176"/>
    </row>
    <row r="185">
      <c r="D185" s="176"/>
      <c r="E185" s="176"/>
      <c r="F185" s="176"/>
      <c r="G185" s="176"/>
    </row>
    <row r="186">
      <c r="D186" s="176"/>
      <c r="E186" s="176"/>
      <c r="F186" s="176"/>
      <c r="G186" s="176"/>
    </row>
    <row r="187">
      <c r="D187" s="176"/>
      <c r="E187" s="176"/>
      <c r="F187" s="176"/>
      <c r="G187" s="176"/>
    </row>
    <row r="188">
      <c r="D188" s="176"/>
      <c r="E188" s="176"/>
      <c r="F188" s="176"/>
      <c r="G188" s="176"/>
    </row>
    <row r="189">
      <c r="D189" s="176"/>
      <c r="E189" s="176"/>
      <c r="F189" s="176"/>
      <c r="G189" s="176"/>
    </row>
    <row r="190">
      <c r="D190" s="176"/>
      <c r="E190" s="176"/>
      <c r="F190" s="176"/>
      <c r="G190" s="176"/>
    </row>
    <row r="191">
      <c r="D191" s="176"/>
      <c r="E191" s="176"/>
      <c r="F191" s="176"/>
      <c r="G191" s="176"/>
    </row>
    <row r="192">
      <c r="D192" s="176"/>
      <c r="E192" s="176"/>
      <c r="F192" s="176"/>
      <c r="G192" s="176"/>
    </row>
    <row r="193">
      <c r="D193" s="176"/>
      <c r="E193" s="176"/>
      <c r="F193" s="176"/>
      <c r="G193" s="176"/>
    </row>
    <row r="194">
      <c r="D194" s="176"/>
      <c r="E194" s="176"/>
      <c r="F194" s="176"/>
      <c r="G194" s="176"/>
    </row>
    <row r="195">
      <c r="D195" s="176"/>
      <c r="E195" s="176"/>
      <c r="F195" s="176"/>
      <c r="G195" s="176"/>
    </row>
    <row r="196">
      <c r="D196" s="176"/>
      <c r="E196" s="176"/>
      <c r="F196" s="176"/>
      <c r="G196" s="176"/>
    </row>
    <row r="197">
      <c r="D197" s="176"/>
      <c r="E197" s="176"/>
      <c r="F197" s="176"/>
      <c r="G197" s="176"/>
    </row>
    <row r="198">
      <c r="D198" s="176"/>
      <c r="E198" s="176"/>
      <c r="F198" s="176"/>
      <c r="G198" s="176"/>
    </row>
    <row r="199">
      <c r="D199" s="176"/>
      <c r="E199" s="176"/>
      <c r="F199" s="176"/>
      <c r="G199" s="176"/>
    </row>
  </sheetData>
  <mergeCells>
    <mergeCell ref="U91:V91"/>
    <mergeCell ref="K91:T91"/>
    <mergeCell ref="D91:J91"/>
    <mergeCell ref="A91:C91"/>
    <mergeCell ref="B105:C105"/>
    <mergeCell ref="B104:C104"/>
    <mergeCell ref="B98:C98"/>
    <mergeCell ref="A93:A105"/>
    <mergeCell ref="U1:V1"/>
    <mergeCell ref="K1:T1"/>
    <mergeCell ref="D1:J1"/>
    <mergeCell ref="U12:V12"/>
    <mergeCell ref="K12:T12"/>
    <mergeCell ref="D12:J12"/>
    <mergeCell ref="U23:V23"/>
    <mergeCell ref="K23:T23"/>
    <mergeCell ref="D23:J23"/>
    <mergeCell ref="U34:V34"/>
    <mergeCell ref="K34:T34"/>
    <mergeCell ref="D34:J34"/>
    <mergeCell ref="U43:V43"/>
    <mergeCell ref="K43:T43"/>
    <mergeCell ref="D43:J43"/>
    <mergeCell ref="U52:V52"/>
    <mergeCell ref="K52:T52"/>
    <mergeCell ref="D52:J52"/>
    <mergeCell ref="U65:V65"/>
    <mergeCell ref="K65:T65"/>
    <mergeCell ref="D65:J65"/>
    <mergeCell ref="U78:V78"/>
    <mergeCell ref="K78:T78"/>
    <mergeCell ref="D78:J78"/>
    <mergeCell ref="B90:C90"/>
    <mergeCell ref="B89:C89"/>
    <mergeCell ref="B83:C83"/>
    <mergeCell ref="A80:A90"/>
    <mergeCell ref="A78:C78"/>
    <mergeCell ref="B77:C77"/>
    <mergeCell ref="B76:C76"/>
    <mergeCell ref="B70:C70"/>
    <mergeCell ref="A67:A77"/>
    <mergeCell ref="A65:C65"/>
    <mergeCell ref="B64:C64"/>
    <mergeCell ref="B63:C63"/>
    <mergeCell ref="A54:A64"/>
    <mergeCell ref="B57:C57"/>
    <mergeCell ref="A52:C52"/>
    <mergeCell ref="B51:C51"/>
    <mergeCell ref="B50:C50"/>
    <mergeCell ref="A45:A51"/>
    <mergeCell ref="A43:C43"/>
    <mergeCell ref="A36:A42"/>
    <mergeCell ref="B41:C41"/>
    <mergeCell ref="B42:C42"/>
    <mergeCell ref="A34:C34"/>
    <mergeCell ref="B33:C33"/>
    <mergeCell ref="B32:C32"/>
    <mergeCell ref="B28:C28"/>
    <mergeCell ref="A25:A33"/>
    <mergeCell ref="A23:C23"/>
    <mergeCell ref="A12:C12"/>
    <mergeCell ref="A14:A22"/>
    <mergeCell ref="B17:C17"/>
    <mergeCell ref="B21:C21"/>
    <mergeCell ref="B22:C22"/>
    <mergeCell ref="A1:C1"/>
    <mergeCell ref="A3:A11"/>
    <mergeCell ref="B6:C6"/>
    <mergeCell ref="B10:C10"/>
    <mergeCell ref="B11:C11"/>
    <mergeCell ref="A108:A120"/>
    <mergeCell ref="B113:C113"/>
    <mergeCell ref="B119:C119"/>
    <mergeCell ref="B120:C120"/>
    <mergeCell ref="U106:V106"/>
    <mergeCell ref="K106:T106"/>
    <mergeCell ref="D106:J106"/>
    <mergeCell ref="A106:C106"/>
  </mergeCell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5" min="5" style="0" width="11.211267605633802"/>
    <col collapsed="false" customWidth="true" hidden="false" max="6" min="6" style="0" width="11.211267605633802"/>
  </cols>
  <sheetData>
    <row r="1">
      <c r="A1" s="179" t="s">
        <v>124</v>
      </c>
      <c r="B1" s="180"/>
      <c r="C1" s="180"/>
      <c r="D1" s="179" t="s">
        <v>125</v>
      </c>
      <c r="G1" s="179" t="s">
        <v>126</v>
      </c>
      <c r="I1" s="181" t="s">
        <v>127</v>
      </c>
      <c r="J1" s="182" t="s">
        <v>128</v>
      </c>
      <c r="K1" s="183"/>
      <c r="M1" s="181" t="s">
        <v>129</v>
      </c>
    </row>
    <row r="2">
      <c r="A2" s="184"/>
      <c r="B2" s="180"/>
      <c r="C2" s="180"/>
      <c r="D2" s="185"/>
      <c r="E2" s="186"/>
      <c r="G2" s="184"/>
      <c r="H2" s="180"/>
      <c r="J2" s="180" t="s">
        <v>130</v>
      </c>
      <c r="K2" s="186">
        <v>0.492</v>
      </c>
      <c r="L2" s="179"/>
    </row>
    <row r="3">
      <c r="A3" s="187">
        <v>0.007</v>
      </c>
      <c r="D3" s="187">
        <v>0.006</v>
      </c>
      <c r="G3" s="187"/>
      <c r="J3" s="180" t="s">
        <v>131</v>
      </c>
      <c r="K3" s="186">
        <v>0.672</v>
      </c>
      <c r="L3" s="179"/>
    </row>
    <row r="4">
      <c r="A4" s="187">
        <v>0.021</v>
      </c>
      <c r="D4" s="187">
        <v>0.009</v>
      </c>
      <c r="G4" s="188"/>
      <c r="J4" s="180" t="s">
        <v>132</v>
      </c>
      <c r="K4" s="186">
        <v>0.376</v>
      </c>
    </row>
    <row r="5">
      <c r="A5" s="187">
        <v>0.024</v>
      </c>
      <c r="D5" s="187">
        <v>0.001</v>
      </c>
      <c r="G5" s="188"/>
      <c r="J5" s="180" t="s">
        <v>133</v>
      </c>
      <c r="K5" s="179"/>
    </row>
    <row r="6">
      <c r="A6" s="187">
        <v>0.005</v>
      </c>
      <c r="D6" s="187">
        <v>0.323</v>
      </c>
      <c r="G6" s="188"/>
      <c r="J6" s="189"/>
    </row>
    <row r="7">
      <c r="A7" s="187">
        <v>0.008</v>
      </c>
      <c r="D7" s="187">
        <v>0.044</v>
      </c>
      <c r="G7" s="188"/>
      <c r="J7" s="189"/>
    </row>
    <row r="8">
      <c r="A8" s="187">
        <v>0.002</v>
      </c>
      <c r="D8" s="187">
        <v>0.006</v>
      </c>
      <c r="G8" s="188"/>
      <c r="J8" s="189"/>
    </row>
    <row r="9">
      <c r="A9" s="187">
        <v>0.036</v>
      </c>
      <c r="D9" s="187"/>
      <c r="G9" s="188"/>
      <c r="J9" s="189"/>
    </row>
    <row r="10">
      <c r="A10" s="188"/>
      <c r="D10" s="187"/>
      <c r="G10" s="188"/>
      <c r="J10" s="189"/>
    </row>
    <row r="11">
      <c r="A11" s="188"/>
      <c r="D11" s="187"/>
      <c r="G11" s="188"/>
      <c r="J11" s="189"/>
    </row>
    <row r="12">
      <c r="A12" s="188"/>
      <c r="D12" s="188"/>
      <c r="G12" s="188"/>
      <c r="J12" s="189"/>
    </row>
    <row r="13">
      <c r="A13" s="180" t="s">
        <v>127</v>
      </c>
      <c r="D13" s="180" t="s">
        <v>127</v>
      </c>
      <c r="G13" s="180" t="s">
        <v>127</v>
      </c>
      <c r="J13" s="189"/>
      <c r="L13" s="190"/>
    </row>
    <row r="14">
      <c r="A14" s="187">
        <f>SUM(A3:A12)</f>
      </c>
      <c r="D14" s="187">
        <f>SUM(D3:D12)</f>
      </c>
      <c r="G14" s="187">
        <f>SUM(G3:G12)</f>
      </c>
      <c r="J14" s="189"/>
    </row>
    <row r="15">
      <c r="D15" s="179"/>
      <c r="G15" s="179"/>
      <c r="J15" s="189"/>
    </row>
    <row r="16">
      <c r="J16" s="189"/>
    </row>
    <row r="17">
      <c r="J17" s="189"/>
    </row>
    <row r="18">
      <c r="J18" s="189"/>
    </row>
    <row r="19">
      <c r="J19" s="189"/>
    </row>
    <row r="20">
      <c r="J20" s="189"/>
    </row>
    <row r="21">
      <c r="E21" s="191">
        <f>A14+D14+G14</f>
      </c>
      <c r="J21" s="189"/>
    </row>
    <row r="22">
      <c r="J22" s="189"/>
    </row>
    <row r="23">
      <c r="J23" s="189"/>
    </row>
    <row r="24">
      <c r="J24" s="189"/>
    </row>
    <row r="25">
      <c r="J25" s="189"/>
    </row>
    <row r="26">
      <c r="J26" s="189"/>
    </row>
    <row r="27">
      <c r="J27" s="189"/>
    </row>
    <row r="28">
      <c r="J28" s="189"/>
    </row>
    <row r="29">
      <c r="J29" s="189"/>
    </row>
    <row r="30">
      <c r="J30" s="189"/>
    </row>
    <row r="31">
      <c r="J31" s="189"/>
    </row>
    <row r="32">
      <c r="J32" s="189"/>
    </row>
    <row r="33">
      <c r="J33" s="189"/>
    </row>
  </sheetData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sheetData>
    <row r="1"/>
    <row r="2"/>
    <row r="3"/>
    <row r="4"/>
    <row r="5">
      <c r="C5" s="192" t="s">
        <v>134</v>
      </c>
      <c r="D5" s="192" t="s">
        <v>135</v>
      </c>
      <c r="E5" s="192" t="s">
        <v>136</v>
      </c>
    </row>
    <row r="6">
      <c r="B6" s="192">
        <v>12</v>
      </c>
      <c r="C6">
        <v>19567.029</v>
      </c>
      <c r="D6" s="192">
        <v>25</v>
      </c>
    </row>
    <row r="7">
      <c r="B7" s="192">
        <v>13</v>
      </c>
      <c r="C7">
        <v>25936.515999999996</v>
      </c>
      <c r="D7" s="192">
        <v>40</v>
      </c>
    </row>
    <row r="8">
      <c r="B8" s="192">
        <v>14</v>
      </c>
      <c r="C8">
        <v>33940.354999999996</v>
      </c>
      <c r="D8" s="192">
        <v>62</v>
      </c>
    </row>
    <row r="9">
      <c r="B9" s="192">
        <v>15</v>
      </c>
      <c r="C9">
        <v>32664.418999999998</v>
      </c>
      <c r="D9" s="192">
        <v>52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