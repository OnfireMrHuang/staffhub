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别删" sheetId="3" r:id="rId6"/>
    <sheet name="2026.9" sheetId="4" r:id="rId7"/>
    <sheet name="周报专用" sheetId="5" r:id="rId9"/>
    <sheet name="Sheet5" sheetId="6" r:id="rId10"/>
    <sheet name="Sheet6" sheetId="7" r:id="rId11"/>
  </sheets>
  <calcPr calcMode="auto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<sst xmlns="http://schemas.openxmlformats.org/spreadsheetml/2006/main" count="377" uniqueCount="377">
  <si>
    <t xml:space="preserve">  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</si>
  <si>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</si>
  <si>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</si>
  <si>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</si>
  <si>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</si>
  <si>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</si>
  <si>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</si>
  <si>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</si>
  <si>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</si>
  <si>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</si>
  <si>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</si>
  <si>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</si>
  <si>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安欣保保单数</t>
  </si>
  <si>
    <t xml:space="preserve">安欣保年化保费</t>
  </si>
  <si>
    <t xml:space="preserve">中老年医疗保单</t>
  </si>
  <si>
    <t xml:space="preserve">中老年医疗年化保费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</si>
  <si>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</si>
  <si>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</si>
  <si>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</si>
  <si>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</si>
  <si>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</si>
  <si>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</si>
  <si>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</si>
  <si>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勾选意外占比</t>
  </si>
  <si>
    <t xml:space="preserve">勾选重疾占比</t>
  </si>
  <si>
    <t xml:space="preserve">家庭单占比</t>
  </si>
  <si>
    <t xml:space="preserve">勾选意外</t>
  </si>
  <si>
    <t xml:space="preserve">勾选重疾</t>
  </si>
  <si>
    <t xml:space="preserve">助播</t>
  </si>
  <si>
    <t xml:space="preserve">助播时长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</si>
  <si>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</si>
  <si>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</si>
  <si>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</si>
  <si>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</si>
  <si>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</si>
  <si>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</si>
  <si>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</si>
  <si>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</si>
  <si>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</si>
  <si>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</si>
  <si>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</si>
  <si>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</si>
  <si>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</si>
  <si>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</si>
  <si>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</si>
  <si>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2026.10.1</t>
  </si>
  <si>
    <t xml:space="preserve">刘艺聪</t>
  </si>
  <si>
    <t xml:space="preserve">14:00-19:00</t>
  </si>
  <si>
    <t xml:space="preserve">商潇涵双</t>
  </si>
  <si>
    <t xml:space="preserve">林志豪</t>
  </si>
  <si>
    <t xml:space="preserve">王晴</t>
  </si>
  <si>
    <t xml:space="preserve">19:00-24:00</t>
  </si>
  <si>
    <t xml:space="preserve">张晓雨双</t>
  </si>
  <si>
    <t xml:space="preserve">2026.10.2</t>
  </si>
  <si>
    <t xml:space="preserve">12:00-16:00</t>
  </si>
  <si>
    <t xml:space="preserve">曾美晴</t>
  </si>
  <si>
    <t xml:space="preserve">16:00-19:00</t>
  </si>
  <si>
    <t xml:space="preserve">卢佳轩双</t>
  </si>
  <si>
    <t xml:space="preserve">2026.10.3</t>
  </si>
  <si>
    <t xml:space="preserve">罗丽洋双</t>
  </si>
  <si>
    <t xml:space="preserve">2026.10.4</t>
  </si>
  <si>
    <t xml:space="preserve">9:00-14:00</t>
  </si>
  <si>
    <t xml:space="preserve">2026.10.5</t>
  </si>
  <si>
    <t xml:space="preserve">罗丽洋</t>
  </si>
  <si>
    <t xml:space="preserve">2026.10.6</t>
  </si>
  <si>
    <t xml:space="preserve">2026.10.7</t>
  </si>
  <si>
    <t xml:space="preserve">2026.10.8</t>
  </si>
  <si>
    <t xml:space="preserve">曹颖慧</t>
  </si>
  <si>
    <t xml:space="preserve">2026.10.9</t>
  </si>
  <si>
    <t xml:space="preserve">曹颖慧双</t>
  </si>
  <si>
    <t xml:space="preserve">2026.10.10</t>
  </si>
  <si>
    <t xml:space="preserve">商潇涵</t>
  </si>
  <si>
    <t xml:space="preserve">2026.10.11</t>
  </si>
  <si>
    <t xml:space="preserve">2026.10.12</t>
  </si>
  <si>
    <t xml:space="preserve">2026.10.13</t>
  </si>
  <si>
    <t xml:space="preserve">2026.10.14</t>
  </si>
  <si>
    <t xml:space="preserve">14:00-17:00</t>
  </si>
  <si>
    <t xml:space="preserve">马亚茹</t>
  </si>
  <si>
    <t xml:space="preserve">17:00-19:00</t>
  </si>
  <si>
    <t xml:space="preserve">2026.10.15</t>
  </si>
  <si>
    <t xml:space="preserve">2026.10.16</t>
  </si>
  <si>
    <t xml:space="preserve">14:00-16:00</t>
  </si>
  <si>
    <t xml:space="preserve">索茜霖</t>
  </si>
  <si>
    <t xml:space="preserve">19:00-22:00</t>
  </si>
  <si>
    <t xml:space="preserve">2026.10.17</t>
  </si>
  <si>
    <t xml:space="preserve">李轩</t>
  </si>
  <si>
    <t xml:space="preserve">2026.10.18</t>
  </si>
  <si>
    <t xml:space="preserve">闫一博</t>
  </si>
  <si>
    <t xml:space="preserve">2026.10.19</t>
  </si>
  <si>
    <t xml:space="preserve">关注</t>
  </si>
  <si>
    <t xml:space="preserve">评论</t>
  </si>
  <si>
    <t xml:space="preserve">分享</t>
  </si>
  <si>
    <t xml:space="preserve">第一个主播</t>
  </si>
  <si>
    <t xml:space="preserve">第二个主播</t>
  </si>
  <si>
    <t xml:space="preserve">第三个主播</t>
  </si>
  <si>
    <t xml:space="preserve">第4个主播</t>
  </si>
  <si>
    <t xml:space="preserve">第5个主播</t>
  </si>
  <si>
    <t xml:space="preserve">直投</t>
  </si>
  <si>
    <t xml:space="preserve">明星</t>
  </si>
  <si>
    <t xml:space="preserve">总</t>
  </si>
  <si>
    <t xml:space="preserve">视频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</si>
  <si>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</si>
  <si>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</si>
  <si>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</si>
  <si>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</si>
  <si>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</si>
  <si>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</si>
  <si>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</si>
  <si>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</si>
  <si>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</si>
  <si>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</si>
  <si>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</si>
  <si>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安欣保保单数</t>
  </si>
  <si>
    <t xml:space="preserve">安欣保年化保费</t>
  </si>
  <si>
    <t xml:space="preserve">全家保保单</t>
  </si>
  <si>
    <t xml:space="preserve">全家保年化保费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</si>
  <si>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</si>
  <si>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</si>
  <si>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</si>
  <si>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</si>
  <si>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</si>
  <si>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</si>
  <si>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</si>
  <si>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勾选意外占比</t>
  </si>
  <si>
    <t xml:space="preserve">勾选重疾占比</t>
  </si>
  <si>
    <t xml:space="preserve">家庭单占比</t>
  </si>
  <si>
    <t xml:space="preserve">勾选意外</t>
  </si>
  <si>
    <t xml:space="preserve">勾选重疾</t>
  </si>
  <si>
    <t xml:space="preserve">助播</t>
  </si>
  <si>
    <t xml:space="preserve">助播时长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</si>
  <si>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</si>
  <si>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</si>
  <si>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</si>
  <si>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</si>
  <si>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</si>
  <si>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</si>
  <si>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</si>
  <si>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</si>
  <si>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</si>
  <si>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</si>
  <si>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</si>
  <si>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</si>
  <si>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</si>
  <si>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</si>
  <si>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</si>
  <si>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</si>
  <si>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2026.9.21</t>
  </si>
  <si>
    <t xml:space="preserve">刘艺聪</t>
  </si>
  <si>
    <t xml:space="preserve">18:00-21:00</t>
  </si>
  <si>
    <t xml:space="preserve">张晓雨双</t>
  </si>
  <si>
    <t xml:space="preserve">林志豪</t>
  </si>
  <si>
    <t xml:space="preserve">王晴</t>
  </si>
  <si>
    <t xml:space="preserve">21:00-24:00</t>
  </si>
  <si>
    <t xml:space="preserve">卢佳轩双</t>
  </si>
  <si>
    <t xml:space="preserve">2026.9.22</t>
  </si>
  <si>
    <t xml:space="preserve">朱明双</t>
  </si>
  <si>
    <t xml:space="preserve">2026.9.23</t>
  </si>
  <si>
    <t xml:space="preserve">2026.9.24</t>
  </si>
  <si>
    <t xml:space="preserve">19:00-24:00</t>
  </si>
  <si>
    <t xml:space="preserve">2026.9.25</t>
  </si>
  <si>
    <t xml:space="preserve">2026.9.26</t>
  </si>
  <si>
    <t xml:space="preserve">16:00-19:00</t>
  </si>
  <si>
    <t xml:space="preserve">2026.9.27</t>
  </si>
  <si>
    <t xml:space="preserve">2026.9.28</t>
  </si>
  <si>
    <t xml:space="preserve">2026.9.29</t>
  </si>
  <si>
    <t xml:space="preserve">14:00-19:00</t>
  </si>
  <si>
    <t xml:space="preserve">商潇涵双</t>
  </si>
  <si>
    <t xml:space="preserve">2026.9.30</t>
  </si>
  <si>
    <t xml:space="preserve">roi</t>
  </si>
  <si>
    <t xml:space="preserve">求和项:助播时长</t>
  </si>
  <si>
    <t xml:space="preserve">直投</t>
  </si>
  <si>
    <t xml:space="preserve">总计</t>
  </si>
  <si>
    <t xml:space="preserve">视频</t>
  </si>
  <si>
    <t xml:space="preserve">明星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</si>
  <si>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</si>
  <si>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</si>
  <si>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</si>
  <si>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</si>
  <si>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</si>
  <si>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</si>
  <si>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</si>
  <si>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</si>
  <si>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</si>
  <si>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</si>
  <si>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</si>
  <si>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安欣保保单数</t>
  </si>
  <si>
    <t xml:space="preserve">安欣保年化保费</t>
  </si>
  <si>
    <t xml:space="preserve">全家保保单</t>
  </si>
  <si>
    <t xml:space="preserve">全家保年化保费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</si>
  <si>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</si>
  <si>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</si>
  <si>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</si>
  <si>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</si>
  <si>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</si>
  <si>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</si>
  <si>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</si>
  <si>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勾选意外占比</t>
  </si>
  <si>
    <t xml:space="preserve">勾选重疾占比</t>
  </si>
  <si>
    <t xml:space="preserve">家庭单占比</t>
  </si>
  <si>
    <t xml:space="preserve">勾选意外</t>
  </si>
  <si>
    <t xml:space="preserve">勾选重疾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</si>
  <si>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</si>
  <si>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</si>
  <si>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</si>
  <si>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</si>
  <si>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</si>
  <si>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</si>
  <si>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</si>
  <si>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</si>
  <si>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</si>
  <si>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</si>
  <si>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</si>
  <si>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</si>
  <si>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</si>
  <si>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</si>
  <si>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</si>
  <si>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</si>
  <si>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</si>
  <si>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</si>
  <si>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</si>
  <si>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2026.10.12</t>
  </si>
  <si>
    <t xml:space="preserve">刘艺聪</t>
  </si>
  <si>
    <t xml:space="preserve">9:00-14:00</t>
  </si>
  <si>
    <t xml:space="preserve">张晓雨双</t>
  </si>
  <si>
    <t xml:space="preserve">林志豪</t>
  </si>
  <si>
    <t xml:space="preserve">曾美晴</t>
  </si>
  <si>
    <t xml:space="preserve">14:00-19:00</t>
  </si>
  <si>
    <t xml:space="preserve">王晴</t>
  </si>
  <si>
    <t xml:space="preserve">19:00-24:00</t>
  </si>
  <si>
    <t xml:space="preserve">商潇涵</t>
  </si>
  <si>
    <t xml:space="preserve">2026.10.13</t>
  </si>
  <si>
    <t xml:space="preserve">卢佳轩双</t>
  </si>
  <si>
    <t xml:space="preserve">商潇涵双</t>
  </si>
  <si>
    <t xml:space="preserve">2026.10.14</t>
  </si>
  <si>
    <t xml:space="preserve">14:00-17:00</t>
  </si>
  <si>
    <t xml:space="preserve">马亚茹</t>
  </si>
  <si>
    <t xml:space="preserve">17:00-19:00</t>
  </si>
  <si>
    <t xml:space="preserve">罗丽洋</t>
  </si>
  <si>
    <t xml:space="preserve">2026.10.15</t>
  </si>
  <si>
    <t xml:space="preserve">2026.10.16</t>
  </si>
  <si>
    <t xml:space="preserve">14:00-16:00</t>
  </si>
  <si>
    <t xml:space="preserve">索茜霖</t>
  </si>
  <si>
    <t xml:space="preserve">16:00-19:00</t>
  </si>
  <si>
    <t xml:space="preserve">19:00-22:00</t>
  </si>
  <si>
    <t xml:space="preserve">2026.10.17</t>
  </si>
  <si>
    <t xml:space="preserve">李轩</t>
  </si>
  <si>
    <t xml:space="preserve">2026.10.18</t>
  </si>
  <si>
    <t xml:space="preserve">闫一博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</si>
  <si>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</si>
  <si>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</si>
  <si>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</si>
  <si>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</si>
  <si>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</si>
  <si>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</si>
  <si>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</si>
  <si>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</si>
  <si>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</si>
  <si>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</si>
  <si>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</si>
  <si>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安欣保保单数</t>
  </si>
  <si>
    <t xml:space="preserve">安欣保年化保费</t>
  </si>
  <si>
    <t xml:space="preserve">全家保保单</t>
  </si>
  <si>
    <t xml:space="preserve">全家保年化保费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</si>
  <si>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</si>
  <si>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</si>
  <si>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</si>
  <si>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</si>
  <si>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</si>
  <si>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</si>
  <si>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</si>
  <si>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勾选意外占比</t>
  </si>
  <si>
    <t xml:space="preserve">勾选重疾占比</t>
  </si>
  <si>
    <t xml:space="preserve">家庭单占比</t>
  </si>
  <si>
    <t xml:space="preserve">勾选意外</t>
  </si>
  <si>
    <t xml:space="preserve">勾选重疾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</si>
  <si>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</si>
  <si>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</si>
  <si>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</si>
  <si>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</si>
  <si>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</si>
  <si>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</si>
  <si>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</si>
  <si>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</si>
  <si>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</si>
  <si>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</si>
  <si>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</si>
  <si>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</si>
  <si>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</si>
  <si>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</si>
  <si>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</si>
  <si>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</si>
  <si>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</si>
  <si>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</si>
  <si>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</si>
  <si>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2026.9.28</t>
  </si>
  <si>
    <t xml:space="preserve">刘艺聪</t>
  </si>
  <si>
    <t xml:space="preserve">16:00-19:00</t>
  </si>
  <si>
    <t xml:space="preserve">张晓雨双</t>
  </si>
  <si>
    <t xml:space="preserve">林志豪</t>
  </si>
  <si>
    <t xml:space="preserve">王晴</t>
  </si>
  <si>
    <t xml:space="preserve">19:00-24:00</t>
  </si>
  <si>
    <t xml:space="preserve">卢佳轩双</t>
  </si>
  <si>
    <t xml:space="preserve">2026.9.29</t>
  </si>
  <si>
    <t xml:space="preserve">14:00-19:00</t>
  </si>
  <si>
    <t xml:space="preserve">商潇涵双</t>
  </si>
  <si>
    <t xml:space="preserve">2026.9.30</t>
  </si>
  <si>
    <t xml:space="preserve">2026.10.1</t>
  </si>
  <si>
    <t xml:space="preserve">2026.10.2</t>
  </si>
  <si>
    <t xml:space="preserve">12:00-16:00</t>
  </si>
  <si>
    <t xml:space="preserve">曾美晴</t>
  </si>
  <si>
    <t xml:space="preserve">2026.10.3</t>
  </si>
  <si>
    <t xml:space="preserve">罗丽洋双</t>
  </si>
  <si>
    <t xml:space="preserve">2026.10.4</t>
  </si>
  <si>
    <t xml:space="preserve">9:00-14:00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</si>
  <si>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</si>
  <si>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</si>
  <si>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</si>
  <si>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</si>
  <si>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</si>
  <si>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</si>
  <si>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</si>
  <si>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</si>
  <si>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</si>
  <si>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</si>
  <si>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</si>
  <si>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安欣保保单数</t>
  </si>
  <si>
    <t xml:space="preserve">安欣保年化保费</t>
  </si>
  <si>
    <t xml:space="preserve">全家保保单</t>
  </si>
  <si>
    <t xml:space="preserve">全家保年化保费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</si>
  <si>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</si>
  <si>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</si>
  <si>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</si>
  <si>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</si>
  <si>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</si>
  <si>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</si>
  <si>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</si>
  <si>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勾选意外占比</t>
  </si>
  <si>
    <t xml:space="preserve">勾选重疾占比</t>
  </si>
  <si>
    <t xml:space="preserve">家庭单占比</t>
  </si>
  <si>
    <t xml:space="preserve">勾选意外</t>
  </si>
  <si>
    <t xml:space="preserve">勾选重疾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</si>
  <si>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</si>
  <si>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</si>
  <si>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</si>
  <si>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</si>
  <si>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</si>
  <si>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</si>
  <si>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</si>
  <si>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</si>
  <si>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</si>
  <si>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</si>
  <si>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</si>
  <si>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</si>
  <si>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</si>
  <si>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</si>
  <si>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</si>
  <si>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</si>
  <si>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</si>
  <si>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</si>
  <si>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</si>
  <si>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2026.9.21</t>
  </si>
  <si>
    <t xml:space="preserve">刘艺聪</t>
  </si>
  <si>
    <t xml:space="preserve">18:00-21:00</t>
  </si>
  <si>
    <t xml:space="preserve">张晓雨双</t>
  </si>
  <si>
    <t xml:space="preserve">林志豪</t>
  </si>
  <si>
    <t xml:space="preserve">王晴</t>
  </si>
  <si>
    <t xml:space="preserve">21:00-24:00</t>
  </si>
  <si>
    <t xml:space="preserve">卢佳轩双</t>
  </si>
  <si>
    <t xml:space="preserve">2026.9.22</t>
  </si>
  <si>
    <t xml:space="preserve">朱明双</t>
  </si>
  <si>
    <t xml:space="preserve">2026.9.23</t>
  </si>
  <si>
    <t xml:space="preserve">2026.9.24</t>
  </si>
  <si>
    <t xml:space="preserve">19:00-24:00</t>
  </si>
  <si>
    <t xml:space="preserve">2026.9.25</t>
  </si>
  <si>
    <t xml:space="preserve">2026.9.26</t>
  </si>
  <si>
    <t xml:space="preserve">16:00-19:00</t>
  </si>
  <si>
    <t xml:space="preserve">2026.9.27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</si>
</sst>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5">
    <numFmt numFmtId="164" formatCode="#,##0.00_ "/>
    <numFmt numFmtId="165" formatCode="yyyy&quot;.&quot;m&quot;.&quot;d"/>
    <numFmt numFmtId="166" formatCode="0.00_);[Red]\(0.00\)"/>
    <numFmt numFmtId="167" formatCode="0.00%"/>
    <numFmt numFmtId="168" formatCode="#,##0"/>
    <numFmt numFmtId="169" formatCode="0.00_ "/>
    <numFmt numFmtId="170" formatCode="#,##0"/>
    <numFmt numFmtId="171" formatCode="#,##0.00_ "/>
    <numFmt numFmtId="172" formatCode="yyyy&quot;.&quot;m&quot;.&quot;d"/>
    <numFmt numFmtId="173" formatCode="0.00_);[Red]\(0.00\)"/>
    <numFmt numFmtId="174" formatCode="0.00%"/>
    <numFmt numFmtId="175" formatCode="#,##0"/>
    <numFmt numFmtId="176" formatCode="0.00_ "/>
    <numFmt numFmtId="177" formatCode="#,##0.00"/>
    <numFmt numFmtId="178" formatCode="0.00"/>
    <numFmt numFmtId="179" formatCode="#,##0.00_ "/>
    <numFmt numFmtId="180" formatCode="yyyy&quot;.&quot;m&quot;.&quot;d"/>
    <numFmt numFmtId="181" formatCode="0.00_);[Red]\(0.00\)"/>
    <numFmt numFmtId="182" formatCode="0.00%"/>
    <numFmt numFmtId="183" formatCode="#,##0"/>
    <numFmt numFmtId="184" formatCode="0.00_ "/>
    <numFmt numFmtId="185" formatCode="#,##0.00_ "/>
    <numFmt numFmtId="186" formatCode="yyyy&quot;.&quot;m&quot;.&quot;d"/>
    <numFmt numFmtId="187" formatCode="0.00_);[Red]\(0.00\)"/>
    <numFmt numFmtId="188" formatCode="0.00%"/>
    <numFmt numFmtId="189" formatCode="#,##0"/>
    <numFmt numFmtId="190" formatCode="0.00_ "/>
    <numFmt numFmtId="191" formatCode="#,##0.00"/>
    <numFmt numFmtId="192" formatCode="#,##0.00_ "/>
    <numFmt numFmtId="193" formatCode="yyyy&quot;.&quot;m&quot;.&quot;d"/>
    <numFmt numFmtId="194" formatCode="0.00_);[Red]\(0.00\)"/>
    <numFmt numFmtId="195" formatCode="0.00%"/>
    <numFmt numFmtId="196" formatCode="#,##0"/>
    <numFmt numFmtId="197" formatCode="0.00_ "/>
    <numFmt numFmtId="198" formatCode="#,##0.00"/>
  </numFmts>
  <fonts count="6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A415C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333840"/>
      <name val="Calibri"/>
      <family val="2"/>
      <scheme val="minor"/>
    </font>
  </fonts>
  <fills count="4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  <fill>
      <patternFill patternType="solid">
        <fgColor rgb="FFFAD355"/>
        <bgColor/>
      </patternFill>
    </fill>
    <fill>
      <patternFill patternType="solid">
        <fgColor rgb="FFFFFFFF"/>
        <bgColor/>
      </patternFill>
    </fill>
    <fill>
      <patternFill patternType="solid">
        <fgColor rgb="FFD9F5D6"/>
        <bgColor/>
      </patternFill>
    </fill>
    <fill>
      <patternFill patternType="solid">
        <fgColor rgb="FFFDDDEF"/>
        <bgColor/>
      </patternFill>
    </fill>
    <fill>
      <patternFill patternType="solid">
        <fgColor rgb="FFFFFFFF"/>
        <bgColor/>
      </patternFill>
    </fill>
    <fill>
      <patternFill patternType="solid">
        <fgColor rgb="FFBACEFD"/>
        <bgColor/>
      </patternFill>
    </fill>
    <fill>
      <patternFill patternType="solid">
        <fgColor rgb="FFEDEFF2"/>
        <bgColor/>
      </patternFill>
    </fill>
    <fill>
      <patternFill patternType="solid">
        <fgColor rgb="FFECE2FE"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  <fill>
      <patternFill patternType="solid">
        <fgColor rgb="FFFFFFFF"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  <fill>
      <patternFill patternType="solid">
        <fgColor rgb="FFFAD355"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rgb="FFE6E9ED"/>
      </right>
      <top/>
      <bottom style="medium">
        <color rgb="FFE6E9E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true" applyProtection="false" borderId="1" fillId="5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true" applyFont="true" applyNumberFormat="true" applyProtection="false" borderId="1" fillId="2" fontId="2" numFmtId="166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true" applyFont="true" applyNumberFormat="true" applyProtection="false" borderId="1" fillId="2" fontId="1" numFmtId="167" xfId="0">
      <alignment horizontal="center" vertical="center"/>
    </xf>
    <xf applyAlignment="true" applyBorder="false" applyFill="false" applyFont="true" applyNumberFormat="true" applyProtection="false" borderId="1" fillId="0" fontId="1" numFmtId="168" xfId="0">
      <alignment horizontal="center" vertical="center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true" applyFont="true" applyNumberFormat="true" applyProtection="false" borderId="1" fillId="2" fontId="1" numFmtId="169" xfId="0">
      <alignment horizontal="center" vertical="center"/>
    </xf>
    <xf applyAlignment="true" applyBorder="false" applyFill="true" applyFont="true" applyNumberFormat="false" applyProtection="false" borderId="2" fillId="7" fontId="3" numFmtId="0" xfId="0">
      <alignment horizontal="center" vertical="center"/>
    </xf>
    <xf applyAlignment="true" applyBorder="false" applyFill="true" applyFont="true" applyNumberFormat="false" applyProtection="false" borderId="2" fillId="7" fontId="3" numFmtId="0" xfId="0">
      <alignment horizontal="center" vertical="center"/>
    </xf>
    <xf applyAlignment="true" applyBorder="false" applyFill="true" applyFont="true" applyNumberFormat="true" applyProtection="false" borderId="1" fillId="7" fontId="3" numFmtId="166" xfId="0">
      <alignment horizontal="center" vertical="center"/>
    </xf>
    <xf applyAlignment="true" applyBorder="false" applyFill="true" applyFont="true" applyNumberFormat="true" applyProtection="false" borderId="1" fillId="7" fontId="3" numFmtId="167" xfId="0">
      <alignment horizontal="center" vertical="center"/>
    </xf>
    <xf applyAlignment="true" applyBorder="false" applyFill="true" applyFont="true" applyNumberFormat="false" applyProtection="false" borderId="1" fillId="7" fontId="3" numFmtId="0" xfId="0">
      <alignment horizontal="center" vertical="center"/>
    </xf>
    <xf applyAlignment="true" applyBorder="false" applyFill="true" applyFont="true" applyNumberFormat="false" applyProtection="false" borderId="1" fillId="8" fontId="1" numFmtId="0" xfId="0">
      <alignment horizontal="center" vertical="center"/>
    </xf>
    <xf applyAlignment="true" applyBorder="false" applyFill="true" applyFont="true" applyNumberFormat="true" applyProtection="false" borderId="1" fillId="7" fontId="3" numFmtId="169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8" xfId="0">
      <alignment horizontal="center" vertical="center"/>
    </xf>
    <xf applyAlignment="true" applyBorder="false" applyFill="true" applyFont="true" applyNumberFormat="false" applyProtection="false" borderId="1" fillId="9" fontId="1" numFmtId="0" xfId="0">
      <alignment horizontal="center" vertical="center"/>
    </xf>
    <xf applyAlignment="true" applyBorder="false" applyFill="true" applyFont="true" applyNumberFormat="false" applyProtection="false" borderId="1" fillId="9" fontId="1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68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0" fillId="10" fontId="4" numFmtId="0" xfId="0">
      <alignment vertical="center"/>
    </xf>
    <xf applyAlignment="true" applyBorder="false" applyFill="true" applyFont="true" applyNumberFormat="false" applyProtection="false" borderId="0" fillId="11" fontId="4" numFmtId="0" xfId="0">
      <alignment vertical="center"/>
    </xf>
    <xf applyAlignment="true" applyBorder="false" applyFill="true" applyFont="true" applyNumberFormat="false" applyProtection="false" borderId="0" fillId="11" fontId="4" numFmtId="0" xfId="0">
      <alignment vertical="center"/>
    </xf>
    <xf applyAlignment="true" applyBorder="false" applyFill="false" applyFont="true" applyNumberFormat="false" applyProtection="false" borderId="3" fillId="0" fontId="4" numFmtId="0" xfId="0">
      <alignment vertical="center"/>
    </xf>
    <xf applyAlignment="true" applyBorder="false" applyFill="true" applyFont="true" applyNumberFormat="false" applyProtection="false" borderId="0" fillId="12" fontId="4" numFmtId="0" xfId="0">
      <alignment vertical="center"/>
    </xf>
    <xf applyAlignment="true" applyBorder="false" applyFill="true" applyFont="true" applyNumberFormat="false" applyProtection="false" borderId="0" fillId="12" fontId="4" numFmtId="0" xfId="0">
      <alignment vertical="center"/>
    </xf>
    <xf applyAlignment="true" applyBorder="false" applyFill="true" applyFont="true" applyNumberFormat="false" applyProtection="false" borderId="0" fillId="13" fontId="4" numFmtId="0" xfId="0">
      <alignment vertical="center"/>
    </xf>
    <xf applyAlignment="true" applyBorder="false" applyFill="false" applyFont="true" applyNumberFormat="true" applyProtection="false" borderId="0" fillId="0" fontId="4" numFmtId="170" xfId="0">
      <alignment vertical="center"/>
    </xf>
    <xf applyAlignment="true" applyBorder="false" applyFill="true" applyFont="true" applyNumberFormat="false" applyProtection="false" borderId="4" fillId="14" fontId="5" numFmtId="0" xfId="0">
      <alignment horizontal="right" vertical="center" wrapText="true"/>
    </xf>
    <xf applyAlignment="true" applyBorder="false" applyFill="true" applyFont="true" applyNumberFormat="false" applyProtection="false" borderId="0" fillId="15" fontId="4" numFmtId="0" xfId="0">
      <alignment vertical="center"/>
    </xf>
    <xf applyAlignment="true" applyBorder="false" applyFill="true" applyFont="true" applyNumberFormat="false" applyProtection="false" borderId="0" fillId="15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5" fillId="16" fontId="1" numFmtId="0" xfId="0">
      <alignment horizontal="center" vertical="center"/>
    </xf>
    <xf applyAlignment="true" applyBorder="false" applyFill="true" applyFont="true" applyNumberFormat="false" applyProtection="false" borderId="5" fillId="17" fontId="1" numFmtId="0" xfId="0">
      <alignment horizontal="center" vertical="center"/>
    </xf>
    <xf applyAlignment="true" applyBorder="false" applyFill="true" applyFont="true" applyNumberFormat="false" applyProtection="false" borderId="5" fillId="16" fontId="1" numFmtId="0" xfId="0">
      <alignment horizontal="center" vertical="center"/>
    </xf>
    <xf applyAlignment="true" applyBorder="false" applyFill="true" applyFont="true" applyNumberFormat="false" applyProtection="false" borderId="5" fillId="18" fontId="1" numFmtId="0" xfId="0">
      <alignment horizontal="center" vertical="center"/>
    </xf>
    <xf applyAlignment="true" applyBorder="false" applyFill="true" applyFont="true" applyNumberFormat="true" applyProtection="false" borderId="5" fillId="19" fontId="1" numFmtId="171" xfId="0">
      <alignment horizontal="center" vertical="center"/>
    </xf>
    <xf applyAlignment="true" applyBorder="false" applyFill="true" applyFont="true" applyNumberFormat="true" applyProtection="false" borderId="5" fillId="16" fontId="1" numFmtId="172" xfId="0">
      <alignment horizontal="center" vertical="center"/>
    </xf>
    <xf applyAlignment="true" applyBorder="false" applyFill="true" applyFont="true" applyNumberFormat="false" applyProtection="false" borderId="5" fillId="16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false" applyProtection="false" borderId="5" fillId="20" fontId="1" numFmtId="0" xfId="0">
      <alignment horizontal="center" vertical="center"/>
    </xf>
    <xf applyAlignment="true" applyBorder="false" applyFill="true" applyFont="true" applyNumberFormat="true" applyProtection="false" borderId="5" fillId="16" fontId="2" numFmtId="173" xfId="0">
      <alignment horizontal="center" vertical="center"/>
    </xf>
    <xf applyAlignment="true" applyBorder="false" applyFill="true" applyFont="true" applyNumberFormat="true" applyProtection="false" borderId="5" fillId="16" fontId="1" numFmtId="173" xfId="0">
      <alignment horizontal="center" vertical="center"/>
    </xf>
    <xf applyAlignment="true" applyBorder="false" applyFill="true" applyFont="true" applyNumberFormat="true" applyProtection="false" borderId="5" fillId="16" fontId="1" numFmtId="174" xfId="0">
      <alignment horizontal="center" vertical="center"/>
    </xf>
    <xf applyAlignment="true" applyBorder="false" applyFill="false" applyFont="true" applyNumberFormat="true" applyProtection="false" borderId="5" fillId="0" fontId="1" numFmtId="175" xfId="0">
      <alignment horizontal="center" vertical="center"/>
    </xf>
    <xf applyAlignment="true" applyBorder="false" applyFill="false" applyFont="true" applyNumberFormat="true" applyProtection="false" borderId="5" fillId="0" fontId="1" numFmtId="174" xfId="0">
      <alignment horizontal="center" vertical="center"/>
    </xf>
    <xf applyAlignment="true" applyBorder="false" applyFill="false" applyFont="true" applyNumberFormat="true" applyProtection="false" borderId="5" fillId="0" fontId="1" numFmtId="174" xfId="0">
      <alignment horizontal="center" vertical="center"/>
    </xf>
    <xf applyAlignment="true" applyBorder="false" applyFill="true" applyFont="true" applyNumberFormat="true" applyProtection="false" borderId="5" fillId="16" fontId="1" numFmtId="176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6" fillId="21" fontId="3" numFmtId="0" xfId="0">
      <alignment horizontal="center" vertical="center"/>
    </xf>
    <xf applyAlignment="true" applyBorder="false" applyFill="true" applyFont="true" applyNumberFormat="false" applyProtection="false" borderId="6" fillId="21" fontId="3" numFmtId="0" xfId="0">
      <alignment horizontal="center" vertical="center"/>
    </xf>
    <xf applyAlignment="true" applyBorder="false" applyFill="true" applyFont="true" applyNumberFormat="true" applyProtection="false" borderId="5" fillId="21" fontId="3" numFmtId="173" xfId="0">
      <alignment horizontal="center" vertical="center"/>
    </xf>
    <xf applyAlignment="true" applyBorder="false" applyFill="true" applyFont="true" applyNumberFormat="true" applyProtection="false" borderId="5" fillId="21" fontId="3" numFmtId="174" xfId="0">
      <alignment horizontal="center" vertical="center"/>
    </xf>
    <xf applyAlignment="true" applyBorder="false" applyFill="true" applyFont="true" applyNumberFormat="false" applyProtection="false" borderId="5" fillId="21" fontId="3" numFmtId="0" xfId="0">
      <alignment horizontal="center" vertical="center"/>
    </xf>
    <xf applyAlignment="true" applyBorder="false" applyFill="true" applyFont="true" applyNumberFormat="true" applyProtection="false" borderId="5" fillId="21" fontId="3" numFmtId="176" xfId="0">
      <alignment horizontal="center" vertical="center"/>
    </xf>
    <xf applyAlignment="true" applyBorder="false" applyFill="false" applyFont="true" applyNumberFormat="true" applyProtection="false" borderId="5" fillId="0" fontId="1" numFmtId="174" xfId="0">
      <alignment horizontal="center" vertical="center"/>
    </xf>
    <xf applyAlignment="true" applyBorder="false" applyFill="true" applyFont="true" applyNumberFormat="true" applyProtection="false" borderId="6" fillId="21" fontId="3" numFmtId="177" xfId="0">
      <alignment horizontal="center" vertical="center"/>
    </xf>
    <xf applyAlignment="true" applyBorder="false" applyFill="true" applyFont="true" applyNumberFormat="false" applyProtection="false" borderId="5" fillId="21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78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75" xfId="0">
      <alignment vertical="center"/>
    </xf>
    <xf applyAlignment="true" applyBorder="false" applyFill="true" applyFont="true" applyNumberFormat="false" applyProtection="false" borderId="7" fillId="22" fontId="1" numFmtId="0" xfId="0">
      <alignment horizontal="center" vertical="center"/>
    </xf>
    <xf applyAlignment="true" applyBorder="false" applyFill="true" applyFont="true" applyNumberFormat="false" applyProtection="false" borderId="7" fillId="23" fontId="1" numFmtId="0" xfId="0">
      <alignment horizontal="center" vertical="center"/>
    </xf>
    <xf applyAlignment="true" applyBorder="false" applyFill="true" applyFont="true" applyNumberFormat="false" applyProtection="false" borderId="7" fillId="22" fontId="1" numFmtId="0" xfId="0">
      <alignment horizontal="center" vertical="center"/>
    </xf>
    <xf applyAlignment="true" applyBorder="false" applyFill="true" applyFont="true" applyNumberFormat="false" applyProtection="false" borderId="7" fillId="24" fontId="1" numFmtId="0" xfId="0">
      <alignment horizontal="center" vertical="center"/>
    </xf>
    <xf applyAlignment="true" applyBorder="false" applyFill="true" applyFont="true" applyNumberFormat="true" applyProtection="false" borderId="7" fillId="25" fontId="1" numFmtId="179" xfId="0">
      <alignment horizontal="center" vertical="center"/>
    </xf>
    <xf applyAlignment="true" applyBorder="false" applyFill="true" applyFont="true" applyNumberFormat="true" applyProtection="false" borderId="7" fillId="22" fontId="1" numFmtId="180" xfId="0">
      <alignment horizontal="center" vertical="center"/>
    </xf>
    <xf applyAlignment="true" applyBorder="false" applyFill="true" applyFont="true" applyNumberFormat="false" applyProtection="false" borderId="7" fillId="22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true" applyFont="true" applyNumberFormat="false" applyProtection="false" borderId="7" fillId="26" fontId="1" numFmtId="0" xfId="0">
      <alignment horizontal="center" vertical="center"/>
    </xf>
    <xf applyAlignment="true" applyBorder="false" applyFill="true" applyFont="true" applyNumberFormat="true" applyProtection="false" borderId="7" fillId="22" fontId="2" numFmtId="181" xfId="0">
      <alignment horizontal="center" vertical="center"/>
    </xf>
    <xf applyAlignment="true" applyBorder="false" applyFill="true" applyFont="true" applyNumberFormat="true" applyProtection="false" borderId="7" fillId="22" fontId="1" numFmtId="181" xfId="0">
      <alignment horizontal="center" vertical="center"/>
    </xf>
    <xf applyAlignment="true" applyBorder="false" applyFill="true" applyFont="true" applyNumberFormat="true" applyProtection="false" borderId="7" fillId="22" fontId="1" numFmtId="182" xfId="0">
      <alignment horizontal="center" vertical="center"/>
    </xf>
    <xf applyAlignment="true" applyBorder="false" applyFill="false" applyFont="true" applyNumberFormat="true" applyProtection="false" borderId="7" fillId="0" fontId="1" numFmtId="183" xfId="0">
      <alignment horizontal="center" vertical="center"/>
    </xf>
    <xf applyAlignment="true" applyBorder="false" applyFill="false" applyFont="true" applyNumberFormat="true" applyProtection="false" borderId="7" fillId="0" fontId="1" numFmtId="182" xfId="0">
      <alignment horizontal="center" vertical="center"/>
    </xf>
    <xf applyAlignment="true" applyBorder="false" applyFill="false" applyFont="true" applyNumberFormat="true" applyProtection="false" borderId="7" fillId="0" fontId="1" numFmtId="182" xfId="0">
      <alignment horizontal="center" vertical="center"/>
    </xf>
    <xf applyAlignment="true" applyBorder="false" applyFill="true" applyFont="true" applyNumberFormat="true" applyProtection="false" borderId="7" fillId="22" fontId="1" numFmtId="184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true" applyProtection="false" borderId="7" fillId="0" fontId="1" numFmtId="183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true" applyFont="true" applyNumberFormat="false" applyProtection="false" borderId="8" fillId="27" fontId="3" numFmtId="0" xfId="0">
      <alignment horizontal="center" vertical="center"/>
    </xf>
    <xf applyAlignment="true" applyBorder="false" applyFill="true" applyFont="true" applyNumberFormat="false" applyProtection="false" borderId="8" fillId="27" fontId="3" numFmtId="0" xfId="0">
      <alignment horizontal="center" vertical="center"/>
    </xf>
    <xf applyAlignment="true" applyBorder="false" applyFill="true" applyFont="true" applyNumberFormat="true" applyProtection="false" borderId="7" fillId="27" fontId="3" numFmtId="181" xfId="0">
      <alignment horizontal="center" vertical="center"/>
    </xf>
    <xf applyAlignment="true" applyBorder="false" applyFill="true" applyFont="true" applyNumberFormat="true" applyProtection="false" borderId="7" fillId="27" fontId="3" numFmtId="182" xfId="0">
      <alignment horizontal="center" vertical="center"/>
    </xf>
    <xf applyAlignment="true" applyBorder="false" applyFill="true" applyFont="true" applyNumberFormat="false" applyProtection="false" borderId="7" fillId="27" fontId="3" numFmtId="0" xfId="0">
      <alignment horizontal="center" vertical="center"/>
    </xf>
    <xf applyAlignment="true" applyBorder="false" applyFill="true" applyFont="true" applyNumberFormat="true" applyProtection="false" borderId="7" fillId="27" fontId="3" numFmtId="184" xfId="0">
      <alignment horizontal="center" vertical="center"/>
    </xf>
    <xf applyAlignment="true" applyBorder="false" applyFill="true" applyFont="true" applyNumberFormat="false" applyProtection="false" borderId="7" fillId="28" fontId="1" numFmtId="0" xfId="0">
      <alignment horizontal="center" vertical="center"/>
    </xf>
    <xf applyAlignment="true" applyBorder="false" applyFill="true" applyFont="true" applyNumberFormat="false" applyProtection="false" borderId="7" fillId="28" fontId="1" numFmtId="0" xfId="0">
      <alignment horizontal="center" vertical="center"/>
    </xf>
    <xf applyAlignment="true" applyBorder="false" applyFill="true" applyFont="true" applyNumberFormat="false" applyProtection="false" borderId="9" fillId="29" fontId="1" numFmtId="0" xfId="0">
      <alignment horizontal="center" vertical="center"/>
    </xf>
    <xf applyAlignment="true" applyBorder="false" applyFill="true" applyFont="true" applyNumberFormat="false" applyProtection="false" borderId="9" fillId="30" fontId="1" numFmtId="0" xfId="0">
      <alignment horizontal="center" vertical="center"/>
    </xf>
    <xf applyAlignment="true" applyBorder="false" applyFill="true" applyFont="true" applyNumberFormat="false" applyProtection="false" borderId="9" fillId="29" fontId="1" numFmtId="0" xfId="0">
      <alignment horizontal="center" vertical="center"/>
    </xf>
    <xf applyAlignment="true" applyBorder="false" applyFill="true" applyFont="true" applyNumberFormat="false" applyProtection="false" borderId="9" fillId="31" fontId="1" numFmtId="0" xfId="0">
      <alignment horizontal="center" vertical="center"/>
    </xf>
    <xf applyAlignment="true" applyBorder="false" applyFill="true" applyFont="true" applyNumberFormat="true" applyProtection="false" borderId="9" fillId="32" fontId="1" numFmtId="185" xfId="0">
      <alignment horizontal="center" vertical="center"/>
    </xf>
    <xf applyAlignment="true" applyBorder="false" applyFill="true" applyFont="true" applyNumberFormat="true" applyProtection="false" borderId="9" fillId="29" fontId="1" numFmtId="186" xfId="0">
      <alignment horizontal="center" vertical="center"/>
    </xf>
    <xf applyAlignment="true" applyBorder="false" applyFill="true" applyFont="true" applyNumberFormat="false" applyProtection="false" borderId="9" fillId="29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true" applyFont="true" applyNumberFormat="false" applyProtection="false" borderId="9" fillId="29" fontId="1" numFmtId="0" xfId="0">
      <alignment horizontal="center" vertical="center"/>
    </xf>
    <xf applyAlignment="true" applyBorder="false" applyFill="true" applyFont="true" applyNumberFormat="false" applyProtection="false" borderId="9" fillId="33" fontId="1" numFmtId="0" xfId="0">
      <alignment horizontal="center" vertical="center"/>
    </xf>
    <xf applyAlignment="true" applyBorder="false" applyFill="true" applyFont="true" applyNumberFormat="true" applyProtection="false" borderId="9" fillId="29" fontId="2" numFmtId="187" xfId="0">
      <alignment horizontal="center" vertical="center"/>
    </xf>
    <xf applyAlignment="true" applyBorder="false" applyFill="true" applyFont="true" applyNumberFormat="true" applyProtection="false" borderId="9" fillId="29" fontId="1" numFmtId="187" xfId="0">
      <alignment horizontal="center" vertical="center"/>
    </xf>
    <xf applyAlignment="true" applyBorder="false" applyFill="true" applyFont="true" applyNumberFormat="true" applyProtection="false" borderId="9" fillId="29" fontId="1" numFmtId="188" xfId="0">
      <alignment horizontal="center" vertical="center"/>
    </xf>
    <xf applyAlignment="true" applyBorder="false" applyFill="false" applyFont="true" applyNumberFormat="true" applyProtection="false" borderId="9" fillId="0" fontId="1" numFmtId="189" xfId="0">
      <alignment horizontal="center" vertical="center"/>
    </xf>
    <xf applyAlignment="true" applyBorder="false" applyFill="false" applyFont="true" applyNumberFormat="true" applyProtection="false" borderId="9" fillId="0" fontId="1" numFmtId="188" xfId="0">
      <alignment horizontal="center" vertical="center"/>
    </xf>
    <xf applyAlignment="true" applyBorder="false" applyFill="false" applyFont="true" applyNumberFormat="true" applyProtection="false" borderId="9" fillId="0" fontId="1" numFmtId="188" xfId="0">
      <alignment horizontal="center" vertical="center"/>
    </xf>
    <xf applyAlignment="true" applyBorder="false" applyFill="true" applyFont="true" applyNumberFormat="true" applyProtection="false" borderId="9" fillId="29" fontId="1" numFmtId="19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10" fillId="34" fontId="3" numFmtId="0" xfId="0">
      <alignment horizontal="center" vertical="center"/>
    </xf>
    <xf applyAlignment="true" applyBorder="false" applyFill="true" applyFont="true" applyNumberFormat="false" applyProtection="false" borderId="10" fillId="34" fontId="3" numFmtId="0" xfId="0">
      <alignment horizontal="center" vertical="center"/>
    </xf>
    <xf applyAlignment="true" applyBorder="false" applyFill="true" applyFont="true" applyNumberFormat="true" applyProtection="false" borderId="10" fillId="34" fontId="3" numFmtId="191" xfId="0">
      <alignment horizontal="center" vertical="center"/>
    </xf>
    <xf applyAlignment="true" applyBorder="false" applyFill="true" applyFont="true" applyNumberFormat="true" applyProtection="false" borderId="9" fillId="34" fontId="3" numFmtId="187" xfId="0">
      <alignment horizontal="center" vertical="center"/>
    </xf>
    <xf applyAlignment="true" applyBorder="false" applyFill="true" applyFont="true" applyNumberFormat="true" applyProtection="false" borderId="9" fillId="34" fontId="3" numFmtId="188" xfId="0">
      <alignment horizontal="center" vertical="center"/>
    </xf>
    <xf applyAlignment="true" applyBorder="false" applyFill="true" applyFont="true" applyNumberFormat="false" applyProtection="false" borderId="9" fillId="34" fontId="3" numFmtId="0" xfId="0">
      <alignment horizontal="center" vertical="center"/>
    </xf>
    <xf applyAlignment="true" applyBorder="false" applyFill="true" applyFont="true" applyNumberFormat="true" applyProtection="false" borderId="9" fillId="34" fontId="3" numFmtId="190" xfId="0">
      <alignment horizontal="center" vertical="center"/>
    </xf>
    <xf applyAlignment="true" applyBorder="false" applyFill="true" applyFont="true" applyNumberFormat="false" applyProtection="false" borderId="9" fillId="29" fontId="1" numFmtId="0" xfId="0">
      <alignment horizontal="center" vertical="center"/>
    </xf>
    <xf applyAlignment="true" applyBorder="false" applyFill="false" applyFont="true" applyNumberFormat="true" applyProtection="false" borderId="9" fillId="0" fontId="1" numFmtId="188" xfId="0">
      <alignment horizontal="center" vertical="center"/>
    </xf>
    <xf applyAlignment="true" applyBorder="false" applyFill="true" applyFont="true" applyNumberFormat="false" applyProtection="false" borderId="9" fillId="35" fontId="1" numFmtId="0" xfId="0">
      <alignment horizontal="center" vertical="center"/>
    </xf>
    <xf applyAlignment="true" applyBorder="false" applyFill="true" applyFont="true" applyNumberFormat="false" applyProtection="false" borderId="9" fillId="33" fontId="1" numFmtId="0" xfId="0">
      <alignment horizontal="center" vertical="center"/>
    </xf>
    <xf applyAlignment="true" applyBorder="false" applyFill="false" applyFont="true" applyNumberFormat="true" applyProtection="false" borderId="9" fillId="0" fontId="1" numFmtId="189" xfId="0">
      <alignment horizontal="center" vertical="center"/>
    </xf>
    <xf applyAlignment="true" applyBorder="false" applyFill="true" applyFont="true" applyNumberFormat="false" applyProtection="false" borderId="11" fillId="36" fontId="1" numFmtId="0" xfId="0">
      <alignment horizontal="center" vertical="center"/>
    </xf>
    <xf applyAlignment="true" applyBorder="false" applyFill="true" applyFont="true" applyNumberFormat="false" applyProtection="false" borderId="11" fillId="37" fontId="1" numFmtId="0" xfId="0">
      <alignment horizontal="center" vertical="center"/>
    </xf>
    <xf applyAlignment="true" applyBorder="false" applyFill="true" applyFont="true" applyNumberFormat="false" applyProtection="false" borderId="11" fillId="36" fontId="1" numFmtId="0" xfId="0">
      <alignment horizontal="center" vertical="center"/>
    </xf>
    <xf applyAlignment="true" applyBorder="false" applyFill="true" applyFont="true" applyNumberFormat="false" applyProtection="false" borderId="11" fillId="38" fontId="1" numFmtId="0" xfId="0">
      <alignment horizontal="center" vertical="center"/>
    </xf>
    <xf applyAlignment="true" applyBorder="false" applyFill="true" applyFont="true" applyNumberFormat="true" applyProtection="false" borderId="11" fillId="39" fontId="1" numFmtId="192" xfId="0">
      <alignment horizontal="center" vertical="center"/>
    </xf>
    <xf applyAlignment="true" applyBorder="false" applyFill="true" applyFont="true" applyNumberFormat="true" applyProtection="false" borderId="11" fillId="36" fontId="1" numFmtId="193" xfId="0">
      <alignment horizontal="center" vertical="center"/>
    </xf>
    <xf applyAlignment="true" applyBorder="false" applyFill="true" applyFont="true" applyNumberFormat="false" applyProtection="false" borderId="11" fillId="36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true" applyFont="true" applyNumberFormat="false" applyProtection="false" borderId="11" fillId="40" fontId="1" numFmtId="0" xfId="0">
      <alignment horizontal="center" vertical="center"/>
    </xf>
    <xf applyAlignment="true" applyBorder="false" applyFill="true" applyFont="true" applyNumberFormat="true" applyProtection="false" borderId="11" fillId="36" fontId="2" numFmtId="194" xfId="0">
      <alignment horizontal="center" vertical="center"/>
    </xf>
    <xf applyAlignment="true" applyBorder="false" applyFill="true" applyFont="true" applyNumberFormat="true" applyProtection="false" borderId="11" fillId="36" fontId="1" numFmtId="194" xfId="0">
      <alignment horizontal="center" vertical="center"/>
    </xf>
    <xf applyAlignment="true" applyBorder="false" applyFill="true" applyFont="true" applyNumberFormat="true" applyProtection="false" borderId="11" fillId="36" fontId="1" numFmtId="195" xfId="0">
      <alignment horizontal="center" vertical="center"/>
    </xf>
    <xf applyAlignment="true" applyBorder="false" applyFill="false" applyFont="true" applyNumberFormat="true" applyProtection="false" borderId="11" fillId="0" fontId="1" numFmtId="196" xfId="0">
      <alignment horizontal="center" vertical="center"/>
    </xf>
    <xf applyAlignment="true" applyBorder="false" applyFill="false" applyFont="true" applyNumberFormat="true" applyProtection="false" borderId="11" fillId="0" fontId="1" numFmtId="195" xfId="0">
      <alignment horizontal="center" vertical="center"/>
    </xf>
    <xf applyAlignment="true" applyBorder="false" applyFill="false" applyFont="true" applyNumberFormat="true" applyProtection="false" borderId="11" fillId="0" fontId="1" numFmtId="195" xfId="0">
      <alignment horizontal="center" vertical="center"/>
    </xf>
    <xf applyAlignment="true" applyBorder="false" applyFill="true" applyFont="true" applyNumberFormat="true" applyProtection="false" borderId="11" fillId="36" fontId="1" numFmtId="197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12" fillId="41" fontId="3" numFmtId="0" xfId="0">
      <alignment horizontal="center" vertical="center"/>
    </xf>
    <xf applyAlignment="true" applyBorder="false" applyFill="true" applyFont="true" applyNumberFormat="false" applyProtection="false" borderId="12" fillId="41" fontId="3" numFmtId="0" xfId="0">
      <alignment horizontal="center" vertical="center"/>
    </xf>
    <xf applyAlignment="true" applyBorder="false" applyFill="true" applyFont="true" applyNumberFormat="true" applyProtection="false" borderId="11" fillId="41" fontId="3" numFmtId="194" xfId="0">
      <alignment horizontal="center" vertical="center"/>
    </xf>
    <xf applyAlignment="true" applyBorder="false" applyFill="true" applyFont="true" applyNumberFormat="true" applyProtection="false" borderId="11" fillId="41" fontId="3" numFmtId="195" xfId="0">
      <alignment horizontal="center" vertical="center"/>
    </xf>
    <xf applyAlignment="true" applyBorder="false" applyFill="true" applyFont="true" applyNumberFormat="false" applyProtection="false" borderId="11" fillId="41" fontId="3" numFmtId="0" xfId="0">
      <alignment horizontal="center" vertical="center"/>
    </xf>
    <xf applyAlignment="true" applyBorder="false" applyFill="true" applyFont="true" applyNumberFormat="true" applyProtection="false" borderId="11" fillId="41" fontId="3" numFmtId="197" xfId="0">
      <alignment horizontal="center" vertical="center"/>
    </xf>
    <xf applyAlignment="true" applyBorder="false" applyFill="false" applyFont="true" applyNumberFormat="true" applyProtection="false" borderId="11" fillId="0" fontId="1" numFmtId="195" xfId="0">
      <alignment horizontal="center" vertical="center"/>
    </xf>
    <xf applyAlignment="true" applyBorder="false" applyFill="true" applyFont="true" applyNumberFormat="true" applyProtection="false" borderId="12" fillId="41" fontId="3" numFmtId="198" xfId="0">
      <alignment horizontal="center" vertical="center"/>
    </xf>
    <xf applyAlignment="true" applyBorder="false" applyFill="true" applyFont="true" applyNumberFormat="false" applyProtection="false" borderId="11" fillId="41" fontId="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/xl/pivotCache/pivotCacheDefinition1.xml" Type="http://schemas.openxmlformats.org/officeDocument/2006/relationships/pivotCacheDefinition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AT$33" sheet="2026.9"/>
  </cacheSource>
  <cacheFields count="46">
    <cacheField name="日期" numFmtId="0">
      <sharedItems containsBlank="true" count="0"/>
    </cacheField>
    <cacheField name="主播" numFmtId="0">
      <sharedItems containsBlank="true" count="3">
        <s v="刘艺聪"/>
        <s v="王晴"/>
        <m/>
      </sharedItems>
    </cacheField>
    <cacheField name="直播时段" numFmtId="0">
      <sharedItems containsBlank="true" count="0"/>
    </cacheField>
    <cacheField name="时长" numFmtId="0">
      <sharedItems containsString="false" containsBlank="true" containsNumber="true" containsInteger="true" minValue="3" maxValue="10" count="6">
        <n v="3"/>
        <n v="6"/>
        <n v="5"/>
        <m/>
        <n v="8"/>
        <n v="10"/>
      </sharedItems>
    </cacheField>
    <cacheField name="订单数量" numFmtId="0">
      <sharedItems containsString="false" containsBlank="true" containsNumber="true" containsInteger="true" minValue="1" maxValue="27" count="0"/>
    </cacheField>
    <cacheField name="保单数量" numFmtId="0">
      <sharedItems containsString="false" containsBlank="true" containsNumber="true" containsInteger="true" minValue="1" maxValue="14" count="0"/>
    </cacheField>
    <cacheField name="保险支付数" numFmtId="0">
      <sharedItems containsString="false" containsBlank="true" containsNumber="true" containsInteger="true" minValue="1" maxValue="11" count="0"/>
    </cacheField>
    <cacheField name="月缴保单数" numFmtId="0">
      <sharedItems containsString="false" containsBlank="true" containsNumber="true" containsInteger="true" minValue="1" maxValue="11" count="0"/>
    </cacheField>
    <cacheField name="月缴保费" numFmtId="0">
      <sharedItems containsString="false" containsBlank="true" containsNumber="true" minValue="35.620000000000005" maxValue="1831.7199999999998" count="0"/>
    </cacheField>
    <cacheField name="年交保单数量" numFmtId="0">
      <sharedItems containsString="false" containsBlank="true" containsNumber="true" containsInteger="true" minValue="0" maxValue="4" count="0"/>
    </cacheField>
    <cacheField name="年缴保费" numFmtId="0">
      <sharedItems containsString="false" containsBlank="true" containsNumber="true" minValue="0" maxValue="7145.5" count="0"/>
    </cacheField>
    <cacheField name="安欣保保单数" numFmtId="0">
      <sharedItems containsString="false" containsBlank="true" containsNumber="true" containsInteger="true" minValue="0" maxValue="7" count="0"/>
    </cacheField>
    <cacheField name="安欣保年化保费" numFmtId="0">
      <sharedItems containsString="false" containsBlank="true" containsNumber="true" minValue="0" maxValue="7400.88" count="0"/>
    </cacheField>
    <cacheField name="全家保保单" numFmtId="0">
      <sharedItems containsString="false" containsBlank="true" containsNumber="true" containsInteger="true" minValue="0" maxValue="11" count="0"/>
    </cacheField>
    <cacheField name="全家保年化保费" numFmtId="0">
      <sharedItems containsString="false" containsBlank="true" containsNumber="true" minValue="0" maxValue="27160.5" count="0"/>
    </cacheField>
    <cacheField name="家庭单数量" numFmtId="0">
      <sharedItems containsString="false" containsBlank="true" containsNumber="true" containsInteger="true" minValue="0" maxValue="6" count="0"/>
    </cacheField>
    <cacheField name="家庭单保费" numFmtId="0">
      <sharedItems containsString="false" containsBlank="true" containsNumber="true" minValue="0" maxValue="1466.51" count="0"/>
    </cacheField>
    <cacheField name="年化保费" numFmtId="0">
      <sharedItems containsString="false" containsBlank="true" containsNumber="true" minValue="427.44000000000005" maxValue="29126.14" count="27">
        <n v="1216.08"/>
        <n v="10085.52"/>
        <n v="11301.6"/>
        <n v="427.44000000000005"/>
        <n v="14471.099999999999"/>
        <n v="14898.539999999999"/>
        <n v="7120.4400000000005"/>
        <n v="2602.8"/>
        <n v="9723.240000000002"/>
        <n v="17573.4"/>
        <m/>
        <n v="4802.400000000001"/>
        <n v="3608.6400000000003"/>
        <n v="8345.759999999998"/>
        <n v="11954.399999999998"/>
        <n v="2837.04"/>
        <n v="6410.08"/>
        <n v="9247.119999999999"/>
        <n v="1977.84"/>
        <n v="27148.3"/>
        <n v="29126.14"/>
        <n v="2867.7200000000003"/>
        <n v="15115.8"/>
        <n v="17983.52"/>
        <n v="4546.4"/>
        <n v="14715.96"/>
        <n v="19262.36"/>
      </sharedItems>
    </cacheField>
    <cacheField name="投流消耗" numFmtId="0">
      <sharedItems containsString="false" containsBlank="true" containsNumber="true" minValue="618.763" maxValue="13299.191" count="27">
        <n v="618.763"/>
        <n v="1796.981"/>
        <n v="2415.744"/>
        <n v="4782.999"/>
        <n v="2174.419"/>
        <n v="6957.418"/>
        <n v="4559.414000000001"/>
        <n v="3022.008"/>
        <n v="7581.4220000000005"/>
        <n v="3775.646"/>
        <m/>
        <n v="9417.095"/>
        <n v="1832.068"/>
        <n v="5210.831999999999"/>
        <n v="7042.9"/>
        <n v="2675.672"/>
        <n v="4264.825"/>
        <n v="6940.496999999999"/>
        <n v="3073.022"/>
        <n v="7197.709000000001"/>
        <n v="10270.731"/>
        <n v="5038.536"/>
        <n v="8260.655"/>
        <n v="13299.191"/>
        <n v="3659.0020000000004"/>
        <n v="8545.610999999999"/>
        <n v="12204.613"/>
      </sharedItems>
    </cacheField>
    <cacheField name="ROI" numFmtId="0">
      <sharedItems containsString="false" containsBlank="true" containsNumber="true" minValue="0.08936652506095027" maxValue="6.655157078741493" count="0"/>
    </cacheField>
    <cacheField name="单均" numFmtId="0">
      <sharedItems containsString="false" containsBlank="true" containsNumber="true" minValue="213.72000000000003" maxValue="2602.8" count="0"/>
    </cacheField>
    <cacheField name="保单成本" numFmtId="0">
      <sharedItems containsString="false" containsBlank="true" containsNumber="true" minValue="271.802375" maxValue="3022.008" count="0"/>
    </cacheField>
    <cacheField name="勾选意外占比" numFmtId="0">
      <sharedItems containsString="false" containsBlank="true" containsNumber="true" minValue="0" maxValue="0.8333333333333334" count="0"/>
    </cacheField>
    <cacheField name="勾选重疾占比" numFmtId="0">
      <sharedItems containsString="false" containsBlank="true" containsNumber="true" minValue="0" maxValue="0.75" count="0"/>
    </cacheField>
    <cacheField name="家庭单占比" numFmtId="0">
      <sharedItems containsString="false" containsBlank="true" containsNumber="true" minValue="0" maxValue="0.75" count="0"/>
    </cacheField>
    <cacheField name="勾选意外" numFmtId="0">
      <sharedItems containsString="false" containsBlank="true" containsNumber="true" containsInteger="true" minValue="0" maxValue="6" count="0"/>
    </cacheField>
    <cacheField name="勾选重疾" numFmtId="0">
      <sharedItems containsString="false" containsBlank="true" containsNumber="true" containsInteger="true" minValue="0" maxValue="6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10" count="0"/>
    </cacheField>
    <cacheField name="投手" numFmtId="0">
      <sharedItems containsBlank="true" count="0"/>
    </cacheField>
    <cacheField name="时长-2" numFmtId="0">
      <sharedItems containsString="false" containsBlank="true" containsNumber="true" containsInteger="true" minValue="5" maxValue="10" count="0"/>
    </cacheField>
    <cacheField name="曝光数" numFmtId="0">
      <sharedItems containsString="false" containsBlank="true" containsNumber="true" containsInteger="true" minValue="0" maxValue="427060" count="0"/>
    </cacheField>
    <cacheField name="点击数" numFmtId="0">
      <sharedItems containsString="false" containsBlank="true" containsNumber="true" containsInteger="true" minValue="0" maxValue="4255" count="0"/>
    </cacheField>
    <cacheField name="直播间观看数" numFmtId="0">
      <sharedItems containsString="false" containsBlank="true" containsNumber="true" containsInteger="true" minValue="0" maxValue="284119" count="0"/>
    </cacheField>
    <cacheField name="直播间超过1分钟观看数" numFmtId="0">
      <sharedItems containsString="false" containsBlank="true" containsNumber="true" containsInteger="true" minValue="0" maxValue="13813" count="0"/>
    </cacheField>
    <cacheField name="组件点击数" numFmtId="0">
      <sharedItems containsString="false" containsBlank="true" containsNumber="true" containsInteger="true" minValue="0" maxValue="2917" count="0"/>
    </cacheField>
    <cacheField name="直播间关注数" numFmtId="0">
      <sharedItems containsString="false" containsBlank="true" containsNumber="true" containsInteger="true" minValue="0" maxValue="144" count="0"/>
    </cacheField>
    <cacheField name="直播间评论数" numFmtId="0">
      <sharedItems containsString="false" containsBlank="true" containsNumber="true" containsInteger="true" minValue="0" maxValue="479" count="0"/>
    </cacheField>
    <cacheField name="直播间分享数" numFmtId="0">
      <sharedItems containsString="false" containsBlank="true" containsNumber="true" containsInteger="true" minValue="0" maxValue="19" count="0"/>
    </cacheField>
    <cacheField name="组件点击率" numFmtId="0">
      <sharedItems containsString="false" containsBlank="true" containsNumber="true" containsInteger="true" minValue="0" maxValue="0" count="0"/>
    </cacheField>
    <cacheField name="外层点击率" numFmtId="0">
      <sharedItems containsString="false" containsBlank="true" containsNumber="true" minValue="0.0003368192759207078" maxValue="0.011537460300931952" count="0"/>
    </cacheField>
    <cacheField name="互动率" numFmtId="0">
      <sharedItems containsString="false" containsBlank="true" containsNumber="true" minValue="0.0012033225071447274" maxValue="0.009931862801709204" count="0"/>
    </cacheField>
    <cacheField name="直播间超过1分钟观看率" numFmtId="0">
      <sharedItems containsString="false" containsBlank="true" containsNumber="true" minValue="0.042501475745685614" maxValue="0.07645224621780806" count="0"/>
    </cacheField>
    <cacheField name="直播间评论率" numFmtId="0">
      <sharedItems containsString="false" containsBlank="true" containsNumber="true" minValue="0.0008634953176270034" maxValue="0.008372791315394387" count="0"/>
    </cacheField>
    <cacheField name="组件点击成本" numFmtId="0">
      <sharedItems containsBlank="true" containsMixedTypes="true" containsNumber="true" minValue="3.324987295825771" maxValue="18.503107969151674" count="0"/>
    </cacheField>
    <cacheField name="保单率" numFmtId="0">
      <sharedItems containsString="false" containsBlank="true" containsNumber="true" minValue="0.003028991778450887" maxValue="0.01891891891891892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D$36:$G$39" firstHeaderRow="1" firstDataRow="1" firstDataCol="1"/>
  <pivotFields count="46">
    <pivotField compact="false" outline="false" showAll="false"/>
    <pivotField axis="axisRow" compact="false" outline="false" showAll="false">
      <items count="4">
        <item x="0"/>
        <item x="1"/>
        <item h="true" x="2"/>
        <item t="default"/>
      </items>
    </pivotField>
    <pivotField compact="false" outline="false" showAll="false"/>
    <pivotField dataField="true" compact="false" outline="false" showAll="false">
      <items count="7">
        <item x="0"/>
        <item x="1"/>
        <item x="2"/>
        <item x="3"/>
        <item x="4"/>
        <item x="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true" compact="false" outline="false" showAll="false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时长" fld="3" subtotal="sum"/>
    <dataField name="求和项:年化保费" fld="17" subtotal="sum"/>
    <dataField name="求和项:投流消耗" fld="18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6" min="6" style="0" width="11.21126760563380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2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3" t="s">
        <v>23</v>
      </c>
      <c r="X1" s="3" t="s">
        <v>24</v>
      </c>
      <c r="Y1" s="1" t="s">
        <v>25</v>
      </c>
      <c r="Z1" s="3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4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</row>
    <row hidden="true" r="2">
      <c r="A2" s="6" t="s">
        <v>45</v>
      </c>
      <c r="B2" s="3" t="s">
        <v>46</v>
      </c>
      <c r="C2" s="3" t="s">
        <v>47</v>
      </c>
      <c r="D2" s="7">
        <v>5</v>
      </c>
      <c r="E2" s="8">
        <v>10</v>
      </c>
      <c r="F2" s="9">
        <f t="shared" ref="F2:F3" si="35">H2+J2</f>
      </c>
      <c r="G2" s="8">
        <v>4</v>
      </c>
      <c r="H2" s="8">
        <v>6</v>
      </c>
      <c r="I2" s="9">
        <v>739.37</v>
      </c>
      <c r="J2" s="8">
        <v>0</v>
      </c>
      <c r="K2" s="8">
        <v>0</v>
      </c>
      <c r="L2" s="8">
        <v>4</v>
      </c>
      <c r="M2" s="8">
        <v>2844.96</v>
      </c>
      <c r="N2" s="8">
        <v>2</v>
      </c>
      <c r="O2" s="9">
        <v>6027.4800000000005</v>
      </c>
      <c r="P2" s="8">
        <v>2</v>
      </c>
      <c r="Q2" s="8">
        <v>481.26000000000005</v>
      </c>
      <c r="R2" s="1">
        <f t="shared" ref="R2:R3" si="12">(I2*12)+K2</f>
      </c>
      <c r="S2" s="10">
        <v>5087.698</v>
      </c>
      <c r="T2" s="11">
        <f t="shared" ref="T2:T67" si="6">R2/S2</f>
      </c>
      <c r="U2" s="12">
        <f t="shared" ref="U2:U67" si="0">R2/F2</f>
      </c>
      <c r="V2" s="12">
        <f t="shared" ref="V2:V67" si="40">S2/F2</f>
      </c>
      <c r="W2" s="13">
        <f t="shared" ref="W2:W67" si="31">Z2/F2</f>
      </c>
      <c r="X2" s="13">
        <f t="shared" ref="X2:X67" si="8">AA2/F2</f>
      </c>
      <c r="Y2" s="13">
        <f t="shared" ref="Y2:Y67" si="2">P2/F2</f>
      </c>
      <c r="Z2" s="3">
        <v>2</v>
      </c>
      <c r="AA2" s="3">
        <v>2</v>
      </c>
      <c r="AB2" s="8" t="s">
        <v>48</v>
      </c>
      <c r="AC2" s="8">
        <v>2</v>
      </c>
      <c r="AD2" s="8" t="s">
        <v>49</v>
      </c>
      <c r="AE2" s="8">
        <v>10</v>
      </c>
      <c r="AF2" s="14">
        <v>193794</v>
      </c>
      <c r="AG2" s="9">
        <v>1673</v>
      </c>
      <c r="AH2" s="14">
        <v>37792</v>
      </c>
      <c r="AI2" s="9">
        <v>2926</v>
      </c>
      <c r="AJ2" s="9">
        <v>970</v>
      </c>
      <c r="AK2" s="9">
        <v>41</v>
      </c>
      <c r="AL2" s="9">
        <v>155</v>
      </c>
      <c r="AM2" s="9">
        <v>1</v>
      </c>
      <c r="AN2" s="15"/>
      <c r="AO2" s="13">
        <f t="shared" ref="AO2:AO67" si="42">AG2/AF2</f>
      </c>
      <c r="AP2" s="13">
        <f t="shared" ref="AP2:AP67" si="33">(AK2+AL2+AM2)/AH2</f>
      </c>
      <c r="AQ2" s="13">
        <f t="shared" ref="AQ2:AQ67" si="44">AI2/AH2</f>
      </c>
      <c r="AR2" s="16">
        <f t="shared" ref="AR2:AR67" si="10">AL2/AH2</f>
      </c>
      <c r="AS2" s="17">
        <f t="shared" ref="AS2:AS67" si="4">S2/AJ2</f>
      </c>
    </row>
    <row hidden="true" r="3">
      <c r="A3" s="6" t="s">
        <v>45</v>
      </c>
      <c r="B3" s="1" t="s">
        <v>50</v>
      </c>
      <c r="C3" s="3" t="s">
        <v>51</v>
      </c>
      <c r="D3" s="7">
        <v>5</v>
      </c>
      <c r="E3" s="8">
        <v>12</v>
      </c>
      <c r="F3" s="9">
        <f t="shared" si="35"/>
      </c>
      <c r="G3" s="8">
        <v>5</v>
      </c>
      <c r="H3" s="8">
        <v>5</v>
      </c>
      <c r="I3" s="9">
        <v>235.78999999999996</v>
      </c>
      <c r="J3" s="8">
        <v>1</v>
      </c>
      <c r="K3" s="9">
        <v>734</v>
      </c>
      <c r="L3" s="8">
        <v>6</v>
      </c>
      <c r="M3" s="9">
        <v>3563.4799999999996</v>
      </c>
      <c r="N3" s="8">
        <v>0</v>
      </c>
      <c r="O3" s="8">
        <v>0</v>
      </c>
      <c r="P3" s="8">
        <v>1</v>
      </c>
      <c r="Q3" s="9">
        <v>73.58</v>
      </c>
      <c r="R3" s="1">
        <f t="shared" si="12"/>
      </c>
      <c r="S3" s="10">
        <v>3742.6209999999996</v>
      </c>
      <c r="T3" s="11">
        <f t="shared" si="6"/>
      </c>
      <c r="U3" s="12">
        <f t="shared" si="0"/>
      </c>
      <c r="V3" s="12">
        <f t="shared" si="40"/>
      </c>
      <c r="W3" s="13">
        <f t="shared" si="31"/>
      </c>
      <c r="X3" s="13">
        <f t="shared" si="8"/>
      </c>
      <c r="Y3" s="13">
        <f t="shared" si="2"/>
      </c>
      <c r="Z3" s="3">
        <v>2</v>
      </c>
      <c r="AA3" s="3">
        <v>2</v>
      </c>
      <c r="AB3" s="8" t="s">
        <v>52</v>
      </c>
      <c r="AC3" s="8">
        <v>7</v>
      </c>
      <c r="AD3" s="9"/>
      <c r="AE3" s="9"/>
      <c r="AF3" s="9">
        <v>153887</v>
      </c>
      <c r="AG3" s="9">
        <v>2455</v>
      </c>
      <c r="AH3" s="9">
        <v>29963</v>
      </c>
      <c r="AI3" s="9">
        <v>1708</v>
      </c>
      <c r="AJ3" s="9">
        <v>712</v>
      </c>
      <c r="AK3" s="9">
        <v>39</v>
      </c>
      <c r="AL3" s="9">
        <v>117</v>
      </c>
      <c r="AM3" s="9">
        <v>5</v>
      </c>
      <c r="AN3" s="15"/>
      <c r="AO3" s="13">
        <f t="shared" si="42"/>
      </c>
      <c r="AP3" s="13">
        <f t="shared" si="33"/>
      </c>
      <c r="AQ3" s="13">
        <f t="shared" si="44"/>
      </c>
      <c r="AR3" s="16">
        <f t="shared" si="10"/>
      </c>
      <c r="AS3" s="17">
        <f t="shared" si="4"/>
      </c>
    </row>
    <row hidden="true" r="4">
      <c r="A4" s="18" t="s">
        <v>45</v>
      </c>
      <c r="B4" s="19"/>
      <c r="C4" s="19"/>
      <c r="D4" s="19">
        <f>SUM(D2:D3)</f>
      </c>
      <c r="E4" s="19">
        <f>SUM(E2:E3)</f>
      </c>
      <c r="F4" s="19">
        <f>SUM(F2:F3)</f>
      </c>
      <c r="G4" s="19">
        <f>SUM(G2:G3)</f>
      </c>
      <c r="H4" s="19">
        <f>SUM(H2:H3)</f>
      </c>
      <c r="I4" s="19">
        <f>SUM(I2:I3)</f>
      </c>
      <c r="J4" s="19">
        <f>SUM(J2:J3)</f>
      </c>
      <c r="K4" s="19">
        <f>SUM(K2:K3)</f>
      </c>
      <c r="L4" s="19">
        <f>SUM(L2:L3)</f>
      </c>
      <c r="M4" s="19">
        <f>SUM(M2:M3)</f>
      </c>
      <c r="N4" s="19">
        <f>SUM(N2:N3)</f>
      </c>
      <c r="O4" s="19">
        <f>SUM(O2:O3)</f>
      </c>
      <c r="P4" s="19">
        <f>SUM(P2:P3)</f>
      </c>
      <c r="Q4" s="19">
        <f>SUM(Q2:Q3)</f>
      </c>
      <c r="R4" s="19">
        <f>SUM(R2:R3)</f>
      </c>
      <c r="S4" s="19">
        <f>SUM(S2:S3)</f>
      </c>
      <c r="T4" s="20">
        <f t="shared" si="6"/>
      </c>
      <c r="U4" s="20">
        <f t="shared" si="0"/>
      </c>
      <c r="V4" s="20">
        <f t="shared" si="40"/>
      </c>
      <c r="W4" s="20">
        <f t="shared" si="31"/>
      </c>
      <c r="X4" s="20">
        <f t="shared" si="8"/>
      </c>
      <c r="Y4" s="21">
        <f t="shared" si="2"/>
      </c>
      <c r="Z4" s="22">
        <f>SUM(Z2:Z3)</f>
      </c>
      <c r="AA4" s="22">
        <f>SUM(AA2:AA3)</f>
      </c>
      <c r="AB4" s="23"/>
      <c r="AC4" s="22">
        <f>AC3+AC2+AD2:AC2</f>
      </c>
      <c r="AD4" s="22"/>
      <c r="AE4" s="22"/>
      <c r="AF4" s="22">
        <f>SUM(AF2:AF3)</f>
      </c>
      <c r="AG4" s="22">
        <f>SUM(AG2:AG3)</f>
      </c>
      <c r="AH4" s="22">
        <f>SUM(AH2:AH3)</f>
      </c>
      <c r="AI4" s="22">
        <f>SUM(AI2:AI3)</f>
      </c>
      <c r="AJ4" s="22">
        <f>SUM(AJ2:AJ3)</f>
      </c>
      <c r="AK4" s="22">
        <f>SUM(AK2:AK3)</f>
      </c>
      <c r="AL4" s="22">
        <f>SUM(AL2:AL3)</f>
      </c>
      <c r="AM4" s="22">
        <f>SUM(AM2:AM3)</f>
      </c>
      <c r="AN4" s="22">
        <f>SUM(AN2:AN3)</f>
      </c>
      <c r="AO4" s="21">
        <f t="shared" si="42"/>
      </c>
      <c r="AP4" s="21">
        <f t="shared" si="33"/>
      </c>
      <c r="AQ4" s="21">
        <f t="shared" si="44"/>
      </c>
      <c r="AR4" s="21">
        <f t="shared" si="10"/>
      </c>
      <c r="AS4" s="24">
        <f t="shared" si="4"/>
      </c>
    </row>
    <row hidden="true" r="5">
      <c r="A5" s="6" t="s">
        <v>53</v>
      </c>
      <c r="B5" s="3" t="s">
        <v>46</v>
      </c>
      <c r="C5" s="3" t="s">
        <v>54</v>
      </c>
      <c r="D5" s="7">
        <v>4</v>
      </c>
      <c r="E5" s="8">
        <v>15</v>
      </c>
      <c r="F5" s="9">
        <f t="shared" ref="F5:F7" si="36">H5+J5</f>
      </c>
      <c r="G5" s="8">
        <v>6</v>
      </c>
      <c r="H5" s="8">
        <v>7</v>
      </c>
      <c r="I5" s="9">
        <v>1145.47</v>
      </c>
      <c r="J5" s="8">
        <v>0</v>
      </c>
      <c r="K5" s="8">
        <v>0</v>
      </c>
      <c r="L5" s="8">
        <v>2</v>
      </c>
      <c r="M5" s="8">
        <v>2368.2</v>
      </c>
      <c r="N5" s="8">
        <v>5</v>
      </c>
      <c r="O5" s="9">
        <v>11377.44</v>
      </c>
      <c r="P5" s="8">
        <v>2</v>
      </c>
      <c r="Q5" s="8">
        <v>100.96</v>
      </c>
      <c r="R5" s="1">
        <f t="shared" ref="R5:R7" si="13">(I5*12)+K5</f>
      </c>
      <c r="S5" s="25">
        <v>8860.389</v>
      </c>
      <c r="T5" s="11">
        <f t="shared" si="6"/>
      </c>
      <c r="U5" s="12">
        <f t="shared" si="0"/>
      </c>
      <c r="V5" s="12">
        <f t="shared" si="40"/>
      </c>
      <c r="W5" s="13">
        <f t="shared" si="31"/>
      </c>
      <c r="X5" s="13">
        <f t="shared" si="8"/>
      </c>
      <c r="Y5" s="13">
        <f t="shared" si="2"/>
      </c>
      <c r="Z5" s="3">
        <v>0</v>
      </c>
      <c r="AA5" s="3">
        <v>0</v>
      </c>
      <c r="AB5" s="8" t="s">
        <v>48</v>
      </c>
      <c r="AC5" s="8">
        <v>4</v>
      </c>
      <c r="AD5" s="8" t="s">
        <v>49</v>
      </c>
      <c r="AE5" s="8">
        <v>12</v>
      </c>
      <c r="AF5" s="14">
        <v>459657</v>
      </c>
      <c r="AG5" s="9">
        <v>4155</v>
      </c>
      <c r="AH5" s="14">
        <v>82913</v>
      </c>
      <c r="AI5" s="9">
        <v>5447</v>
      </c>
      <c r="AJ5" s="9">
        <v>1810</v>
      </c>
      <c r="AK5" s="8">
        <v>49</v>
      </c>
      <c r="AL5" s="8">
        <v>357</v>
      </c>
      <c r="AM5" s="8">
        <v>7</v>
      </c>
      <c r="AN5" s="15"/>
      <c r="AO5" s="13">
        <f t="shared" si="42"/>
      </c>
      <c r="AP5" s="13">
        <f t="shared" si="33"/>
      </c>
      <c r="AQ5" s="13">
        <f t="shared" si="44"/>
      </c>
      <c r="AR5" s="16">
        <f t="shared" si="10"/>
      </c>
      <c r="AS5" s="17">
        <f t="shared" si="4"/>
      </c>
    </row>
    <row customHeight="true" hidden="true" ht="16.071428571428573" r="6">
      <c r="A6" s="6" t="s">
        <v>53</v>
      </c>
      <c r="B6" s="3" t="s">
        <v>55</v>
      </c>
      <c r="C6" s="3" t="s">
        <v>56</v>
      </c>
      <c r="D6" s="7">
        <v>3</v>
      </c>
      <c r="E6" s="8">
        <v>9</v>
      </c>
      <c r="F6" s="9">
        <f t="shared" si="36"/>
      </c>
      <c r="G6" s="8">
        <v>4</v>
      </c>
      <c r="H6" s="8">
        <v>4</v>
      </c>
      <c r="I6" s="8">
        <v>180.56</v>
      </c>
      <c r="J6" s="8">
        <v>0</v>
      </c>
      <c r="K6" s="8">
        <v>0</v>
      </c>
      <c r="L6" s="8">
        <v>4</v>
      </c>
      <c r="M6" s="8">
        <v>2166.7200000000003</v>
      </c>
      <c r="N6" s="8">
        <v>0</v>
      </c>
      <c r="O6" s="8">
        <v>0</v>
      </c>
      <c r="P6" s="8">
        <v>0</v>
      </c>
      <c r="Q6" s="8">
        <v>0</v>
      </c>
      <c r="R6" s="1">
        <f t="shared" si="13"/>
      </c>
      <c r="S6" s="10">
        <v>9899.636</v>
      </c>
      <c r="T6" s="11">
        <f t="shared" si="6"/>
      </c>
      <c r="U6" s="12">
        <f t="shared" si="0"/>
      </c>
      <c r="V6" s="12">
        <f t="shared" si="40"/>
      </c>
      <c r="W6" s="13">
        <f t="shared" si="31"/>
      </c>
      <c r="X6" s="13">
        <f t="shared" si="8"/>
      </c>
      <c r="Y6" s="13">
        <f t="shared" si="2"/>
      </c>
      <c r="Z6" s="3">
        <v>1</v>
      </c>
      <c r="AA6" s="3">
        <v>1</v>
      </c>
      <c r="AB6" s="8" t="s">
        <v>52</v>
      </c>
      <c r="AC6" s="8">
        <v>7</v>
      </c>
      <c r="AD6" s="8"/>
      <c r="AE6" s="8"/>
      <c r="AF6" s="14">
        <v>462860</v>
      </c>
      <c r="AG6" s="9">
        <v>3011</v>
      </c>
      <c r="AH6" s="14">
        <v>174430</v>
      </c>
      <c r="AI6" s="9">
        <v>13403</v>
      </c>
      <c r="AJ6" s="9">
        <v>2173</v>
      </c>
      <c r="AK6" s="8">
        <v>67</v>
      </c>
      <c r="AL6" s="8">
        <v>289</v>
      </c>
      <c r="AM6" s="8">
        <v>6</v>
      </c>
      <c r="AN6" s="15"/>
      <c r="AO6" s="13">
        <f t="shared" si="42"/>
      </c>
      <c r="AP6" s="13">
        <f t="shared" si="33"/>
      </c>
      <c r="AQ6" s="13">
        <f t="shared" si="44"/>
      </c>
      <c r="AR6" s="16">
        <f t="shared" si="10"/>
      </c>
      <c r="AS6" s="17">
        <f t="shared" si="4"/>
      </c>
    </row>
    <row hidden="true" r="7">
      <c r="A7" s="6" t="s">
        <v>53</v>
      </c>
      <c r="B7" s="1" t="s">
        <v>50</v>
      </c>
      <c r="C7" s="3" t="s">
        <v>51</v>
      </c>
      <c r="D7" s="7">
        <v>5</v>
      </c>
      <c r="E7" s="8">
        <v>14</v>
      </c>
      <c r="F7" s="9">
        <f t="shared" si="36"/>
      </c>
      <c r="G7" s="8">
        <v>7</v>
      </c>
      <c r="H7" s="8">
        <v>8</v>
      </c>
      <c r="I7" s="9">
        <v>646.98</v>
      </c>
      <c r="J7" s="8">
        <v>0</v>
      </c>
      <c r="K7" s="8">
        <v>0</v>
      </c>
      <c r="L7" s="8">
        <v>7</v>
      </c>
      <c r="M7" s="9">
        <v>5992.5599999999995</v>
      </c>
      <c r="N7" s="8">
        <v>1</v>
      </c>
      <c r="O7" s="8">
        <v>1771.1999999999998</v>
      </c>
      <c r="P7" s="8">
        <v>2</v>
      </c>
      <c r="Q7" s="9">
        <v>279.69</v>
      </c>
      <c r="R7" s="1">
        <f t="shared" si="13"/>
      </c>
      <c r="S7" s="10">
        <v>8482.661</v>
      </c>
      <c r="T7" s="11">
        <f t="shared" si="6"/>
      </c>
      <c r="U7" s="12">
        <f t="shared" si="0"/>
      </c>
      <c r="V7" s="12">
        <f t="shared" si="40"/>
      </c>
      <c r="W7" s="13">
        <f t="shared" si="31"/>
      </c>
      <c r="X7" s="13">
        <f t="shared" si="8"/>
      </c>
      <c r="Y7" s="13">
        <f t="shared" si="2"/>
      </c>
      <c r="Z7" s="3">
        <v>3</v>
      </c>
      <c r="AA7" s="3">
        <v>3</v>
      </c>
      <c r="AB7" s="8" t="s">
        <v>57</v>
      </c>
      <c r="AC7" s="8">
        <v>1</v>
      </c>
      <c r="AD7" s="9"/>
      <c r="AE7" s="9"/>
      <c r="AF7" s="9">
        <v>407488</v>
      </c>
      <c r="AG7" s="9">
        <v>2903</v>
      </c>
      <c r="AH7" s="9">
        <v>213280</v>
      </c>
      <c r="AI7" s="9">
        <v>12501</v>
      </c>
      <c r="AJ7" s="9">
        <v>2222</v>
      </c>
      <c r="AK7" s="8">
        <v>97</v>
      </c>
      <c r="AL7" s="8">
        <v>384</v>
      </c>
      <c r="AM7" s="8">
        <v>8</v>
      </c>
      <c r="AN7" s="15"/>
      <c r="AO7" s="13">
        <f t="shared" si="42"/>
      </c>
      <c r="AP7" s="13">
        <f t="shared" si="33"/>
      </c>
      <c r="AQ7" s="13">
        <f t="shared" si="44"/>
      </c>
      <c r="AR7" s="16">
        <f t="shared" si="10"/>
      </c>
      <c r="AS7" s="17">
        <f t="shared" si="4"/>
      </c>
    </row>
    <row hidden="true" r="8">
      <c r="A8" s="18" t="s">
        <v>53</v>
      </c>
      <c r="B8" s="19"/>
      <c r="C8" s="19"/>
      <c r="D8" s="19">
        <f>SUM(D5:D7)</f>
      </c>
      <c r="E8" s="19">
        <f>SUM(E5:E7)</f>
      </c>
      <c r="F8" s="19">
        <f>SUM(F5:F7)</f>
      </c>
      <c r="G8" s="19">
        <f>SUM(G5:G7)</f>
      </c>
      <c r="H8" s="19">
        <f>SUM(H5:H7)</f>
      </c>
      <c r="I8" s="19">
        <f>SUM(I5:I7)</f>
      </c>
      <c r="J8" s="19">
        <f>SUM(J5:J7)</f>
      </c>
      <c r="K8" s="19">
        <f>SUM(K5:K7)</f>
      </c>
      <c r="L8" s="19">
        <f>SUM(L5:L7)</f>
      </c>
      <c r="M8" s="19">
        <f>SUM(M5:M7)</f>
      </c>
      <c r="N8" s="19">
        <f>SUM(N5:N7)</f>
      </c>
      <c r="O8" s="19">
        <f>SUM(O5:O7)</f>
      </c>
      <c r="P8" s="19">
        <f>SUM(P5:P7)</f>
      </c>
      <c r="Q8" s="19">
        <f>SUM(Q5:Q7)</f>
      </c>
      <c r="R8" s="19">
        <f>SUM(R5:R7)</f>
      </c>
      <c r="S8" s="19">
        <f>SUM(S5:S7)</f>
      </c>
      <c r="T8" s="20">
        <f t="shared" si="6"/>
      </c>
      <c r="U8" s="20">
        <f t="shared" si="0"/>
      </c>
      <c r="V8" s="20">
        <f t="shared" si="40"/>
      </c>
      <c r="W8" s="20">
        <f t="shared" si="31"/>
      </c>
      <c r="X8" s="20">
        <f t="shared" si="8"/>
      </c>
      <c r="Y8" s="21">
        <f t="shared" si="2"/>
      </c>
      <c r="Z8" s="22">
        <f>SUM(Z5:Z7)</f>
      </c>
      <c r="AA8" s="22">
        <f>SUM(AA5:AA7)</f>
      </c>
      <c r="AB8" s="22"/>
      <c r="AC8" s="22">
        <f>SUM(AC5:AC7)</f>
      </c>
      <c r="AD8" s="22"/>
      <c r="AE8" s="22"/>
      <c r="AF8" s="22">
        <f>SUM(AF5:AF7)</f>
      </c>
      <c r="AG8" s="22">
        <f>SUM(AG5:AG7)</f>
      </c>
      <c r="AH8" s="22">
        <f>SUM(AH5:AH7)</f>
      </c>
      <c r="AI8" s="22">
        <f>SUM(AI5:AI7)</f>
      </c>
      <c r="AJ8" s="22">
        <f>SUM(AJ5:AJ7)</f>
      </c>
      <c r="AK8" s="22">
        <f>SUM(AK5:AK7)</f>
      </c>
      <c r="AL8" s="22">
        <f>SUM(AL5:AL7)</f>
      </c>
      <c r="AM8" s="22">
        <f>SUM(AM5:AM7)</f>
      </c>
      <c r="AN8" s="22">
        <f>SUM(AN5:AN7)</f>
      </c>
      <c r="AO8" s="21">
        <f t="shared" si="42"/>
      </c>
      <c r="AP8" s="21">
        <f t="shared" si="33"/>
      </c>
      <c r="AQ8" s="21">
        <f t="shared" si="44"/>
      </c>
      <c r="AR8" s="21">
        <f t="shared" si="10"/>
      </c>
      <c r="AS8" s="24">
        <f t="shared" si="4"/>
      </c>
    </row>
    <row hidden="true" r="9">
      <c r="A9" s="6" t="s">
        <v>58</v>
      </c>
      <c r="B9" s="3" t="s">
        <v>46</v>
      </c>
      <c r="C9" s="3" t="s">
        <v>54</v>
      </c>
      <c r="D9" s="7">
        <v>4</v>
      </c>
      <c r="E9" s="8">
        <v>6</v>
      </c>
      <c r="F9" s="9">
        <f t="shared" ref="F9:F11" si="37">H9+J9</f>
      </c>
      <c r="G9" s="8">
        <v>3</v>
      </c>
      <c r="H9" s="8">
        <v>3</v>
      </c>
      <c r="I9" s="9">
        <v>648.27</v>
      </c>
      <c r="J9" s="8">
        <v>0</v>
      </c>
      <c r="K9" s="8">
        <v>0</v>
      </c>
      <c r="L9" s="8">
        <v>1</v>
      </c>
      <c r="M9" s="8">
        <v>274.20000000000005</v>
      </c>
      <c r="N9" s="8">
        <v>2</v>
      </c>
      <c r="O9" s="8">
        <v>7505.04</v>
      </c>
      <c r="P9" s="8">
        <v>1</v>
      </c>
      <c r="Q9" s="8">
        <v>408.52</v>
      </c>
      <c r="R9" s="1">
        <f t="shared" ref="R9:R11" si="14">(I9*12)+K9</f>
      </c>
      <c r="S9" s="10">
        <v>2532.526</v>
      </c>
      <c r="T9" s="11">
        <f t="shared" si="6"/>
      </c>
      <c r="U9" s="12">
        <f t="shared" si="0"/>
      </c>
      <c r="V9" s="12">
        <f t="shared" si="40"/>
      </c>
      <c r="W9" s="13">
        <f t="shared" si="31"/>
      </c>
      <c r="X9" s="13">
        <f t="shared" si="8"/>
      </c>
      <c r="Y9" s="13">
        <f t="shared" si="2"/>
      </c>
      <c r="Z9" s="3">
        <v>0</v>
      </c>
      <c r="AA9" s="3">
        <v>0</v>
      </c>
      <c r="AB9" s="8" t="s">
        <v>48</v>
      </c>
      <c r="AC9" s="8">
        <v>4</v>
      </c>
      <c r="AD9" s="8" t="s">
        <v>49</v>
      </c>
      <c r="AE9" s="8">
        <v>12</v>
      </c>
      <c r="AF9" s="14">
        <v>61861</v>
      </c>
      <c r="AG9" s="9">
        <v>309</v>
      </c>
      <c r="AH9" s="14">
        <v>26195</v>
      </c>
      <c r="AI9" s="9">
        <v>1791</v>
      </c>
      <c r="AJ9" s="9">
        <v>449</v>
      </c>
      <c r="AK9" s="8">
        <v>35</v>
      </c>
      <c r="AL9" s="8">
        <v>100</v>
      </c>
      <c r="AM9" s="8">
        <v>3</v>
      </c>
      <c r="AN9" s="15"/>
      <c r="AO9" s="13">
        <f t="shared" si="42"/>
      </c>
      <c r="AP9" s="13">
        <f t="shared" si="33"/>
      </c>
      <c r="AQ9" s="13">
        <f t="shared" si="44"/>
      </c>
      <c r="AR9" s="16">
        <f t="shared" si="10"/>
      </c>
      <c r="AS9" s="17">
        <f t="shared" si="4"/>
      </c>
    </row>
    <row hidden="true" r="10">
      <c r="A10" s="6" t="s">
        <v>58</v>
      </c>
      <c r="B10" s="3" t="s">
        <v>55</v>
      </c>
      <c r="C10" s="3" t="s">
        <v>56</v>
      </c>
      <c r="D10" s="7">
        <v>3</v>
      </c>
      <c r="E10" s="8">
        <v>7</v>
      </c>
      <c r="F10" s="9">
        <f t="shared" si="37"/>
      </c>
      <c r="G10" s="8">
        <v>2</v>
      </c>
      <c r="H10" s="8">
        <v>1</v>
      </c>
      <c r="I10" s="8">
        <v>56.95</v>
      </c>
      <c r="J10" s="8">
        <v>1</v>
      </c>
      <c r="K10" s="8">
        <v>2410</v>
      </c>
      <c r="L10" s="8">
        <v>1</v>
      </c>
      <c r="M10" s="8">
        <v>683.4000000000001</v>
      </c>
      <c r="N10" s="8">
        <v>1</v>
      </c>
      <c r="O10" s="8">
        <v>2410</v>
      </c>
      <c r="P10" s="8">
        <v>0</v>
      </c>
      <c r="Q10" s="8">
        <v>0</v>
      </c>
      <c r="R10" s="1">
        <f t="shared" si="14"/>
      </c>
      <c r="S10" s="10">
        <v>1685.716</v>
      </c>
      <c r="T10" s="11">
        <f t="shared" si="6"/>
      </c>
      <c r="U10" s="12">
        <f t="shared" si="0"/>
      </c>
      <c r="V10" s="12">
        <f t="shared" si="40"/>
      </c>
      <c r="W10" s="13">
        <f t="shared" si="31"/>
      </c>
      <c r="X10" s="13">
        <f t="shared" si="8"/>
      </c>
      <c r="Y10" s="13">
        <f t="shared" si="2"/>
      </c>
      <c r="Z10" s="3">
        <v>0</v>
      </c>
      <c r="AA10" s="3">
        <v>0</v>
      </c>
      <c r="AB10" s="8" t="s">
        <v>59</v>
      </c>
      <c r="AC10" s="8">
        <v>8</v>
      </c>
      <c r="AD10" s="8"/>
      <c r="AE10" s="8"/>
      <c r="AF10" s="14">
        <v>31575</v>
      </c>
      <c r="AG10" s="9">
        <v>182</v>
      </c>
      <c r="AH10" s="14">
        <v>11032</v>
      </c>
      <c r="AI10" s="9">
        <v>791</v>
      </c>
      <c r="AJ10" s="9">
        <v>355</v>
      </c>
      <c r="AK10" s="8">
        <v>16</v>
      </c>
      <c r="AL10" s="8">
        <v>82</v>
      </c>
      <c r="AM10" s="8">
        <v>3</v>
      </c>
      <c r="AN10" s="15"/>
      <c r="AO10" s="13">
        <f t="shared" si="42"/>
      </c>
      <c r="AP10" s="13">
        <f t="shared" si="33"/>
      </c>
      <c r="AQ10" s="13">
        <f t="shared" si="44"/>
      </c>
      <c r="AR10" s="16">
        <f t="shared" si="10"/>
      </c>
      <c r="AS10" s="17">
        <f t="shared" si="4"/>
      </c>
    </row>
    <row hidden="true" r="11">
      <c r="A11" s="6" t="s">
        <v>58</v>
      </c>
      <c r="B11" s="1" t="s">
        <v>50</v>
      </c>
      <c r="C11" s="3" t="s">
        <v>51</v>
      </c>
      <c r="D11" s="7">
        <v>5</v>
      </c>
      <c r="E11" s="8">
        <v>23</v>
      </c>
      <c r="F11" s="9">
        <f t="shared" si="37"/>
      </c>
      <c r="G11" s="8">
        <v>13</v>
      </c>
      <c r="H11" s="8">
        <v>11</v>
      </c>
      <c r="I11" s="9">
        <v>1403.44</v>
      </c>
      <c r="J11" s="8">
        <v>3</v>
      </c>
      <c r="K11" s="8">
        <v>2129</v>
      </c>
      <c r="L11" s="8">
        <v>7</v>
      </c>
      <c r="M11" s="9">
        <v>5591.76</v>
      </c>
      <c r="N11" s="8">
        <v>7</v>
      </c>
      <c r="O11" s="8">
        <v>13378.52</v>
      </c>
      <c r="P11" s="8">
        <v>2</v>
      </c>
      <c r="Q11" s="8">
        <v>306.69</v>
      </c>
      <c r="R11" s="1">
        <f t="shared" si="14"/>
      </c>
      <c r="S11" s="10">
        <v>11211.732</v>
      </c>
      <c r="T11" s="11">
        <f t="shared" si="6"/>
      </c>
      <c r="U11" s="12">
        <f t="shared" si="0"/>
      </c>
      <c r="V11" s="12">
        <f t="shared" si="40"/>
      </c>
      <c r="W11" s="13">
        <f t="shared" si="31"/>
      </c>
      <c r="X11" s="13">
        <f t="shared" si="8"/>
      </c>
      <c r="Y11" s="13">
        <f t="shared" si="2"/>
      </c>
      <c r="Z11" s="3">
        <v>2</v>
      </c>
      <c r="AA11" s="3">
        <v>2</v>
      </c>
      <c r="AB11" s="8"/>
      <c r="AC11" s="8"/>
      <c r="AD11" s="9"/>
      <c r="AE11" s="9"/>
      <c r="AF11" s="9">
        <v>337948</v>
      </c>
      <c r="AG11" s="9">
        <v>2108</v>
      </c>
      <c r="AH11" s="9">
        <v>343120</v>
      </c>
      <c r="AI11" s="9">
        <v>17862</v>
      </c>
      <c r="AJ11" s="9">
        <v>2968</v>
      </c>
      <c r="AK11" s="8">
        <v>100</v>
      </c>
      <c r="AL11" s="8">
        <v>416</v>
      </c>
      <c r="AM11" s="8">
        <v>18</v>
      </c>
      <c r="AN11" s="15"/>
      <c r="AO11" s="13">
        <f t="shared" si="42"/>
      </c>
      <c r="AP11" s="13">
        <f t="shared" si="33"/>
      </c>
      <c r="AQ11" s="13">
        <f t="shared" si="44"/>
      </c>
      <c r="AR11" s="16">
        <f t="shared" si="10"/>
      </c>
      <c r="AS11" s="17">
        <f t="shared" si="4"/>
      </c>
    </row>
    <row hidden="true" r="12">
      <c r="A12" s="18" t="s">
        <v>58</v>
      </c>
      <c r="B12" s="19"/>
      <c r="C12" s="19"/>
      <c r="D12" s="19">
        <f>SUM(D9:D11)</f>
      </c>
      <c r="E12" s="19">
        <f>SUM(E9:E11)</f>
      </c>
      <c r="F12" s="19">
        <f>SUM(F9:F11)</f>
      </c>
      <c r="G12" s="19">
        <f>SUM(G9:G11)</f>
      </c>
      <c r="H12" s="19">
        <f>SUM(H9:H11)</f>
      </c>
      <c r="I12" s="19">
        <f>SUM(I9:I11)</f>
      </c>
      <c r="J12" s="19">
        <f>SUM(J9:J11)</f>
      </c>
      <c r="K12" s="19">
        <f>SUM(K9:K11)</f>
      </c>
      <c r="L12" s="19">
        <f>SUM(L9:L11)</f>
      </c>
      <c r="M12" s="19">
        <f>SUM(M9:M11)</f>
      </c>
      <c r="N12" s="19">
        <f>SUM(N9:N11)</f>
      </c>
      <c r="O12" s="19">
        <f>SUM(O9:O11)</f>
      </c>
      <c r="P12" s="19">
        <f>SUM(P9:P11)</f>
      </c>
      <c r="Q12" s="19">
        <f>SUM(Q9:Q11)</f>
      </c>
      <c r="R12" s="19">
        <f>SUM(R9:R11)</f>
      </c>
      <c r="S12" s="19">
        <f>SUM(S9:S11)</f>
      </c>
      <c r="T12" s="20">
        <f t="shared" si="6"/>
      </c>
      <c r="U12" s="20">
        <f t="shared" si="0"/>
      </c>
      <c r="V12" s="20">
        <f t="shared" si="40"/>
      </c>
      <c r="W12" s="20">
        <f t="shared" si="31"/>
      </c>
      <c r="X12" s="20">
        <f t="shared" si="8"/>
      </c>
      <c r="Y12" s="21">
        <f t="shared" si="2"/>
      </c>
      <c r="Z12" s="22">
        <f>SUM(Z9:Z11)</f>
      </c>
      <c r="AA12" s="22">
        <f>SUM(AA9:AA11)</f>
      </c>
      <c r="AB12" s="22"/>
      <c r="AC12" s="22">
        <f>SUM(AC9:AC11)</f>
      </c>
      <c r="AD12" s="22"/>
      <c r="AE12" s="22"/>
      <c r="AF12" s="22">
        <f>SUM(AF9:AF11)</f>
      </c>
      <c r="AG12" s="22">
        <f>SUM(AG9:AG11)</f>
      </c>
      <c r="AH12" s="22">
        <f>SUM(AH9:AH11)</f>
      </c>
      <c r="AI12" s="22">
        <f>SUM(AI9:AI11)</f>
      </c>
      <c r="AJ12" s="22">
        <f>SUM(AJ9:AJ11)</f>
      </c>
      <c r="AK12" s="22">
        <f>SUM(AK9:AK11)</f>
      </c>
      <c r="AL12" s="22">
        <f>SUM(AL9:AL11)</f>
      </c>
      <c r="AM12" s="22">
        <f>SUM(AM9:AM11)</f>
      </c>
      <c r="AN12" s="22">
        <f>SUM(AN9:AN11)</f>
      </c>
      <c r="AO12" s="21">
        <f t="shared" si="42"/>
      </c>
      <c r="AP12" s="21">
        <f t="shared" si="33"/>
      </c>
      <c r="AQ12" s="21">
        <f t="shared" si="44"/>
      </c>
      <c r="AR12" s="21">
        <f t="shared" si="10"/>
      </c>
      <c r="AS12" s="24">
        <f t="shared" si="4"/>
      </c>
    </row>
    <row hidden="true" r="13">
      <c r="A13" s="6" t="s">
        <v>60</v>
      </c>
      <c r="B13" s="3" t="s">
        <v>46</v>
      </c>
      <c r="C13" s="3" t="s">
        <v>61</v>
      </c>
      <c r="D13" s="7">
        <v>5</v>
      </c>
      <c r="E13" s="8">
        <v>15</v>
      </c>
      <c r="F13" s="9">
        <f t="shared" ref="F13:F15" si="38">H13+J13</f>
      </c>
      <c r="G13" s="8">
        <v>8</v>
      </c>
      <c r="H13" s="8">
        <v>8</v>
      </c>
      <c r="I13" s="9">
        <v>741.21</v>
      </c>
      <c r="J13" s="8">
        <v>0</v>
      </c>
      <c r="K13" s="8">
        <v>0</v>
      </c>
      <c r="L13" s="8">
        <v>5</v>
      </c>
      <c r="M13" s="8">
        <v>2749.32</v>
      </c>
      <c r="N13" s="8">
        <v>3</v>
      </c>
      <c r="O13" s="8">
        <v>6145.200000000001</v>
      </c>
      <c r="P13" s="8">
        <v>1</v>
      </c>
      <c r="Q13" s="8">
        <v>113.26</v>
      </c>
      <c r="R13" s="1">
        <f t="shared" ref="R13:R15" si="15">(I13*12)+K13</f>
      </c>
      <c r="S13" s="10">
        <v>8720.7701</v>
      </c>
      <c r="T13" s="11">
        <f t="shared" si="6"/>
      </c>
      <c r="U13" s="12">
        <f t="shared" si="0"/>
      </c>
      <c r="V13" s="12">
        <f t="shared" si="40"/>
      </c>
      <c r="W13" s="13">
        <f t="shared" si="31"/>
      </c>
      <c r="X13" s="13">
        <f t="shared" si="8"/>
      </c>
      <c r="Y13" s="13">
        <f t="shared" si="2"/>
      </c>
      <c r="Z13" s="3">
        <v>2</v>
      </c>
      <c r="AA13" s="3">
        <v>2</v>
      </c>
      <c r="AB13" s="8" t="s">
        <v>48</v>
      </c>
      <c r="AC13" s="8">
        <v>7</v>
      </c>
      <c r="AD13" s="8" t="s">
        <v>49</v>
      </c>
      <c r="AE13" s="8">
        <v>15</v>
      </c>
      <c r="AF13" s="26">
        <v>152147</v>
      </c>
      <c r="AG13" s="8">
        <v>289</v>
      </c>
      <c r="AH13" s="8">
        <v>183591</v>
      </c>
      <c r="AI13" s="8">
        <v>13920</v>
      </c>
      <c r="AJ13" s="8">
        <v>1535</v>
      </c>
      <c r="AK13" s="8">
        <v>58</v>
      </c>
      <c r="AL13" s="8">
        <v>266</v>
      </c>
      <c r="AM13" s="8">
        <v>13</v>
      </c>
      <c r="AN13" s="15"/>
      <c r="AO13" s="13">
        <f t="shared" si="42"/>
      </c>
      <c r="AP13" s="13">
        <f t="shared" si="33"/>
      </c>
      <c r="AQ13" s="13">
        <f t="shared" si="44"/>
      </c>
      <c r="AR13" s="16">
        <f t="shared" si="10"/>
      </c>
      <c r="AS13" s="17">
        <f t="shared" si="4"/>
      </c>
    </row>
    <row hidden="true" r="14">
      <c r="A14" s="6" t="s">
        <v>60</v>
      </c>
      <c r="B14" s="3" t="s">
        <v>55</v>
      </c>
      <c r="C14" s="3" t="s">
        <v>47</v>
      </c>
      <c r="D14" s="7">
        <v>5</v>
      </c>
      <c r="E14" s="8">
        <v>6</v>
      </c>
      <c r="F14" s="9">
        <f t="shared" si="38"/>
      </c>
      <c r="G14" s="8">
        <v>3</v>
      </c>
      <c r="H14" s="8">
        <v>3</v>
      </c>
      <c r="I14" s="8">
        <v>726.67</v>
      </c>
      <c r="J14" s="8">
        <v>0</v>
      </c>
      <c r="K14" s="8">
        <v>0</v>
      </c>
      <c r="L14" s="8">
        <v>1</v>
      </c>
      <c r="M14" s="8">
        <v>683.4</v>
      </c>
      <c r="N14" s="8">
        <v>2</v>
      </c>
      <c r="O14" s="8">
        <v>8036.64</v>
      </c>
      <c r="P14" s="8">
        <v>1</v>
      </c>
      <c r="Q14" s="8">
        <v>522.12</v>
      </c>
      <c r="R14" s="1">
        <f t="shared" si="15"/>
      </c>
      <c r="S14" s="10">
        <v>6256.263</v>
      </c>
      <c r="T14" s="11">
        <f t="shared" si="6"/>
      </c>
      <c r="U14" s="12">
        <f t="shared" si="0"/>
      </c>
      <c r="V14" s="12">
        <f t="shared" si="40"/>
      </c>
      <c r="W14" s="13">
        <f t="shared" si="31"/>
      </c>
      <c r="X14" s="13">
        <f t="shared" si="8"/>
      </c>
      <c r="Y14" s="13">
        <f t="shared" si="2"/>
      </c>
      <c r="Z14" s="3">
        <v>0</v>
      </c>
      <c r="AA14" s="3">
        <v>0</v>
      </c>
      <c r="AB14" s="8" t="s">
        <v>59</v>
      </c>
      <c r="AC14" s="8">
        <v>8</v>
      </c>
      <c r="AD14" s="8"/>
      <c r="AE14" s="8"/>
      <c r="AF14" s="14">
        <v>94592</v>
      </c>
      <c r="AG14" s="9">
        <v>167</v>
      </c>
      <c r="AH14" s="14">
        <v>103416</v>
      </c>
      <c r="AI14" s="9">
        <v>7256</v>
      </c>
      <c r="AJ14" s="9">
        <v>810</v>
      </c>
      <c r="AK14" s="8">
        <v>36</v>
      </c>
      <c r="AL14" s="8">
        <v>197</v>
      </c>
      <c r="AM14" s="8">
        <v>8</v>
      </c>
      <c r="AN14" s="15"/>
      <c r="AO14" s="13">
        <f t="shared" si="42"/>
      </c>
      <c r="AP14" s="13">
        <f t="shared" si="33"/>
      </c>
      <c r="AQ14" s="13">
        <f t="shared" si="44"/>
      </c>
      <c r="AR14" s="16">
        <f t="shared" si="10"/>
      </c>
      <c r="AS14" s="17">
        <f t="shared" si="4"/>
      </c>
    </row>
    <row hidden="true" r="15">
      <c r="A15" s="6" t="s">
        <v>60</v>
      </c>
      <c r="B15" s="1" t="s">
        <v>50</v>
      </c>
      <c r="C15" s="3" t="s">
        <v>51</v>
      </c>
      <c r="D15" s="7">
        <v>5</v>
      </c>
      <c r="E15" s="8">
        <v>9</v>
      </c>
      <c r="F15" s="9">
        <f t="shared" si="38"/>
      </c>
      <c r="G15" s="8">
        <v>6</v>
      </c>
      <c r="H15" s="8">
        <v>4</v>
      </c>
      <c r="I15" s="9">
        <v>336.27</v>
      </c>
      <c r="J15" s="8">
        <v>2</v>
      </c>
      <c r="K15" s="8">
        <v>1771.8</v>
      </c>
      <c r="L15" s="8">
        <v>2</v>
      </c>
      <c r="M15" s="8">
        <v>1083.6000000000001</v>
      </c>
      <c r="N15" s="8">
        <v>4</v>
      </c>
      <c r="O15" s="8">
        <v>4723.44</v>
      </c>
      <c r="P15" s="8">
        <v>1</v>
      </c>
      <c r="Q15" s="8">
        <v>1162.8</v>
      </c>
      <c r="R15" s="1">
        <f t="shared" si="15"/>
      </c>
      <c r="S15" s="10">
        <v>3448.633</v>
      </c>
      <c r="T15" s="11">
        <f t="shared" si="6"/>
      </c>
      <c r="U15" s="12">
        <f t="shared" si="0"/>
      </c>
      <c r="V15" s="12">
        <f t="shared" si="40"/>
      </c>
      <c r="W15" s="13">
        <f t="shared" si="31"/>
      </c>
      <c r="X15" s="13">
        <f t="shared" si="8"/>
      </c>
      <c r="Y15" s="13">
        <f t="shared" si="2"/>
      </c>
      <c r="Z15" s="3">
        <v>0</v>
      </c>
      <c r="AA15" s="3">
        <v>0</v>
      </c>
      <c r="AB15" s="8"/>
      <c r="AC15" s="8"/>
      <c r="AD15" s="9"/>
      <c r="AE15" s="9"/>
      <c r="AF15" s="9">
        <v>60178</v>
      </c>
      <c r="AG15" s="9">
        <v>398</v>
      </c>
      <c r="AH15" s="9">
        <v>36506</v>
      </c>
      <c r="AI15" s="9">
        <v>2061</v>
      </c>
      <c r="AJ15" s="9">
        <v>726</v>
      </c>
      <c r="AK15" s="8">
        <v>31</v>
      </c>
      <c r="AL15" s="8">
        <v>162</v>
      </c>
      <c r="AM15" s="8">
        <v>4</v>
      </c>
      <c r="AN15" s="15"/>
      <c r="AO15" s="13">
        <f t="shared" si="42"/>
      </c>
      <c r="AP15" s="13">
        <f t="shared" si="33"/>
      </c>
      <c r="AQ15" s="13">
        <f t="shared" si="44"/>
      </c>
      <c r="AR15" s="16">
        <f t="shared" si="10"/>
      </c>
      <c r="AS15" s="17">
        <f t="shared" si="4"/>
      </c>
    </row>
    <row hidden="true" r="16">
      <c r="A16" s="18" t="s">
        <v>60</v>
      </c>
      <c r="B16" s="19"/>
      <c r="C16" s="19"/>
      <c r="D16" s="19">
        <f>SUM(D13:D15)</f>
      </c>
      <c r="E16" s="19">
        <f>SUM(E13:E15)</f>
      </c>
      <c r="F16" s="19">
        <f>SUM(F13:F15)</f>
      </c>
      <c r="G16" s="19">
        <f>SUM(G13:G15)</f>
      </c>
      <c r="H16" s="19">
        <f>SUM(H13:H15)</f>
      </c>
      <c r="I16" s="19">
        <f>SUM(I13:I15)</f>
      </c>
      <c r="J16" s="19">
        <f>SUM(J13:J15)</f>
      </c>
      <c r="K16" s="19">
        <f>SUM(K13:K15)</f>
      </c>
      <c r="L16" s="19">
        <f>SUM(L13:L15)</f>
      </c>
      <c r="M16" s="19">
        <f>SUM(M13:M15)</f>
      </c>
      <c r="N16" s="19">
        <f>SUM(N13:N15)</f>
      </c>
      <c r="O16" s="19">
        <f>SUM(O13:O15)</f>
      </c>
      <c r="P16" s="19">
        <f>SUM(P13:P15)</f>
      </c>
      <c r="Q16" s="19">
        <f>SUM(Q13:Q15)</f>
      </c>
      <c r="R16" s="19">
        <f>SUM(R13:R15)</f>
      </c>
      <c r="S16" s="19">
        <f>SUM(S13:S15)</f>
      </c>
      <c r="T16" s="20">
        <f t="shared" si="6"/>
      </c>
      <c r="U16" s="20">
        <f t="shared" si="0"/>
      </c>
      <c r="V16" s="20">
        <f t="shared" si="40"/>
      </c>
      <c r="W16" s="20">
        <f t="shared" si="31"/>
      </c>
      <c r="X16" s="20">
        <f t="shared" si="8"/>
      </c>
      <c r="Y16" s="21">
        <f t="shared" si="2"/>
      </c>
      <c r="Z16" s="22">
        <f>SUM(Z13:Z15)</f>
      </c>
      <c r="AA16" s="22">
        <f>SUM(AA13:AA15)</f>
      </c>
      <c r="AB16" s="22"/>
      <c r="AC16" s="22">
        <f>SUM(AC13:AC15)</f>
      </c>
      <c r="AD16" s="22"/>
      <c r="AE16" s="22"/>
      <c r="AF16" s="22">
        <f>SUM(AF13:AF15)</f>
      </c>
      <c r="AG16" s="22">
        <f>SUM(AG13:AG15)</f>
      </c>
      <c r="AH16" s="22">
        <f>SUM(AH13:AH15)</f>
      </c>
      <c r="AI16" s="22">
        <f>SUM(AI13:AI15)</f>
      </c>
      <c r="AJ16" s="22">
        <f>SUM(AJ13:AJ15)</f>
      </c>
      <c r="AK16" s="22">
        <f>SUM(AK13:AK15)</f>
      </c>
      <c r="AL16" s="22">
        <f>SUM(AL13:AL15)</f>
      </c>
      <c r="AM16" s="22">
        <f>SUM(AM13:AM15)</f>
      </c>
      <c r="AN16" s="22">
        <f>SUM(AN13:AN15)</f>
      </c>
      <c r="AO16" s="21">
        <f t="shared" si="42"/>
      </c>
      <c r="AP16" s="21">
        <f t="shared" si="33"/>
      </c>
      <c r="AQ16" s="21">
        <f t="shared" si="44"/>
      </c>
      <c r="AR16" s="21">
        <f t="shared" si="10"/>
      </c>
      <c r="AS16" s="24">
        <f t="shared" si="4"/>
      </c>
    </row>
    <row hidden="true" r="17">
      <c r="A17" s="6" t="s">
        <v>62</v>
      </c>
      <c r="B17" s="3" t="s">
        <v>46</v>
      </c>
      <c r="C17" s="3" t="s">
        <v>61</v>
      </c>
      <c r="D17" s="7">
        <v>5</v>
      </c>
      <c r="E17" s="8">
        <v>7</v>
      </c>
      <c r="F17" s="9">
        <f t="shared" ref="F17:F19" si="39">H17+J17</f>
      </c>
      <c r="G17" s="8">
        <v>4</v>
      </c>
      <c r="H17" s="8">
        <v>4</v>
      </c>
      <c r="I17" s="8">
        <v>474.63</v>
      </c>
      <c r="J17" s="8">
        <v>0</v>
      </c>
      <c r="K17" s="8">
        <v>0</v>
      </c>
      <c r="L17" s="8">
        <v>2</v>
      </c>
      <c r="M17" s="8">
        <v>1321.56</v>
      </c>
      <c r="N17" s="8">
        <v>2</v>
      </c>
      <c r="O17" s="8">
        <v>4374</v>
      </c>
      <c r="P17" s="8">
        <v>0</v>
      </c>
      <c r="Q17" s="8">
        <v>0</v>
      </c>
      <c r="R17" s="1">
        <f t="shared" ref="R17:R19" si="16">(I17*12)+K17</f>
      </c>
      <c r="S17" s="10">
        <v>3836.6620000000003</v>
      </c>
      <c r="T17" s="11">
        <f t="shared" si="6"/>
      </c>
      <c r="U17" s="12">
        <f t="shared" si="0"/>
      </c>
      <c r="V17" s="12">
        <f t="shared" si="40"/>
      </c>
      <c r="W17" s="13">
        <f t="shared" si="31"/>
      </c>
      <c r="X17" s="13">
        <f t="shared" si="8"/>
      </c>
      <c r="Y17" s="13">
        <f t="shared" si="2"/>
      </c>
      <c r="Z17" s="3">
        <v>0</v>
      </c>
      <c r="AA17" s="3">
        <v>0</v>
      </c>
      <c r="AB17" s="8" t="s">
        <v>48</v>
      </c>
      <c r="AC17" s="8">
        <v>7</v>
      </c>
      <c r="AD17" s="8" t="s">
        <v>49</v>
      </c>
      <c r="AE17" s="8">
        <v>15</v>
      </c>
      <c r="AF17" s="26">
        <v>66061</v>
      </c>
      <c r="AG17" s="8">
        <v>237</v>
      </c>
      <c r="AH17" s="8">
        <v>47477</v>
      </c>
      <c r="AI17" s="8">
        <v>3652</v>
      </c>
      <c r="AJ17" s="8">
        <v>1101</v>
      </c>
      <c r="AK17" s="8">
        <v>34</v>
      </c>
      <c r="AL17" s="8">
        <v>188</v>
      </c>
      <c r="AM17" s="8">
        <v>7</v>
      </c>
      <c r="AN17" s="15"/>
      <c r="AO17" s="13">
        <f t="shared" si="42"/>
      </c>
      <c r="AP17" s="13">
        <f t="shared" si="33"/>
      </c>
      <c r="AQ17" s="13">
        <f t="shared" si="44"/>
      </c>
      <c r="AR17" s="16">
        <f t="shared" si="10"/>
      </c>
      <c r="AS17" s="17">
        <f t="shared" si="4"/>
      </c>
    </row>
    <row hidden="true" r="18">
      <c r="A18" s="6" t="s">
        <v>62</v>
      </c>
      <c r="B18" s="3" t="s">
        <v>55</v>
      </c>
      <c r="C18" s="3" t="s">
        <v>47</v>
      </c>
      <c r="D18" s="7">
        <v>5</v>
      </c>
      <c r="E18" s="8">
        <v>8</v>
      </c>
      <c r="F18" s="9">
        <f t="shared" si="39"/>
      </c>
      <c r="G18" s="8">
        <v>4</v>
      </c>
      <c r="H18" s="8">
        <v>4</v>
      </c>
      <c r="I18" s="8">
        <v>326.05</v>
      </c>
      <c r="J18" s="8">
        <v>0</v>
      </c>
      <c r="K18" s="8">
        <v>0</v>
      </c>
      <c r="L18" s="8">
        <v>4</v>
      </c>
      <c r="M18" s="8">
        <v>3912.6</v>
      </c>
      <c r="N18" s="8">
        <v>0</v>
      </c>
      <c r="O18" s="8">
        <v>0</v>
      </c>
      <c r="P18" s="8">
        <v>2</v>
      </c>
      <c r="Q18" s="8">
        <v>202.82</v>
      </c>
      <c r="R18" s="1">
        <f t="shared" si="16"/>
      </c>
      <c r="S18" s="10">
        <v>5727.133</v>
      </c>
      <c r="T18" s="11">
        <f t="shared" si="6"/>
      </c>
      <c r="U18" s="12">
        <f t="shared" si="0"/>
      </c>
      <c r="V18" s="12">
        <f t="shared" si="40"/>
      </c>
      <c r="W18" s="13">
        <f t="shared" si="31"/>
      </c>
      <c r="X18" s="13">
        <f t="shared" si="8"/>
      </c>
      <c r="Y18" s="13">
        <f t="shared" si="2"/>
      </c>
      <c r="Z18" s="3">
        <v>0</v>
      </c>
      <c r="AA18" s="3">
        <v>0</v>
      </c>
      <c r="AB18" s="8" t="s">
        <v>59</v>
      </c>
      <c r="AC18" s="8">
        <v>3</v>
      </c>
      <c r="AD18" s="8"/>
      <c r="AE18" s="8"/>
      <c r="AF18" s="14">
        <v>157587</v>
      </c>
      <c r="AG18" s="9">
        <v>670</v>
      </c>
      <c r="AH18" s="14">
        <v>87119</v>
      </c>
      <c r="AI18" s="9">
        <v>6154</v>
      </c>
      <c r="AJ18" s="9">
        <v>2883</v>
      </c>
      <c r="AK18" s="8">
        <v>69</v>
      </c>
      <c r="AL18" s="8">
        <v>420</v>
      </c>
      <c r="AM18" s="8">
        <v>5</v>
      </c>
      <c r="AN18" s="15"/>
      <c r="AO18" s="13">
        <f t="shared" si="42"/>
      </c>
      <c r="AP18" s="13">
        <f t="shared" si="33"/>
      </c>
      <c r="AQ18" s="13">
        <f t="shared" si="44"/>
      </c>
      <c r="AR18" s="16">
        <f t="shared" si="10"/>
      </c>
      <c r="AS18" s="17">
        <f t="shared" si="4"/>
      </c>
    </row>
    <row hidden="true" r="19">
      <c r="A19" s="6" t="s">
        <v>62</v>
      </c>
      <c r="B19" s="1" t="s">
        <v>50</v>
      </c>
      <c r="C19" s="3" t="s">
        <v>51</v>
      </c>
      <c r="D19" s="7">
        <v>5</v>
      </c>
      <c r="E19" s="8">
        <v>20</v>
      </c>
      <c r="F19" s="9">
        <f t="shared" si="39"/>
      </c>
      <c r="G19" s="8">
        <v>14</v>
      </c>
      <c r="H19" s="8">
        <v>14</v>
      </c>
      <c r="I19" s="9">
        <v>978.1800000000001</v>
      </c>
      <c r="J19" s="8">
        <v>0</v>
      </c>
      <c r="K19" s="8">
        <v>0</v>
      </c>
      <c r="L19" s="8">
        <v>11</v>
      </c>
      <c r="M19" s="8">
        <v>6626.52</v>
      </c>
      <c r="N19" s="8">
        <v>3</v>
      </c>
      <c r="O19" s="8">
        <v>5111.64</v>
      </c>
      <c r="P19" s="8">
        <v>2</v>
      </c>
      <c r="Q19" s="8">
        <v>137.09</v>
      </c>
      <c r="R19" s="1">
        <f t="shared" si="16"/>
      </c>
      <c r="S19" s="10">
        <v>12112.826000000001</v>
      </c>
      <c r="T19" s="11">
        <f t="shared" si="6"/>
      </c>
      <c r="U19" s="12">
        <f t="shared" si="0"/>
      </c>
      <c r="V19" s="12">
        <f t="shared" si="40"/>
      </c>
      <c r="W19" s="13">
        <f t="shared" si="31"/>
      </c>
      <c r="X19" s="13">
        <f t="shared" si="8"/>
      </c>
      <c r="Y19" s="13">
        <f t="shared" si="2"/>
      </c>
      <c r="Z19" s="3">
        <v>0</v>
      </c>
      <c r="AA19" s="3">
        <v>0</v>
      </c>
      <c r="AB19" s="8" t="s">
        <v>63</v>
      </c>
      <c r="AC19" s="8">
        <v>5</v>
      </c>
      <c r="AD19" s="9"/>
      <c r="AE19" s="9"/>
      <c r="AF19" s="9">
        <v>277232</v>
      </c>
      <c r="AG19" s="9">
        <v>552</v>
      </c>
      <c r="AH19" s="9">
        <v>330715</v>
      </c>
      <c r="AI19" s="9">
        <v>16374</v>
      </c>
      <c r="AJ19" s="9">
        <v>2362</v>
      </c>
      <c r="AK19" s="8">
        <v>83</v>
      </c>
      <c r="AL19" s="8">
        <v>428</v>
      </c>
      <c r="AM19" s="8">
        <v>22</v>
      </c>
      <c r="AN19" s="15"/>
      <c r="AO19" s="13">
        <f t="shared" si="42"/>
      </c>
      <c r="AP19" s="13">
        <f t="shared" si="33"/>
      </c>
      <c r="AQ19" s="13">
        <f t="shared" si="44"/>
      </c>
      <c r="AR19" s="16">
        <f t="shared" si="10"/>
      </c>
      <c r="AS19" s="17">
        <f t="shared" si="4"/>
      </c>
    </row>
    <row hidden="true" r="20">
      <c r="A20" s="18" t="s">
        <v>62</v>
      </c>
      <c r="B20" s="19"/>
      <c r="C20" s="19"/>
      <c r="D20" s="19">
        <f>SUM(D17:D19)</f>
      </c>
      <c r="E20" s="19">
        <f>SUM(E17:E19)</f>
      </c>
      <c r="F20" s="19">
        <f>SUM(F17:F19)</f>
      </c>
      <c r="G20" s="19">
        <f>SUM(G17:G19)</f>
      </c>
      <c r="H20" s="19">
        <f>SUM(H17:H19)</f>
      </c>
      <c r="I20" s="19">
        <f>SUM(I17:I19)</f>
      </c>
      <c r="J20" s="19">
        <f>SUM(J17:J19)</f>
      </c>
      <c r="K20" s="19">
        <f>SUM(K17:K19)</f>
      </c>
      <c r="L20" s="19">
        <f>SUM(L17:L19)</f>
      </c>
      <c r="M20" s="19">
        <f>SUM(M17:M19)</f>
      </c>
      <c r="N20" s="19">
        <f>SUM(N17:N19)</f>
      </c>
      <c r="O20" s="19">
        <f>SUM(O17:O19)</f>
      </c>
      <c r="P20" s="19">
        <f>SUM(P17:P19)</f>
      </c>
      <c r="Q20" s="19">
        <f>SUM(Q17:Q19)</f>
      </c>
      <c r="R20" s="19">
        <f>SUM(R17:R19)</f>
      </c>
      <c r="S20" s="19">
        <f>SUM(S17:S19)</f>
      </c>
      <c r="T20" s="20">
        <f t="shared" si="6"/>
      </c>
      <c r="U20" s="20">
        <f t="shared" si="0"/>
      </c>
      <c r="V20" s="20">
        <f t="shared" si="40"/>
      </c>
      <c r="W20" s="20">
        <f t="shared" si="31"/>
      </c>
      <c r="X20" s="20">
        <f t="shared" si="8"/>
      </c>
      <c r="Y20" s="21">
        <f t="shared" si="2"/>
      </c>
      <c r="Z20" s="22">
        <f>SUM(Z17:Z19)</f>
      </c>
      <c r="AA20" s="22">
        <f>SUM(AA17:AA19)</f>
      </c>
      <c r="AB20" s="22"/>
      <c r="AC20" s="22">
        <f>SUM(AC17:AC19)</f>
      </c>
      <c r="AD20" s="22"/>
      <c r="AE20" s="22"/>
      <c r="AF20" s="22">
        <f>SUM(AF17:AF19)</f>
      </c>
      <c r="AG20" s="22">
        <f>SUM(AG17:AG19)</f>
      </c>
      <c r="AH20" s="22">
        <f>SUM(AH17:AH19)</f>
      </c>
      <c r="AI20" s="22">
        <f>SUM(AI17:AI19)</f>
      </c>
      <c r="AJ20" s="22">
        <f>SUM(AJ17:AJ19)</f>
      </c>
      <c r="AK20" s="22">
        <f>SUM(AK17:AK19)</f>
      </c>
      <c r="AL20" s="22">
        <f>SUM(AL17:AL19)</f>
      </c>
      <c r="AM20" s="22">
        <f>SUM(AM17:AM19)</f>
      </c>
      <c r="AN20" s="22">
        <f>SUM(AN17:AN19)</f>
      </c>
      <c r="AO20" s="21">
        <f t="shared" si="42"/>
      </c>
      <c r="AP20" s="21">
        <f t="shared" si="33"/>
      </c>
      <c r="AQ20" s="21">
        <f t="shared" si="44"/>
      </c>
      <c r="AR20" s="21">
        <f t="shared" si="10"/>
      </c>
      <c r="AS20" s="24">
        <f t="shared" si="4"/>
      </c>
    </row>
    <row hidden="true" r="21">
      <c r="A21" s="6" t="s">
        <v>64</v>
      </c>
      <c r="B21" s="3" t="s">
        <v>46</v>
      </c>
      <c r="C21" s="3" t="s">
        <v>61</v>
      </c>
      <c r="D21" s="7">
        <v>5</v>
      </c>
      <c r="E21" s="8">
        <v>30</v>
      </c>
      <c r="F21" s="8">
        <v>21</v>
      </c>
      <c r="G21" s="8">
        <v>22</v>
      </c>
      <c r="H21" s="8">
        <v>20</v>
      </c>
      <c r="I21" s="8">
        <v>2416.41</v>
      </c>
      <c r="J21" s="8">
        <v>1</v>
      </c>
      <c r="K21" s="8">
        <v>846</v>
      </c>
      <c r="L21" s="8">
        <v>10</v>
      </c>
      <c r="M21" s="8">
        <v>6047.64</v>
      </c>
      <c r="N21" s="8">
        <v>11</v>
      </c>
      <c r="O21" s="8">
        <v>23795.28</v>
      </c>
      <c r="P21" s="8">
        <v>5</v>
      </c>
      <c r="Q21" s="8">
        <v>1110.01</v>
      </c>
      <c r="R21" s="1">
        <f t="shared" ref="R21:R23" si="17">(I21*12)+K21</f>
      </c>
      <c r="S21" s="10">
        <v>18622.736</v>
      </c>
      <c r="T21" s="11">
        <f t="shared" si="6"/>
      </c>
      <c r="U21" s="12">
        <f t="shared" si="0"/>
      </c>
      <c r="V21" s="12">
        <f t="shared" si="40"/>
      </c>
      <c r="W21" s="13">
        <f t="shared" si="31"/>
      </c>
      <c r="X21" s="13">
        <f t="shared" si="8"/>
      </c>
      <c r="Y21" s="13">
        <f t="shared" si="2"/>
      </c>
      <c r="Z21" s="3">
        <v>1</v>
      </c>
      <c r="AA21" s="3">
        <v>1</v>
      </c>
      <c r="AB21" s="8" t="s">
        <v>48</v>
      </c>
      <c r="AC21" s="8">
        <v>7</v>
      </c>
      <c r="AD21" s="8" t="s">
        <v>49</v>
      </c>
      <c r="AE21" s="8">
        <v>15</v>
      </c>
      <c r="AF21" s="26">
        <v>448725</v>
      </c>
      <c r="AG21" s="8">
        <v>350</v>
      </c>
      <c r="AH21" s="8">
        <v>533598</v>
      </c>
      <c r="AI21" s="8">
        <v>34650</v>
      </c>
      <c r="AJ21" s="8">
        <v>1889</v>
      </c>
      <c r="AK21" s="8">
        <v>135</v>
      </c>
      <c r="AL21" s="8">
        <v>377</v>
      </c>
      <c r="AM21" s="8">
        <v>32</v>
      </c>
      <c r="AN21" s="15"/>
      <c r="AO21" s="13">
        <f t="shared" si="42"/>
      </c>
      <c r="AP21" s="13">
        <f t="shared" si="33"/>
      </c>
      <c r="AQ21" s="13">
        <f t="shared" si="44"/>
      </c>
      <c r="AR21" s="16">
        <f t="shared" si="10"/>
      </c>
      <c r="AS21" s="17">
        <f t="shared" si="4"/>
      </c>
    </row>
    <row hidden="true" r="22">
      <c r="A22" s="6" t="s">
        <v>64</v>
      </c>
      <c r="B22" s="3" t="s">
        <v>55</v>
      </c>
      <c r="C22" s="3" t="s">
        <v>47</v>
      </c>
      <c r="D22" s="7">
        <v>5</v>
      </c>
      <c r="E22" s="8">
        <v>24</v>
      </c>
      <c r="F22" s="8">
        <v>12</v>
      </c>
      <c r="G22" s="8">
        <v>12</v>
      </c>
      <c r="H22" s="8">
        <v>11</v>
      </c>
      <c r="I22" s="8">
        <v>681.23</v>
      </c>
      <c r="J22" s="8">
        <v>1</v>
      </c>
      <c r="K22" s="8">
        <v>551.2</v>
      </c>
      <c r="L22" s="8">
        <v>10</v>
      </c>
      <c r="M22" s="8">
        <v>5288.320000000001</v>
      </c>
      <c r="N22" s="8">
        <v>2</v>
      </c>
      <c r="O22" s="8">
        <v>3437.64</v>
      </c>
      <c r="P22" s="8">
        <v>6</v>
      </c>
      <c r="Q22" s="8">
        <v>306.14000000000004</v>
      </c>
      <c r="R22" s="1">
        <f t="shared" si="17"/>
      </c>
      <c r="S22" s="10">
        <v>13679.183</v>
      </c>
      <c r="T22" s="11">
        <f t="shared" si="6"/>
      </c>
      <c r="U22" s="12">
        <f t="shared" si="0"/>
      </c>
      <c r="V22" s="12">
        <f t="shared" si="40"/>
      </c>
      <c r="W22" s="13">
        <f t="shared" si="31"/>
      </c>
      <c r="X22" s="13">
        <f t="shared" si="8"/>
      </c>
      <c r="Y22" s="13">
        <f t="shared" si="2"/>
      </c>
      <c r="Z22" s="3">
        <v>3</v>
      </c>
      <c r="AA22" s="3">
        <v>3</v>
      </c>
      <c r="AB22" s="8" t="s">
        <v>59</v>
      </c>
      <c r="AC22" s="8">
        <v>8</v>
      </c>
      <c r="AD22" s="8"/>
      <c r="AE22" s="8"/>
      <c r="AF22" s="14">
        <v>387032</v>
      </c>
      <c r="AG22" s="9">
        <v>622</v>
      </c>
      <c r="AH22" s="14">
        <v>364877</v>
      </c>
      <c r="AI22" s="9">
        <v>22865</v>
      </c>
      <c r="AJ22" s="9">
        <v>1768</v>
      </c>
      <c r="AK22" s="8">
        <v>92</v>
      </c>
      <c r="AL22" s="8">
        <v>313</v>
      </c>
      <c r="AM22" s="8">
        <v>25</v>
      </c>
      <c r="AN22" s="15"/>
      <c r="AO22" s="13">
        <f t="shared" si="42"/>
      </c>
      <c r="AP22" s="13">
        <f t="shared" si="33"/>
      </c>
      <c r="AQ22" s="13">
        <f t="shared" si="44"/>
      </c>
      <c r="AR22" s="16">
        <f t="shared" si="10"/>
      </c>
      <c r="AS22" s="17">
        <f t="shared" si="4"/>
      </c>
    </row>
    <row hidden="true" r="23">
      <c r="A23" s="6" t="s">
        <v>64</v>
      </c>
      <c r="B23" s="1" t="s">
        <v>50</v>
      </c>
      <c r="C23" s="3" t="s">
        <v>51</v>
      </c>
      <c r="D23" s="7">
        <v>5</v>
      </c>
      <c r="E23" s="8">
        <v>18</v>
      </c>
      <c r="F23" s="8">
        <v>23</v>
      </c>
      <c r="G23" s="8">
        <v>24</v>
      </c>
      <c r="H23" s="8">
        <v>21</v>
      </c>
      <c r="I23" s="9">
        <v>3257.4600000000005</v>
      </c>
      <c r="J23" s="8">
        <v>2</v>
      </c>
      <c r="K23" s="8">
        <v>2056</v>
      </c>
      <c r="L23" s="8">
        <v>9</v>
      </c>
      <c r="M23" s="8">
        <v>6325.04</v>
      </c>
      <c r="N23" s="8">
        <v>14</v>
      </c>
      <c r="O23" s="8">
        <v>34820.48</v>
      </c>
      <c r="P23" s="8">
        <v>6</v>
      </c>
      <c r="Q23" s="8">
        <v>885.6800000000001</v>
      </c>
      <c r="R23" s="1">
        <f t="shared" si="17"/>
      </c>
      <c r="S23" s="10">
        <v>22374.63</v>
      </c>
      <c r="T23" s="11">
        <f t="shared" si="6"/>
      </c>
      <c r="U23" s="12">
        <f t="shared" si="0"/>
      </c>
      <c r="V23" s="12">
        <f t="shared" si="40"/>
      </c>
      <c r="W23" s="13">
        <f t="shared" si="31"/>
      </c>
      <c r="X23" s="13">
        <f t="shared" si="8"/>
      </c>
      <c r="Y23" s="13">
        <f t="shared" si="2"/>
      </c>
      <c r="Z23" s="3">
        <v>3</v>
      </c>
      <c r="AA23" s="3">
        <v>3</v>
      </c>
      <c r="AB23" s="8"/>
      <c r="AC23" s="8"/>
      <c r="AD23" s="9"/>
      <c r="AE23" s="9"/>
      <c r="AF23" s="9">
        <v>681418</v>
      </c>
      <c r="AG23" s="9">
        <v>1032</v>
      </c>
      <c r="AH23" s="9">
        <v>879165</v>
      </c>
      <c r="AI23" s="9">
        <v>39414</v>
      </c>
      <c r="AJ23" s="9">
        <v>3165</v>
      </c>
      <c r="AK23" s="8">
        <v>314</v>
      </c>
      <c r="AL23" s="8">
        <v>440</v>
      </c>
      <c r="AM23" s="8">
        <v>49</v>
      </c>
      <c r="AN23" s="15"/>
      <c r="AO23" s="13">
        <f t="shared" si="42"/>
      </c>
      <c r="AP23" s="13">
        <f t="shared" si="33"/>
      </c>
      <c r="AQ23" s="13">
        <f t="shared" si="44"/>
      </c>
      <c r="AR23" s="16">
        <f t="shared" si="10"/>
      </c>
      <c r="AS23" s="17">
        <f t="shared" si="4"/>
      </c>
    </row>
    <row hidden="true" r="24">
      <c r="A24" s="18" t="s">
        <v>64</v>
      </c>
      <c r="B24" s="19"/>
      <c r="C24" s="19"/>
      <c r="D24" s="19">
        <f>SUM(D21:D23)</f>
      </c>
      <c r="E24" s="19">
        <f>SUM(E21:E23)</f>
      </c>
      <c r="F24" s="19">
        <f>SUM(F21:F23)</f>
      </c>
      <c r="G24" s="19">
        <f>SUM(G21:G23)</f>
      </c>
      <c r="H24" s="19">
        <f>SUM(H21:H23)</f>
      </c>
      <c r="I24" s="19">
        <f>SUM(I21:I23)</f>
      </c>
      <c r="J24" s="19">
        <f>SUM(J21:J23)</f>
      </c>
      <c r="K24" s="19">
        <f>SUM(K21:K23)</f>
      </c>
      <c r="L24" s="19">
        <f>SUM(L21:L23)</f>
      </c>
      <c r="M24" s="19">
        <f>SUM(M21:M23)</f>
      </c>
      <c r="N24" s="19">
        <f>SUM(N21:N23)</f>
      </c>
      <c r="O24" s="19">
        <f>SUM(O21:O23)</f>
      </c>
      <c r="P24" s="19">
        <f>SUM(P21:P23)</f>
      </c>
      <c r="Q24" s="19">
        <f>SUM(Q21:Q23)</f>
      </c>
      <c r="R24" s="19">
        <f>SUM(R21:R23)</f>
      </c>
      <c r="S24" s="19">
        <f>SUM(S21:S23)</f>
      </c>
      <c r="T24" s="20">
        <f t="shared" si="6"/>
      </c>
      <c r="U24" s="20">
        <f t="shared" si="0"/>
      </c>
      <c r="V24" s="20">
        <f t="shared" si="40"/>
      </c>
      <c r="W24" s="20">
        <f t="shared" si="31"/>
      </c>
      <c r="X24" s="20">
        <f t="shared" si="8"/>
      </c>
      <c r="Y24" s="21">
        <f t="shared" si="2"/>
      </c>
      <c r="Z24" s="22">
        <f>SUM(Z21:Z23)</f>
      </c>
      <c r="AA24" s="22">
        <f>SUM(AA21:AA23)</f>
      </c>
      <c r="AB24" s="22"/>
      <c r="AC24" s="22">
        <f>SUM(AC21:AC23)</f>
      </c>
      <c r="AD24" s="22"/>
      <c r="AE24" s="22"/>
      <c r="AF24" s="22">
        <f>SUM(AF21:AF23)</f>
      </c>
      <c r="AG24" s="22">
        <f>SUM(AG21:AG23)</f>
      </c>
      <c r="AH24" s="22">
        <f>SUM(AH21:AH23)</f>
      </c>
      <c r="AI24" s="22">
        <f>SUM(AI21:AI23)</f>
      </c>
      <c r="AJ24" s="22">
        <f>SUM(AJ21:AJ23)</f>
      </c>
      <c r="AK24" s="22">
        <f>SUM(AK21:AK23)</f>
      </c>
      <c r="AL24" s="22">
        <f>SUM(AL21:AL23)</f>
      </c>
      <c r="AM24" s="22">
        <f>SUM(AM21:AM23)</f>
      </c>
      <c r="AN24" s="22">
        <f>SUM(AN21:AN23)</f>
      </c>
      <c r="AO24" s="21">
        <f t="shared" si="42"/>
      </c>
      <c r="AP24" s="21">
        <f t="shared" si="33"/>
      </c>
      <c r="AQ24" s="21">
        <f t="shared" si="44"/>
      </c>
      <c r="AR24" s="21">
        <f t="shared" si="10"/>
      </c>
      <c r="AS24" s="24">
        <f t="shared" si="4"/>
      </c>
    </row>
    <row hidden="true" r="25">
      <c r="A25" s="6" t="s">
        <v>65</v>
      </c>
      <c r="B25" s="3" t="s">
        <v>46</v>
      </c>
      <c r="C25" s="3" t="s">
        <v>61</v>
      </c>
      <c r="D25" s="7">
        <v>5</v>
      </c>
      <c r="E25" s="8">
        <v>29</v>
      </c>
      <c r="F25" s="8">
        <v>21</v>
      </c>
      <c r="G25" s="8">
        <v>19</v>
      </c>
      <c r="H25" s="8">
        <v>20</v>
      </c>
      <c r="I25" s="8">
        <v>2196.29</v>
      </c>
      <c r="J25" s="8">
        <v>1</v>
      </c>
      <c r="K25" s="8">
        <v>298.7</v>
      </c>
      <c r="L25" s="8">
        <v>15</v>
      </c>
      <c r="M25" s="8">
        <v>12735.980000000001</v>
      </c>
      <c r="N25" s="8">
        <v>6</v>
      </c>
      <c r="O25" s="8">
        <v>13918.199999999999</v>
      </c>
      <c r="P25" s="8">
        <v>7</v>
      </c>
      <c r="Q25" s="8">
        <v>935.11</v>
      </c>
      <c r="R25" s="1">
        <f t="shared" ref="R25:R27" si="18">(I25*12)+K25</f>
      </c>
      <c r="S25" s="10">
        <v>18603.240999999998</v>
      </c>
      <c r="T25" s="11">
        <f t="shared" si="6"/>
      </c>
      <c r="U25" s="12">
        <f t="shared" si="0"/>
      </c>
      <c r="V25" s="12">
        <f t="shared" si="40"/>
      </c>
      <c r="W25" s="13">
        <f t="shared" si="31"/>
      </c>
      <c r="X25" s="13">
        <f t="shared" si="8"/>
      </c>
      <c r="Y25" s="13">
        <f t="shared" si="2"/>
      </c>
      <c r="Z25" s="3">
        <v>3</v>
      </c>
      <c r="AA25" s="3">
        <v>3</v>
      </c>
      <c r="AB25" s="8" t="s">
        <v>48</v>
      </c>
      <c r="AC25" s="8">
        <v>7</v>
      </c>
      <c r="AD25" s="8" t="s">
        <v>49</v>
      </c>
      <c r="AE25" s="8">
        <v>15</v>
      </c>
      <c r="AF25" s="26">
        <v>474174</v>
      </c>
      <c r="AG25" s="8">
        <v>451</v>
      </c>
      <c r="AH25" s="8">
        <v>643507</v>
      </c>
      <c r="AI25" s="8">
        <v>43639</v>
      </c>
      <c r="AJ25" s="8">
        <v>2084</v>
      </c>
      <c r="AK25" s="8">
        <v>109</v>
      </c>
      <c r="AL25" s="8">
        <v>387</v>
      </c>
      <c r="AM25" s="8">
        <v>32</v>
      </c>
      <c r="AN25" s="15"/>
      <c r="AO25" s="13">
        <f t="shared" si="42"/>
      </c>
      <c r="AP25" s="13">
        <f t="shared" si="33"/>
      </c>
      <c r="AQ25" s="13">
        <f t="shared" si="44"/>
      </c>
      <c r="AR25" s="16">
        <f t="shared" si="10"/>
      </c>
      <c r="AS25" s="17">
        <f t="shared" si="4"/>
      </c>
    </row>
    <row hidden="true" r="26">
      <c r="A26" s="6" t="s">
        <v>65</v>
      </c>
      <c r="B26" s="3" t="s">
        <v>55</v>
      </c>
      <c r="C26" s="3" t="s">
        <v>47</v>
      </c>
      <c r="D26" s="7">
        <v>5</v>
      </c>
      <c r="E26" s="8">
        <v>12</v>
      </c>
      <c r="F26" s="8">
        <v>5</v>
      </c>
      <c r="G26" s="8">
        <v>5</v>
      </c>
      <c r="H26" s="8">
        <v>5</v>
      </c>
      <c r="I26" s="8">
        <v>570.17</v>
      </c>
      <c r="J26" s="8">
        <v>0</v>
      </c>
      <c r="K26" s="8">
        <v>0</v>
      </c>
      <c r="L26" s="8">
        <v>3</v>
      </c>
      <c r="M26" s="8">
        <v>1754.16</v>
      </c>
      <c r="N26" s="8">
        <v>2</v>
      </c>
      <c r="O26" s="8">
        <v>5087.88</v>
      </c>
      <c r="P26" s="8">
        <v>1</v>
      </c>
      <c r="Q26" s="8">
        <v>66.38</v>
      </c>
      <c r="R26" s="1">
        <f t="shared" si="18"/>
      </c>
      <c r="S26" s="10">
        <v>9623.088</v>
      </c>
      <c r="T26" s="11">
        <f t="shared" si="6"/>
      </c>
      <c r="U26" s="12">
        <f t="shared" si="0"/>
      </c>
      <c r="V26" s="12">
        <f t="shared" si="40"/>
      </c>
      <c r="W26" s="13">
        <f t="shared" si="31"/>
      </c>
      <c r="X26" s="13">
        <f t="shared" si="8"/>
      </c>
      <c r="Y26" s="13">
        <f t="shared" si="2"/>
      </c>
      <c r="Z26" s="3">
        <v>0</v>
      </c>
      <c r="AA26" s="3">
        <v>0</v>
      </c>
      <c r="AB26" s="8" t="s">
        <v>59</v>
      </c>
      <c r="AC26" s="8">
        <v>8</v>
      </c>
      <c r="AD26" s="8"/>
      <c r="AE26" s="8"/>
      <c r="AF26" s="14">
        <v>219853</v>
      </c>
      <c r="AG26" s="9">
        <v>613</v>
      </c>
      <c r="AH26" s="14">
        <v>208133</v>
      </c>
      <c r="AI26" s="9">
        <v>13506</v>
      </c>
      <c r="AJ26" s="9">
        <v>1202</v>
      </c>
      <c r="AK26" s="8">
        <v>56</v>
      </c>
      <c r="AL26" s="8">
        <v>220</v>
      </c>
      <c r="AM26" s="8">
        <v>11</v>
      </c>
      <c r="AN26" s="15"/>
      <c r="AO26" s="13">
        <f t="shared" si="42"/>
      </c>
      <c r="AP26" s="13">
        <f t="shared" si="33"/>
      </c>
      <c r="AQ26" s="13">
        <f t="shared" si="44"/>
      </c>
      <c r="AR26" s="16">
        <f t="shared" si="10"/>
      </c>
      <c r="AS26" s="17">
        <f t="shared" si="4"/>
      </c>
    </row>
    <row hidden="true" r="27">
      <c r="A27" s="6" t="s">
        <v>65</v>
      </c>
      <c r="B27" s="1" t="s">
        <v>50</v>
      </c>
      <c r="C27" s="3" t="s">
        <v>51</v>
      </c>
      <c r="D27" s="7">
        <v>5</v>
      </c>
      <c r="E27" s="8">
        <v>14</v>
      </c>
      <c r="F27" s="8">
        <v>5</v>
      </c>
      <c r="G27" s="8">
        <v>5</v>
      </c>
      <c r="H27" s="8">
        <v>4</v>
      </c>
      <c r="I27" s="9">
        <v>433.97</v>
      </c>
      <c r="J27" s="8">
        <v>1</v>
      </c>
      <c r="K27" s="8">
        <v>6116.4</v>
      </c>
      <c r="L27" s="8">
        <v>3</v>
      </c>
      <c r="M27" s="8">
        <v>2604.84</v>
      </c>
      <c r="N27" s="8">
        <v>2</v>
      </c>
      <c r="O27" s="8">
        <v>8719.2</v>
      </c>
      <c r="P27" s="8">
        <v>2</v>
      </c>
      <c r="Q27" s="8">
        <v>6243.33</v>
      </c>
      <c r="R27" s="1">
        <f t="shared" si="18"/>
      </c>
      <c r="S27" s="10">
        <v>8502.774</v>
      </c>
      <c r="T27" s="11">
        <f t="shared" si="6"/>
      </c>
      <c r="U27" s="12">
        <f t="shared" si="0"/>
      </c>
      <c r="V27" s="12">
        <f t="shared" si="40"/>
      </c>
      <c r="W27" s="13">
        <f t="shared" si="31"/>
      </c>
      <c r="X27" s="13">
        <f t="shared" si="8"/>
      </c>
      <c r="Y27" s="13">
        <f t="shared" si="2"/>
      </c>
      <c r="Z27" s="3">
        <v>0</v>
      </c>
      <c r="AA27" s="3">
        <v>0</v>
      </c>
      <c r="AB27" s="8"/>
      <c r="AC27" s="8"/>
      <c r="AD27" s="9"/>
      <c r="AE27" s="9"/>
      <c r="AF27" s="9">
        <v>186767</v>
      </c>
      <c r="AG27" s="9">
        <v>424</v>
      </c>
      <c r="AH27" s="9">
        <v>176878</v>
      </c>
      <c r="AI27" s="9">
        <v>8888</v>
      </c>
      <c r="AJ27" s="9">
        <v>1007</v>
      </c>
      <c r="AK27" s="8">
        <v>58</v>
      </c>
      <c r="AL27" s="8">
        <v>209</v>
      </c>
      <c r="AM27" s="8">
        <v>11</v>
      </c>
      <c r="AN27" s="15"/>
      <c r="AO27" s="13">
        <f t="shared" si="42"/>
      </c>
      <c r="AP27" s="13">
        <f t="shared" si="33"/>
      </c>
      <c r="AQ27" s="13">
        <f t="shared" si="44"/>
      </c>
      <c r="AR27" s="16">
        <f t="shared" si="10"/>
      </c>
      <c r="AS27" s="17">
        <f t="shared" si="4"/>
      </c>
    </row>
    <row hidden="true" r="28">
      <c r="A28" s="18" t="s">
        <v>65</v>
      </c>
      <c r="B28" s="19"/>
      <c r="C28" s="19"/>
      <c r="D28" s="19">
        <f>SUM(D25:D27)</f>
      </c>
      <c r="E28" s="19">
        <f>SUM(E25:E27)</f>
      </c>
      <c r="F28" s="19">
        <f>SUM(F25:F27)</f>
      </c>
      <c r="G28" s="19">
        <f>SUM(G25:G27)</f>
      </c>
      <c r="H28" s="19">
        <f>SUM(H25:H27)</f>
      </c>
      <c r="I28" s="19">
        <f>SUM(I25:I27)</f>
      </c>
      <c r="J28" s="19">
        <f>SUM(J25:J27)</f>
      </c>
      <c r="K28" s="19">
        <f>SUM(K25:K27)</f>
      </c>
      <c r="L28" s="19">
        <f>SUM(L25:L27)</f>
      </c>
      <c r="M28" s="19">
        <f>SUM(M25:M27)</f>
      </c>
      <c r="N28" s="19">
        <f>SUM(N25:N27)</f>
      </c>
      <c r="O28" s="19">
        <f>SUM(O25:O27)</f>
      </c>
      <c r="P28" s="19">
        <f>SUM(P25:P27)</f>
      </c>
      <c r="Q28" s="19">
        <f>SUM(Q25:Q27)</f>
      </c>
      <c r="R28" s="19">
        <f>SUM(R25:R27)</f>
      </c>
      <c r="S28" s="19">
        <f>SUM(S25:S27)</f>
      </c>
      <c r="T28" s="20">
        <f t="shared" si="6"/>
      </c>
      <c r="U28" s="20">
        <f t="shared" si="0"/>
      </c>
      <c r="V28" s="20">
        <f t="shared" si="40"/>
      </c>
      <c r="W28" s="20">
        <f t="shared" si="31"/>
      </c>
      <c r="X28" s="20">
        <f t="shared" si="8"/>
      </c>
      <c r="Y28" s="21">
        <f t="shared" si="2"/>
      </c>
      <c r="Z28" s="22">
        <f>SUM(Z25:Z27)</f>
      </c>
      <c r="AA28" s="22">
        <f>SUM(AA25:AA27)</f>
      </c>
      <c r="AB28" s="22"/>
      <c r="AC28" s="22">
        <f>SUM(AC25:AC27)</f>
      </c>
      <c r="AD28" s="22"/>
      <c r="AE28" s="22"/>
      <c r="AF28" s="22">
        <f>SUM(AF25:AF27)</f>
      </c>
      <c r="AG28" s="22">
        <f>SUM(AG25:AG27)</f>
      </c>
      <c r="AH28" s="22">
        <f>SUM(AH25:AH27)</f>
      </c>
      <c r="AI28" s="22">
        <f>SUM(AI25:AI27)</f>
      </c>
      <c r="AJ28" s="22">
        <f>SUM(AJ25:AJ27)</f>
      </c>
      <c r="AK28" s="22">
        <f>SUM(AK25:AK27)</f>
      </c>
      <c r="AL28" s="22">
        <f>SUM(AL25:AL27)</f>
      </c>
      <c r="AM28" s="22">
        <f>SUM(AM25:AM27)</f>
      </c>
      <c r="AN28" s="22">
        <f>SUM(AN25:AN27)</f>
      </c>
      <c r="AO28" s="21">
        <f t="shared" si="42"/>
      </c>
      <c r="AP28" s="21">
        <f t="shared" si="33"/>
      </c>
      <c r="AQ28" s="21">
        <f t="shared" si="44"/>
      </c>
      <c r="AR28" s="21">
        <f t="shared" si="10"/>
      </c>
      <c r="AS28" s="24">
        <f t="shared" si="4"/>
      </c>
    </row>
    <row hidden="true" r="29">
      <c r="A29" s="6" t="s">
        <v>66</v>
      </c>
      <c r="B29" s="3" t="s">
        <v>46</v>
      </c>
      <c r="C29" s="3" t="s">
        <v>61</v>
      </c>
      <c r="D29" s="7">
        <v>5</v>
      </c>
      <c r="E29" s="8">
        <v>13</v>
      </c>
      <c r="F29" s="8">
        <v>8</v>
      </c>
      <c r="G29" s="8">
        <v>8</v>
      </c>
      <c r="H29" s="8">
        <v>8</v>
      </c>
      <c r="I29" s="8">
        <v>871.49</v>
      </c>
      <c r="J29" s="8">
        <v>0</v>
      </c>
      <c r="K29" s="8">
        <v>0</v>
      </c>
      <c r="L29" s="8">
        <v>4</v>
      </c>
      <c r="M29" s="8">
        <v>3689.5200000000004</v>
      </c>
      <c r="N29" s="8">
        <v>4</v>
      </c>
      <c r="O29" s="8">
        <v>6768.36</v>
      </c>
      <c r="P29" s="8">
        <v>1</v>
      </c>
      <c r="Q29" s="8">
        <v>128.11</v>
      </c>
      <c r="R29" s="1">
        <f t="shared" ref="R29:R31" si="19">(I29*12)+K29</f>
      </c>
      <c r="S29" s="10">
        <v>9011.82</v>
      </c>
      <c r="T29" s="11">
        <f t="shared" si="6"/>
      </c>
      <c r="U29" s="12">
        <f t="shared" si="0"/>
      </c>
      <c r="V29" s="12">
        <f t="shared" si="40"/>
      </c>
      <c r="W29" s="13">
        <f t="shared" si="31"/>
      </c>
      <c r="X29" s="13">
        <f t="shared" si="8"/>
      </c>
      <c r="Y29" s="13">
        <f t="shared" si="2"/>
      </c>
      <c r="Z29" s="3">
        <v>1</v>
      </c>
      <c r="AA29" s="3">
        <v>1</v>
      </c>
      <c r="AB29" s="8" t="s">
        <v>57</v>
      </c>
      <c r="AC29" s="8">
        <v>6</v>
      </c>
      <c r="AD29" s="8" t="s">
        <v>49</v>
      </c>
      <c r="AE29" s="8">
        <v>15</v>
      </c>
      <c r="AF29" s="26">
        <v>183122</v>
      </c>
      <c r="AG29" s="8">
        <v>311</v>
      </c>
      <c r="AH29" s="8">
        <v>188942</v>
      </c>
      <c r="AI29" s="8">
        <v>13331</v>
      </c>
      <c r="AJ29" s="8">
        <v>1073</v>
      </c>
      <c r="AK29" s="8">
        <v>54</v>
      </c>
      <c r="AL29" s="8">
        <v>260</v>
      </c>
      <c r="AM29" s="8">
        <v>12</v>
      </c>
      <c r="AN29" s="15"/>
      <c r="AO29" s="13">
        <f t="shared" si="42"/>
      </c>
      <c r="AP29" s="13">
        <f t="shared" si="33"/>
      </c>
      <c r="AQ29" s="13">
        <f t="shared" si="44"/>
      </c>
      <c r="AR29" s="16">
        <f t="shared" si="10"/>
      </c>
      <c r="AS29" s="17">
        <f t="shared" si="4"/>
      </c>
    </row>
    <row hidden="true" r="30">
      <c r="A30" s="6" t="s">
        <v>66</v>
      </c>
      <c r="B30" s="3" t="s">
        <v>55</v>
      </c>
      <c r="C30" s="3" t="s">
        <v>47</v>
      </c>
      <c r="D30" s="7">
        <v>5</v>
      </c>
      <c r="E30" s="8">
        <v>18</v>
      </c>
      <c r="F30" s="8">
        <v>9</v>
      </c>
      <c r="G30" s="8">
        <v>9</v>
      </c>
      <c r="H30" s="8">
        <v>6</v>
      </c>
      <c r="I30" s="8">
        <v>1727.87</v>
      </c>
      <c r="J30" s="8">
        <v>3</v>
      </c>
      <c r="K30" s="8">
        <v>7852.75</v>
      </c>
      <c r="L30" s="8">
        <v>3</v>
      </c>
      <c r="M30" s="8">
        <v>4620.91</v>
      </c>
      <c r="N30" s="8">
        <v>6</v>
      </c>
      <c r="O30" s="8">
        <v>23966.28</v>
      </c>
      <c r="P30" s="8">
        <v>6</v>
      </c>
      <c r="Q30" s="8">
        <v>9169.32</v>
      </c>
      <c r="R30" s="1">
        <f t="shared" si="19"/>
      </c>
      <c r="S30" s="10">
        <v>8081.391</v>
      </c>
      <c r="T30" s="11">
        <f t="shared" si="6"/>
      </c>
      <c r="U30" s="12">
        <f t="shared" si="0"/>
      </c>
      <c r="V30" s="12">
        <f t="shared" si="40"/>
      </c>
      <c r="W30" s="13">
        <f t="shared" si="31"/>
      </c>
      <c r="X30" s="13">
        <f t="shared" si="8"/>
      </c>
      <c r="Y30" s="13">
        <f t="shared" si="2"/>
      </c>
      <c r="Z30" s="3">
        <v>1</v>
      </c>
      <c r="AA30" s="3">
        <v>1</v>
      </c>
      <c r="AB30" s="8" t="s">
        <v>52</v>
      </c>
      <c r="AC30" s="8">
        <v>1</v>
      </c>
      <c r="AD30" s="8"/>
      <c r="AE30" s="8"/>
      <c r="AF30" s="14">
        <v>152082</v>
      </c>
      <c r="AG30" s="9">
        <v>319</v>
      </c>
      <c r="AH30" s="14">
        <v>134620</v>
      </c>
      <c r="AI30" s="9">
        <v>8955</v>
      </c>
      <c r="AJ30" s="9">
        <v>1054</v>
      </c>
      <c r="AK30" s="8">
        <v>41</v>
      </c>
      <c r="AL30" s="8">
        <v>217</v>
      </c>
      <c r="AM30" s="8">
        <v>9</v>
      </c>
      <c r="AN30" s="15"/>
      <c r="AO30" s="13">
        <f t="shared" si="42"/>
      </c>
      <c r="AP30" s="13">
        <f t="shared" si="33"/>
      </c>
      <c r="AQ30" s="13">
        <f t="shared" si="44"/>
      </c>
      <c r="AR30" s="16">
        <f t="shared" si="10"/>
      </c>
      <c r="AS30" s="17">
        <f t="shared" si="4"/>
      </c>
    </row>
    <row hidden="true" r="31">
      <c r="A31" s="6" t="s">
        <v>66</v>
      </c>
      <c r="B31" s="1" t="s">
        <v>50</v>
      </c>
      <c r="C31" s="3" t="s">
        <v>51</v>
      </c>
      <c r="D31" s="7">
        <v>5</v>
      </c>
      <c r="E31" s="8">
        <v>16</v>
      </c>
      <c r="F31" s="8">
        <v>11</v>
      </c>
      <c r="G31" s="8">
        <v>11</v>
      </c>
      <c r="H31" s="8">
        <v>10</v>
      </c>
      <c r="I31" s="9">
        <v>1805.5</v>
      </c>
      <c r="J31" s="8">
        <v>1</v>
      </c>
      <c r="K31" s="8">
        <v>2271.95</v>
      </c>
      <c r="L31" s="8">
        <v>2</v>
      </c>
      <c r="M31" s="8">
        <v>3600.35</v>
      </c>
      <c r="N31" s="8">
        <v>9</v>
      </c>
      <c r="O31" s="8">
        <v>20337.6</v>
      </c>
      <c r="P31" s="8">
        <v>3</v>
      </c>
      <c r="Q31" s="8">
        <v>2755.41</v>
      </c>
      <c r="R31" s="1">
        <f t="shared" si="19"/>
      </c>
      <c r="S31" s="10">
        <v>10894.113000000001</v>
      </c>
      <c r="T31" s="11">
        <f t="shared" si="6"/>
      </c>
      <c r="U31" s="12">
        <f t="shared" si="0"/>
      </c>
      <c r="V31" s="12">
        <f t="shared" si="40"/>
      </c>
      <c r="W31" s="13">
        <f t="shared" si="31"/>
      </c>
      <c r="X31" s="13">
        <f t="shared" si="8"/>
      </c>
      <c r="Y31" s="13">
        <f t="shared" si="2"/>
      </c>
      <c r="Z31" s="3">
        <v>4</v>
      </c>
      <c r="AA31" s="3">
        <v>4</v>
      </c>
      <c r="AB31" s="8" t="s">
        <v>67</v>
      </c>
      <c r="AC31" s="8">
        <v>8</v>
      </c>
      <c r="AD31" s="9"/>
      <c r="AE31" s="9"/>
      <c r="AF31" s="9">
        <v>280618</v>
      </c>
      <c r="AG31" s="9">
        <v>510</v>
      </c>
      <c r="AH31" s="9">
        <v>304937</v>
      </c>
      <c r="AI31" s="9">
        <v>15029</v>
      </c>
      <c r="AJ31" s="9">
        <v>1532</v>
      </c>
      <c r="AK31" s="8">
        <v>86</v>
      </c>
      <c r="AL31" s="8">
        <v>288</v>
      </c>
      <c r="AM31" s="8">
        <v>16</v>
      </c>
      <c r="AN31" s="15"/>
      <c r="AO31" s="13">
        <f t="shared" si="42"/>
      </c>
      <c r="AP31" s="13">
        <f t="shared" si="33"/>
      </c>
      <c r="AQ31" s="13">
        <f t="shared" si="44"/>
      </c>
      <c r="AR31" s="16">
        <f t="shared" si="10"/>
      </c>
      <c r="AS31" s="17">
        <f t="shared" si="4"/>
      </c>
    </row>
    <row hidden="true" r="32">
      <c r="A32" s="18" t="s">
        <v>66</v>
      </c>
      <c r="B32" s="19"/>
      <c r="C32" s="19"/>
      <c r="D32" s="19">
        <f>SUM(D29:D31)</f>
      </c>
      <c r="E32" s="19">
        <f>SUM(E29:E31)</f>
      </c>
      <c r="F32" s="19">
        <f>SUM(F29:F31)</f>
      </c>
      <c r="G32" s="19">
        <f>SUM(G29:G31)</f>
      </c>
      <c r="H32" s="19">
        <f>SUM(H29:H31)</f>
      </c>
      <c r="I32" s="19">
        <f>SUM(I29:I31)</f>
      </c>
      <c r="J32" s="19">
        <f>SUM(J29:J31)</f>
      </c>
      <c r="K32" s="19">
        <f>SUM(K29:K31)</f>
      </c>
      <c r="L32" s="19">
        <f>SUM(L29:L31)</f>
      </c>
      <c r="M32" s="19">
        <f>SUM(M29:M31)</f>
      </c>
      <c r="N32" s="19">
        <f>SUM(N29:N31)</f>
      </c>
      <c r="O32" s="19">
        <f>SUM(O29:O31)</f>
      </c>
      <c r="P32" s="19">
        <f>SUM(P29:P31)</f>
      </c>
      <c r="Q32" s="19">
        <f>SUM(Q29:Q31)</f>
      </c>
      <c r="R32" s="19">
        <f>SUM(R29:R31)</f>
      </c>
      <c r="S32" s="19">
        <f>SUM(S29:S31)</f>
      </c>
      <c r="T32" s="20">
        <f t="shared" si="6"/>
      </c>
      <c r="U32" s="20">
        <f t="shared" si="0"/>
      </c>
      <c r="V32" s="20">
        <f t="shared" si="40"/>
      </c>
      <c r="W32" s="20">
        <f t="shared" si="31"/>
      </c>
      <c r="X32" s="20">
        <f t="shared" si="8"/>
      </c>
      <c r="Y32" s="21">
        <f t="shared" si="2"/>
      </c>
      <c r="Z32" s="22">
        <f>SUM(Z29:Z31)</f>
      </c>
      <c r="AA32" s="22">
        <f>SUM(AA29:AA31)</f>
      </c>
      <c r="AB32" s="22"/>
      <c r="AC32" s="22">
        <f>SUM(AC29:AC31)</f>
      </c>
      <c r="AD32" s="22"/>
      <c r="AE32" s="22"/>
      <c r="AF32" s="22">
        <f>SUM(AF29:AF31)</f>
      </c>
      <c r="AG32" s="22">
        <f>SUM(AG29:AG31)</f>
      </c>
      <c r="AH32" s="22">
        <f>SUM(AH29:AH31)</f>
      </c>
      <c r="AI32" s="22">
        <f>SUM(AI29:AI31)</f>
      </c>
      <c r="AJ32" s="22">
        <f>SUM(AJ29:AJ31)</f>
      </c>
      <c r="AK32" s="22">
        <f>SUM(AK29:AK31)</f>
      </c>
      <c r="AL32" s="22">
        <f>SUM(AL29:AL31)</f>
      </c>
      <c r="AM32" s="22">
        <f>SUM(AM29:AM31)</f>
      </c>
      <c r="AN32" s="22">
        <f>SUM(AN29:AN31)</f>
      </c>
      <c r="AO32" s="21">
        <f t="shared" si="42"/>
      </c>
      <c r="AP32" s="21">
        <f t="shared" si="33"/>
      </c>
      <c r="AQ32" s="21">
        <f t="shared" si="44"/>
      </c>
      <c r="AR32" s="21">
        <f t="shared" si="10"/>
      </c>
      <c r="AS32" s="24">
        <f t="shared" si="4"/>
      </c>
    </row>
    <row hidden="true" r="33">
      <c r="A33" s="6" t="s">
        <v>68</v>
      </c>
      <c r="B33" s="3" t="s">
        <v>46</v>
      </c>
      <c r="C33" s="3" t="s">
        <v>61</v>
      </c>
      <c r="D33" s="7">
        <v>5</v>
      </c>
      <c r="E33" s="8">
        <v>13</v>
      </c>
      <c r="F33" s="8">
        <v>8</v>
      </c>
      <c r="G33" s="8">
        <v>9</v>
      </c>
      <c r="H33" s="8">
        <v>8</v>
      </c>
      <c r="I33" s="8">
        <v>943.4799999999999</v>
      </c>
      <c r="J33" s="8">
        <v>0</v>
      </c>
      <c r="K33" s="8">
        <v>0</v>
      </c>
      <c r="L33" s="8">
        <v>7</v>
      </c>
      <c r="M33" s="8">
        <v>8718.96</v>
      </c>
      <c r="N33" s="8">
        <v>1</v>
      </c>
      <c r="O33" s="8">
        <v>2602.8</v>
      </c>
      <c r="P33" s="8">
        <v>4</v>
      </c>
      <c r="Q33" s="8">
        <v>615.03</v>
      </c>
      <c r="R33" s="1">
        <f t="shared" ref="R33:R35" si="20">(I33*12)+K33</f>
      </c>
      <c r="S33" s="10">
        <v>8658.690999999999</v>
      </c>
      <c r="T33" s="11">
        <f t="shared" si="6"/>
      </c>
      <c r="U33" s="12">
        <f t="shared" si="0"/>
      </c>
      <c r="V33" s="12">
        <f t="shared" si="40"/>
      </c>
      <c r="W33" s="13">
        <f t="shared" si="31"/>
      </c>
      <c r="X33" s="13">
        <f t="shared" si="8"/>
      </c>
      <c r="Y33" s="13">
        <f t="shared" si="2"/>
      </c>
      <c r="Z33" s="3">
        <v>2</v>
      </c>
      <c r="AA33" s="3">
        <v>2</v>
      </c>
      <c r="AB33" s="8" t="s">
        <v>63</v>
      </c>
      <c r="AC33" s="8">
        <v>7</v>
      </c>
      <c r="AD33" s="8" t="s">
        <v>49</v>
      </c>
      <c r="AE33" s="8">
        <v>15</v>
      </c>
      <c r="AF33" s="26">
        <v>180038</v>
      </c>
      <c r="AG33" s="8">
        <v>359</v>
      </c>
      <c r="AH33" s="8">
        <v>169999</v>
      </c>
      <c r="AI33" s="8">
        <v>11865</v>
      </c>
      <c r="AJ33" s="8">
        <v>1165</v>
      </c>
      <c r="AK33" s="8">
        <v>51</v>
      </c>
      <c r="AL33" s="8">
        <v>260</v>
      </c>
      <c r="AM33" s="8">
        <v>11</v>
      </c>
      <c r="AN33" s="15"/>
      <c r="AO33" s="13">
        <f t="shared" si="42"/>
      </c>
      <c r="AP33" s="13">
        <f t="shared" si="33"/>
      </c>
      <c r="AQ33" s="13">
        <f t="shared" si="44"/>
      </c>
      <c r="AR33" s="16">
        <f t="shared" si="10"/>
      </c>
      <c r="AS33" s="17">
        <f t="shared" si="4"/>
      </c>
    </row>
    <row hidden="true" r="34">
      <c r="A34" s="6" t="s">
        <v>68</v>
      </c>
      <c r="B34" s="3" t="s">
        <v>50</v>
      </c>
      <c r="C34" s="3" t="s">
        <v>47</v>
      </c>
      <c r="D34" s="7">
        <v>5</v>
      </c>
      <c r="E34" s="8">
        <v>8</v>
      </c>
      <c r="F34" s="8">
        <v>3</v>
      </c>
      <c r="G34" s="8">
        <v>4</v>
      </c>
      <c r="H34" s="8">
        <v>3</v>
      </c>
      <c r="I34" s="8">
        <v>537.06</v>
      </c>
      <c r="J34" s="8">
        <v>0</v>
      </c>
      <c r="K34" s="8">
        <v>0</v>
      </c>
      <c r="L34" s="8">
        <v>2</v>
      </c>
      <c r="M34" s="8">
        <v>2774.88</v>
      </c>
      <c r="N34" s="8">
        <v>1</v>
      </c>
      <c r="O34" s="8">
        <v>3669.84</v>
      </c>
      <c r="P34" s="8">
        <v>1</v>
      </c>
      <c r="Q34" s="8">
        <v>180.84</v>
      </c>
      <c r="R34" s="1">
        <f t="shared" si="20"/>
      </c>
      <c r="S34" s="10">
        <v>6336.3369999999995</v>
      </c>
      <c r="T34" s="11">
        <f t="shared" si="6"/>
      </c>
      <c r="U34" s="12">
        <f t="shared" si="0"/>
      </c>
      <c r="V34" s="12">
        <f t="shared" si="40"/>
      </c>
      <c r="W34" s="13">
        <f t="shared" si="31"/>
      </c>
      <c r="X34" s="13">
        <f t="shared" si="8"/>
      </c>
      <c r="Y34" s="13">
        <f t="shared" si="2"/>
      </c>
      <c r="Z34" s="3">
        <v>0</v>
      </c>
      <c r="AA34" s="3">
        <v>0</v>
      </c>
      <c r="AB34" s="8"/>
      <c r="AC34" s="8"/>
      <c r="AD34" s="8"/>
      <c r="AE34" s="8"/>
      <c r="AF34" s="14">
        <v>161637</v>
      </c>
      <c r="AG34" s="9">
        <v>288</v>
      </c>
      <c r="AH34" s="14">
        <v>152306</v>
      </c>
      <c r="AI34" s="9">
        <v>10087</v>
      </c>
      <c r="AJ34" s="9">
        <v>904</v>
      </c>
      <c r="AK34" s="8">
        <v>49</v>
      </c>
      <c r="AL34" s="8">
        <v>204</v>
      </c>
      <c r="AM34" s="8">
        <v>8</v>
      </c>
      <c r="AN34" s="15"/>
      <c r="AO34" s="13">
        <f t="shared" si="42"/>
      </c>
      <c r="AP34" s="13">
        <f t="shared" si="33"/>
      </c>
      <c r="AQ34" s="13">
        <f t="shared" si="44"/>
      </c>
      <c r="AR34" s="16">
        <f t="shared" si="10"/>
      </c>
      <c r="AS34" s="17">
        <f t="shared" si="4"/>
      </c>
    </row>
    <row hidden="true" r="35">
      <c r="A35" s="6" t="s">
        <v>68</v>
      </c>
      <c r="B35" s="1" t="s">
        <v>55</v>
      </c>
      <c r="C35" s="3" t="s">
        <v>51</v>
      </c>
      <c r="D35" s="7">
        <v>5</v>
      </c>
      <c r="E35" s="8">
        <v>4</v>
      </c>
      <c r="F35" s="8">
        <v>2</v>
      </c>
      <c r="G35" s="8">
        <v>5</v>
      </c>
      <c r="H35" s="8">
        <v>2</v>
      </c>
      <c r="I35" s="9">
        <v>534.49</v>
      </c>
      <c r="J35" s="8">
        <v>0</v>
      </c>
      <c r="K35" s="8">
        <v>0</v>
      </c>
      <c r="L35" s="8">
        <v>0</v>
      </c>
      <c r="M35" s="8">
        <v>0</v>
      </c>
      <c r="N35" s="8">
        <v>2</v>
      </c>
      <c r="O35" s="8">
        <v>6413.88</v>
      </c>
      <c r="P35" s="8">
        <v>2</v>
      </c>
      <c r="Q35" s="8">
        <v>534.49</v>
      </c>
      <c r="R35" s="1">
        <f t="shared" si="20"/>
      </c>
      <c r="S35" s="10">
        <v>7750.187000000001</v>
      </c>
      <c r="T35" s="11">
        <f t="shared" si="6"/>
      </c>
      <c r="U35" s="12">
        <f t="shared" si="0"/>
      </c>
      <c r="V35" s="12">
        <f t="shared" si="40"/>
      </c>
      <c r="W35" s="13">
        <f t="shared" si="31"/>
      </c>
      <c r="X35" s="13">
        <f t="shared" si="8"/>
      </c>
      <c r="Y35" s="13">
        <f t="shared" si="2"/>
      </c>
      <c r="Z35" s="3">
        <v>0</v>
      </c>
      <c r="AA35" s="3">
        <v>0</v>
      </c>
      <c r="AB35" s="8" t="s">
        <v>69</v>
      </c>
      <c r="AC35" s="8">
        <v>8</v>
      </c>
      <c r="AD35" s="9"/>
      <c r="AE35" s="9"/>
      <c r="AF35" s="9">
        <v>207202</v>
      </c>
      <c r="AG35" s="9">
        <v>443</v>
      </c>
      <c r="AH35" s="9">
        <v>181863</v>
      </c>
      <c r="AI35" s="9">
        <v>9455</v>
      </c>
      <c r="AJ35" s="9">
        <v>847</v>
      </c>
      <c r="AK35" s="8">
        <v>60</v>
      </c>
      <c r="AL35" s="8">
        <v>186</v>
      </c>
      <c r="AM35" s="8">
        <v>8</v>
      </c>
      <c r="AN35" s="15"/>
      <c r="AO35" s="13">
        <f t="shared" si="42"/>
      </c>
      <c r="AP35" s="13">
        <f t="shared" si="33"/>
      </c>
      <c r="AQ35" s="13">
        <f t="shared" si="44"/>
      </c>
      <c r="AR35" s="16">
        <f t="shared" si="10"/>
      </c>
      <c r="AS35" s="17">
        <f t="shared" si="4"/>
      </c>
    </row>
    <row hidden="true" r="36">
      <c r="A36" s="18" t="s">
        <v>68</v>
      </c>
      <c r="B36" s="19"/>
      <c r="C36" s="19"/>
      <c r="D36" s="19">
        <f>SUM(D33:D35)</f>
      </c>
      <c r="E36" s="19">
        <f>SUM(E33:E35)</f>
      </c>
      <c r="F36" s="19">
        <f>SUM(F33:F35)</f>
      </c>
      <c r="G36" s="19">
        <f>SUM(G33:G35)</f>
      </c>
      <c r="H36" s="19">
        <f>SUM(H33:H35)</f>
      </c>
      <c r="I36" s="19">
        <f>SUM(I33:I35)</f>
      </c>
      <c r="J36" s="19">
        <f>SUM(J33:J35)</f>
      </c>
      <c r="K36" s="19">
        <f>SUM(K33:K35)</f>
      </c>
      <c r="L36" s="19">
        <f>SUM(L33:L35)</f>
      </c>
      <c r="M36" s="19">
        <f>SUM(M33:M35)</f>
      </c>
      <c r="N36" s="19">
        <f>SUM(N33:N35)</f>
      </c>
      <c r="O36" s="19">
        <f>SUM(O33:O35)</f>
      </c>
      <c r="P36" s="19">
        <f>SUM(P33:P35)</f>
      </c>
      <c r="Q36" s="19">
        <f>SUM(Q33:Q35)</f>
      </c>
      <c r="R36" s="19">
        <f>SUM(R33:R35)</f>
      </c>
      <c r="S36" s="19">
        <f>SUM(S33:S35)</f>
      </c>
      <c r="T36" s="20">
        <f t="shared" si="6"/>
      </c>
      <c r="U36" s="20">
        <f t="shared" si="0"/>
      </c>
      <c r="V36" s="20">
        <f t="shared" si="40"/>
      </c>
      <c r="W36" s="20">
        <f t="shared" si="31"/>
      </c>
      <c r="X36" s="20">
        <f t="shared" si="8"/>
      </c>
      <c r="Y36" s="21">
        <f t="shared" si="2"/>
      </c>
      <c r="Z36" s="22">
        <f>SUM(Z33:Z35)</f>
      </c>
      <c r="AA36" s="22">
        <f>SUM(AA33:AA35)</f>
      </c>
      <c r="AB36" s="22"/>
      <c r="AC36" s="22">
        <f>SUM(AC33:AC35)</f>
      </c>
      <c r="AD36" s="22"/>
      <c r="AE36" s="22"/>
      <c r="AF36" s="22">
        <f>SUM(AF33:AF35)</f>
      </c>
      <c r="AG36" s="22">
        <f>SUM(AG33:AG35)</f>
      </c>
      <c r="AH36" s="22">
        <f>SUM(AH33:AH35)</f>
      </c>
      <c r="AI36" s="22">
        <f>SUM(AI33:AI35)</f>
      </c>
      <c r="AJ36" s="22">
        <f>SUM(AJ33:AJ35)</f>
      </c>
      <c r="AK36" s="22">
        <f>SUM(AK33:AK35)</f>
      </c>
      <c r="AL36" s="22">
        <f>SUM(AL33:AL35)</f>
      </c>
      <c r="AM36" s="22">
        <f>SUM(AM33:AM35)</f>
      </c>
      <c r="AN36" s="22">
        <f>SUM(AN33:AN35)</f>
      </c>
      <c r="AO36" s="21">
        <f t="shared" si="42"/>
      </c>
      <c r="AP36" s="21">
        <f t="shared" si="33"/>
      </c>
      <c r="AQ36" s="21">
        <f t="shared" si="44"/>
      </c>
      <c r="AR36" s="21">
        <f t="shared" si="10"/>
      </c>
      <c r="AS36" s="24">
        <f t="shared" si="4"/>
      </c>
    </row>
    <row hidden="true" r="37">
      <c r="A37" s="6" t="s">
        <v>70</v>
      </c>
      <c r="B37" s="3" t="s">
        <v>50</v>
      </c>
      <c r="C37" s="3" t="s">
        <v>61</v>
      </c>
      <c r="D37" s="7">
        <v>5</v>
      </c>
      <c r="E37" s="8">
        <v>14</v>
      </c>
      <c r="F37" s="8">
        <v>6</v>
      </c>
      <c r="G37" s="8">
        <v>5</v>
      </c>
      <c r="H37" s="8">
        <v>5</v>
      </c>
      <c r="I37" s="8">
        <v>308.45</v>
      </c>
      <c r="J37" s="8">
        <v>1</v>
      </c>
      <c r="K37" s="8">
        <v>259.9</v>
      </c>
      <c r="L37" s="8">
        <v>5</v>
      </c>
      <c r="M37" s="8">
        <v>2745.22</v>
      </c>
      <c r="N37" s="8">
        <v>1</v>
      </c>
      <c r="O37" s="8">
        <v>1216.08</v>
      </c>
      <c r="P37" s="8">
        <v>1</v>
      </c>
      <c r="Q37" s="8">
        <v>79.16</v>
      </c>
      <c r="R37" s="1">
        <f t="shared" ref="R37:R39" si="21">(I37*12)+K37</f>
      </c>
      <c r="S37" s="10">
        <v>8126.847</v>
      </c>
      <c r="T37" s="11">
        <f t="shared" si="6"/>
      </c>
      <c r="U37" s="12">
        <f t="shared" si="0"/>
      </c>
      <c r="V37" s="12">
        <f t="shared" si="40"/>
      </c>
      <c r="W37" s="13">
        <f t="shared" si="31"/>
      </c>
      <c r="X37" s="13">
        <f t="shared" si="8"/>
      </c>
      <c r="Y37" s="13">
        <f t="shared" si="2"/>
      </c>
      <c r="Z37" s="3">
        <v>4</v>
      </c>
      <c r="AA37" s="3">
        <v>4</v>
      </c>
      <c r="AB37" s="8" t="s">
        <v>63</v>
      </c>
      <c r="AC37" s="8">
        <v>7</v>
      </c>
      <c r="AD37" s="8" t="s">
        <v>49</v>
      </c>
      <c r="AE37" s="8">
        <v>15</v>
      </c>
      <c r="AF37" s="26">
        <v>172357</v>
      </c>
      <c r="AG37" s="8">
        <v>178</v>
      </c>
      <c r="AH37" s="8">
        <v>117697</v>
      </c>
      <c r="AI37" s="8">
        <v>8914</v>
      </c>
      <c r="AJ37" s="8">
        <v>914</v>
      </c>
      <c r="AK37" s="8">
        <v>39</v>
      </c>
      <c r="AL37" s="8">
        <v>184</v>
      </c>
      <c r="AM37" s="8">
        <v>9</v>
      </c>
      <c r="AN37" s="15"/>
      <c r="AO37" s="13">
        <f t="shared" si="42"/>
      </c>
      <c r="AP37" s="13">
        <f t="shared" si="33"/>
      </c>
      <c r="AQ37" s="13">
        <f t="shared" si="44"/>
      </c>
      <c r="AR37" s="16">
        <f t="shared" si="10"/>
      </c>
      <c r="AS37" s="17">
        <f t="shared" si="4"/>
      </c>
    </row>
    <row hidden="true" r="38">
      <c r="A38" s="6" t="s">
        <v>70</v>
      </c>
      <c r="B38" s="3" t="s">
        <v>55</v>
      </c>
      <c r="C38" s="3" t="s">
        <v>47</v>
      </c>
      <c r="D38" s="7">
        <v>5</v>
      </c>
      <c r="E38" s="8">
        <v>8</v>
      </c>
      <c r="F38" s="8">
        <v>5</v>
      </c>
      <c r="G38" s="8">
        <v>5</v>
      </c>
      <c r="H38" s="8">
        <v>5</v>
      </c>
      <c r="I38" s="8">
        <v>579.85</v>
      </c>
      <c r="J38" s="8">
        <v>0</v>
      </c>
      <c r="K38" s="8">
        <v>0</v>
      </c>
      <c r="L38" s="8">
        <v>3</v>
      </c>
      <c r="M38" s="8">
        <v>1870.3199999999997</v>
      </c>
      <c r="N38" s="8">
        <v>2</v>
      </c>
      <c r="O38" s="8">
        <v>5087.88</v>
      </c>
      <c r="P38" s="8">
        <v>0</v>
      </c>
      <c r="Q38" s="8">
        <v>0</v>
      </c>
      <c r="R38" s="1">
        <f t="shared" si="21"/>
      </c>
      <c r="S38" s="10">
        <v>6419.468000000001</v>
      </c>
      <c r="T38" s="11">
        <f t="shared" si="6"/>
      </c>
      <c r="U38" s="12">
        <f t="shared" si="0"/>
      </c>
      <c r="V38" s="12">
        <f t="shared" si="40"/>
      </c>
      <c r="W38" s="13">
        <f t="shared" si="31"/>
      </c>
      <c r="X38" s="13">
        <f t="shared" si="8"/>
      </c>
      <c r="Y38" s="13">
        <f t="shared" si="2"/>
      </c>
      <c r="Z38" s="3">
        <v>1</v>
      </c>
      <c r="AA38" s="3">
        <v>1</v>
      </c>
      <c r="AB38" s="8"/>
      <c r="AC38" s="8"/>
      <c r="AD38" s="8"/>
      <c r="AE38" s="8"/>
      <c r="AF38" s="14">
        <v>93964</v>
      </c>
      <c r="AG38" s="9">
        <v>215</v>
      </c>
      <c r="AH38" s="14">
        <v>72238</v>
      </c>
      <c r="AI38" s="9">
        <v>5866</v>
      </c>
      <c r="AJ38" s="9">
        <v>1092</v>
      </c>
      <c r="AK38" s="8">
        <v>34</v>
      </c>
      <c r="AL38" s="8">
        <v>218</v>
      </c>
      <c r="AM38" s="8">
        <v>6</v>
      </c>
      <c r="AN38" s="15"/>
      <c r="AO38" s="13">
        <f t="shared" si="42"/>
      </c>
      <c r="AP38" s="13">
        <f t="shared" si="33"/>
      </c>
      <c r="AQ38" s="13">
        <f t="shared" si="44"/>
      </c>
      <c r="AR38" s="16">
        <f t="shared" si="10"/>
      </c>
      <c r="AS38" s="17">
        <f t="shared" si="4"/>
      </c>
    </row>
    <row hidden="true" r="39">
      <c r="A39" s="6" t="s">
        <v>70</v>
      </c>
      <c r="B39" s="1" t="s">
        <v>46</v>
      </c>
      <c r="C39" s="3" t="s">
        <v>51</v>
      </c>
      <c r="D39" s="7">
        <v>5</v>
      </c>
      <c r="E39" s="8">
        <v>12</v>
      </c>
      <c r="F39" s="8">
        <v>9</v>
      </c>
      <c r="G39" s="8">
        <v>9</v>
      </c>
      <c r="H39" s="8">
        <v>9</v>
      </c>
      <c r="I39" s="9">
        <v>1750.6999999999998</v>
      </c>
      <c r="J39" s="8">
        <v>0</v>
      </c>
      <c r="K39" s="8">
        <v>0</v>
      </c>
      <c r="L39" s="8">
        <v>4</v>
      </c>
      <c r="M39" s="8">
        <v>3837.96</v>
      </c>
      <c r="N39" s="8">
        <v>5</v>
      </c>
      <c r="O39" s="8">
        <v>17170.44</v>
      </c>
      <c r="P39" s="8">
        <v>4</v>
      </c>
      <c r="Q39" s="8">
        <v>1157.08</v>
      </c>
      <c r="R39" s="1">
        <f t="shared" si="21"/>
      </c>
      <c r="S39" s="10">
        <v>7631.966</v>
      </c>
      <c r="T39" s="11">
        <f t="shared" si="6"/>
      </c>
      <c r="U39" s="12">
        <f t="shared" si="0"/>
      </c>
      <c r="V39" s="12">
        <f t="shared" si="40"/>
      </c>
      <c r="W39" s="13">
        <f t="shared" si="31"/>
      </c>
      <c r="X39" s="13">
        <f t="shared" si="8"/>
      </c>
      <c r="Y39" s="13">
        <f t="shared" si="2"/>
      </c>
      <c r="Z39" s="3">
        <v>0</v>
      </c>
      <c r="AA39" s="3">
        <v>0</v>
      </c>
      <c r="AB39" s="8" t="s">
        <v>71</v>
      </c>
      <c r="AC39" s="8">
        <v>8</v>
      </c>
      <c r="AD39" s="9"/>
      <c r="AE39" s="9"/>
      <c r="AF39" s="9">
        <v>177275</v>
      </c>
      <c r="AG39" s="9">
        <v>368</v>
      </c>
      <c r="AH39" s="9">
        <v>134690</v>
      </c>
      <c r="AI39" s="9">
        <v>7744</v>
      </c>
      <c r="AJ39" s="9">
        <v>1405</v>
      </c>
      <c r="AK39" s="8">
        <v>64</v>
      </c>
      <c r="AL39" s="8">
        <v>364</v>
      </c>
      <c r="AM39" s="8">
        <v>8</v>
      </c>
      <c r="AN39" s="15"/>
      <c r="AO39" s="13">
        <f t="shared" si="42"/>
      </c>
      <c r="AP39" s="13">
        <f t="shared" si="33"/>
      </c>
      <c r="AQ39" s="13">
        <f t="shared" si="44"/>
      </c>
      <c r="AR39" s="16">
        <f t="shared" si="10"/>
      </c>
      <c r="AS39" s="17">
        <f t="shared" si="4"/>
      </c>
    </row>
    <row hidden="true" r="40">
      <c r="A40" s="18" t="s">
        <v>70</v>
      </c>
      <c r="B40" s="19"/>
      <c r="C40" s="19"/>
      <c r="D40" s="19">
        <f>SUM(D37:D39)</f>
      </c>
      <c r="E40" s="19">
        <f>SUM(E37:E39)</f>
      </c>
      <c r="F40" s="19">
        <f>SUM(F37:F39)</f>
      </c>
      <c r="G40" s="19">
        <f>SUM(G37:G39)</f>
      </c>
      <c r="H40" s="19">
        <f>SUM(H37:H39)</f>
      </c>
      <c r="I40" s="19">
        <f>SUM(I37:I39)</f>
      </c>
      <c r="J40" s="19">
        <f>SUM(J37:J39)</f>
      </c>
      <c r="K40" s="19">
        <f>SUM(K37:K39)</f>
      </c>
      <c r="L40" s="19">
        <f>SUM(L37:L39)</f>
      </c>
      <c r="M40" s="19">
        <f>SUM(M37:M39)</f>
      </c>
      <c r="N40" s="19">
        <f>SUM(N37:N39)</f>
      </c>
      <c r="O40" s="19">
        <f>SUM(O37:O39)</f>
      </c>
      <c r="P40" s="19">
        <f>SUM(P37:P39)</f>
      </c>
      <c r="Q40" s="19">
        <f>SUM(Q37:Q39)</f>
      </c>
      <c r="R40" s="19">
        <f>SUM(R37:R39)</f>
      </c>
      <c r="S40" s="19">
        <f>SUM(S37:S39)</f>
      </c>
      <c r="T40" s="20">
        <f t="shared" si="6"/>
      </c>
      <c r="U40" s="20">
        <f t="shared" si="0"/>
      </c>
      <c r="V40" s="20">
        <f t="shared" si="40"/>
      </c>
      <c r="W40" s="20">
        <f t="shared" si="31"/>
      </c>
      <c r="X40" s="20">
        <f t="shared" si="8"/>
      </c>
      <c r="Y40" s="21">
        <f t="shared" si="2"/>
      </c>
      <c r="Z40" s="22">
        <f>SUM(Z37:Z39)</f>
      </c>
      <c r="AA40" s="22">
        <f>SUM(AA37:AA39)</f>
      </c>
      <c r="AB40" s="22"/>
      <c r="AC40" s="22">
        <f>SUM(AC37:AC39)</f>
      </c>
      <c r="AD40" s="22"/>
      <c r="AE40" s="22"/>
      <c r="AF40" s="22">
        <f>SUM(AF37:AF39)</f>
      </c>
      <c r="AG40" s="22">
        <f>SUM(AG37:AG39)</f>
      </c>
      <c r="AH40" s="22">
        <f>SUM(AH37:AH39)</f>
      </c>
      <c r="AI40" s="22">
        <f>SUM(AI37:AI39)</f>
      </c>
      <c r="AJ40" s="22">
        <f>SUM(AJ37:AJ39)</f>
      </c>
      <c r="AK40" s="22">
        <f>SUM(AK37:AK39)</f>
      </c>
      <c r="AL40" s="22">
        <f>SUM(AL37:AL39)</f>
      </c>
      <c r="AM40" s="22">
        <f>SUM(AM37:AM39)</f>
      </c>
      <c r="AN40" s="22">
        <f>SUM(AN37:AN39)</f>
      </c>
      <c r="AO40" s="21">
        <f t="shared" si="42"/>
      </c>
      <c r="AP40" s="21">
        <f t="shared" si="33"/>
      </c>
      <c r="AQ40" s="21">
        <f t="shared" si="44"/>
      </c>
      <c r="AR40" s="21">
        <f t="shared" si="10"/>
      </c>
      <c r="AS40" s="24">
        <f t="shared" si="4"/>
      </c>
    </row>
    <row hidden="true" r="41">
      <c r="A41" s="6" t="s">
        <v>72</v>
      </c>
      <c r="B41" s="3" t="s">
        <v>46</v>
      </c>
      <c r="C41" s="3" t="s">
        <v>61</v>
      </c>
      <c r="D41" s="7">
        <v>5</v>
      </c>
      <c r="E41" s="8">
        <v>20</v>
      </c>
      <c r="F41" s="8">
        <v>13</v>
      </c>
      <c r="G41" s="8">
        <v>13</v>
      </c>
      <c r="H41" s="8">
        <v>13</v>
      </c>
      <c r="I41" s="8">
        <v>2192.46</v>
      </c>
      <c r="J41" s="8">
        <v>0</v>
      </c>
      <c r="K41" s="8">
        <v>0</v>
      </c>
      <c r="L41" s="8">
        <v>5</v>
      </c>
      <c r="M41" s="8">
        <v>6346.800000000001</v>
      </c>
      <c r="N41" s="8">
        <v>8</v>
      </c>
      <c r="O41" s="8">
        <v>19962.72</v>
      </c>
      <c r="P41" s="8">
        <v>2</v>
      </c>
      <c r="Q41" s="8">
        <v>713.91</v>
      </c>
      <c r="R41" s="1">
        <f t="shared" ref="R41:R43" si="22">(I41*12)+K41</f>
      </c>
      <c r="S41" s="10">
        <v>8644.935000000001</v>
      </c>
      <c r="T41" s="11">
        <f t="shared" si="6"/>
      </c>
      <c r="U41" s="12">
        <f t="shared" si="0"/>
      </c>
      <c r="V41" s="12">
        <f t="shared" si="40"/>
      </c>
      <c r="W41" s="13">
        <f t="shared" si="31"/>
      </c>
      <c r="X41" s="13">
        <f t="shared" si="8"/>
      </c>
      <c r="Y41" s="13">
        <f t="shared" si="2"/>
      </c>
      <c r="Z41" s="3">
        <v>2</v>
      </c>
      <c r="AA41" s="3">
        <v>2</v>
      </c>
      <c r="AB41" s="8" t="s">
        <v>52</v>
      </c>
      <c r="AC41" s="8">
        <v>7</v>
      </c>
      <c r="AD41" s="8" t="s">
        <v>49</v>
      </c>
      <c r="AE41" s="8">
        <v>15</v>
      </c>
      <c r="AF41" s="26">
        <v>196736</v>
      </c>
      <c r="AG41" s="8">
        <v>265</v>
      </c>
      <c r="AH41" s="8">
        <v>189477</v>
      </c>
      <c r="AI41" s="8">
        <v>15198</v>
      </c>
      <c r="AJ41" s="8">
        <v>1059</v>
      </c>
      <c r="AK41" s="8">
        <v>63</v>
      </c>
      <c r="AL41" s="8">
        <v>231</v>
      </c>
      <c r="AM41" s="8">
        <v>13</v>
      </c>
      <c r="AN41" s="15"/>
      <c r="AO41" s="13">
        <f t="shared" si="42"/>
      </c>
      <c r="AP41" s="13">
        <f t="shared" si="33"/>
      </c>
      <c r="AQ41" s="13">
        <f t="shared" si="44"/>
      </c>
      <c r="AR41" s="16">
        <f t="shared" si="10"/>
      </c>
      <c r="AS41" s="17">
        <f t="shared" si="4"/>
      </c>
    </row>
    <row hidden="true" r="42">
      <c r="A42" s="6" t="s">
        <v>72</v>
      </c>
      <c r="B42" s="3" t="s">
        <v>55</v>
      </c>
      <c r="C42" s="3" t="s">
        <v>47</v>
      </c>
      <c r="D42" s="7">
        <v>5</v>
      </c>
      <c r="E42" s="8">
        <v>5</v>
      </c>
      <c r="F42" s="8">
        <v>4</v>
      </c>
      <c r="G42" s="8">
        <v>3</v>
      </c>
      <c r="H42" s="8">
        <v>3</v>
      </c>
      <c r="I42" s="8">
        <v>206.87</v>
      </c>
      <c r="J42" s="8">
        <v>1</v>
      </c>
      <c r="K42" s="8">
        <v>207</v>
      </c>
      <c r="L42" s="8">
        <v>4</v>
      </c>
      <c r="M42" s="8">
        <v>2689.44</v>
      </c>
      <c r="N42" s="8">
        <v>0</v>
      </c>
      <c r="O42" s="8">
        <v>0</v>
      </c>
      <c r="P42" s="8">
        <v>2</v>
      </c>
      <c r="Q42" s="8">
        <v>206.87</v>
      </c>
      <c r="R42" s="1">
        <f t="shared" si="22"/>
      </c>
      <c r="S42" s="10">
        <v>8885.287</v>
      </c>
      <c r="T42" s="11">
        <f t="shared" si="6"/>
      </c>
      <c r="U42" s="12">
        <f t="shared" si="0"/>
      </c>
      <c r="V42" s="12">
        <f t="shared" si="40"/>
      </c>
      <c r="W42" s="13">
        <f t="shared" si="31"/>
      </c>
      <c r="X42" s="13">
        <f t="shared" si="8"/>
      </c>
      <c r="Y42" s="13">
        <f t="shared" si="2"/>
      </c>
      <c r="Z42" s="3">
        <v>0</v>
      </c>
      <c r="AA42" s="3">
        <v>0</v>
      </c>
      <c r="AB42" s="8"/>
      <c r="AC42" s="8"/>
      <c r="AD42" s="8"/>
      <c r="AE42" s="8"/>
      <c r="AF42" s="14">
        <v>240741</v>
      </c>
      <c r="AG42" s="9">
        <v>400</v>
      </c>
      <c r="AH42" s="14">
        <v>151126</v>
      </c>
      <c r="AI42" s="9">
        <v>11209</v>
      </c>
      <c r="AJ42" s="9">
        <v>1097</v>
      </c>
      <c r="AK42" s="8">
        <v>40</v>
      </c>
      <c r="AL42" s="8">
        <v>222</v>
      </c>
      <c r="AM42" s="8">
        <v>14</v>
      </c>
      <c r="AN42" s="15"/>
      <c r="AO42" s="13">
        <f t="shared" si="42"/>
      </c>
      <c r="AP42" s="13">
        <f t="shared" si="33"/>
      </c>
      <c r="AQ42" s="13">
        <f t="shared" si="44"/>
      </c>
      <c r="AR42" s="16">
        <f t="shared" si="10"/>
      </c>
      <c r="AS42" s="17">
        <f t="shared" si="4"/>
      </c>
    </row>
    <row hidden="true" r="43">
      <c r="A43" s="6" t="s">
        <v>72</v>
      </c>
      <c r="B43" s="3" t="s">
        <v>50</v>
      </c>
      <c r="C43" s="3" t="s">
        <v>51</v>
      </c>
      <c r="D43" s="7">
        <v>5</v>
      </c>
      <c r="E43" s="8">
        <v>21</v>
      </c>
      <c r="F43" s="8">
        <v>16</v>
      </c>
      <c r="G43" s="8">
        <v>13</v>
      </c>
      <c r="H43" s="8">
        <v>16</v>
      </c>
      <c r="I43" s="9">
        <v>1631.7999999999997</v>
      </c>
      <c r="J43" s="8">
        <v>0</v>
      </c>
      <c r="K43" s="8">
        <v>0</v>
      </c>
      <c r="L43" s="8">
        <v>9</v>
      </c>
      <c r="M43" s="8">
        <v>6487.68</v>
      </c>
      <c r="N43" s="8">
        <v>7</v>
      </c>
      <c r="O43" s="8">
        <v>13093.919999999998</v>
      </c>
      <c r="P43" s="8">
        <v>5</v>
      </c>
      <c r="Q43" s="8">
        <v>271.90999999999997</v>
      </c>
      <c r="R43" s="1">
        <f t="shared" si="22"/>
      </c>
      <c r="S43" s="10">
        <v>10784.196</v>
      </c>
      <c r="T43" s="11">
        <f t="shared" si="6"/>
      </c>
      <c r="U43" s="12">
        <f t="shared" si="0"/>
      </c>
      <c r="V43" s="12">
        <f t="shared" si="40"/>
      </c>
      <c r="W43" s="13">
        <f t="shared" si="31"/>
      </c>
      <c r="X43" s="13">
        <f t="shared" si="8"/>
      </c>
      <c r="Y43" s="13">
        <f t="shared" si="2"/>
      </c>
      <c r="Z43" s="3">
        <v>2</v>
      </c>
      <c r="AA43" s="3">
        <v>1</v>
      </c>
      <c r="AB43" s="8" t="s">
        <v>71</v>
      </c>
      <c r="AC43" s="8">
        <v>8</v>
      </c>
      <c r="AD43" s="9"/>
      <c r="AE43" s="9"/>
      <c r="AF43" s="9">
        <v>323902</v>
      </c>
      <c r="AG43" s="9">
        <v>308</v>
      </c>
      <c r="AH43" s="9">
        <v>262869</v>
      </c>
      <c r="AI43" s="9">
        <v>13517</v>
      </c>
      <c r="AJ43" s="9">
        <v>1232</v>
      </c>
      <c r="AK43" s="8">
        <v>97</v>
      </c>
      <c r="AL43" s="8">
        <v>282</v>
      </c>
      <c r="AM43" s="8">
        <v>28</v>
      </c>
      <c r="AN43" s="15"/>
      <c r="AO43" s="13">
        <f t="shared" si="42"/>
      </c>
      <c r="AP43" s="13">
        <f t="shared" si="33"/>
      </c>
      <c r="AQ43" s="13">
        <f t="shared" si="44"/>
      </c>
      <c r="AR43" s="16">
        <f t="shared" si="10"/>
      </c>
      <c r="AS43" s="17">
        <f t="shared" si="4"/>
      </c>
    </row>
    <row hidden="true" r="44">
      <c r="A44" s="18" t="s">
        <v>72</v>
      </c>
      <c r="B44" s="19"/>
      <c r="C44" s="19"/>
      <c r="D44" s="19">
        <f>SUM(D41:D43)</f>
      </c>
      <c r="E44" s="19">
        <f>SUM(E41:E43)</f>
      </c>
      <c r="F44" s="19">
        <f>SUM(F41:F43)</f>
      </c>
      <c r="G44" s="19">
        <f>SUM(G41:G43)</f>
      </c>
      <c r="H44" s="19">
        <f>SUM(H41:H43)</f>
      </c>
      <c r="I44" s="19">
        <f>SUM(I41:I43)</f>
      </c>
      <c r="J44" s="19">
        <f>SUM(J41:J43)</f>
      </c>
      <c r="K44" s="19">
        <f>SUM(K41:K43)</f>
      </c>
      <c r="L44" s="19">
        <f>SUM(L41:L43)</f>
      </c>
      <c r="M44" s="19">
        <f>SUM(M41:M43)</f>
      </c>
      <c r="N44" s="19">
        <f>SUM(N41:N43)</f>
      </c>
      <c r="O44" s="19">
        <f>SUM(O41:O43)</f>
      </c>
      <c r="P44" s="19">
        <f>SUM(P41:P43)</f>
      </c>
      <c r="Q44" s="19">
        <f>SUM(Q41:Q43)</f>
      </c>
      <c r="R44" s="19">
        <f>SUM(R41:R43)</f>
      </c>
      <c r="S44" s="19">
        <f>SUM(S41:S43)</f>
      </c>
      <c r="T44" s="20">
        <f t="shared" si="6"/>
      </c>
      <c r="U44" s="20">
        <f t="shared" si="0"/>
      </c>
      <c r="V44" s="20">
        <f t="shared" si="40"/>
      </c>
      <c r="W44" s="20">
        <f t="shared" si="31"/>
      </c>
      <c r="X44" s="20">
        <f t="shared" si="8"/>
      </c>
      <c r="Y44" s="21">
        <f t="shared" si="2"/>
      </c>
      <c r="Z44" s="22">
        <f>SUM(Z41:Z43)</f>
      </c>
      <c r="AA44" s="22">
        <f>SUM(AA41:AA43)</f>
      </c>
      <c r="AB44" s="22"/>
      <c r="AC44" s="22">
        <f>SUM(AC41:AC43)</f>
      </c>
      <c r="AD44" s="22"/>
      <c r="AE44" s="22"/>
      <c r="AF44" s="22">
        <f>SUM(AF41:AF43)</f>
      </c>
      <c r="AG44" s="22">
        <f>SUM(AG41:AG43)</f>
      </c>
      <c r="AH44" s="22">
        <f>SUM(AH41:AH43)</f>
      </c>
      <c r="AI44" s="22">
        <f>SUM(AI41:AI43)</f>
      </c>
      <c r="AJ44" s="22">
        <f>SUM(AJ41:AJ43)</f>
      </c>
      <c r="AK44" s="22">
        <f>SUM(AK41:AK43)</f>
      </c>
      <c r="AL44" s="22">
        <f>SUM(AL41:AL43)</f>
      </c>
      <c r="AM44" s="22">
        <f>SUM(AM41:AM43)</f>
      </c>
      <c r="AN44" s="22">
        <f>SUM(AN41:AN43)</f>
      </c>
      <c r="AO44" s="21">
        <f t="shared" si="42"/>
      </c>
      <c r="AP44" s="21">
        <f t="shared" si="33"/>
      </c>
      <c r="AQ44" s="21">
        <f t="shared" si="44"/>
      </c>
      <c r="AR44" s="21">
        <f t="shared" si="10"/>
      </c>
      <c r="AS44" s="24">
        <f t="shared" si="4"/>
      </c>
    </row>
    <row hidden="true" r="45">
      <c r="A45" s="6" t="s">
        <v>73</v>
      </c>
      <c r="B45" s="3" t="s">
        <v>46</v>
      </c>
      <c r="C45" s="3" t="s">
        <v>61</v>
      </c>
      <c r="D45" s="7">
        <v>5</v>
      </c>
      <c r="E45" s="8">
        <v>8</v>
      </c>
      <c r="F45" s="8">
        <v>4</v>
      </c>
      <c r="G45" s="8">
        <v>4</v>
      </c>
      <c r="H45" s="8">
        <v>4</v>
      </c>
      <c r="I45" s="8">
        <v>382.46000000000004</v>
      </c>
      <c r="J45" s="8">
        <v>0</v>
      </c>
      <c r="K45" s="8">
        <v>0</v>
      </c>
      <c r="L45" s="8">
        <v>3</v>
      </c>
      <c r="M45" s="8">
        <v>2104.44</v>
      </c>
      <c r="N45" s="8">
        <v>1</v>
      </c>
      <c r="O45" s="8">
        <v>2485.08</v>
      </c>
      <c r="P45" s="8">
        <v>2</v>
      </c>
      <c r="Q45" s="8">
        <v>154.79</v>
      </c>
      <c r="R45" s="1">
        <f t="shared" ref="R45:R47" si="23">(I45*12)+K45</f>
      </c>
      <c r="S45" s="10">
        <v>7036.014999999999</v>
      </c>
      <c r="T45" s="11">
        <f t="shared" si="6"/>
      </c>
      <c r="U45" s="12">
        <f t="shared" si="0"/>
      </c>
      <c r="V45" s="12">
        <f t="shared" si="40"/>
      </c>
      <c r="W45" s="13">
        <f t="shared" si="31"/>
      </c>
      <c r="X45" s="13">
        <f t="shared" si="8"/>
      </c>
      <c r="Y45" s="13">
        <f t="shared" si="2"/>
      </c>
      <c r="Z45" s="3">
        <v>2</v>
      </c>
      <c r="AA45" s="3">
        <v>2</v>
      </c>
      <c r="AB45" s="8" t="s">
        <v>52</v>
      </c>
      <c r="AC45" s="8">
        <v>7</v>
      </c>
      <c r="AD45" s="8" t="s">
        <v>49</v>
      </c>
      <c r="AE45" s="8">
        <v>15</v>
      </c>
      <c r="AF45" s="26">
        <v>198629</v>
      </c>
      <c r="AG45" s="8">
        <v>253</v>
      </c>
      <c r="AH45" s="8">
        <v>132483</v>
      </c>
      <c r="AI45" s="8">
        <v>10960</v>
      </c>
      <c r="AJ45" s="8">
        <v>947</v>
      </c>
      <c r="AK45" s="8">
        <v>54</v>
      </c>
      <c r="AL45" s="8">
        <v>180</v>
      </c>
      <c r="AM45" s="8">
        <v>10</v>
      </c>
      <c r="AN45" s="15"/>
      <c r="AO45" s="13">
        <f t="shared" si="42"/>
      </c>
      <c r="AP45" s="13">
        <f t="shared" si="33"/>
      </c>
      <c r="AQ45" s="13">
        <f t="shared" si="44"/>
      </c>
      <c r="AR45" s="16">
        <f t="shared" si="10"/>
      </c>
      <c r="AS45" s="17">
        <f t="shared" si="4"/>
      </c>
    </row>
    <row hidden="true" r="46">
      <c r="A46" s="6" t="s">
        <v>73</v>
      </c>
      <c r="B46" s="3" t="s">
        <v>55</v>
      </c>
      <c r="C46" s="3" t="s">
        <v>47</v>
      </c>
      <c r="D46" s="7">
        <v>5</v>
      </c>
      <c r="E46" s="8">
        <v>3</v>
      </c>
      <c r="F46" s="8">
        <v>2</v>
      </c>
      <c r="G46" s="8">
        <v>2</v>
      </c>
      <c r="H46" s="8">
        <v>2</v>
      </c>
      <c r="I46" s="8">
        <v>316.87</v>
      </c>
      <c r="J46" s="8">
        <v>0</v>
      </c>
      <c r="K46" s="8">
        <v>0</v>
      </c>
      <c r="L46" s="8">
        <v>2</v>
      </c>
      <c r="M46" s="8">
        <v>3802.44</v>
      </c>
      <c r="N46" s="8">
        <v>0</v>
      </c>
      <c r="O46" s="8">
        <v>0</v>
      </c>
      <c r="P46" s="8">
        <v>2</v>
      </c>
      <c r="Q46" s="8">
        <v>316.87</v>
      </c>
      <c r="R46" s="1">
        <f t="shared" si="23"/>
      </c>
      <c r="S46" s="10">
        <v>5618.348999999999</v>
      </c>
      <c r="T46" s="11">
        <f t="shared" si="6"/>
      </c>
      <c r="U46" s="12">
        <f t="shared" si="0"/>
      </c>
      <c r="V46" s="12">
        <f t="shared" si="40"/>
      </c>
      <c r="W46" s="13">
        <f t="shared" si="31"/>
      </c>
      <c r="X46" s="13">
        <f t="shared" si="8"/>
      </c>
      <c r="Y46" s="13">
        <f t="shared" si="2"/>
      </c>
      <c r="Z46" s="3">
        <v>1</v>
      </c>
      <c r="AA46" s="3">
        <v>1</v>
      </c>
      <c r="AB46" s="8"/>
      <c r="AC46" s="8"/>
      <c r="AD46" s="8"/>
      <c r="AE46" s="8"/>
      <c r="AF46" s="14">
        <v>179684</v>
      </c>
      <c r="AG46" s="9">
        <v>359</v>
      </c>
      <c r="AH46" s="14">
        <v>106248</v>
      </c>
      <c r="AI46" s="9">
        <v>6704</v>
      </c>
      <c r="AJ46" s="9">
        <v>988</v>
      </c>
      <c r="AK46" s="8">
        <v>27</v>
      </c>
      <c r="AL46" s="8">
        <v>144</v>
      </c>
      <c r="AM46" s="8">
        <v>9</v>
      </c>
      <c r="AN46" s="15"/>
      <c r="AO46" s="13">
        <f t="shared" si="42"/>
      </c>
      <c r="AP46" s="13">
        <f t="shared" si="33"/>
      </c>
      <c r="AQ46" s="13">
        <f t="shared" si="44"/>
      </c>
      <c r="AR46" s="16">
        <f t="shared" si="10"/>
      </c>
      <c r="AS46" s="17">
        <f t="shared" si="4"/>
      </c>
    </row>
    <row hidden="true" r="47">
      <c r="A47" s="6" t="s">
        <v>73</v>
      </c>
      <c r="B47" s="3" t="s">
        <v>50</v>
      </c>
      <c r="C47" s="3" t="s">
        <v>51</v>
      </c>
      <c r="D47" s="7">
        <v>5</v>
      </c>
      <c r="E47" s="8">
        <v>14</v>
      </c>
      <c r="F47" s="8">
        <v>8</v>
      </c>
      <c r="G47" s="8">
        <v>8</v>
      </c>
      <c r="H47" s="8">
        <v>8</v>
      </c>
      <c r="I47" s="9">
        <v>1318.99</v>
      </c>
      <c r="J47" s="8">
        <v>0</v>
      </c>
      <c r="K47" s="8">
        <v>0</v>
      </c>
      <c r="L47" s="8">
        <v>3</v>
      </c>
      <c r="M47" s="8">
        <v>4236.24</v>
      </c>
      <c r="N47" s="8">
        <v>5</v>
      </c>
      <c r="O47" s="8">
        <v>11591.64</v>
      </c>
      <c r="P47" s="8">
        <v>1</v>
      </c>
      <c r="Q47" s="8">
        <v>237.01</v>
      </c>
      <c r="R47" s="1">
        <f t="shared" si="23"/>
      </c>
      <c r="S47" s="10">
        <v>6912.688</v>
      </c>
      <c r="T47" s="11">
        <f t="shared" si="6"/>
      </c>
      <c r="U47" s="12">
        <f t="shared" si="0"/>
      </c>
      <c r="V47" s="12">
        <f t="shared" si="40"/>
      </c>
      <c r="W47" s="13">
        <f t="shared" si="31"/>
      </c>
      <c r="X47" s="13">
        <f t="shared" si="8"/>
      </c>
      <c r="Y47" s="13">
        <f t="shared" si="2"/>
      </c>
      <c r="Z47" s="3">
        <v>1</v>
      </c>
      <c r="AA47" s="3">
        <v>1</v>
      </c>
      <c r="AB47" s="8" t="s">
        <v>71</v>
      </c>
      <c r="AC47" s="8">
        <v>8</v>
      </c>
      <c r="AD47" s="9"/>
      <c r="AE47" s="9"/>
      <c r="AF47" s="9">
        <v>240703</v>
      </c>
      <c r="AG47" s="9">
        <v>327</v>
      </c>
      <c r="AH47" s="9">
        <v>262686</v>
      </c>
      <c r="AI47" s="9">
        <v>11577</v>
      </c>
      <c r="AJ47" s="9">
        <v>998</v>
      </c>
      <c r="AK47" s="8">
        <v>62</v>
      </c>
      <c r="AL47" s="8">
        <v>215</v>
      </c>
      <c r="AM47" s="8">
        <v>8</v>
      </c>
      <c r="AN47" s="15"/>
      <c r="AO47" s="13">
        <f t="shared" si="42"/>
      </c>
      <c r="AP47" s="13">
        <f t="shared" si="33"/>
      </c>
      <c r="AQ47" s="13">
        <f t="shared" si="44"/>
      </c>
      <c r="AR47" s="16">
        <f t="shared" si="10"/>
      </c>
      <c r="AS47" s="17">
        <f t="shared" si="4"/>
      </c>
    </row>
    <row hidden="true" r="48">
      <c r="A48" s="18" t="s">
        <v>73</v>
      </c>
      <c r="B48" s="19"/>
      <c r="C48" s="19"/>
      <c r="D48" s="19">
        <f>SUM(D45:D47)</f>
      </c>
      <c r="E48" s="19">
        <f>SUM(E45:E47)</f>
      </c>
      <c r="F48" s="19">
        <f>SUM(F45:F47)</f>
      </c>
      <c r="G48" s="19">
        <f>SUM(G45:G47)</f>
      </c>
      <c r="H48" s="19">
        <f>SUM(H45:H47)</f>
      </c>
      <c r="I48" s="19">
        <f>SUM(I45:I47)</f>
      </c>
      <c r="J48" s="19">
        <f>SUM(J45:J47)</f>
      </c>
      <c r="K48" s="19">
        <f>SUM(K45:K47)</f>
      </c>
      <c r="L48" s="19">
        <f>SUM(L45:L47)</f>
      </c>
      <c r="M48" s="19">
        <f>SUM(M45:M47)</f>
      </c>
      <c r="N48" s="19">
        <f>SUM(N45:N47)</f>
      </c>
      <c r="O48" s="19">
        <f>SUM(O45:O47)</f>
      </c>
      <c r="P48" s="19">
        <f>SUM(P45:P47)</f>
      </c>
      <c r="Q48" s="19">
        <f>SUM(Q45:Q47)</f>
      </c>
      <c r="R48" s="19">
        <f>SUM(R45:R47)</f>
      </c>
      <c r="S48" s="19">
        <f>SUM(S45:S47)</f>
      </c>
      <c r="T48" s="20">
        <f t="shared" si="6"/>
      </c>
      <c r="U48" s="20">
        <f t="shared" si="0"/>
      </c>
      <c r="V48" s="20">
        <f t="shared" si="40"/>
      </c>
      <c r="W48" s="20">
        <f t="shared" si="31"/>
      </c>
      <c r="X48" s="20">
        <f t="shared" si="8"/>
      </c>
      <c r="Y48" s="21">
        <f t="shared" si="2"/>
      </c>
      <c r="Z48" s="22">
        <f>SUM(Z45:Z47)</f>
      </c>
      <c r="AA48" s="22">
        <f>SUM(AA45:AA47)</f>
      </c>
      <c r="AB48" s="22"/>
      <c r="AC48" s="22">
        <f>SUM(AC45:AC47)</f>
      </c>
      <c r="AD48" s="22"/>
      <c r="AE48" s="22"/>
      <c r="AF48" s="22">
        <f>SUM(AF45:AF47)</f>
      </c>
      <c r="AG48" s="22">
        <f>SUM(AG45:AG47)</f>
      </c>
      <c r="AH48" s="22">
        <f>SUM(AH45:AH47)</f>
      </c>
      <c r="AI48" s="22">
        <f>SUM(AI45:AI47)</f>
      </c>
      <c r="AJ48" s="22">
        <f>SUM(AJ45:AJ47)</f>
      </c>
      <c r="AK48" s="22">
        <f>SUM(AK45:AK47)</f>
      </c>
      <c r="AL48" s="22">
        <f>SUM(AL45:AL47)</f>
      </c>
      <c r="AM48" s="22">
        <f>SUM(AM45:AM47)</f>
      </c>
      <c r="AN48" s="22">
        <f>SUM(AN45:AN47)</f>
      </c>
      <c r="AO48" s="21">
        <f t="shared" si="42"/>
      </c>
      <c r="AP48" s="21">
        <f t="shared" si="33"/>
      </c>
      <c r="AQ48" s="21">
        <f t="shared" si="44"/>
      </c>
      <c r="AR48" s="21">
        <f t="shared" si="10"/>
      </c>
      <c r="AS48" s="24">
        <f t="shared" si="4"/>
      </c>
    </row>
    <row hidden="true" r="49">
      <c r="A49" s="6" t="s">
        <v>74</v>
      </c>
      <c r="B49" s="3" t="s">
        <v>46</v>
      </c>
      <c r="C49" s="3" t="s">
        <v>61</v>
      </c>
      <c r="D49" s="7">
        <v>5</v>
      </c>
      <c r="E49" s="8">
        <v>14</v>
      </c>
      <c r="F49" s="8">
        <v>8</v>
      </c>
      <c r="G49" s="8">
        <v>6</v>
      </c>
      <c r="H49" s="8">
        <v>6</v>
      </c>
      <c r="I49" s="8">
        <v>605.82</v>
      </c>
      <c r="J49" s="8">
        <v>2</v>
      </c>
      <c r="K49" s="8">
        <v>3874.2</v>
      </c>
      <c r="L49" s="8">
        <v>5</v>
      </c>
      <c r="M49" s="8">
        <v>2800.72</v>
      </c>
      <c r="N49" s="8">
        <v>3</v>
      </c>
      <c r="O49" s="8">
        <v>8343.32</v>
      </c>
      <c r="P49" s="8">
        <v>2</v>
      </c>
      <c r="Q49" s="8">
        <v>3874.2</v>
      </c>
      <c r="R49" s="1">
        <f t="shared" ref="R49:R51" si="24">(I49*12)+K49</f>
      </c>
      <c r="S49" s="10">
        <v>6323.617</v>
      </c>
      <c r="T49" s="11">
        <f t="shared" si="6"/>
      </c>
      <c r="U49" s="12">
        <f t="shared" si="0"/>
      </c>
      <c r="V49" s="12">
        <f t="shared" si="40"/>
      </c>
      <c r="W49" s="13">
        <f t="shared" si="31"/>
      </c>
      <c r="X49" s="13">
        <f t="shared" si="8"/>
      </c>
      <c r="Y49" s="13">
        <f t="shared" si="2"/>
      </c>
      <c r="Z49" s="3">
        <v>1</v>
      </c>
      <c r="AA49" s="3">
        <v>1</v>
      </c>
      <c r="AB49" s="8" t="s">
        <v>57</v>
      </c>
      <c r="AC49" s="8">
        <v>6</v>
      </c>
      <c r="AD49" s="8" t="s">
        <v>49</v>
      </c>
      <c r="AE49" s="8">
        <v>15</v>
      </c>
      <c r="AF49" s="26">
        <v>170300</v>
      </c>
      <c r="AG49" s="8">
        <v>219</v>
      </c>
      <c r="AH49" s="8">
        <v>143068</v>
      </c>
      <c r="AI49" s="8">
        <v>9647</v>
      </c>
      <c r="AJ49" s="8">
        <v>691</v>
      </c>
      <c r="AK49" s="8">
        <v>58</v>
      </c>
      <c r="AL49" s="8">
        <v>184</v>
      </c>
      <c r="AM49" s="8">
        <v>10</v>
      </c>
      <c r="AN49" s="15"/>
      <c r="AO49" s="13">
        <f t="shared" si="42"/>
      </c>
      <c r="AP49" s="13">
        <f t="shared" si="33"/>
      </c>
      <c r="AQ49" s="13">
        <f t="shared" si="44"/>
      </c>
      <c r="AR49" s="16">
        <f t="shared" si="10"/>
      </c>
      <c r="AS49" s="17">
        <f t="shared" si="4"/>
      </c>
    </row>
    <row hidden="true" r="50">
      <c r="A50" s="6" t="s">
        <v>74</v>
      </c>
      <c r="B50" s="3" t="s">
        <v>55</v>
      </c>
      <c r="C50" s="3" t="s">
        <v>47</v>
      </c>
      <c r="D50" s="7">
        <v>5</v>
      </c>
      <c r="E50" s="8">
        <v>13</v>
      </c>
      <c r="F50" s="8">
        <v>6</v>
      </c>
      <c r="G50" s="8">
        <v>7</v>
      </c>
      <c r="H50" s="8">
        <v>5</v>
      </c>
      <c r="I50" s="8">
        <v>487.43</v>
      </c>
      <c r="J50" s="8">
        <v>1</v>
      </c>
      <c r="K50" s="8">
        <v>265.9</v>
      </c>
      <c r="L50" s="8">
        <v>5</v>
      </c>
      <c r="M50" s="8">
        <v>2445.2200000000003</v>
      </c>
      <c r="N50" s="8">
        <v>1</v>
      </c>
      <c r="O50" s="8">
        <v>3669.84</v>
      </c>
      <c r="P50" s="8">
        <v>0</v>
      </c>
      <c r="Q50" s="8">
        <v>0</v>
      </c>
      <c r="R50" s="1">
        <f t="shared" si="24"/>
      </c>
      <c r="S50" s="10">
        <v>8960.38</v>
      </c>
      <c r="T50" s="11">
        <f t="shared" si="6"/>
      </c>
      <c r="U50" s="12">
        <f t="shared" si="0"/>
      </c>
      <c r="V50" s="12">
        <f t="shared" si="40"/>
      </c>
      <c r="W50" s="13">
        <f t="shared" si="31"/>
      </c>
      <c r="X50" s="13">
        <f t="shared" si="8"/>
      </c>
      <c r="Y50" s="13">
        <f t="shared" si="2"/>
      </c>
      <c r="Z50" s="3">
        <v>1</v>
      </c>
      <c r="AA50" s="3">
        <v>2</v>
      </c>
      <c r="AB50" s="8" t="s">
        <v>52</v>
      </c>
      <c r="AC50" s="8">
        <v>1</v>
      </c>
      <c r="AD50" s="8"/>
      <c r="AE50" s="8"/>
      <c r="AF50" s="14">
        <v>214251</v>
      </c>
      <c r="AG50" s="9">
        <v>334</v>
      </c>
      <c r="AH50" s="14">
        <v>169003</v>
      </c>
      <c r="AI50" s="9">
        <v>11457</v>
      </c>
      <c r="AJ50" s="9">
        <v>919</v>
      </c>
      <c r="AK50" s="8">
        <v>52</v>
      </c>
      <c r="AL50" s="8">
        <v>153</v>
      </c>
      <c r="AM50" s="8">
        <v>11</v>
      </c>
      <c r="AN50" s="15"/>
      <c r="AO50" s="13">
        <f t="shared" si="42"/>
      </c>
      <c r="AP50" s="13">
        <f t="shared" si="33"/>
      </c>
      <c r="AQ50" s="13">
        <f t="shared" si="44"/>
      </c>
      <c r="AR50" s="16">
        <f t="shared" si="10"/>
      </c>
      <c r="AS50" s="17">
        <f t="shared" si="4"/>
      </c>
    </row>
    <row hidden="true" r="51">
      <c r="A51" s="6" t="s">
        <v>74</v>
      </c>
      <c r="B51" s="3" t="s">
        <v>50</v>
      </c>
      <c r="C51" s="3" t="s">
        <v>51</v>
      </c>
      <c r="D51" s="7">
        <v>5</v>
      </c>
      <c r="E51" s="8">
        <v>13</v>
      </c>
      <c r="F51" s="8">
        <v>9</v>
      </c>
      <c r="G51" s="8">
        <v>8</v>
      </c>
      <c r="H51" s="8">
        <v>9</v>
      </c>
      <c r="I51" s="9">
        <v>1958.98</v>
      </c>
      <c r="J51" s="8">
        <v>0</v>
      </c>
      <c r="K51" s="8">
        <v>0</v>
      </c>
      <c r="L51" s="8">
        <v>2</v>
      </c>
      <c r="M51" s="8">
        <v>1091.16</v>
      </c>
      <c r="N51" s="8">
        <v>7</v>
      </c>
      <c r="O51" s="8">
        <v>22416.6</v>
      </c>
      <c r="P51" s="8">
        <v>2</v>
      </c>
      <c r="Q51" s="8">
        <v>600.33</v>
      </c>
      <c r="R51" s="1">
        <f t="shared" si="24"/>
      </c>
      <c r="S51" s="10">
        <v>10660.645</v>
      </c>
      <c r="T51" s="11">
        <f t="shared" si="6"/>
      </c>
      <c r="U51" s="12">
        <f t="shared" si="0"/>
      </c>
      <c r="V51" s="12">
        <f t="shared" si="40"/>
      </c>
      <c r="W51" s="13">
        <f t="shared" si="31"/>
      </c>
      <c r="X51" s="13">
        <f t="shared" si="8"/>
      </c>
      <c r="Y51" s="13">
        <f t="shared" si="2"/>
      </c>
      <c r="Z51" s="3">
        <v>1</v>
      </c>
      <c r="AA51" s="3">
        <v>1</v>
      </c>
      <c r="AB51" s="8" t="s">
        <v>48</v>
      </c>
      <c r="AC51" s="8">
        <v>8</v>
      </c>
      <c r="AD51" s="9"/>
      <c r="AE51" s="9"/>
      <c r="AF51" s="9">
        <v>337176</v>
      </c>
      <c r="AG51" s="9">
        <v>788</v>
      </c>
      <c r="AH51" s="9">
        <v>307062</v>
      </c>
      <c r="AI51" s="9">
        <v>15446</v>
      </c>
      <c r="AJ51" s="9">
        <v>1631</v>
      </c>
      <c r="AK51" s="8">
        <v>94</v>
      </c>
      <c r="AL51" s="8">
        <v>226</v>
      </c>
      <c r="AM51" s="8">
        <v>18</v>
      </c>
      <c r="AN51" s="15"/>
      <c r="AO51" s="13">
        <f t="shared" si="42"/>
      </c>
      <c r="AP51" s="13">
        <f t="shared" si="33"/>
      </c>
      <c r="AQ51" s="13">
        <f t="shared" si="44"/>
      </c>
      <c r="AR51" s="16">
        <f t="shared" si="10"/>
      </c>
      <c r="AS51" s="17">
        <f t="shared" si="4"/>
      </c>
    </row>
    <row hidden="true" r="52">
      <c r="A52" s="18" t="s">
        <v>74</v>
      </c>
      <c r="B52" s="19"/>
      <c r="C52" s="19"/>
      <c r="D52" s="19">
        <f>SUM(D49:D51)</f>
      </c>
      <c r="E52" s="19">
        <f>SUM(E49:E51)</f>
      </c>
      <c r="F52" s="19">
        <f>SUM(F49:F51)</f>
      </c>
      <c r="G52" s="19">
        <f>SUM(G49:G51)</f>
      </c>
      <c r="H52" s="19">
        <f>SUM(H49:H51)</f>
      </c>
      <c r="I52" s="19">
        <f>SUM(I49:I51)</f>
      </c>
      <c r="J52" s="19">
        <f>SUM(J49:J51)</f>
      </c>
      <c r="K52" s="19">
        <f>SUM(K49:K51)</f>
      </c>
      <c r="L52" s="19">
        <f>SUM(L49:L51)</f>
      </c>
      <c r="M52" s="19">
        <f>SUM(M49:M51)</f>
      </c>
      <c r="N52" s="19">
        <f>SUM(N49:N51)</f>
      </c>
      <c r="O52" s="19">
        <f>SUM(O49:O51)</f>
      </c>
      <c r="P52" s="19">
        <f>SUM(P49:P51)</f>
      </c>
      <c r="Q52" s="19">
        <f>SUM(Q49:Q51)</f>
      </c>
      <c r="R52" s="19">
        <f>SUM(R49:R51)</f>
      </c>
      <c r="S52" s="19">
        <f>SUM(S49:S51)</f>
      </c>
      <c r="T52" s="20">
        <f t="shared" si="6"/>
      </c>
      <c r="U52" s="20">
        <f t="shared" si="0"/>
      </c>
      <c r="V52" s="20">
        <f t="shared" si="40"/>
      </c>
      <c r="W52" s="20">
        <f t="shared" si="31"/>
      </c>
      <c r="X52" s="20">
        <f t="shared" si="8"/>
      </c>
      <c r="Y52" s="21">
        <f t="shared" si="2"/>
      </c>
      <c r="Z52" s="22">
        <f>SUM(Z49:Z51)</f>
      </c>
      <c r="AA52" s="22">
        <f>SUM(AA49:AA51)</f>
      </c>
      <c r="AB52" s="22"/>
      <c r="AC52" s="22">
        <f>SUM(AC49:AC51)</f>
      </c>
      <c r="AD52" s="22"/>
      <c r="AE52" s="22"/>
      <c r="AF52" s="22">
        <f>SUM(AF49:AF51)</f>
      </c>
      <c r="AG52" s="22">
        <f>SUM(AG49:AG51)</f>
      </c>
      <c r="AH52" s="22">
        <f>SUM(AH49:AH51)</f>
      </c>
      <c r="AI52" s="22">
        <f>SUM(AI49:AI51)</f>
      </c>
      <c r="AJ52" s="22">
        <f>SUM(AJ49:AJ51)</f>
      </c>
      <c r="AK52" s="22">
        <f>SUM(AK49:AK51)</f>
      </c>
      <c r="AL52" s="22">
        <f>SUM(AL49:AL51)</f>
      </c>
      <c r="AM52" s="22">
        <f>SUM(AM49:AM51)</f>
      </c>
      <c r="AN52" s="22">
        <f>SUM(AN49:AN51)</f>
      </c>
      <c r="AO52" s="21">
        <f t="shared" si="42"/>
      </c>
      <c r="AP52" s="21">
        <f t="shared" si="33"/>
      </c>
      <c r="AQ52" s="21">
        <f t="shared" si="44"/>
      </c>
      <c r="AR52" s="21">
        <f t="shared" si="10"/>
      </c>
      <c r="AS52" s="24">
        <f t="shared" si="4"/>
      </c>
    </row>
    <row hidden="true" r="53">
      <c r="A53" s="6" t="s">
        <v>75</v>
      </c>
      <c r="B53" s="3" t="s">
        <v>46</v>
      </c>
      <c r="C53" s="3" t="s">
        <v>61</v>
      </c>
      <c r="D53" s="7">
        <v>5</v>
      </c>
      <c r="E53" s="8">
        <v>24</v>
      </c>
      <c r="F53" s="8">
        <v>18</v>
      </c>
      <c r="G53" s="8">
        <v>17</v>
      </c>
      <c r="H53" s="8">
        <v>17</v>
      </c>
      <c r="I53" s="8">
        <v>2687.99</v>
      </c>
      <c r="J53" s="8">
        <v>1</v>
      </c>
      <c r="K53" s="8">
        <v>272</v>
      </c>
      <c r="L53" s="8">
        <v>12</v>
      </c>
      <c r="M53" s="8">
        <v>9420.68</v>
      </c>
      <c r="N53" s="8">
        <v>6</v>
      </c>
      <c r="O53" s="8">
        <v>23107.2</v>
      </c>
      <c r="P53" s="8">
        <v>2</v>
      </c>
      <c r="Q53" s="8">
        <v>937.92</v>
      </c>
      <c r="R53" s="1">
        <f t="shared" ref="R53:R56" si="25">(I53*12)+K53</f>
      </c>
      <c r="S53" s="10">
        <v>10249.461</v>
      </c>
      <c r="T53" s="11">
        <f t="shared" si="6"/>
      </c>
      <c r="U53" s="12">
        <f t="shared" si="0"/>
      </c>
      <c r="V53" s="12">
        <f t="shared" si="40"/>
      </c>
      <c r="W53" s="13">
        <f t="shared" si="31"/>
      </c>
      <c r="X53" s="13">
        <f t="shared" si="8"/>
      </c>
      <c r="Y53" s="13">
        <f t="shared" si="2"/>
      </c>
      <c r="Z53" s="3">
        <v>1</v>
      </c>
      <c r="AA53" s="3">
        <v>1</v>
      </c>
      <c r="AB53" s="8" t="s">
        <v>57</v>
      </c>
      <c r="AC53" s="8">
        <v>6</v>
      </c>
      <c r="AD53" s="8" t="s">
        <v>49</v>
      </c>
      <c r="AE53" s="8">
        <v>15</v>
      </c>
      <c r="AF53" s="26">
        <v>241603</v>
      </c>
      <c r="AG53" s="8">
        <v>457</v>
      </c>
      <c r="AH53" s="8">
        <v>273902</v>
      </c>
      <c r="AI53" s="8">
        <v>19861</v>
      </c>
      <c r="AJ53" s="8">
        <v>1283</v>
      </c>
      <c r="AK53" s="8">
        <v>67</v>
      </c>
      <c r="AL53" s="8">
        <v>278</v>
      </c>
      <c r="AM53" s="8">
        <v>25</v>
      </c>
      <c r="AN53" s="15"/>
      <c r="AO53" s="13">
        <f t="shared" si="42"/>
      </c>
      <c r="AP53" s="13">
        <f t="shared" si="33"/>
      </c>
      <c r="AQ53" s="13">
        <f t="shared" si="44"/>
      </c>
      <c r="AR53" s="16">
        <f t="shared" si="10"/>
      </c>
      <c r="AS53" s="17">
        <f t="shared" si="4"/>
      </c>
    </row>
    <row hidden="true" r="54">
      <c r="A54" s="6" t="s">
        <v>75</v>
      </c>
      <c r="B54" s="3" t="s">
        <v>55</v>
      </c>
      <c r="C54" s="3" t="s">
        <v>76</v>
      </c>
      <c r="D54" s="7">
        <v>3</v>
      </c>
      <c r="E54" s="8">
        <v>9</v>
      </c>
      <c r="F54" s="8">
        <v>4</v>
      </c>
      <c r="G54" s="8">
        <v>5</v>
      </c>
      <c r="H54" s="8">
        <v>3</v>
      </c>
      <c r="I54" s="8">
        <v>457.68</v>
      </c>
      <c r="J54" s="8">
        <v>1</v>
      </c>
      <c r="K54" s="8">
        <v>575.7</v>
      </c>
      <c r="L54" s="8">
        <v>2</v>
      </c>
      <c r="M54" s="8">
        <v>1097.7</v>
      </c>
      <c r="N54" s="8">
        <v>2</v>
      </c>
      <c r="O54" s="8">
        <v>4970.16</v>
      </c>
      <c r="P54" s="8">
        <v>1</v>
      </c>
      <c r="Q54" s="8">
        <v>575.7</v>
      </c>
      <c r="R54" s="1">
        <f t="shared" si="25"/>
      </c>
      <c r="S54" s="10">
        <v>5607.501</v>
      </c>
      <c r="T54" s="11">
        <f t="shared" si="6"/>
      </c>
      <c r="U54" s="12">
        <f t="shared" si="0"/>
      </c>
      <c r="V54" s="12">
        <f t="shared" si="40"/>
      </c>
      <c r="W54" s="13">
        <f t="shared" si="31"/>
      </c>
      <c r="X54" s="13">
        <f t="shared" si="8"/>
      </c>
      <c r="Y54" s="13">
        <f t="shared" si="2"/>
      </c>
      <c r="Z54" s="3">
        <v>0</v>
      </c>
      <c r="AA54" s="3">
        <v>0</v>
      </c>
      <c r="AB54" s="8" t="s">
        <v>52</v>
      </c>
      <c r="AC54" s="8">
        <v>1</v>
      </c>
      <c r="AD54" s="8"/>
      <c r="AE54" s="8"/>
      <c r="AF54" s="14">
        <v>118859</v>
      </c>
      <c r="AG54" s="9">
        <v>167</v>
      </c>
      <c r="AH54" s="14">
        <v>127908</v>
      </c>
      <c r="AI54" s="9">
        <v>9166</v>
      </c>
      <c r="AJ54" s="9">
        <v>547</v>
      </c>
      <c r="AK54" s="8">
        <v>28</v>
      </c>
      <c r="AL54" s="8">
        <v>126</v>
      </c>
      <c r="AM54" s="8">
        <v>4</v>
      </c>
      <c r="AN54" s="15"/>
      <c r="AO54" s="13">
        <f t="shared" si="42"/>
      </c>
      <c r="AP54" s="13">
        <f t="shared" si="33"/>
      </c>
      <c r="AQ54" s="13">
        <f t="shared" si="44"/>
      </c>
      <c r="AR54" s="16">
        <f t="shared" si="10"/>
      </c>
      <c r="AS54" s="17">
        <f t="shared" si="4"/>
      </c>
    </row>
    <row hidden="true" r="55">
      <c r="A55" s="6" t="s">
        <v>75</v>
      </c>
      <c r="B55" s="3" t="s">
        <v>77</v>
      </c>
      <c r="C55" s="3" t="s">
        <v>78</v>
      </c>
      <c r="D55" s="7">
        <v>2</v>
      </c>
      <c r="E55" s="8">
        <v>1</v>
      </c>
      <c r="F55" s="8">
        <v>1</v>
      </c>
      <c r="G55" s="8">
        <v>1</v>
      </c>
      <c r="H55" s="8">
        <v>1</v>
      </c>
      <c r="I55" s="8">
        <v>101.34</v>
      </c>
      <c r="J55" s="8">
        <v>0</v>
      </c>
      <c r="K55" s="8">
        <v>0</v>
      </c>
      <c r="L55" s="8">
        <v>0</v>
      </c>
      <c r="M55" s="8">
        <v>0</v>
      </c>
      <c r="N55" s="8">
        <v>1</v>
      </c>
      <c r="O55" s="8">
        <v>1216.08</v>
      </c>
      <c r="P55" s="8">
        <v>0</v>
      </c>
      <c r="Q55" s="8">
        <v>0</v>
      </c>
      <c r="R55" s="1">
        <f t="shared" si="25"/>
      </c>
      <c r="S55" s="10">
        <v>3628.0769999999998</v>
      </c>
      <c r="T55" s="11">
        <f t="shared" si="6"/>
      </c>
      <c r="U55" s="12">
        <f t="shared" si="0"/>
      </c>
      <c r="V55" s="12">
        <f t="shared" si="40"/>
      </c>
      <c r="W55" s="13">
        <f t="shared" si="31"/>
      </c>
      <c r="X55" s="13">
        <f t="shared" si="8"/>
      </c>
      <c r="Y55" s="13">
        <f t="shared" si="2"/>
      </c>
      <c r="Z55" s="3">
        <v>0</v>
      </c>
      <c r="AA55" s="3">
        <v>0</v>
      </c>
      <c r="AB55" s="8" t="s">
        <v>63</v>
      </c>
      <c r="AC55" s="8">
        <v>8</v>
      </c>
      <c r="AD55" s="9"/>
      <c r="AE55" s="9"/>
      <c r="AF55" s="9">
        <v>86447</v>
      </c>
      <c r="AG55" s="9">
        <v>147</v>
      </c>
      <c r="AH55" s="9">
        <v>90270</v>
      </c>
      <c r="AI55" s="9">
        <v>6612</v>
      </c>
      <c r="AJ55" s="9">
        <v>401</v>
      </c>
      <c r="AK55" s="8">
        <v>24</v>
      </c>
      <c r="AL55" s="8">
        <v>101</v>
      </c>
      <c r="AM55" s="8">
        <v>2</v>
      </c>
      <c r="AN55" s="15"/>
      <c r="AO55" s="13">
        <f t="shared" si="42"/>
      </c>
      <c r="AP55" s="13">
        <f t="shared" si="33"/>
      </c>
      <c r="AQ55" s="13">
        <f t="shared" si="44"/>
      </c>
      <c r="AR55" s="16">
        <f t="shared" si="10"/>
      </c>
      <c r="AS55" s="17">
        <f t="shared" si="4"/>
      </c>
    </row>
    <row hidden="true" r="56">
      <c r="A56" s="6" t="s">
        <v>75</v>
      </c>
      <c r="B56" s="3" t="s">
        <v>50</v>
      </c>
      <c r="C56" s="3" t="s">
        <v>51</v>
      </c>
      <c r="D56" s="7">
        <v>5</v>
      </c>
      <c r="E56" s="8">
        <v>28</v>
      </c>
      <c r="F56" s="8">
        <v>19</v>
      </c>
      <c r="G56" s="8">
        <v>17</v>
      </c>
      <c r="H56" s="8">
        <v>19</v>
      </c>
      <c r="I56" s="9">
        <v>2225.72</v>
      </c>
      <c r="J56" s="8">
        <v>0</v>
      </c>
      <c r="K56" s="8">
        <v>0</v>
      </c>
      <c r="L56" s="8">
        <v>10</v>
      </c>
      <c r="M56" s="8">
        <v>6850.32</v>
      </c>
      <c r="N56" s="8">
        <v>9</v>
      </c>
      <c r="O56" s="8">
        <v>19858.32</v>
      </c>
      <c r="P56" s="8">
        <v>7</v>
      </c>
      <c r="Q56" s="8">
        <v>1031.49</v>
      </c>
      <c r="R56" s="1">
        <f t="shared" si="25"/>
      </c>
      <c r="S56" s="10">
        <v>14458.074999999997</v>
      </c>
      <c r="T56" s="11">
        <f t="shared" si="6"/>
      </c>
      <c r="U56" s="12">
        <f t="shared" si="0"/>
      </c>
      <c r="V56" s="12">
        <f t="shared" si="40"/>
      </c>
      <c r="W56" s="13">
        <f t="shared" si="31"/>
      </c>
      <c r="X56" s="13">
        <f t="shared" si="8"/>
      </c>
      <c r="Y56" s="13">
        <f t="shared" si="2"/>
      </c>
      <c r="Z56" s="3">
        <v>1</v>
      </c>
      <c r="AA56" s="3">
        <v>1</v>
      </c>
      <c r="AB56" s="8"/>
      <c r="AC56" s="8"/>
      <c r="AD56" s="9"/>
      <c r="AE56" s="9"/>
      <c r="AF56" s="9">
        <v>454429</v>
      </c>
      <c r="AG56" s="9">
        <v>521</v>
      </c>
      <c r="AH56" s="9">
        <v>623431</v>
      </c>
      <c r="AI56" s="9">
        <v>31389</v>
      </c>
      <c r="AJ56" s="9">
        <v>2022</v>
      </c>
      <c r="AK56" s="8">
        <v>149</v>
      </c>
      <c r="AL56" s="8">
        <v>399</v>
      </c>
      <c r="AM56" s="8">
        <v>9</v>
      </c>
      <c r="AN56" s="15"/>
      <c r="AO56" s="13">
        <f t="shared" si="42"/>
      </c>
      <c r="AP56" s="13">
        <f t="shared" si="33"/>
      </c>
      <c r="AQ56" s="13">
        <f t="shared" si="44"/>
      </c>
      <c r="AR56" s="16">
        <f t="shared" si="10"/>
      </c>
      <c r="AS56" s="17">
        <f t="shared" si="4"/>
      </c>
    </row>
    <row hidden="true" r="57">
      <c r="A57" s="18" t="s">
        <v>75</v>
      </c>
      <c r="B57" s="19"/>
      <c r="C57" s="19"/>
      <c r="D57" s="19">
        <f>SUM(D53:D56)</f>
      </c>
      <c r="E57" s="19">
        <f>SUM(E53:E56)</f>
      </c>
      <c r="F57" s="19">
        <f>SUM(F53:F56)</f>
      </c>
      <c r="G57" s="19">
        <f>SUM(G53:G56)</f>
      </c>
      <c r="H57" s="19">
        <f>SUM(H53:H56)</f>
      </c>
      <c r="I57" s="19">
        <f>SUM(I53:I56)</f>
      </c>
      <c r="J57" s="19">
        <f>SUM(J53:J56)</f>
      </c>
      <c r="K57" s="19">
        <f>SUM(K53:K56)</f>
      </c>
      <c r="L57" s="19">
        <f>SUM(L53:L56)</f>
      </c>
      <c r="M57" s="19">
        <f>SUM(M53:M56)</f>
      </c>
      <c r="N57" s="19">
        <f>SUM(N53:N56)</f>
      </c>
      <c r="O57" s="19">
        <f>SUM(O53:O56)</f>
      </c>
      <c r="P57" s="19">
        <f>SUM(P53:P56)</f>
      </c>
      <c r="Q57" s="19">
        <f>SUM(Q53:Q56)</f>
      </c>
      <c r="R57" s="19">
        <f>SUM(R53:R56)</f>
      </c>
      <c r="S57" s="19">
        <f>SUM(S53:S56)</f>
      </c>
      <c r="T57" s="20">
        <f t="shared" si="6"/>
      </c>
      <c r="U57" s="20">
        <f t="shared" si="0"/>
      </c>
      <c r="V57" s="20">
        <f t="shared" si="40"/>
      </c>
      <c r="W57" s="20">
        <f t="shared" si="31"/>
      </c>
      <c r="X57" s="20">
        <f t="shared" si="8"/>
      </c>
      <c r="Y57" s="21">
        <f t="shared" si="2"/>
      </c>
      <c r="Z57" s="22">
        <f>SUM(Z53:Z56)</f>
      </c>
      <c r="AA57" s="22">
        <f>SUM(AA53:AA56)</f>
      </c>
      <c r="AB57" s="22"/>
      <c r="AC57" s="22">
        <f>SUM(AC53:AC56)</f>
      </c>
      <c r="AD57" s="22"/>
      <c r="AE57" s="22"/>
      <c r="AF57" s="22">
        <f>SUM(AF53:AF56)</f>
      </c>
      <c r="AG57" s="22">
        <f>SUM(AG53:AG56)</f>
      </c>
      <c r="AH57" s="22">
        <f>SUM(AH53:AH56)</f>
      </c>
      <c r="AI57" s="22">
        <f>SUM(AI53:AI56)</f>
      </c>
      <c r="AJ57" s="22">
        <f>SUM(AJ53:AJ56)</f>
      </c>
      <c r="AK57" s="22">
        <f>SUM(AK53:AK56)</f>
      </c>
      <c r="AL57" s="22">
        <f>SUM(AL53:AL56)</f>
      </c>
      <c r="AM57" s="22">
        <f>SUM(AM53:AM56)</f>
      </c>
      <c r="AN57" s="22">
        <f>SUM(AN53:AN56)</f>
      </c>
      <c r="AO57" s="21">
        <f t="shared" si="42"/>
      </c>
      <c r="AP57" s="21">
        <f t="shared" si="33"/>
      </c>
      <c r="AQ57" s="21">
        <f t="shared" si="44"/>
      </c>
      <c r="AR57" s="21">
        <f t="shared" si="10"/>
      </c>
      <c r="AS57" s="24">
        <f t="shared" si="4"/>
      </c>
    </row>
    <row hidden="true" r="58">
      <c r="A58" s="6" t="s">
        <v>79</v>
      </c>
      <c r="B58" s="1" t="s">
        <v>46</v>
      </c>
      <c r="C58" s="1" t="s">
        <v>61</v>
      </c>
      <c r="D58" s="1">
        <v>5</v>
      </c>
      <c r="E58" s="8">
        <v>15</v>
      </c>
      <c r="F58" s="8">
        <v>11</v>
      </c>
      <c r="G58" s="8">
        <v>9</v>
      </c>
      <c r="H58" s="8">
        <v>9</v>
      </c>
      <c r="I58" s="9">
        <v>668.4200000000001</v>
      </c>
      <c r="J58" s="8">
        <v>2</v>
      </c>
      <c r="K58" s="9">
        <v>438.1</v>
      </c>
      <c r="L58" s="8">
        <v>10</v>
      </c>
      <c r="M58" s="9">
        <v>7243.060000000001</v>
      </c>
      <c r="N58" s="8">
        <v>1</v>
      </c>
      <c r="O58" s="9">
        <v>1216.08</v>
      </c>
      <c r="P58" s="8">
        <v>4</v>
      </c>
      <c r="Q58" s="9">
        <v>421.96999999999997</v>
      </c>
      <c r="R58" s="1">
        <f t="shared" ref="R58:R61" si="26">(I58*12)+K58</f>
      </c>
      <c r="S58" s="27">
        <v>8014.295</v>
      </c>
      <c r="T58" s="11">
        <f t="shared" si="6"/>
      </c>
      <c r="U58" s="12">
        <f t="shared" si="0"/>
      </c>
      <c r="V58" s="12">
        <f t="shared" si="40"/>
      </c>
      <c r="W58" s="13">
        <f t="shared" si="31"/>
      </c>
      <c r="X58" s="13">
        <f t="shared" si="8"/>
      </c>
      <c r="Y58" s="13">
        <f t="shared" si="2"/>
      </c>
      <c r="Z58" s="3">
        <v>0</v>
      </c>
      <c r="AA58" s="3">
        <v>0</v>
      </c>
      <c r="AB58" s="9" t="s">
        <v>57</v>
      </c>
      <c r="AC58" s="9">
        <v>6</v>
      </c>
      <c r="AD58" s="9" t="s">
        <v>49</v>
      </c>
      <c r="AE58" s="9">
        <v>15</v>
      </c>
      <c r="AF58" s="14">
        <v>188584</v>
      </c>
      <c r="AG58" s="9">
        <v>397</v>
      </c>
      <c r="AH58" s="9">
        <v>187511</v>
      </c>
      <c r="AI58" s="9">
        <v>17828</v>
      </c>
      <c r="AJ58" s="9">
        <v>1790</v>
      </c>
      <c r="AK58" s="9">
        <v>252</v>
      </c>
      <c r="AL58" s="9">
        <v>655</v>
      </c>
      <c r="AM58" s="9">
        <v>9</v>
      </c>
      <c r="AN58" s="15"/>
      <c r="AO58" s="13">
        <f t="shared" si="42"/>
      </c>
      <c r="AP58" s="13">
        <f t="shared" si="33"/>
      </c>
      <c r="AQ58" s="13">
        <f t="shared" si="44"/>
      </c>
      <c r="AR58" s="16">
        <f t="shared" si="10"/>
      </c>
      <c r="AS58" s="17">
        <f t="shared" si="4"/>
      </c>
    </row>
    <row hidden="true" r="59">
      <c r="A59" s="6" t="s">
        <v>79</v>
      </c>
      <c r="B59" s="1" t="s">
        <v>55</v>
      </c>
      <c r="C59" s="1" t="s">
        <v>76</v>
      </c>
      <c r="D59" s="1">
        <v>3</v>
      </c>
      <c r="E59" s="8">
        <v>10</v>
      </c>
      <c r="F59" s="8">
        <v>4</v>
      </c>
      <c r="G59" s="8">
        <v>4</v>
      </c>
      <c r="H59" s="8">
        <v>4</v>
      </c>
      <c r="I59" s="8">
        <v>596.5</v>
      </c>
      <c r="J59" s="8">
        <v>0</v>
      </c>
      <c r="K59" s="8">
        <v>0</v>
      </c>
      <c r="L59" s="8">
        <v>1</v>
      </c>
      <c r="M59" s="9">
        <v>971.76</v>
      </c>
      <c r="N59" s="8">
        <v>3</v>
      </c>
      <c r="O59" s="9">
        <v>6186.24</v>
      </c>
      <c r="P59" s="8">
        <v>0</v>
      </c>
      <c r="Q59" s="8">
        <v>0</v>
      </c>
      <c r="R59" s="1">
        <f t="shared" si="26"/>
      </c>
      <c r="S59" s="28">
        <v>5814.249</v>
      </c>
      <c r="T59" s="11">
        <f t="shared" si="6"/>
      </c>
      <c r="U59" s="12">
        <f t="shared" si="0"/>
      </c>
      <c r="V59" s="12">
        <f t="shared" si="40"/>
      </c>
      <c r="W59" s="13">
        <f t="shared" si="31"/>
      </c>
      <c r="X59" s="13">
        <f t="shared" si="8"/>
      </c>
      <c r="Y59" s="13">
        <f t="shared" si="2"/>
      </c>
      <c r="Z59" s="3">
        <v>0</v>
      </c>
      <c r="AA59" s="3">
        <v>0</v>
      </c>
      <c r="AB59" s="9" t="s">
        <v>52</v>
      </c>
      <c r="AC59" s="9">
        <v>1</v>
      </c>
      <c r="AD59" s="9"/>
      <c r="AE59" s="9"/>
      <c r="AF59" s="14">
        <v>170521</v>
      </c>
      <c r="AG59" s="9">
        <v>339</v>
      </c>
      <c r="AH59" s="14">
        <v>153053</v>
      </c>
      <c r="AI59" s="9">
        <v>13027</v>
      </c>
      <c r="AJ59" s="9">
        <v>1311</v>
      </c>
      <c r="AK59" s="9">
        <v>162</v>
      </c>
      <c r="AL59" s="9">
        <v>589</v>
      </c>
      <c r="AM59" s="9">
        <v>3</v>
      </c>
      <c r="AN59" s="15"/>
      <c r="AO59" s="13">
        <f t="shared" si="42"/>
      </c>
      <c r="AP59" s="13">
        <f t="shared" si="33"/>
      </c>
      <c r="AQ59" s="13">
        <f t="shared" si="44"/>
      </c>
      <c r="AR59" s="16">
        <f t="shared" si="10"/>
      </c>
      <c r="AS59" s="17">
        <f t="shared" si="4"/>
      </c>
    </row>
    <row hidden="true" r="60">
      <c r="A60" s="6" t="s">
        <v>79</v>
      </c>
      <c r="B60" s="1" t="s">
        <v>77</v>
      </c>
      <c r="C60" s="1" t="s">
        <v>78</v>
      </c>
      <c r="D60" s="1">
        <v>2</v>
      </c>
      <c r="E60" s="8">
        <v>2</v>
      </c>
      <c r="F60" s="8">
        <v>2</v>
      </c>
      <c r="G60" s="8">
        <v>2</v>
      </c>
      <c r="H60" s="8">
        <v>2</v>
      </c>
      <c r="I60" s="8">
        <v>76.02</v>
      </c>
      <c r="J60" s="8">
        <v>0</v>
      </c>
      <c r="K60" s="8">
        <v>0</v>
      </c>
      <c r="L60" s="8">
        <v>2</v>
      </c>
      <c r="M60" s="9">
        <v>912.2400000000001</v>
      </c>
      <c r="N60" s="8">
        <v>0</v>
      </c>
      <c r="O60" s="8">
        <v>0</v>
      </c>
      <c r="P60" s="8">
        <v>0</v>
      </c>
      <c r="Q60" s="8">
        <v>0</v>
      </c>
      <c r="R60" s="1">
        <f t="shared" si="26"/>
      </c>
      <c r="S60" s="27">
        <v>3198.9210000000003</v>
      </c>
      <c r="T60" s="11">
        <f t="shared" si="6"/>
      </c>
      <c r="U60" s="12">
        <f t="shared" si="0"/>
      </c>
      <c r="V60" s="12">
        <f t="shared" si="40"/>
      </c>
      <c r="W60" s="13">
        <f t="shared" si="31"/>
      </c>
      <c r="X60" s="13">
        <f t="shared" si="8"/>
      </c>
      <c r="Y60" s="13">
        <f t="shared" si="2"/>
      </c>
      <c r="Z60" s="3">
        <v>0</v>
      </c>
      <c r="AA60" s="3">
        <v>0</v>
      </c>
      <c r="AB60" s="9" t="s">
        <v>63</v>
      </c>
      <c r="AC60" s="9">
        <v>8</v>
      </c>
      <c r="AD60" s="9"/>
      <c r="AE60" s="9"/>
      <c r="AF60" s="9">
        <v>122582</v>
      </c>
      <c r="AG60" s="9">
        <v>193</v>
      </c>
      <c r="AH60" s="9">
        <v>80650</v>
      </c>
      <c r="AI60" s="9">
        <v>7536</v>
      </c>
      <c r="AJ60" s="9">
        <v>639</v>
      </c>
      <c r="AK60" s="9">
        <v>134</v>
      </c>
      <c r="AL60" s="9">
        <v>280</v>
      </c>
      <c r="AM60" s="9">
        <v>3</v>
      </c>
      <c r="AN60" s="15"/>
      <c r="AO60" s="13">
        <f t="shared" si="42"/>
      </c>
      <c r="AP60" s="13">
        <f t="shared" si="33"/>
      </c>
      <c r="AQ60" s="13">
        <f t="shared" si="44"/>
      </c>
      <c r="AR60" s="16">
        <f t="shared" si="10"/>
      </c>
      <c r="AS60" s="17">
        <f t="shared" si="4"/>
      </c>
    </row>
    <row hidden="true" r="61">
      <c r="A61" s="6" t="s">
        <v>79</v>
      </c>
      <c r="B61" s="1" t="s">
        <v>50</v>
      </c>
      <c r="C61" s="1" t="s">
        <v>51</v>
      </c>
      <c r="D61" s="1">
        <v>5</v>
      </c>
      <c r="E61" s="8">
        <v>25</v>
      </c>
      <c r="F61" s="8">
        <v>18</v>
      </c>
      <c r="G61" s="8">
        <v>13</v>
      </c>
      <c r="H61" s="8">
        <v>15</v>
      </c>
      <c r="I61" s="9">
        <v>2148.31</v>
      </c>
      <c r="J61" s="8">
        <v>3</v>
      </c>
      <c r="K61" s="9">
        <v>5285</v>
      </c>
      <c r="L61" s="8">
        <v>5</v>
      </c>
      <c r="M61" s="9">
        <v>3993.7200000000003</v>
      </c>
      <c r="N61" s="8">
        <v>13</v>
      </c>
      <c r="O61" s="9">
        <v>27070.999999999996</v>
      </c>
      <c r="P61" s="8">
        <v>3</v>
      </c>
      <c r="Q61" s="9">
        <v>834.95</v>
      </c>
      <c r="R61" s="1">
        <f t="shared" si="26"/>
      </c>
      <c r="S61" s="27">
        <v>15723.811</v>
      </c>
      <c r="T61" s="11">
        <f t="shared" si="6"/>
      </c>
      <c r="U61" s="12">
        <f t="shared" si="0"/>
      </c>
      <c r="V61" s="12">
        <f t="shared" si="40"/>
      </c>
      <c r="W61" s="13">
        <f t="shared" si="31"/>
      </c>
      <c r="X61" s="13">
        <f t="shared" si="8"/>
      </c>
      <c r="Y61" s="13">
        <f t="shared" si="2"/>
      </c>
      <c r="Z61" s="3">
        <v>0</v>
      </c>
      <c r="AA61" s="3">
        <v>0</v>
      </c>
      <c r="AB61" s="9"/>
      <c r="AC61" s="9"/>
      <c r="AD61" s="9"/>
      <c r="AE61" s="9"/>
      <c r="AF61" s="9">
        <v>529777</v>
      </c>
      <c r="AG61" s="9">
        <v>662</v>
      </c>
      <c r="AH61" s="9">
        <v>544503</v>
      </c>
      <c r="AI61" s="9">
        <v>32818</v>
      </c>
      <c r="AJ61" s="9">
        <v>3270</v>
      </c>
      <c r="AK61" s="9">
        <v>415</v>
      </c>
      <c r="AL61" s="9">
        <v>1159</v>
      </c>
      <c r="AM61" s="9">
        <v>15</v>
      </c>
      <c r="AN61" s="15"/>
      <c r="AO61" s="13">
        <f t="shared" si="42"/>
      </c>
      <c r="AP61" s="13">
        <f t="shared" si="33"/>
      </c>
      <c r="AQ61" s="13">
        <f t="shared" si="44"/>
      </c>
      <c r="AR61" s="16">
        <f t="shared" si="10"/>
      </c>
      <c r="AS61" s="17">
        <f t="shared" si="4"/>
      </c>
    </row>
    <row hidden="true" r="62">
      <c r="A62" s="18" t="s">
        <v>79</v>
      </c>
      <c r="B62" s="19"/>
      <c r="C62" s="19"/>
      <c r="D62" s="19">
        <f>SUM(D58:D61)</f>
      </c>
      <c r="E62" s="19">
        <f>SUM(E58:E61)</f>
      </c>
      <c r="F62" s="19">
        <f>SUM(F58:F61)</f>
      </c>
      <c r="G62" s="19">
        <f>SUM(G58:G61)</f>
      </c>
      <c r="H62" s="19">
        <f>SUM(H58:H61)</f>
      </c>
      <c r="I62" s="19">
        <f>SUM(I58:I61)</f>
      </c>
      <c r="J62" s="19">
        <f>SUM(J58:J61)</f>
      </c>
      <c r="K62" s="19">
        <f>SUM(K58:K61)</f>
      </c>
      <c r="L62" s="19">
        <f>SUM(L58:L61)</f>
      </c>
      <c r="M62" s="19">
        <f>SUM(M58:M61)</f>
      </c>
      <c r="N62" s="19">
        <f>SUM(N58:N61)</f>
      </c>
      <c r="O62" s="19">
        <f>SUM(O58:O61)</f>
      </c>
      <c r="P62" s="19">
        <f>SUM(P58:P61)</f>
      </c>
      <c r="Q62" s="19">
        <f>SUM(Q58:Q61)</f>
      </c>
      <c r="R62" s="19">
        <f>SUM(R58:R61)</f>
      </c>
      <c r="S62" s="19">
        <f>SUM(S58:S61)</f>
      </c>
      <c r="T62" s="20">
        <f t="shared" si="6"/>
      </c>
      <c r="U62" s="20">
        <f t="shared" si="0"/>
      </c>
      <c r="V62" s="20">
        <f t="shared" si="40"/>
      </c>
      <c r="W62" s="20">
        <f t="shared" si="31"/>
      </c>
      <c r="X62" s="20">
        <f t="shared" si="8"/>
      </c>
      <c r="Y62" s="21">
        <f t="shared" si="2"/>
      </c>
      <c r="Z62" s="22">
        <f>SUM(Z58:Z61)</f>
      </c>
      <c r="AA62" s="22">
        <f>SUM(AA58:AA61)</f>
      </c>
      <c r="AB62" s="22"/>
      <c r="AC62" s="22">
        <f>SUM(AC58:AC61)</f>
      </c>
      <c r="AD62" s="22"/>
      <c r="AE62" s="22"/>
      <c r="AF62" s="22">
        <f>SUM(AF58:AF61)</f>
      </c>
      <c r="AG62" s="22">
        <f>SUM(AG58:AG61)</f>
      </c>
      <c r="AH62" s="22">
        <f>SUM(AH58:AH61)</f>
      </c>
      <c r="AI62" s="22">
        <f>SUM(AI58:AI61)</f>
      </c>
      <c r="AJ62" s="22">
        <f>SUM(AJ58:AJ61)</f>
      </c>
      <c r="AK62" s="22">
        <f>SUM(AK58:AK61)</f>
      </c>
      <c r="AL62" s="22">
        <f>SUM(AL58:AL61)</f>
      </c>
      <c r="AM62" s="22">
        <f>SUM(AM58:AM61)</f>
      </c>
      <c r="AN62" s="22">
        <f>SUM(AN58:AN61)</f>
      </c>
      <c r="AO62" s="21">
        <f t="shared" si="42"/>
      </c>
      <c r="AP62" s="21">
        <f t="shared" si="33"/>
      </c>
      <c r="AQ62" s="21">
        <f t="shared" si="44"/>
      </c>
      <c r="AR62" s="21">
        <f t="shared" si="10"/>
      </c>
      <c r="AS62" s="24">
        <f t="shared" si="4"/>
      </c>
    </row>
    <row hidden="true" r="63">
      <c r="A63" s="6" t="s">
        <v>80</v>
      </c>
      <c r="B63" s="1" t="s">
        <v>46</v>
      </c>
      <c r="C63" s="1" t="s">
        <v>61</v>
      </c>
      <c r="D63" s="1">
        <v>5</v>
      </c>
      <c r="E63" s="8">
        <v>12</v>
      </c>
      <c r="F63" s="8">
        <v>3</v>
      </c>
      <c r="G63" s="8">
        <v>4</v>
      </c>
      <c r="H63" s="8">
        <v>4</v>
      </c>
      <c r="I63" s="9">
        <v>1027.69</v>
      </c>
      <c r="J63" s="8">
        <v>0</v>
      </c>
      <c r="K63" s="8">
        <v>0</v>
      </c>
      <c r="L63" s="8">
        <v>2</v>
      </c>
      <c r="M63" s="9">
        <v>819.4799999999999</v>
      </c>
      <c r="N63" s="8">
        <v>2</v>
      </c>
      <c r="O63" s="9">
        <v>11512.8</v>
      </c>
      <c r="P63" s="8">
        <v>0</v>
      </c>
      <c r="Q63" s="8">
        <v>0</v>
      </c>
      <c r="R63" s="1">
        <f t="shared" ref="R63:R66" si="27">(I63*12)+K63</f>
      </c>
      <c r="S63" s="27">
        <v>8095.674</v>
      </c>
      <c r="T63" s="11">
        <f t="shared" si="6"/>
      </c>
      <c r="U63" s="12">
        <f t="shared" si="0"/>
      </c>
      <c r="V63" s="12">
        <f t="shared" si="40"/>
      </c>
      <c r="W63" s="13">
        <f t="shared" si="31"/>
      </c>
      <c r="X63" s="13">
        <f t="shared" si="8"/>
      </c>
      <c r="Y63" s="13">
        <f t="shared" si="2"/>
      </c>
      <c r="Z63" s="3">
        <v>0</v>
      </c>
      <c r="AA63" s="3">
        <v>0</v>
      </c>
      <c r="AB63" s="9" t="s">
        <v>57</v>
      </c>
      <c r="AC63" s="9">
        <v>6</v>
      </c>
      <c r="AD63" s="9" t="s">
        <v>49</v>
      </c>
      <c r="AE63" s="8">
        <v>12</v>
      </c>
      <c r="AF63" s="14">
        <v>143696</v>
      </c>
      <c r="AG63" s="9">
        <v>274</v>
      </c>
      <c r="AH63" s="9">
        <v>151147</v>
      </c>
      <c r="AI63" s="9">
        <v>15388</v>
      </c>
      <c r="AJ63" s="9">
        <v>1700</v>
      </c>
      <c r="AK63" s="9">
        <v>264</v>
      </c>
      <c r="AL63" s="9">
        <v>636</v>
      </c>
      <c r="AM63" s="9">
        <v>20</v>
      </c>
      <c r="AN63" s="15"/>
      <c r="AO63" s="13">
        <f t="shared" si="42"/>
      </c>
      <c r="AP63" s="13">
        <f t="shared" si="33"/>
      </c>
      <c r="AQ63" s="13">
        <f t="shared" si="44"/>
      </c>
      <c r="AR63" s="16">
        <f t="shared" si="10"/>
      </c>
      <c r="AS63" s="17">
        <f t="shared" si="4"/>
      </c>
    </row>
    <row hidden="true" r="64">
      <c r="A64" s="6" t="s">
        <v>80</v>
      </c>
      <c r="B64" s="1" t="s">
        <v>77</v>
      </c>
      <c r="C64" s="3" t="s">
        <v>81</v>
      </c>
      <c r="D64" s="3">
        <v>2</v>
      </c>
      <c r="E64" s="8">
        <v>19</v>
      </c>
      <c r="F64" s="8">
        <v>4</v>
      </c>
      <c r="G64" s="8">
        <v>4</v>
      </c>
      <c r="H64" s="8">
        <v>3</v>
      </c>
      <c r="I64" s="8">
        <v>132.44</v>
      </c>
      <c r="J64" s="8">
        <v>1</v>
      </c>
      <c r="K64" s="8">
        <v>1103.3</v>
      </c>
      <c r="L64" s="8">
        <v>2</v>
      </c>
      <c r="M64" s="9">
        <v>1488.38</v>
      </c>
      <c r="N64" s="8">
        <v>2</v>
      </c>
      <c r="O64" s="9">
        <v>1204.1999999999998</v>
      </c>
      <c r="P64" s="8">
        <v>1</v>
      </c>
      <c r="Q64" s="8">
        <v>1103.3</v>
      </c>
      <c r="R64" s="1">
        <f t="shared" si="27"/>
      </c>
      <c r="S64" s="28">
        <v>2396</v>
      </c>
      <c r="T64" s="11">
        <f t="shared" si="6"/>
      </c>
      <c r="U64" s="12">
        <f t="shared" si="0"/>
      </c>
      <c r="V64" s="12">
        <f t="shared" si="40"/>
      </c>
      <c r="W64" s="13">
        <f t="shared" si="31"/>
      </c>
      <c r="X64" s="13">
        <f t="shared" si="8"/>
      </c>
      <c r="Y64" s="13">
        <f t="shared" si="2"/>
      </c>
      <c r="Z64" s="3">
        <v>1</v>
      </c>
      <c r="AA64" s="3">
        <v>0</v>
      </c>
      <c r="AB64" s="9" t="s">
        <v>52</v>
      </c>
      <c r="AC64" s="9">
        <v>1</v>
      </c>
      <c r="AD64" s="9"/>
      <c r="AE64" s="9"/>
      <c r="AF64" s="14">
        <v>80119</v>
      </c>
      <c r="AG64" s="9">
        <v>152</v>
      </c>
      <c r="AH64" s="14">
        <v>56771</v>
      </c>
      <c r="AI64" s="9">
        <v>4982</v>
      </c>
      <c r="AJ64" s="9">
        <v>773</v>
      </c>
      <c r="AK64" s="9">
        <v>77</v>
      </c>
      <c r="AL64" s="9">
        <v>197</v>
      </c>
      <c r="AM64" s="9">
        <v>12</v>
      </c>
      <c r="AN64" s="15"/>
      <c r="AO64" s="13">
        <f t="shared" si="42"/>
      </c>
      <c r="AP64" s="13">
        <f t="shared" si="33"/>
      </c>
      <c r="AQ64" s="13">
        <f t="shared" si="44"/>
      </c>
      <c r="AR64" s="16">
        <f t="shared" si="10"/>
      </c>
      <c r="AS64" s="17">
        <f t="shared" si="4"/>
      </c>
    </row>
    <row hidden="true" r="65">
      <c r="A65" s="6" t="s">
        <v>80</v>
      </c>
      <c r="B65" s="3" t="s">
        <v>82</v>
      </c>
      <c r="C65" s="3" t="s">
        <v>56</v>
      </c>
      <c r="D65" s="3">
        <v>3</v>
      </c>
      <c r="E65" s="8">
        <v>3</v>
      </c>
      <c r="F65" s="8">
        <v>1</v>
      </c>
      <c r="G65" s="8">
        <v>1</v>
      </c>
      <c r="H65" s="8">
        <v>1</v>
      </c>
      <c r="I65" s="8">
        <v>207.09</v>
      </c>
      <c r="J65" s="8">
        <v>0</v>
      </c>
      <c r="K65" s="8">
        <v>0</v>
      </c>
      <c r="L65" s="8">
        <v>0</v>
      </c>
      <c r="M65" s="8">
        <v>0</v>
      </c>
      <c r="N65" s="8">
        <v>1</v>
      </c>
      <c r="O65" s="8">
        <v>2485.08</v>
      </c>
      <c r="P65" s="8">
        <v>0</v>
      </c>
      <c r="Q65" s="8">
        <v>0</v>
      </c>
      <c r="R65" s="1">
        <f t="shared" si="27"/>
      </c>
      <c r="S65" s="28">
        <v>5567.146</v>
      </c>
      <c r="T65" s="11">
        <f t="shared" si="6"/>
      </c>
      <c r="U65" s="12">
        <f t="shared" si="0"/>
      </c>
      <c r="V65" s="12">
        <f t="shared" si="40"/>
      </c>
      <c r="W65" s="13">
        <f t="shared" si="31"/>
      </c>
      <c r="X65" s="13">
        <f t="shared" si="8"/>
      </c>
      <c r="Y65" s="13">
        <f t="shared" si="2"/>
      </c>
      <c r="Z65" s="3">
        <v>0</v>
      </c>
      <c r="AA65" s="3">
        <v>0</v>
      </c>
      <c r="AB65" s="8" t="s">
        <v>71</v>
      </c>
      <c r="AC65" s="8">
        <v>5</v>
      </c>
      <c r="AD65" s="9"/>
      <c r="AE65" s="9"/>
      <c r="AF65" s="9">
        <v>198373</v>
      </c>
      <c r="AG65" s="9">
        <v>248</v>
      </c>
      <c r="AH65" s="9">
        <v>186217</v>
      </c>
      <c r="AI65" s="9">
        <v>16405</v>
      </c>
      <c r="AJ65" s="9">
        <v>1143</v>
      </c>
      <c r="AK65" s="9">
        <v>143</v>
      </c>
      <c r="AL65" s="9">
        <v>375</v>
      </c>
      <c r="AM65" s="9">
        <v>8</v>
      </c>
      <c r="AN65" s="15"/>
      <c r="AO65" s="13">
        <f t="shared" si="42"/>
      </c>
      <c r="AP65" s="13">
        <f t="shared" si="33"/>
      </c>
      <c r="AQ65" s="13">
        <f t="shared" si="44"/>
      </c>
      <c r="AR65" s="16">
        <f t="shared" si="10"/>
      </c>
      <c r="AS65" s="17">
        <f t="shared" si="4"/>
      </c>
    </row>
    <row hidden="true" r="66">
      <c r="A66" s="6" t="s">
        <v>80</v>
      </c>
      <c r="B66" s="1" t="s">
        <v>50</v>
      </c>
      <c r="C66" s="3" t="s">
        <v>83</v>
      </c>
      <c r="D66" s="3">
        <v>2</v>
      </c>
      <c r="E66" s="8">
        <v>9</v>
      </c>
      <c r="F66" s="8">
        <v>3</v>
      </c>
      <c r="G66" s="8">
        <v>4</v>
      </c>
      <c r="H66" s="8">
        <v>4</v>
      </c>
      <c r="I66" s="9">
        <v>784.0799999999999</v>
      </c>
      <c r="J66" s="8">
        <v>0</v>
      </c>
      <c r="K66" s="8">
        <v>0</v>
      </c>
      <c r="L66" s="8">
        <v>1</v>
      </c>
      <c r="M66" s="9">
        <v>1718.28</v>
      </c>
      <c r="N66" s="8">
        <v>3</v>
      </c>
      <c r="O66" s="9">
        <v>7690.68</v>
      </c>
      <c r="P66" s="8">
        <v>1</v>
      </c>
      <c r="Q66" s="8">
        <v>134.19</v>
      </c>
      <c r="R66" s="1">
        <f t="shared" si="27"/>
      </c>
      <c r="S66" s="27">
        <v>5116.576999999999</v>
      </c>
      <c r="T66" s="11">
        <f t="shared" si="6"/>
      </c>
      <c r="U66" s="12">
        <f t="shared" si="0"/>
      </c>
      <c r="V66" s="12">
        <f t="shared" si="40"/>
      </c>
      <c r="W66" s="13">
        <f t="shared" si="31"/>
      </c>
      <c r="X66" s="13">
        <f t="shared" si="8"/>
      </c>
      <c r="Y66" s="13">
        <f t="shared" si="2"/>
      </c>
      <c r="Z66" s="3">
        <v>0</v>
      </c>
      <c r="AA66" s="3">
        <v>0</v>
      </c>
      <c r="AB66" s="9"/>
      <c r="AC66" s="9"/>
      <c r="AD66" s="9"/>
      <c r="AE66" s="9"/>
      <c r="AF66" s="9">
        <v>221471</v>
      </c>
      <c r="AG66" s="9">
        <v>186</v>
      </c>
      <c r="AH66" s="9">
        <v>236596</v>
      </c>
      <c r="AI66" s="9">
        <v>13512</v>
      </c>
      <c r="AJ66" s="9">
        <v>913</v>
      </c>
      <c r="AK66" s="9">
        <v>99</v>
      </c>
      <c r="AL66" s="9">
        <v>251</v>
      </c>
      <c r="AM66" s="9">
        <v>10</v>
      </c>
      <c r="AN66" s="15"/>
      <c r="AO66" s="13">
        <f t="shared" si="42"/>
      </c>
      <c r="AP66" s="13">
        <f t="shared" si="33"/>
      </c>
      <c r="AQ66" s="13">
        <f t="shared" si="44"/>
      </c>
      <c r="AR66" s="16">
        <f t="shared" si="10"/>
      </c>
      <c r="AS66" s="17">
        <f t="shared" si="4"/>
      </c>
    </row>
    <row hidden="true" r="67">
      <c r="A67" s="18" t="s">
        <v>80</v>
      </c>
      <c r="B67" s="19"/>
      <c r="C67" s="19"/>
      <c r="D67" s="19">
        <f>SUM(D63:D66)</f>
      </c>
      <c r="E67" s="19">
        <f>SUM(E63:E66)</f>
      </c>
      <c r="F67" s="19">
        <f>SUM(F63:F66)</f>
      </c>
      <c r="G67" s="19">
        <f>SUM(G63:G66)</f>
      </c>
      <c r="H67" s="19">
        <f>SUM(H63:H66)</f>
      </c>
      <c r="I67" s="19">
        <f>SUM(I63:I66)</f>
      </c>
      <c r="J67" s="19">
        <f>SUM(J63:J66)</f>
      </c>
      <c r="K67" s="19">
        <f>SUM(K63:K66)</f>
      </c>
      <c r="L67" s="19">
        <f>SUM(L63:L66)</f>
      </c>
      <c r="M67" s="19">
        <f>SUM(M63:M66)</f>
      </c>
      <c r="N67" s="19">
        <f>SUM(N63:N66)</f>
      </c>
      <c r="O67" s="19">
        <f>SUM(O63:O66)</f>
      </c>
      <c r="P67" s="19">
        <f>SUM(P63:P66)</f>
      </c>
      <c r="Q67" s="19">
        <f>SUM(Q63:Q66)</f>
      </c>
      <c r="R67" s="19">
        <f>SUM(R63:R66)</f>
      </c>
      <c r="S67" s="19">
        <f>SUM(S63:S66)</f>
      </c>
      <c r="T67" s="20">
        <f t="shared" si="6"/>
      </c>
      <c r="U67" s="20">
        <f t="shared" si="0"/>
      </c>
      <c r="V67" s="20">
        <f t="shared" si="40"/>
      </c>
      <c r="W67" s="20">
        <f t="shared" si="31"/>
      </c>
      <c r="X67" s="20">
        <f t="shared" si="8"/>
      </c>
      <c r="Y67" s="21">
        <f t="shared" si="2"/>
      </c>
      <c r="Z67" s="22">
        <f>SUM(Z63:Z66)</f>
      </c>
      <c r="AA67" s="22">
        <f>SUM(AA63:AA66)</f>
      </c>
      <c r="AB67" s="22"/>
      <c r="AC67" s="22">
        <f>SUM(AC63:AC66)</f>
      </c>
      <c r="AD67" s="22"/>
      <c r="AE67" s="22"/>
      <c r="AF67" s="22">
        <f>SUM(AF63:AF66)</f>
      </c>
      <c r="AG67" s="22">
        <f>SUM(AG63:AG66)</f>
      </c>
      <c r="AH67" s="22">
        <f>SUM(AH63:AH66)</f>
      </c>
      <c r="AI67" s="22">
        <f>SUM(AI63:AI66)</f>
      </c>
      <c r="AJ67" s="22">
        <f>SUM(AJ63:AJ66)</f>
      </c>
      <c r="AK67" s="22">
        <f>SUM(AK63:AK66)</f>
      </c>
      <c r="AL67" s="22">
        <f>SUM(AL63:AL66)</f>
      </c>
      <c r="AM67" s="22">
        <f>SUM(AM63:AM66)</f>
      </c>
      <c r="AN67" s="22">
        <f>SUM(AN63:AN66)</f>
      </c>
      <c r="AO67" s="21">
        <f t="shared" si="42"/>
      </c>
      <c r="AP67" s="21">
        <f t="shared" si="33"/>
      </c>
      <c r="AQ67" s="21">
        <f t="shared" si="44"/>
      </c>
      <c r="AR67" s="21">
        <f t="shared" si="10"/>
      </c>
      <c r="AS67" s="24">
        <f t="shared" si="4"/>
      </c>
    </row>
    <row hidden="true" r="68"/>
    <row hidden="true" r="69">
      <c r="AF69" s="29"/>
      <c r="AG69" s="30"/>
      <c r="AH69" s="30"/>
      <c r="AI69" s="30"/>
      <c r="AJ69" s="30"/>
    </row>
    <row hidden="true" r="70">
      <c r="AF70" s="29"/>
      <c r="AG70" s="30"/>
      <c r="AI70" s="30"/>
      <c r="AJ70" s="30"/>
    </row>
    <row hidden="true" r="71">
      <c r="C71" s="30"/>
      <c r="E71" s="30"/>
      <c r="AF71" s="29"/>
      <c r="AG71" s="30"/>
      <c r="AI71" s="30"/>
      <c r="AJ71" s="30"/>
    </row>
    <row hidden="true" r="72">
      <c r="C72" s="30"/>
      <c r="E72" s="30"/>
    </row>
    <row hidden="true" r="73">
      <c r="C73" s="30"/>
      <c r="E73" s="30"/>
    </row>
    <row hidden="true" r="74">
      <c r="C74" s="30"/>
      <c r="E74" s="30"/>
    </row>
    <row hidden="true" r="75">
      <c r="C75" s="30"/>
      <c r="E75" s="30"/>
    </row>
    <row hidden="true" r="76">
      <c r="C76" s="30"/>
      <c r="E76" s="30"/>
      <c r="F76" s="30"/>
    </row>
    <row hidden="true" r="77">
      <c r="C77" s="30"/>
      <c r="E77" s="30"/>
      <c r="F77" s="30"/>
    </row>
    <row hidden="true" r="78">
      <c r="C78" s="30"/>
      <c r="E78" s="30"/>
      <c r="F78" s="30"/>
    </row>
    <row hidden="true" r="79">
      <c r="C79" s="30"/>
      <c r="E79" s="30"/>
      <c r="F79" s="30"/>
    </row>
    <row hidden="true" r="80">
      <c r="C80" s="30"/>
      <c r="E80" s="30"/>
      <c r="F80" s="30"/>
    </row>
    <row hidden="true" r="81"/>
    <row hidden="true" r="82"/>
    <row hidden="true" r="83"/>
    <row hidden="true" r="84"/>
    <row hidden="true" r="85"/>
    <row hidden="true" r="86"/>
    <row hidden="true" r="87"/>
    <row hidden="true" r="88"/>
    <row hidden="true" r="89"/>
    <row hidden="true" r="90"/>
    <row hidden="true" r="91"/>
    <row hidden="true" r="92"/>
    <row hidden="true" r="93"/>
    <row hidden="true" r="94"/>
    <row hidden="true" r="95"/>
    <row hidden="true" r="96"/>
    <row hidden="true" r="97"/>
    <row hidden="true" r="98"/>
    <row hidden="true" r="99"/>
    <row hidden="true" r="100"/>
    <row hidden="true" r="101"/>
    <row hidden="true" r="102"/>
    <row hidden="true" r="103"/>
    <row hidden="true" r="104"/>
    <row hidden="true" r="105"/>
    <row hidden="true" r="106"/>
    <row hidden="true" r="107"/>
    <row hidden="true" r="108"/>
    <row hidden="true" r="109"/>
    <row hidden="true" r="110"/>
    <row hidden="true" r="111"/>
    <row hidden="true" r="112"/>
    <row hidden="true" r="113"/>
    <row hidden="true" r="114"/>
    <row hidden="true" r="115"/>
    <row hidden="true" r="116"/>
    <row hidden="true" r="117"/>
    <row hidden="true" r="118"/>
    <row hidden="true" r="119"/>
    <row hidden="true" r="120"/>
    <row hidden="true" r="121"/>
    <row hidden="true" r="122"/>
    <row hidden="true" r="123"/>
    <row hidden="true" r="124"/>
    <row hidden="true" r="125"/>
    <row hidden="true" r="126"/>
    <row hidden="true" r="127"/>
    <row hidden="true" r="128"/>
    <row hidden="true" r="129"/>
    <row hidden="true" r="130"/>
    <row hidden="true" r="131"/>
    <row hidden="true" r="132"/>
    <row hidden="true" r="133"/>
    <row hidden="true" r="134"/>
    <row hidden="true" r="135"/>
    <row hidden="true" r="136"/>
    <row hidden="true" r="137"/>
    <row hidden="true" r="138"/>
    <row hidden="true" r="139"/>
    <row hidden="true" r="140"/>
    <row hidden="true" r="141"/>
    <row hidden="true" r="142"/>
    <row hidden="true" r="143"/>
    <row hidden="true" r="144"/>
    <row hidden="true" r="145"/>
    <row hidden="true" r="146"/>
    <row hidden="true" r="147"/>
    <row hidden="true" r="148"/>
    <row hidden="true" r="149"/>
    <row hidden="true" r="150"/>
    <row hidden="true" r="151"/>
    <row hidden="true" r="152"/>
    <row hidden="true" r="153"/>
    <row hidden="true" r="154"/>
    <row hidden="true" r="155"/>
    <row hidden="true" r="156"/>
    <row hidden="true" r="157"/>
    <row hidden="true" r="158"/>
    <row hidden="true" r="159"/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hidden="true" r="174"/>
    <row hidden="true" r="175"/>
    <row hidden="true" r="176"/>
    <row hidden="true" r="177"/>
    <row hidden="true" r="178"/>
    <row hidden="true" r="179"/>
    <row hidden="true" r="180"/>
    <row hidden="true" r="181"/>
    <row hidden="true" r="182"/>
    <row hidden="true" r="183"/>
    <row hidden="true" r="184"/>
    <row hidden="true" r="185"/>
    <row hidden="true" r="186"/>
    <row hidden="true" r="187"/>
    <row hidden="true" r="188"/>
    <row hidden="true" r="189"/>
    <row hidden="true" r="190"/>
    <row hidden="true" r="191"/>
    <row hidden="true" r="192"/>
    <row r="193">
      <c r="A193" s="6" t="s">
        <v>84</v>
      </c>
      <c r="B193" s="1" t="s">
        <v>46</v>
      </c>
      <c r="C193" s="1" t="s">
        <v>61</v>
      </c>
      <c r="D193" s="1">
        <v>5</v>
      </c>
      <c r="E193" s="8">
        <v>24</v>
      </c>
      <c r="F193" s="8">
        <v>11</v>
      </c>
      <c r="G193" s="8">
        <v>10</v>
      </c>
      <c r="H193" s="8">
        <v>10</v>
      </c>
      <c r="I193" s="9">
        <v>901.8399999999999</v>
      </c>
      <c r="J193" s="8">
        <v>1</v>
      </c>
      <c r="K193" s="8">
        <v>873</v>
      </c>
      <c r="L193" s="8">
        <v>5</v>
      </c>
      <c r="M193" s="9">
        <v>2517.96</v>
      </c>
      <c r="N193" s="8">
        <v>6</v>
      </c>
      <c r="O193" s="8">
        <v>9177.12</v>
      </c>
      <c r="P193" s="8">
        <v>2</v>
      </c>
      <c r="Q193" s="8">
        <v>125.71</v>
      </c>
      <c r="R193" s="1">
        <f t="shared" ref="R193:R196" si="28">(I193*12)+K193</f>
      </c>
      <c r="S193" s="27">
        <v>8647.41</v>
      </c>
      <c r="T193" s="11">
        <f t="shared" ref="T193:T207" si="7">R193/S193</f>
      </c>
      <c r="U193" s="12">
        <f t="shared" ref="U193:U207" si="1">R193/F193</f>
      </c>
      <c r="V193" s="12">
        <f t="shared" ref="V193:V207" si="41">S193/F193</f>
      </c>
      <c r="W193" s="13">
        <f t="shared" ref="W193:W207" si="32">Z193/F193</f>
      </c>
      <c r="X193" s="13">
        <f t="shared" ref="X193:X207" si="9">AA193/F193</f>
      </c>
      <c r="Y193" s="13">
        <f t="shared" ref="Y193:Y207" si="3">P193/F193</f>
      </c>
      <c r="Z193" s="3">
        <v>2</v>
      </c>
      <c r="AA193" s="3">
        <v>2</v>
      </c>
      <c r="AB193" s="9" t="s">
        <v>57</v>
      </c>
      <c r="AC193" s="8">
        <v>7</v>
      </c>
      <c r="AD193" s="9" t="s">
        <v>49</v>
      </c>
      <c r="AE193" s="8">
        <v>15</v>
      </c>
      <c r="AF193" s="14">
        <v>318549</v>
      </c>
      <c r="AG193" s="9">
        <v>938</v>
      </c>
      <c r="AH193" s="9">
        <v>250065</v>
      </c>
      <c r="AI193" s="9">
        <v>24418</v>
      </c>
      <c r="AJ193" s="9">
        <v>2130</v>
      </c>
      <c r="AK193" s="9">
        <v>280</v>
      </c>
      <c r="AL193" s="9">
        <v>747</v>
      </c>
      <c r="AM193" s="9">
        <v>26</v>
      </c>
      <c r="AN193" s="15"/>
      <c r="AO193" s="13">
        <f t="shared" ref="AO193:AO207" si="43">AG193/AF193</f>
      </c>
      <c r="AP193" s="13">
        <f t="shared" ref="AP193:AP207" si="34">(AK193+AL193+AM193)/AH193</f>
      </c>
      <c r="AQ193" s="13">
        <f t="shared" ref="AQ193:AQ207" si="45">AI193/AH193</f>
      </c>
      <c r="AR193" s="16">
        <f t="shared" ref="AR193:AR207" si="11">AL193/AH193</f>
      </c>
      <c r="AS193" s="17">
        <f t="shared" ref="AS193:AS207" si="5">S193/AJ193</f>
      </c>
    </row>
    <row r="194">
      <c r="A194" s="6" t="s">
        <v>84</v>
      </c>
      <c r="B194" s="1" t="s">
        <v>82</v>
      </c>
      <c r="C194" s="3" t="s">
        <v>76</v>
      </c>
      <c r="D194" s="3">
        <v>3</v>
      </c>
      <c r="E194" s="8">
        <v>12</v>
      </c>
      <c r="F194" s="8">
        <v>6</v>
      </c>
      <c r="G194" s="8">
        <v>7</v>
      </c>
      <c r="H194" s="8">
        <v>6</v>
      </c>
      <c r="I194" s="8">
        <v>1341.52</v>
      </c>
      <c r="J194" s="8">
        <v>1</v>
      </c>
      <c r="K194" s="8">
        <v>0</v>
      </c>
      <c r="L194" s="8">
        <v>3</v>
      </c>
      <c r="M194" s="9">
        <v>2553.36</v>
      </c>
      <c r="N194" s="8">
        <v>3</v>
      </c>
      <c r="O194" s="9">
        <v>13544.880000000001</v>
      </c>
      <c r="P194" s="8">
        <v>2</v>
      </c>
      <c r="Q194" s="8">
        <v>906.32</v>
      </c>
      <c r="R194" s="1">
        <f t="shared" si="28"/>
      </c>
      <c r="S194" s="28">
        <v>6028.141</v>
      </c>
      <c r="T194" s="11">
        <f t="shared" si="7"/>
      </c>
      <c r="U194" s="12">
        <f t="shared" si="1"/>
      </c>
      <c r="V194" s="12">
        <f t="shared" si="41"/>
      </c>
      <c r="W194" s="13">
        <f t="shared" si="32"/>
      </c>
      <c r="X194" s="13">
        <f t="shared" si="9"/>
      </c>
      <c r="Y194" s="13">
        <f t="shared" si="3"/>
      </c>
      <c r="Z194" s="3">
        <v>0</v>
      </c>
      <c r="AA194" s="3">
        <v>0</v>
      </c>
      <c r="AB194" s="9"/>
      <c r="AC194" s="9"/>
      <c r="AD194" s="9"/>
      <c r="AE194" s="9"/>
      <c r="AF194" s="14">
        <v>236579</v>
      </c>
      <c r="AG194" s="9">
        <v>729</v>
      </c>
      <c r="AH194" s="14">
        <v>176650</v>
      </c>
      <c r="AI194" s="9">
        <v>14606</v>
      </c>
      <c r="AJ194" s="9">
        <v>1273</v>
      </c>
      <c r="AK194" s="9">
        <v>161</v>
      </c>
      <c r="AL194" s="9">
        <v>451</v>
      </c>
      <c r="AM194" s="9">
        <v>15</v>
      </c>
      <c r="AN194" s="15"/>
      <c r="AO194" s="13">
        <f t="shared" si="43"/>
      </c>
      <c r="AP194" s="13">
        <f t="shared" si="34"/>
      </c>
      <c r="AQ194" s="13">
        <f t="shared" si="45"/>
      </c>
      <c r="AR194" s="16">
        <f t="shared" si="11"/>
      </c>
      <c r="AS194" s="17">
        <f t="shared" si="5"/>
      </c>
    </row>
    <row r="195">
      <c r="A195" s="6" t="s">
        <v>84</v>
      </c>
      <c r="B195" s="3" t="s">
        <v>85</v>
      </c>
      <c r="C195" s="1" t="s">
        <v>78</v>
      </c>
      <c r="D195" s="3">
        <v>2</v>
      </c>
      <c r="E195" s="8">
        <v>4</v>
      </c>
      <c r="F195" s="8">
        <v>2</v>
      </c>
      <c r="G195" s="8">
        <v>2</v>
      </c>
      <c r="H195" s="8">
        <v>1</v>
      </c>
      <c r="I195" s="8">
        <v>216.9</v>
      </c>
      <c r="J195" s="8">
        <v>1</v>
      </c>
      <c r="K195" s="8">
        <v>2301</v>
      </c>
      <c r="L195" s="8">
        <v>0</v>
      </c>
      <c r="M195" s="8">
        <v>0</v>
      </c>
      <c r="N195" s="8">
        <v>2</v>
      </c>
      <c r="O195" s="8">
        <v>4903.8</v>
      </c>
      <c r="P195" s="8">
        <v>0</v>
      </c>
      <c r="Q195" s="8">
        <v>0</v>
      </c>
      <c r="R195" s="1">
        <f t="shared" si="28"/>
      </c>
      <c r="S195" s="28">
        <v>3665.0759999999996</v>
      </c>
      <c r="T195" s="11">
        <f t="shared" si="7"/>
      </c>
      <c r="U195" s="12">
        <f t="shared" si="1"/>
      </c>
      <c r="V195" s="12">
        <f t="shared" si="41"/>
      </c>
      <c r="W195" s="13">
        <f t="shared" si="32"/>
      </c>
      <c r="X195" s="13">
        <f t="shared" si="9"/>
      </c>
      <c r="Y195" s="13">
        <f t="shared" si="3"/>
      </c>
      <c r="Z195" s="3">
        <v>0</v>
      </c>
      <c r="AA195" s="3">
        <v>0</v>
      </c>
      <c r="AB195" s="8" t="s">
        <v>71</v>
      </c>
      <c r="AC195" s="8">
        <v>8</v>
      </c>
      <c r="AD195" s="9"/>
      <c r="AE195" s="9"/>
      <c r="AF195" s="9">
        <v>155584</v>
      </c>
      <c r="AG195" s="9">
        <v>314</v>
      </c>
      <c r="AH195" s="9">
        <v>135073</v>
      </c>
      <c r="AI195" s="9">
        <v>11531</v>
      </c>
      <c r="AJ195" s="9">
        <v>753</v>
      </c>
      <c r="AK195" s="9">
        <v>124</v>
      </c>
      <c r="AL195" s="9">
        <v>288</v>
      </c>
      <c r="AM195" s="9">
        <v>8</v>
      </c>
      <c r="AN195" s="15"/>
      <c r="AO195" s="13">
        <f t="shared" si="43"/>
      </c>
      <c r="AP195" s="13">
        <f t="shared" si="34"/>
      </c>
      <c r="AQ195" s="13">
        <f t="shared" si="45"/>
      </c>
      <c r="AR195" s="16">
        <f t="shared" si="11"/>
      </c>
      <c r="AS195" s="17">
        <f t="shared" si="5"/>
      </c>
    </row>
    <row r="196">
      <c r="A196" s="6" t="s">
        <v>84</v>
      </c>
      <c r="B196" s="1" t="s">
        <v>50</v>
      </c>
      <c r="C196" s="1" t="s">
        <v>51</v>
      </c>
      <c r="D196" s="3">
        <v>5</v>
      </c>
      <c r="E196" s="8">
        <v>34</v>
      </c>
      <c r="F196" s="8">
        <v>22</v>
      </c>
      <c r="G196" s="8">
        <v>22</v>
      </c>
      <c r="H196" s="8">
        <v>18</v>
      </c>
      <c r="I196" s="9">
        <v>4606.099999999999</v>
      </c>
      <c r="J196" s="8">
        <v>4</v>
      </c>
      <c r="K196" s="8">
        <v>3167.1</v>
      </c>
      <c r="L196" s="8">
        <v>10</v>
      </c>
      <c r="M196" s="9">
        <v>8722.419999999998</v>
      </c>
      <c r="N196" s="8">
        <v>12</v>
      </c>
      <c r="O196" s="9">
        <v>49717.88</v>
      </c>
      <c r="P196" s="8">
        <v>6</v>
      </c>
      <c r="Q196" s="8">
        <v>2903.9900000000002</v>
      </c>
      <c r="R196" s="1">
        <f t="shared" si="28"/>
      </c>
      <c r="S196" s="27">
        <v>19607.379</v>
      </c>
      <c r="T196" s="11">
        <f t="shared" si="7"/>
      </c>
      <c r="U196" s="12">
        <f t="shared" si="1"/>
      </c>
      <c r="V196" s="12">
        <f t="shared" si="41"/>
      </c>
      <c r="W196" s="13">
        <f t="shared" si="32"/>
      </c>
      <c r="X196" s="13">
        <f t="shared" si="9"/>
      </c>
      <c r="Y196" s="13">
        <f t="shared" si="3"/>
      </c>
      <c r="Z196" s="3">
        <v>2</v>
      </c>
      <c r="AA196" s="3">
        <v>2</v>
      </c>
      <c r="AB196" s="9"/>
      <c r="AC196" s="9"/>
      <c r="AD196" s="9"/>
      <c r="AE196" s="9"/>
      <c r="AF196" s="9">
        <v>884968</v>
      </c>
      <c r="AG196" s="9">
        <v>1130</v>
      </c>
      <c r="AH196" s="9">
        <v>979954</v>
      </c>
      <c r="AI196" s="9">
        <v>51547</v>
      </c>
      <c r="AJ196" s="9">
        <v>3928</v>
      </c>
      <c r="AK196" s="9">
        <v>439</v>
      </c>
      <c r="AL196" s="9">
        <v>1066</v>
      </c>
      <c r="AM196" s="9">
        <v>38</v>
      </c>
      <c r="AN196" s="15"/>
      <c r="AO196" s="13">
        <f t="shared" si="43"/>
      </c>
      <c r="AP196" s="13">
        <f t="shared" si="34"/>
      </c>
      <c r="AQ196" s="13">
        <f t="shared" si="45"/>
      </c>
      <c r="AR196" s="16">
        <f t="shared" si="11"/>
      </c>
      <c r="AS196" s="17">
        <f t="shared" si="5"/>
      </c>
    </row>
    <row r="197">
      <c r="A197" s="18" t="s">
        <v>84</v>
      </c>
      <c r="B197" s="19"/>
      <c r="C197" s="19"/>
      <c r="D197" s="19">
        <f>SUM(D193:D196)</f>
      </c>
      <c r="E197" s="19">
        <f>SUM(E193:E196)</f>
      </c>
      <c r="F197" s="19">
        <f>SUM(F193:F196)</f>
      </c>
      <c r="G197" s="19">
        <f>SUM(G193:G196)</f>
      </c>
      <c r="H197" s="19">
        <f>SUM(H193:H196)</f>
      </c>
      <c r="I197" s="19">
        <f>SUM(I193:I196)</f>
      </c>
      <c r="J197" s="19">
        <f>SUM(J193:J196)</f>
      </c>
      <c r="K197" s="19">
        <f>SUM(K193:K196)</f>
      </c>
      <c r="L197" s="19">
        <f>SUM(L193:L196)</f>
      </c>
      <c r="M197" s="19">
        <f>SUM(M193:M196)</f>
      </c>
      <c r="N197" s="19">
        <f>SUM(N193:N196)</f>
      </c>
      <c r="O197" s="19">
        <f>SUM(O193:O196)</f>
      </c>
      <c r="P197" s="19">
        <f>SUM(P193:P196)</f>
      </c>
      <c r="Q197" s="19">
        <f>SUM(Q193:Q196)</f>
      </c>
      <c r="R197" s="19">
        <f>SUM(R193:R196)</f>
      </c>
      <c r="S197" s="19">
        <f>SUM(S193:S196)</f>
      </c>
      <c r="T197" s="20">
        <f t="shared" si="7"/>
      </c>
      <c r="U197" s="20">
        <f t="shared" si="1"/>
      </c>
      <c r="V197" s="20">
        <f t="shared" si="41"/>
      </c>
      <c r="W197" s="20">
        <f t="shared" si="32"/>
      </c>
      <c r="X197" s="20">
        <f t="shared" si="9"/>
      </c>
      <c r="Y197" s="21">
        <f t="shared" si="3"/>
      </c>
      <c r="Z197" s="22">
        <f>SUM(Z193:Z196)</f>
      </c>
      <c r="AA197" s="22">
        <f>SUM(AA193:AA196)</f>
      </c>
      <c r="AB197" s="22"/>
      <c r="AC197" s="22">
        <f>SUM(AC193:AC196)</f>
      </c>
      <c r="AD197" s="22"/>
      <c r="AE197" s="22"/>
      <c r="AF197" s="22">
        <f>SUM(AF193:AF196)</f>
      </c>
      <c r="AG197" s="22">
        <f>SUM(AG193:AG196)</f>
      </c>
      <c r="AH197" s="22">
        <f>SUM(AH193:AH196)</f>
      </c>
      <c r="AI197" s="22">
        <f>SUM(AI193:AI196)</f>
      </c>
      <c r="AJ197" s="22">
        <f>SUM(AJ193:AJ196)</f>
      </c>
      <c r="AK197" s="22">
        <f>SUM(AK193:AK196)</f>
      </c>
      <c r="AL197" s="22">
        <f>SUM(AL193:AL196)</f>
      </c>
      <c r="AM197" s="22">
        <f>SUM(AM193:AM196)</f>
      </c>
      <c r="AN197" s="22">
        <f>SUM(AN193:AN196)</f>
      </c>
      <c r="AO197" s="21">
        <f t="shared" si="43"/>
      </c>
      <c r="AP197" s="21">
        <f t="shared" si="34"/>
      </c>
      <c r="AQ197" s="21">
        <f t="shared" si="45"/>
      </c>
      <c r="AR197" s="21">
        <f t="shared" si="11"/>
      </c>
      <c r="AS197" s="24">
        <f t="shared" si="5"/>
      </c>
    </row>
    <row r="198">
      <c r="A198" s="6" t="s">
        <v>86</v>
      </c>
      <c r="B198" s="1" t="s">
        <v>46</v>
      </c>
      <c r="C198" s="1" t="s">
        <v>61</v>
      </c>
      <c r="D198" s="1">
        <v>5</v>
      </c>
      <c r="E198" s="8">
        <v>14</v>
      </c>
      <c r="F198" s="8">
        <v>7</v>
      </c>
      <c r="G198" s="8">
        <v>5</v>
      </c>
      <c r="H198" s="8">
        <v>7</v>
      </c>
      <c r="I198" s="9">
        <v>462.45000000000005</v>
      </c>
      <c r="J198" s="8">
        <v>0</v>
      </c>
      <c r="K198" s="8">
        <v>0</v>
      </c>
      <c r="L198" s="8">
        <v>5</v>
      </c>
      <c r="M198" s="9">
        <v>2611.8</v>
      </c>
      <c r="N198" s="8">
        <v>2</v>
      </c>
      <c r="O198" s="8">
        <v>2937.6000000000004</v>
      </c>
      <c r="P198" s="8">
        <v>1</v>
      </c>
      <c r="Q198" s="8">
        <v>44.53</v>
      </c>
      <c r="R198" s="1">
        <f t="shared" ref="R198:R201" si="29">(I198*12)+K198</f>
      </c>
      <c r="S198" s="27">
        <v>8225.822</v>
      </c>
      <c r="T198" s="11">
        <f t="shared" si="7"/>
      </c>
      <c r="U198" s="12">
        <f t="shared" si="1"/>
      </c>
      <c r="V198" s="12">
        <f t="shared" si="41"/>
      </c>
      <c r="W198" s="13">
        <f t="shared" si="32"/>
      </c>
      <c r="X198" s="13">
        <f t="shared" si="9"/>
      </c>
      <c r="Y198" s="13">
        <f t="shared" si="3"/>
      </c>
      <c r="Z198" s="3">
        <v>2</v>
      </c>
      <c r="AA198" s="3">
        <v>2</v>
      </c>
      <c r="AB198" s="9" t="s">
        <v>57</v>
      </c>
      <c r="AC198" s="9">
        <v>6</v>
      </c>
      <c r="AD198" s="9" t="s">
        <v>49</v>
      </c>
      <c r="AE198" s="8">
        <v>15</v>
      </c>
      <c r="AF198" s="14">
        <v>339446</v>
      </c>
      <c r="AG198" s="9">
        <v>770</v>
      </c>
      <c r="AH198" s="9">
        <v>258162</v>
      </c>
      <c r="AI198" s="9">
        <v>29037</v>
      </c>
      <c r="AJ198" s="9">
        <v>2115</v>
      </c>
      <c r="AK198" s="9">
        <v>354</v>
      </c>
      <c r="AL198" s="9">
        <v>830</v>
      </c>
      <c r="AM198" s="9">
        <v>43</v>
      </c>
      <c r="AN198" s="15"/>
      <c r="AO198" s="13">
        <f t="shared" si="43"/>
      </c>
      <c r="AP198" s="13">
        <f t="shared" si="34"/>
      </c>
      <c r="AQ198" s="13">
        <f t="shared" si="45"/>
      </c>
      <c r="AR198" s="16">
        <f t="shared" si="11"/>
      </c>
      <c r="AS198" s="17">
        <f t="shared" si="5"/>
      </c>
    </row>
    <row r="199">
      <c r="A199" s="6" t="s">
        <v>86</v>
      </c>
      <c r="B199" s="1" t="s">
        <v>82</v>
      </c>
      <c r="C199" s="3" t="s">
        <v>76</v>
      </c>
      <c r="D199" s="3">
        <v>3</v>
      </c>
      <c r="E199" s="8">
        <v>14</v>
      </c>
      <c r="F199" s="8">
        <v>5</v>
      </c>
      <c r="G199" s="8">
        <v>5</v>
      </c>
      <c r="H199" s="8">
        <v>4</v>
      </c>
      <c r="I199" s="8">
        <v>392.02</v>
      </c>
      <c r="J199" s="8">
        <v>1</v>
      </c>
      <c r="K199" s="8">
        <v>2301</v>
      </c>
      <c r="L199" s="8">
        <v>2</v>
      </c>
      <c r="M199" s="9">
        <v>565.5600000000001</v>
      </c>
      <c r="N199" s="8">
        <v>3</v>
      </c>
      <c r="O199" s="9">
        <v>6439.68</v>
      </c>
      <c r="P199" s="8">
        <v>1</v>
      </c>
      <c r="Q199" s="8">
        <v>197.29</v>
      </c>
      <c r="R199" s="1">
        <f t="shared" si="29"/>
      </c>
      <c r="S199" s="28">
        <v>6356.650000000001</v>
      </c>
      <c r="T199" s="11">
        <f t="shared" si="7"/>
      </c>
      <c r="U199" s="12">
        <f t="shared" si="1"/>
      </c>
      <c r="V199" s="12">
        <f t="shared" si="41"/>
      </c>
      <c r="W199" s="13">
        <f t="shared" si="32"/>
      </c>
      <c r="X199" s="13">
        <f t="shared" si="9"/>
      </c>
      <c r="Y199" s="13">
        <f t="shared" si="3"/>
      </c>
      <c r="Z199" s="3">
        <v>0</v>
      </c>
      <c r="AA199" s="3">
        <v>0</v>
      </c>
      <c r="AB199" s="9" t="s">
        <v>52</v>
      </c>
      <c r="AC199" s="9">
        <v>1</v>
      </c>
      <c r="AD199" s="9"/>
      <c r="AE199" s="9"/>
      <c r="AF199" s="14">
        <v>83100</v>
      </c>
      <c r="AG199" s="9">
        <v>369</v>
      </c>
      <c r="AH199" s="14">
        <v>90073</v>
      </c>
      <c r="AI199" s="9">
        <v>11574</v>
      </c>
      <c r="AJ199" s="9">
        <v>694</v>
      </c>
      <c r="AK199" s="9">
        <v>364</v>
      </c>
      <c r="AL199" s="9">
        <v>1060</v>
      </c>
      <c r="AM199" s="9">
        <v>22</v>
      </c>
      <c r="AN199" s="15"/>
      <c r="AO199" s="13">
        <f t="shared" si="43"/>
      </c>
      <c r="AP199" s="13">
        <f t="shared" si="34"/>
      </c>
      <c r="AQ199" s="13">
        <f t="shared" si="45"/>
      </c>
      <c r="AR199" s="16">
        <f t="shared" si="11"/>
      </c>
      <c r="AS199" s="17">
        <f t="shared" si="5"/>
      </c>
    </row>
    <row r="200">
      <c r="A200" s="6" t="s">
        <v>86</v>
      </c>
      <c r="B200" s="3" t="s">
        <v>87</v>
      </c>
      <c r="C200" s="1" t="s">
        <v>78</v>
      </c>
      <c r="D200" s="3">
        <v>2</v>
      </c>
      <c r="E200" s="8">
        <v>3</v>
      </c>
      <c r="F200" s="8">
        <v>1</v>
      </c>
      <c r="G200" s="8">
        <v>1</v>
      </c>
      <c r="H200" s="8">
        <v>1</v>
      </c>
      <c r="I200" s="8">
        <v>54.81</v>
      </c>
      <c r="J200" s="8">
        <v>0</v>
      </c>
      <c r="K200" s="8">
        <v>0</v>
      </c>
      <c r="L200" s="8">
        <v>0</v>
      </c>
      <c r="M200" s="8">
        <v>0</v>
      </c>
      <c r="N200" s="8">
        <v>1</v>
      </c>
      <c r="O200" s="8">
        <v>657.72</v>
      </c>
      <c r="P200" s="8">
        <v>0</v>
      </c>
      <c r="Q200" s="8">
        <v>0</v>
      </c>
      <c r="R200" s="1">
        <f t="shared" si="29"/>
      </c>
      <c r="S200" s="28">
        <v>3479.346</v>
      </c>
      <c r="T200" s="11">
        <f t="shared" si="7"/>
      </c>
      <c r="U200" s="12">
        <f t="shared" si="1"/>
      </c>
      <c r="V200" s="12">
        <f t="shared" si="41"/>
      </c>
      <c r="W200" s="13">
        <f t="shared" si="32"/>
      </c>
      <c r="X200" s="13">
        <f t="shared" si="9"/>
      </c>
      <c r="Y200" s="13">
        <f t="shared" si="3"/>
      </c>
      <c r="Z200" s="3">
        <v>0</v>
      </c>
      <c r="AA200" s="3">
        <v>0</v>
      </c>
      <c r="AB200" s="8" t="s">
        <v>71</v>
      </c>
      <c r="AC200" s="8">
        <v>8</v>
      </c>
      <c r="AD200" s="9"/>
      <c r="AE200" s="9"/>
      <c r="AF200" s="9">
        <v>175372</v>
      </c>
      <c r="AG200" s="9">
        <v>819</v>
      </c>
      <c r="AH200" s="9">
        <v>175664</v>
      </c>
      <c r="AI200" s="9">
        <v>22295</v>
      </c>
      <c r="AJ200" s="9">
        <v>1480</v>
      </c>
      <c r="AK200" s="9">
        <v>272</v>
      </c>
      <c r="AL200" s="9">
        <v>628</v>
      </c>
      <c r="AM200" s="9">
        <v>11</v>
      </c>
      <c r="AN200" s="15"/>
      <c r="AO200" s="13">
        <f t="shared" si="43"/>
      </c>
      <c r="AP200" s="13">
        <f t="shared" si="34"/>
      </c>
      <c r="AQ200" s="13">
        <f t="shared" si="45"/>
      </c>
      <c r="AR200" s="16">
        <f t="shared" si="11"/>
      </c>
      <c r="AS200" s="17">
        <f t="shared" si="5"/>
      </c>
    </row>
    <row r="201">
      <c r="A201" s="6" t="s">
        <v>86</v>
      </c>
      <c r="B201" s="1" t="s">
        <v>50</v>
      </c>
      <c r="C201" s="1" t="s">
        <v>51</v>
      </c>
      <c r="D201" s="3">
        <v>5</v>
      </c>
      <c r="E201" s="8">
        <v>32</v>
      </c>
      <c r="F201" s="8">
        <v>22</v>
      </c>
      <c r="G201" s="8">
        <v>19</v>
      </c>
      <c r="H201" s="8">
        <v>19</v>
      </c>
      <c r="I201" s="9">
        <v>2495.86</v>
      </c>
      <c r="J201" s="8">
        <v>3</v>
      </c>
      <c r="K201" s="8">
        <v>6205</v>
      </c>
      <c r="L201" s="8">
        <v>13</v>
      </c>
      <c r="M201" s="9">
        <v>9735.520000000002</v>
      </c>
      <c r="N201" s="8">
        <v>9</v>
      </c>
      <c r="O201" s="9">
        <v>26419.8</v>
      </c>
      <c r="P201" s="8">
        <v>4</v>
      </c>
      <c r="Q201" s="8">
        <v>531.29</v>
      </c>
      <c r="R201" s="1">
        <f t="shared" si="29"/>
      </c>
      <c r="S201" s="27">
        <v>19010.672</v>
      </c>
      <c r="T201" s="11">
        <f t="shared" si="7"/>
      </c>
      <c r="U201" s="12">
        <f t="shared" si="1"/>
      </c>
      <c r="V201" s="12">
        <f t="shared" si="41"/>
      </c>
      <c r="W201" s="13">
        <f t="shared" si="32"/>
      </c>
      <c r="X201" s="13">
        <f t="shared" si="9"/>
      </c>
      <c r="Y201" s="13">
        <f t="shared" si="3"/>
      </c>
      <c r="Z201" s="3">
        <v>4</v>
      </c>
      <c r="AA201" s="3">
        <v>4</v>
      </c>
      <c r="AB201" s="9"/>
      <c r="AC201" s="9"/>
      <c r="AD201" s="9"/>
      <c r="AE201" s="9"/>
      <c r="AF201" s="9">
        <v>908435</v>
      </c>
      <c r="AG201" s="9">
        <v>3505</v>
      </c>
      <c r="AH201" s="9">
        <v>958340</v>
      </c>
      <c r="AI201" s="9">
        <v>81588</v>
      </c>
      <c r="AJ201" s="9">
        <v>5780</v>
      </c>
      <c r="AK201" s="9">
        <v>971</v>
      </c>
      <c r="AL201" s="9">
        <v>1942</v>
      </c>
      <c r="AM201" s="9">
        <v>74</v>
      </c>
      <c r="AN201" s="15"/>
      <c r="AO201" s="13">
        <f t="shared" si="43"/>
      </c>
      <c r="AP201" s="13">
        <f t="shared" si="34"/>
      </c>
      <c r="AQ201" s="13">
        <f t="shared" si="45"/>
      </c>
      <c r="AR201" s="16">
        <f t="shared" si="11"/>
      </c>
      <c r="AS201" s="17">
        <f t="shared" si="5"/>
      </c>
    </row>
    <row r="202">
      <c r="A202" s="18" t="s">
        <v>86</v>
      </c>
      <c r="B202" s="19"/>
      <c r="C202" s="19"/>
      <c r="D202" s="19">
        <f>SUM(D198:D201)</f>
      </c>
      <c r="E202" s="19">
        <f>SUM(E198:E201)</f>
      </c>
      <c r="F202" s="19">
        <f>SUM(F198:F201)</f>
      </c>
      <c r="G202" s="19">
        <f>SUM(G198:G201)</f>
      </c>
      <c r="H202" s="19">
        <f>SUM(H198:H201)</f>
      </c>
      <c r="I202" s="19">
        <f>SUM(I198:I201)</f>
      </c>
      <c r="J202" s="19">
        <f>SUM(J198:J201)</f>
      </c>
      <c r="K202" s="19">
        <f>SUM(K198:K201)</f>
      </c>
      <c r="L202" s="19">
        <f>SUM(L198:L201)</f>
      </c>
      <c r="M202" s="19">
        <f>SUM(M198:M201)</f>
      </c>
      <c r="N202" s="19">
        <f>SUM(N198:N201)</f>
      </c>
      <c r="O202" s="19">
        <f>SUM(O198:O201)</f>
      </c>
      <c r="P202" s="19">
        <f>SUM(P198:P201)</f>
      </c>
      <c r="Q202" s="19">
        <f>SUM(Q198:Q201)</f>
      </c>
      <c r="R202" s="19">
        <f>SUM(R198:R201)</f>
      </c>
      <c r="S202" s="19">
        <f>SUM(S198:S201)</f>
      </c>
      <c r="T202" s="20">
        <f t="shared" si="7"/>
      </c>
      <c r="U202" s="20">
        <f t="shared" si="1"/>
      </c>
      <c r="V202" s="20">
        <f t="shared" si="41"/>
      </c>
      <c r="W202" s="20">
        <f t="shared" si="32"/>
      </c>
      <c r="X202" s="20">
        <f t="shared" si="9"/>
      </c>
      <c r="Y202" s="21">
        <f t="shared" si="3"/>
      </c>
      <c r="Z202" s="22">
        <f>SUM(Z198:Z201)</f>
      </c>
      <c r="AA202" s="22">
        <f>SUM(AA198:AA201)</f>
      </c>
      <c r="AB202" s="22"/>
      <c r="AC202" s="22">
        <f>SUM(AC198:AC201)</f>
      </c>
      <c r="AD202" s="22"/>
      <c r="AE202" s="22"/>
      <c r="AF202" s="22">
        <f>SUM(AF198:AF201)</f>
      </c>
      <c r="AG202" s="22">
        <f>SUM(AG198:AG201)</f>
      </c>
      <c r="AH202" s="22">
        <f>SUM(AH198:AH201)</f>
      </c>
      <c r="AI202" s="22">
        <f>SUM(AI198:AI201)</f>
      </c>
      <c r="AJ202" s="22">
        <f>SUM(AJ198:AJ201)</f>
      </c>
      <c r="AK202" s="22">
        <f>SUM(AK198:AK201)</f>
      </c>
      <c r="AL202" s="22">
        <f>SUM(AL198:AL201)</f>
      </c>
      <c r="AM202" s="22">
        <f>SUM(AM198:AM201)</f>
      </c>
      <c r="AN202" s="22">
        <f>SUM(AN198:AN201)</f>
      </c>
      <c r="AO202" s="21">
        <f t="shared" si="43"/>
      </c>
      <c r="AP202" s="21">
        <f t="shared" si="34"/>
      </c>
      <c r="AQ202" s="21">
        <f t="shared" si="45"/>
      </c>
      <c r="AR202" s="21">
        <f t="shared" si="11"/>
      </c>
      <c r="AS202" s="24">
        <f t="shared" si="5"/>
      </c>
    </row>
    <row r="203">
      <c r="A203" s="6" t="s">
        <v>88</v>
      </c>
      <c r="B203" s="1" t="s">
        <v>46</v>
      </c>
      <c r="C203" s="1" t="s">
        <v>61</v>
      </c>
      <c r="D203" s="1">
        <v>5</v>
      </c>
      <c r="E203" s="31">
        <v>10</v>
      </c>
      <c r="F203" s="31">
        <v>7</v>
      </c>
      <c r="G203" s="31">
        <v>7</v>
      </c>
      <c r="H203" s="31">
        <v>6</v>
      </c>
      <c r="I203" s="9">
        <v>635.79</v>
      </c>
      <c r="J203" s="31">
        <v>1</v>
      </c>
      <c r="K203" s="8">
        <v>983.85</v>
      </c>
      <c r="L203" s="31">
        <v>4</v>
      </c>
      <c r="M203" s="9">
        <v>1871.9700000000003</v>
      </c>
      <c r="N203" s="31">
        <v>3</v>
      </c>
      <c r="O203" s="8">
        <v>6741.36</v>
      </c>
      <c r="P203" s="31">
        <v>1</v>
      </c>
      <c r="Q203" s="8">
        <v>983.85</v>
      </c>
      <c r="R203" s="1">
        <f t="shared" ref="R203:R206" si="30">(I203*12)+K203</f>
      </c>
      <c r="S203" s="27">
        <v>11052.73</v>
      </c>
      <c r="T203" s="11">
        <f t="shared" si="7"/>
      </c>
      <c r="U203" s="12">
        <f t="shared" si="1"/>
      </c>
      <c r="V203" s="12">
        <f t="shared" si="41"/>
      </c>
      <c r="W203" s="13">
        <f t="shared" si="32"/>
      </c>
      <c r="X203" s="13">
        <f t="shared" si="9"/>
      </c>
      <c r="Y203" s="13">
        <f t="shared" si="3"/>
      </c>
      <c r="Z203" s="32">
        <v>2</v>
      </c>
      <c r="AA203" s="32">
        <v>2</v>
      </c>
      <c r="AB203" s="31" t="s">
        <v>52</v>
      </c>
      <c r="AC203" s="8">
        <v>7</v>
      </c>
      <c r="AD203" s="9" t="s">
        <v>49</v>
      </c>
      <c r="AE203" s="8">
        <v>15</v>
      </c>
      <c r="AF203" s="14">
        <v>378404</v>
      </c>
      <c r="AG203" s="9">
        <v>2712</v>
      </c>
      <c r="AH203" s="9">
        <v>405008</v>
      </c>
      <c r="AI203" s="9">
        <v>55828</v>
      </c>
      <c r="AJ203" s="9">
        <v>4109</v>
      </c>
      <c r="AK203" s="9">
        <v>473</v>
      </c>
      <c r="AL203" s="9">
        <v>1694</v>
      </c>
      <c r="AM203" s="9">
        <v>41</v>
      </c>
      <c r="AN203" s="15"/>
      <c r="AO203" s="13">
        <f t="shared" si="43"/>
      </c>
      <c r="AP203" s="13">
        <f t="shared" si="34"/>
      </c>
      <c r="AQ203" s="13">
        <f t="shared" si="45"/>
      </c>
      <c r="AR203" s="16">
        <f t="shared" si="11"/>
      </c>
      <c r="AS203" s="17">
        <f t="shared" si="5"/>
      </c>
    </row>
    <row r="204">
      <c r="A204" s="6" t="s">
        <v>88</v>
      </c>
      <c r="B204" s="1" t="s">
        <v>82</v>
      </c>
      <c r="C204" s="3" t="s">
        <v>76</v>
      </c>
      <c r="D204" s="3">
        <v>3</v>
      </c>
      <c r="E204" s="8"/>
      <c r="F204" s="8"/>
      <c r="G204" s="8"/>
      <c r="H204" s="8"/>
      <c r="I204" s="8"/>
      <c r="J204" s="8"/>
      <c r="K204" s="8"/>
      <c r="L204" s="8"/>
      <c r="M204" s="9"/>
      <c r="N204" s="8"/>
      <c r="O204" s="9"/>
      <c r="P204" s="8"/>
      <c r="Q204" s="8"/>
      <c r="R204" s="1">
        <f t="shared" si="30"/>
      </c>
      <c r="S204" s="28"/>
      <c r="T204" s="11">
        <f t="shared" si="7"/>
      </c>
      <c r="U204" s="12">
        <f t="shared" si="1"/>
      </c>
      <c r="V204" s="12">
        <f t="shared" si="41"/>
      </c>
      <c r="W204" s="13">
        <f t="shared" si="32"/>
      </c>
      <c r="X204" s="13">
        <f t="shared" si="9"/>
      </c>
      <c r="Y204" s="13">
        <f t="shared" si="3"/>
      </c>
      <c r="Z204" s="3"/>
      <c r="AA204" s="3"/>
      <c r="AB204" s="9"/>
      <c r="AC204" s="9"/>
      <c r="AD204" s="9"/>
      <c r="AE204" s="9"/>
      <c r="AF204" s="14"/>
      <c r="AG204" s="9"/>
      <c r="AH204" s="14"/>
      <c r="AI204" s="9"/>
      <c r="AJ204" s="9"/>
      <c r="AK204" s="9"/>
      <c r="AL204" s="9"/>
      <c r="AM204" s="9"/>
      <c r="AN204" s="15"/>
      <c r="AO204" s="13">
        <f t="shared" si="43"/>
      </c>
      <c r="AP204" s="13">
        <f t="shared" si="34"/>
      </c>
      <c r="AQ204" s="13">
        <f t="shared" si="45"/>
      </c>
      <c r="AR204" s="16">
        <f t="shared" si="11"/>
      </c>
      <c r="AS204" s="17">
        <f t="shared" si="5"/>
      </c>
    </row>
    <row r="205">
      <c r="A205" s="6" t="s">
        <v>88</v>
      </c>
      <c r="B205" s="3" t="s">
        <v>87</v>
      </c>
      <c r="C205" s="1" t="s">
        <v>78</v>
      </c>
      <c r="D205" s="3">
        <v>2</v>
      </c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1">
        <f t="shared" si="30"/>
      </c>
      <c r="S205" s="28"/>
      <c r="T205" s="11">
        <f t="shared" si="7"/>
      </c>
      <c r="U205" s="12">
        <f t="shared" si="1"/>
      </c>
      <c r="V205" s="12">
        <f t="shared" si="41"/>
      </c>
      <c r="W205" s="13">
        <f t="shared" si="32"/>
      </c>
      <c r="X205" s="13">
        <f t="shared" si="9"/>
      </c>
      <c r="Y205" s="13">
        <f t="shared" si="3"/>
      </c>
      <c r="Z205" s="3"/>
      <c r="AA205" s="3"/>
      <c r="AB205" s="8" t="s">
        <v>71</v>
      </c>
      <c r="AC205" s="8">
        <v>8</v>
      </c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15"/>
      <c r="AO205" s="13">
        <f t="shared" si="43"/>
      </c>
      <c r="AP205" s="13">
        <f t="shared" si="34"/>
      </c>
      <c r="AQ205" s="13">
        <f t="shared" si="45"/>
      </c>
      <c r="AR205" s="16">
        <f t="shared" si="11"/>
      </c>
      <c r="AS205" s="17">
        <f t="shared" si="5"/>
      </c>
    </row>
    <row r="206">
      <c r="A206" s="6" t="s">
        <v>88</v>
      </c>
      <c r="B206" s="1" t="s">
        <v>50</v>
      </c>
      <c r="C206" s="1" t="s">
        <v>51</v>
      </c>
      <c r="D206" s="3">
        <v>5</v>
      </c>
      <c r="E206" s="8"/>
      <c r="F206" s="8"/>
      <c r="G206" s="8"/>
      <c r="H206" s="8"/>
      <c r="I206" s="9"/>
      <c r="J206" s="8"/>
      <c r="K206" s="8"/>
      <c r="L206" s="8"/>
      <c r="M206" s="9"/>
      <c r="N206" s="8"/>
      <c r="O206" s="9"/>
      <c r="P206" s="8"/>
      <c r="Q206" s="8"/>
      <c r="R206" s="1">
        <f t="shared" si="30"/>
      </c>
      <c r="S206" s="27"/>
      <c r="T206" s="11">
        <f t="shared" si="7"/>
      </c>
      <c r="U206" s="12">
        <f t="shared" si="1"/>
      </c>
      <c r="V206" s="12">
        <f t="shared" si="41"/>
      </c>
      <c r="W206" s="13">
        <f t="shared" si="32"/>
      </c>
      <c r="X206" s="13">
        <f t="shared" si="9"/>
      </c>
      <c r="Y206" s="13">
        <f t="shared" si="3"/>
      </c>
      <c r="Z206" s="3"/>
      <c r="AA206" s="3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15"/>
      <c r="AO206" s="13">
        <f t="shared" si="43"/>
      </c>
      <c r="AP206" s="13">
        <f t="shared" si="34"/>
      </c>
      <c r="AQ206" s="13">
        <f t="shared" si="45"/>
      </c>
      <c r="AR206" s="16">
        <f t="shared" si="11"/>
      </c>
      <c r="AS206" s="17">
        <f t="shared" si="5"/>
      </c>
    </row>
    <row r="207">
      <c r="A207" s="18" t="s">
        <v>88</v>
      </c>
      <c r="B207" s="19"/>
      <c r="C207" s="19"/>
      <c r="D207" s="19">
        <f>SUM(D203:D206)</f>
      </c>
      <c r="E207" s="19">
        <f>SUM(E203:E206)</f>
      </c>
      <c r="F207" s="19">
        <f>SUM(F203:F206)</f>
      </c>
      <c r="G207" s="19">
        <f>SUM(G203:G206)</f>
      </c>
      <c r="H207" s="19">
        <f>SUM(H203:H206)</f>
      </c>
      <c r="I207" s="19">
        <f>SUM(I203:I206)</f>
      </c>
      <c r="J207" s="19">
        <f>SUM(J203:J206)</f>
      </c>
      <c r="K207" s="19">
        <f>SUM(K203:K206)</f>
      </c>
      <c r="L207" s="19">
        <f>SUM(L203:L206)</f>
      </c>
      <c r="M207" s="19">
        <f>SUM(M203:M206)</f>
      </c>
      <c r="N207" s="19">
        <f>SUM(N203:N206)</f>
      </c>
      <c r="O207" s="19">
        <f>SUM(O203:O206)</f>
      </c>
      <c r="P207" s="19">
        <f>SUM(P203:P206)</f>
      </c>
      <c r="Q207" s="19">
        <f>SUM(Q203:Q206)</f>
      </c>
      <c r="R207" s="19">
        <f>SUM(R203:R206)</f>
      </c>
      <c r="S207" s="19">
        <f>SUM(S203:S206)</f>
      </c>
      <c r="T207" s="20">
        <f t="shared" si="7"/>
      </c>
      <c r="U207" s="20">
        <f t="shared" si="1"/>
      </c>
      <c r="V207" s="20">
        <f t="shared" si="41"/>
      </c>
      <c r="W207" s="20">
        <f t="shared" si="32"/>
      </c>
      <c r="X207" s="20">
        <f t="shared" si="9"/>
      </c>
      <c r="Y207" s="21">
        <f t="shared" si="3"/>
      </c>
      <c r="Z207" s="22">
        <f>SUM(Z203:Z206)</f>
      </c>
      <c r="AA207" s="22">
        <f>SUM(AA203:AA206)</f>
      </c>
      <c r="AB207" s="22"/>
      <c r="AC207" s="22">
        <f>SUM(AC203:AC206)</f>
      </c>
      <c r="AD207" s="22"/>
      <c r="AE207" s="22"/>
      <c r="AF207" s="22">
        <f>SUM(AF203:AF206)</f>
      </c>
      <c r="AG207" s="22">
        <f>SUM(AG203:AG206)</f>
      </c>
      <c r="AH207" s="22">
        <f>SUM(AH203:AH206)</f>
      </c>
      <c r="AI207" s="22">
        <f>SUM(AI203:AI206)</f>
      </c>
      <c r="AJ207" s="22">
        <f>SUM(AJ203:AJ206)</f>
      </c>
      <c r="AK207" s="22">
        <f>SUM(AK203:AK206)</f>
      </c>
      <c r="AL207" s="22">
        <f>SUM(AL203:AL206)</f>
      </c>
      <c r="AM207" s="22">
        <f>SUM(AM203:AM206)</f>
      </c>
      <c r="AN207" s="22">
        <f>SUM(AN203:AN206)</f>
      </c>
      <c r="AO207" s="21">
        <f t="shared" si="43"/>
      </c>
      <c r="AP207" s="21">
        <f t="shared" si="34"/>
      </c>
      <c r="AQ207" s="21">
        <f t="shared" si="45"/>
      </c>
      <c r="AR207" s="21">
        <f t="shared" si="11"/>
      </c>
      <c r="AS207" s="24">
        <f t="shared" si="5"/>
      </c>
    </row>
    <row r="208">
      <c r="C208" s="30"/>
      <c r="E208" s="30"/>
      <c r="F208" s="30"/>
      <c r="G208" s="30"/>
    </row>
    <row r="209">
      <c r="C209" s="30"/>
      <c r="E209" s="30"/>
      <c r="F209" s="30"/>
    </row>
    <row r="210">
      <c r="AF210" s="30">
        <v>100424</v>
      </c>
      <c r="AG210">
        <v>125</v>
      </c>
      <c r="AH210" s="30">
        <v>35250</v>
      </c>
      <c r="AI210" s="30">
        <v>3034</v>
      </c>
      <c r="AJ210">
        <v>263</v>
      </c>
      <c r="AK210">
        <v>31</v>
      </c>
      <c r="AL210">
        <v>72</v>
      </c>
      <c r="AM210">
        <v>4</v>
      </c>
    </row>
    <row r="211">
      <c r="AF211" s="30">
        <v>164956</v>
      </c>
      <c r="AG211" s="30">
        <v>2369</v>
      </c>
      <c r="AH211" s="30">
        <v>189002</v>
      </c>
      <c r="AI211" s="30">
        <v>38882</v>
      </c>
      <c r="AJ211" s="30">
        <v>3185</v>
      </c>
      <c r="AK211">
        <v>389</v>
      </c>
      <c r="AL211" s="30">
        <v>1442</v>
      </c>
      <c r="AM211">
        <v>28</v>
      </c>
    </row>
    <row r="212">
      <c r="C212" s="30"/>
      <c r="E212" s="30"/>
      <c r="F212" s="30"/>
      <c r="AF212" s="30">
        <v>113024</v>
      </c>
      <c r="AG212">
        <v>218</v>
      </c>
      <c r="AH212" s="30">
        <v>180756</v>
      </c>
      <c r="AI212" s="30">
        <v>13912</v>
      </c>
      <c r="AJ212">
        <v>661</v>
      </c>
      <c r="AK212">
        <v>53</v>
      </c>
      <c r="AL212">
        <v>180</v>
      </c>
      <c r="AM212">
        <v>9</v>
      </c>
    </row>
    <row r="213">
      <c r="C213" s="30"/>
      <c r="E213" s="30"/>
      <c r="AF213">
        <f>SUM(AF210:AF212)</f>
      </c>
      <c r="AG213">
        <f>SUM(AG210:AG212)</f>
      </c>
      <c r="AH213">
        <f>SUM(AH210:AH212)</f>
      </c>
      <c r="AI213">
        <f>SUM(AI210:AI212)</f>
      </c>
      <c r="AJ213">
        <f>SUM(AJ210:AJ212)</f>
      </c>
      <c r="AK213">
        <f>SUM(AK210:AK212)</f>
      </c>
      <c r="AL213">
        <f>SUM(AL210:AL212)</f>
      </c>
      <c r="AM213">
        <f>SUM(AM210:AM212)</f>
      </c>
    </row>
    <row r="214">
      <c r="C214" s="30"/>
      <c r="E214" s="30"/>
      <c r="F214" s="30"/>
    </row>
    <row r="215">
      <c r="C215" s="30"/>
      <c r="E215" s="30"/>
      <c r="F215" s="30"/>
    </row>
    <row r="216">
      <c r="C216" s="30"/>
      <c r="E216" s="30"/>
    </row>
    <row r="217">
      <c r="C217" s="30"/>
    </row>
  </sheetData>
  <autoFilter ref="A1:AS207">
    <filterColumn colId="0">
      <filters>
        <filter val="2026.10.17"/>
        <filter val="2026.10.18"/>
        <filter val="2026.10.19"/>
      </filters>
    </filterColumn>
  </autoFilter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33" t="s">
        <v>89</v>
      </c>
      <c r="B1" s="33" t="s">
        <v>90</v>
      </c>
      <c r="C1" s="33" t="s">
        <v>91</v>
      </c>
      <c r="D1" s="34" t="s">
        <v>89</v>
      </c>
      <c r="E1" s="34" t="s">
        <v>90</v>
      </c>
      <c r="F1" s="34" t="s">
        <v>91</v>
      </c>
      <c r="G1" s="35"/>
    </row>
    <row r="2">
      <c r="A2" s="36"/>
      <c r="B2" s="36"/>
      <c r="C2" s="36"/>
      <c r="D2" s="37">
        <f t="shared" ref="D2:D6" si="0">A2+A8+A14</f>
      </c>
      <c r="E2" s="37">
        <f t="shared" ref="E2:E6" si="1">B2+B8+B14</f>
      </c>
      <c r="F2" s="38">
        <f t="shared" ref="F2:F6" si="2">C2+C8+C14</f>
      </c>
      <c r="G2" s="34" t="s">
        <v>92</v>
      </c>
    </row>
    <row r="3">
      <c r="A3" s="36">
        <v>308</v>
      </c>
      <c r="B3" s="36">
        <v>843</v>
      </c>
      <c r="C3" s="36">
        <v>16</v>
      </c>
      <c r="D3" s="37">
        <f t="shared" si="0"/>
      </c>
      <c r="E3" s="37">
        <f t="shared" si="1"/>
      </c>
      <c r="F3" s="38">
        <f t="shared" si="2"/>
      </c>
      <c r="G3" s="34" t="s">
        <v>93</v>
      </c>
    </row>
    <row r="4">
      <c r="A4" s="36">
        <v>232</v>
      </c>
      <c r="B4" s="36">
        <v>506</v>
      </c>
      <c r="C4" s="36">
        <v>8</v>
      </c>
      <c r="D4" s="37">
        <f t="shared" si="0"/>
      </c>
      <c r="E4" s="37">
        <f t="shared" si="1"/>
      </c>
      <c r="F4" s="38">
        <f t="shared" si="2"/>
      </c>
      <c r="G4" s="34" t="s">
        <v>94</v>
      </c>
    </row>
    <row customHeight="true" ht="16.071428571428573" r="5">
      <c r="A5" s="36">
        <v>757</v>
      </c>
      <c r="B5" s="36">
        <v>1574</v>
      </c>
      <c r="C5" s="36">
        <v>44</v>
      </c>
      <c r="D5" s="37">
        <f t="shared" si="0"/>
      </c>
      <c r="E5" s="37">
        <f t="shared" si="1"/>
      </c>
      <c r="F5" s="38">
        <f t="shared" si="2"/>
      </c>
      <c r="G5" s="34" t="s">
        <v>95</v>
      </c>
    </row>
    <row customHeight="true" ht="16.071428571428573" r="6">
      <c r="A6" s="36"/>
      <c r="B6" s="36"/>
      <c r="C6" s="36"/>
      <c r="D6" s="37">
        <f t="shared" si="0"/>
      </c>
      <c r="E6" s="37">
        <f t="shared" si="1"/>
      </c>
      <c r="F6" s="38">
        <f t="shared" si="2"/>
      </c>
      <c r="G6" s="34" t="s">
        <v>96</v>
      </c>
    </row>
    <row r="7">
      <c r="A7" s="39"/>
    </row>
    <row r="8">
      <c r="A8" s="36"/>
      <c r="B8" s="36"/>
      <c r="C8" s="36"/>
      <c r="D8" s="40"/>
      <c r="E8" s="40"/>
    </row>
    <row r="9">
      <c r="A9" s="36">
        <v>9</v>
      </c>
      <c r="B9" s="36">
        <v>23</v>
      </c>
      <c r="C9" s="36">
        <v>0</v>
      </c>
    </row>
    <row r="10">
      <c r="A10" s="36">
        <v>13</v>
      </c>
      <c r="B10" s="36">
        <v>31</v>
      </c>
      <c r="C10" s="36">
        <v>0</v>
      </c>
      <c r="D10" s="40"/>
    </row>
    <row customHeight="true" ht="16.071428571428573" r="11">
      <c r="A11" s="36">
        <v>31</v>
      </c>
      <c r="B11" s="36">
        <v>63</v>
      </c>
      <c r="C11" s="36">
        <v>0</v>
      </c>
      <c r="D11" s="40"/>
    </row>
    <row customHeight="true" ht="16.071428571428573" r="12">
      <c r="A12" s="36"/>
      <c r="B12" s="36"/>
      <c r="C12" s="36"/>
      <c r="D12" s="40"/>
    </row>
    <row r="13">
      <c r="A13" s="39" t="s">
        <v>97</v>
      </c>
    </row>
    <row r="14">
      <c r="A14" s="36"/>
      <c r="B14" s="36"/>
      <c r="C14" s="36"/>
    </row>
    <row r="15">
      <c r="A15" s="36">
        <v>47</v>
      </c>
      <c r="B15" s="36">
        <v>194</v>
      </c>
      <c r="C15" s="36">
        <v>6</v>
      </c>
    </row>
    <row r="16">
      <c r="A16" s="36">
        <v>27</v>
      </c>
      <c r="B16" s="36">
        <v>91</v>
      </c>
      <c r="C16" s="36">
        <v>3</v>
      </c>
    </row>
    <row customHeight="true" ht="16.071428571428573" r="17">
      <c r="A17" s="36">
        <v>183</v>
      </c>
      <c r="B17" s="36">
        <v>305</v>
      </c>
      <c r="C17" s="36">
        <v>30</v>
      </c>
    </row>
    <row customHeight="true" ht="16.071428571428573" r="18">
      <c r="A18" s="36"/>
      <c r="B18" s="36"/>
      <c r="C18" s="36"/>
    </row>
    <row r="19">
      <c r="A19" s="39" t="s">
        <v>98</v>
      </c>
    </row>
    <row r="20"/>
    <row r="21">
      <c r="A21" s="41">
        <v>147</v>
      </c>
      <c r="B21" s="41">
        <v>286</v>
      </c>
      <c r="C21" s="41">
        <v>6</v>
      </c>
      <c r="D21" s="42"/>
      <c r="F21" s="43">
        <v>4</v>
      </c>
      <c r="G21" s="43">
        <v>6</v>
      </c>
      <c r="H21" s="43">
        <v>0</v>
      </c>
      <c r="I21" s="42"/>
      <c r="K21" s="43">
        <v>38</v>
      </c>
      <c r="L21" s="43">
        <v>56</v>
      </c>
      <c r="M21" s="43">
        <v>6</v>
      </c>
      <c r="N21" s="42"/>
    </row>
    <row r="22">
      <c r="A22" s="43">
        <v>127</v>
      </c>
      <c r="B22" s="43">
        <v>308</v>
      </c>
      <c r="C22" s="43">
        <v>10</v>
      </c>
      <c r="D22" s="42"/>
      <c r="F22" s="43">
        <v>10</v>
      </c>
      <c r="G22" s="43">
        <v>14</v>
      </c>
      <c r="H22" s="43">
        <v>1</v>
      </c>
      <c r="I22" s="42"/>
      <c r="K22" s="43">
        <v>39</v>
      </c>
      <c r="L22" s="43">
        <v>49</v>
      </c>
      <c r="M22" s="43">
        <v>4</v>
      </c>
      <c r="N22" s="42"/>
    </row>
    <row r="23">
      <c r="A23" s="43">
        <v>172</v>
      </c>
      <c r="B23" s="43">
        <v>362</v>
      </c>
      <c r="C23" s="43">
        <v>15</v>
      </c>
      <c r="D23" s="42"/>
      <c r="F23" s="43">
        <v>9</v>
      </c>
      <c r="G23" s="43">
        <v>13</v>
      </c>
      <c r="H23" s="43">
        <v>2</v>
      </c>
      <c r="I23" s="42"/>
      <c r="K23" s="43">
        <v>43</v>
      </c>
      <c r="L23" s="43">
        <v>78</v>
      </c>
      <c r="M23" s="43">
        <v>13</v>
      </c>
      <c r="N23" s="42"/>
    </row>
    <row r="24">
      <c r="A24" s="43">
        <v>215</v>
      </c>
      <c r="B24" s="43">
        <v>389</v>
      </c>
      <c r="C24" s="43">
        <v>8</v>
      </c>
      <c r="D24" s="42"/>
      <c r="F24" s="43">
        <v>4</v>
      </c>
      <c r="G24" s="43">
        <v>18</v>
      </c>
      <c r="H24" s="43">
        <v>0</v>
      </c>
      <c r="I24" s="42"/>
      <c r="K24" s="43">
        <v>34</v>
      </c>
      <c r="L24" s="43">
        <v>70</v>
      </c>
      <c r="M24" s="43">
        <v>4</v>
      </c>
      <c r="N24" s="42"/>
    </row>
    <row r="25">
      <c r="A25" s="43">
        <v>96</v>
      </c>
      <c r="B25" s="43">
        <v>229</v>
      </c>
      <c r="C25" s="43">
        <v>5</v>
      </c>
      <c r="D25" s="42"/>
      <c r="F25" s="43">
        <v>4</v>
      </c>
      <c r="G25" s="43">
        <v>12</v>
      </c>
      <c r="H25" s="43">
        <v>1</v>
      </c>
      <c r="I25" s="42"/>
      <c r="K25" s="43">
        <v>29</v>
      </c>
      <c r="L25" s="43">
        <v>52</v>
      </c>
      <c r="M25" s="43">
        <v>3</v>
      </c>
      <c r="N25" s="42"/>
    </row>
    <row r="26">
      <c r="A26" s="34">
        <f>SUM(A21:A25)</f>
      </c>
      <c r="B26" s="34">
        <f>SUM(B21:B25)</f>
      </c>
      <c r="C26" s="34">
        <f>SUM(C21:C25)</f>
      </c>
      <c r="D26" s="34" t="s">
        <v>99</v>
      </c>
      <c r="F26" s="34">
        <f>SUM(F21:F25)</f>
      </c>
      <c r="G26" s="34">
        <f>SUM(G21:G25)</f>
      </c>
      <c r="H26" s="34">
        <v>0</v>
      </c>
      <c r="I26" s="34" t="s">
        <v>99</v>
      </c>
      <c r="K26" s="34">
        <f>SUM(K21:K25)</f>
      </c>
      <c r="L26" s="34">
        <f>SUM(L21:L25)</f>
      </c>
      <c r="M26" s="34">
        <f>SUM(M21:M25)</f>
      </c>
      <c r="N26" s="34" t="s">
        <v>99</v>
      </c>
    </row>
    <row r="27">
      <c r="A27" s="44" t="s">
        <v>100</v>
      </c>
      <c r="F27" s="44" t="s">
        <v>97</v>
      </c>
      <c r="K27" s="44" t="s">
        <v>98</v>
      </c>
    </row>
    <row r="28"/>
    <row r="29">
      <c r="O29">
        <v>1</v>
      </c>
    </row>
    <row r="30">
      <c r="O30">
        <v>4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3.126760563380282"/>
    <col collapsed="false" customWidth="true" hidden="false" max="34" min="34" style="0" width="11.211267605633802"/>
    <col collapsed="false" customWidth="true" hidden="false" max="38" min="38" style="0" width="11.211267605633802"/>
    <col collapsed="false" customWidth="true" hidden="false" max="42" min="42" style="0" width="12.64480633802817"/>
    <col collapsed="false" customWidth="true" hidden="false" max="1" min="1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24" min="24" style="0" width="11.211267605633802"/>
    <col collapsed="false" customWidth="true" hidden="false" max="37" min="37" style="0" width="11.211267605633802"/>
    <col collapsed="false" customWidth="true" hidden="false" max="41" min="41" style="0" width="20.768375880281692"/>
    <col collapsed="false" customWidth="true" hidden="false" max="45" min="45" style="0" width="12.64480633802817"/>
    <col collapsed="false" customWidth="true" hidden="false" max="4" min="4" style="0" width="11.211267605633802"/>
    <col collapsed="false" customWidth="true" hidden="false" max="11" min="11" style="0" width="11.211267605633802"/>
    <col collapsed="false" customWidth="true" hidden="false" max="36" min="36" style="0" width="11.211267605633802"/>
    <col collapsed="false" customWidth="true" hidden="false" max="40" min="40" style="0" width="14.095290492957746"/>
    <col collapsed="false" customWidth="true" hidden="false" max="44" min="44" style="0" width="11.211267605633802"/>
    <col collapsed="false" customWidth="true" hidden="false" max="7" min="7" style="0" width="11.211267605633802"/>
    <col collapsed="false" customWidth="true" hidden="false" max="10" min="10" style="0" width="11.211267605633802"/>
    <col collapsed="false" customWidth="true" hidden="false" max="35" min="35" style="0" width="11.211267605633802"/>
    <col collapsed="false" customWidth="true" hidden="false" max="39" min="39" style="0" width="11.211267605633802"/>
    <col collapsed="false" customWidth="true" hidden="false" max="43" min="43" style="0" width="11.211267605633802"/>
    <col collapsed="false" customWidth="true" hidden="false" max="6" min="6" style="0" width="11.211267605633802"/>
  </cols>
  <sheetData>
    <row r="1">
      <c r="A1" s="45" t="s">
        <v>101</v>
      </c>
      <c r="B1" s="45" t="s">
        <v>102</v>
      </c>
      <c r="C1" s="45" t="s">
        <v>103</v>
      </c>
      <c r="D1" s="45" t="s">
        <v>104</v>
      </c>
      <c r="E1" s="45" t="s">
        <v>105</v>
      </c>
      <c r="F1" s="45" t="s">
        <v>106</v>
      </c>
      <c r="G1" s="45" t="s">
        <v>107</v>
      </c>
      <c r="H1" s="46" t="s">
        <v>108</v>
      </c>
      <c r="I1" s="46" t="s">
        <v>109</v>
      </c>
      <c r="J1" s="46" t="s">
        <v>110</v>
      </c>
      <c r="K1" s="46" t="s">
        <v>111</v>
      </c>
      <c r="L1" s="47" t="s">
        <v>112</v>
      </c>
      <c r="M1" s="47" t="s">
        <v>113</v>
      </c>
      <c r="N1" s="47" t="s">
        <v>114</v>
      </c>
      <c r="O1" s="47" t="s">
        <v>115</v>
      </c>
      <c r="P1" s="46" t="s">
        <v>116</v>
      </c>
      <c r="Q1" s="45" t="s">
        <v>117</v>
      </c>
      <c r="R1" s="45" t="s">
        <v>118</v>
      </c>
      <c r="S1" s="45" t="s">
        <v>119</v>
      </c>
      <c r="T1" s="45" t="s">
        <v>120</v>
      </c>
      <c r="U1" s="45" t="s">
        <v>121</v>
      </c>
      <c r="V1" s="45" t="s">
        <v>122</v>
      </c>
      <c r="W1" s="47" t="s">
        <v>123</v>
      </c>
      <c r="X1" s="47" t="s">
        <v>124</v>
      </c>
      <c r="Y1" s="45" t="s">
        <v>125</v>
      </c>
      <c r="Z1" s="47" t="s">
        <v>126</v>
      </c>
      <c r="AA1" s="45" t="s">
        <v>127</v>
      </c>
      <c r="AB1" s="45" t="s">
        <v>128</v>
      </c>
      <c r="AC1" s="45" t="s">
        <v>129</v>
      </c>
      <c r="AD1" s="45" t="s">
        <v>130</v>
      </c>
      <c r="AE1" s="45" t="s">
        <v>104</v>
      </c>
      <c r="AF1" s="48" t="s">
        <v>131</v>
      </c>
      <c r="AG1" s="48" t="s">
        <v>132</v>
      </c>
      <c r="AH1" s="48" t="s">
        <v>133</v>
      </c>
      <c r="AI1" s="48" t="s">
        <v>134</v>
      </c>
      <c r="AJ1" s="48" t="s">
        <v>135</v>
      </c>
      <c r="AK1" s="48" t="s">
        <v>136</v>
      </c>
      <c r="AL1" s="48" t="s">
        <v>137</v>
      </c>
      <c r="AM1" s="48" t="s">
        <v>138</v>
      </c>
      <c r="AN1" s="48" t="s">
        <v>139</v>
      </c>
      <c r="AO1" s="49" t="s">
        <v>140</v>
      </c>
      <c r="AP1" s="49" t="s">
        <v>141</v>
      </c>
      <c r="AQ1" s="49" t="s">
        <v>142</v>
      </c>
      <c r="AR1" s="49" t="s">
        <v>143</v>
      </c>
      <c r="AS1" s="49" t="s">
        <v>144</v>
      </c>
      <c r="AT1" s="49" t="s">
        <v>145</v>
      </c>
    </row>
    <row r="2">
      <c r="A2" s="50" t="s">
        <v>146</v>
      </c>
      <c r="B2" s="47" t="s">
        <v>147</v>
      </c>
      <c r="C2" s="47" t="s">
        <v>148</v>
      </c>
      <c r="D2" s="51">
        <v>3</v>
      </c>
      <c r="E2" s="52">
        <v>1</v>
      </c>
      <c r="F2" s="53">
        <f t="shared" ref="F2:F3" si="9">H2+J2</f>
      </c>
      <c r="G2" s="52">
        <v>1</v>
      </c>
      <c r="H2" s="52">
        <v>1</v>
      </c>
      <c r="I2" s="53">
        <v>101.34</v>
      </c>
      <c r="J2" s="52">
        <v>0</v>
      </c>
      <c r="K2" s="52">
        <v>0</v>
      </c>
      <c r="L2" s="52">
        <v>0</v>
      </c>
      <c r="M2" s="52">
        <v>0</v>
      </c>
      <c r="N2" s="52">
        <v>1</v>
      </c>
      <c r="O2" s="53">
        <v>1216.08</v>
      </c>
      <c r="P2" s="52">
        <v>0</v>
      </c>
      <c r="Q2" s="52">
        <v>0</v>
      </c>
      <c r="R2" s="45">
        <f t="shared" ref="R2:R3" si="23">(I2*12)+K2</f>
      </c>
      <c r="S2" s="54">
        <v>618.763</v>
      </c>
      <c r="T2" s="55">
        <f t="shared" ref="T2:T11" si="37">R2/S2</f>
      </c>
      <c r="U2" s="56">
        <f t="shared" ref="U2:U11" si="46">R2/F2</f>
      </c>
      <c r="V2" s="56">
        <f t="shared" ref="V2:V11" si="0">S2/F2</f>
      </c>
      <c r="W2" s="57">
        <f t="shared" ref="W2:W11" si="17">Z2/F2</f>
      </c>
      <c r="X2" s="57">
        <f t="shared" ref="X2:X11" si="31">AA2/F2</f>
      </c>
      <c r="Y2" s="57">
        <f t="shared" ref="Y2:Y11" si="40">P2/F2</f>
      </c>
      <c r="Z2" s="47">
        <v>0</v>
      </c>
      <c r="AA2" s="47">
        <v>0</v>
      </c>
      <c r="AB2" s="52" t="s">
        <v>149</v>
      </c>
      <c r="AC2" s="52">
        <v>1</v>
      </c>
      <c r="AD2" s="52" t="s">
        <v>150</v>
      </c>
      <c r="AE2" s="52">
        <v>6</v>
      </c>
      <c r="AF2" s="58">
        <v>11933</v>
      </c>
      <c r="AG2" s="53">
        <v>36</v>
      </c>
      <c r="AH2" s="58">
        <v>9440</v>
      </c>
      <c r="AI2" s="53">
        <v>628</v>
      </c>
      <c r="AJ2" s="53">
        <v>0</v>
      </c>
      <c r="AK2" s="53">
        <v>10</v>
      </c>
      <c r="AL2" s="53">
        <v>59</v>
      </c>
      <c r="AM2" s="53">
        <v>0</v>
      </c>
      <c r="AN2" s="59"/>
      <c r="AO2" s="57">
        <f t="shared" ref="AO2:AO11" si="3">AG2/AF2</f>
      </c>
      <c r="AP2" s="57">
        <f t="shared" ref="AP2:AP11" si="20">(AK2+AL2+AM2)/AH2</f>
      </c>
      <c r="AQ2" s="57">
        <f t="shared" ref="AQ2:AQ11" si="6">AI2/AH2</f>
      </c>
      <c r="AR2" s="60">
        <f t="shared" ref="AR2:AR11" si="34">AL2/AH2</f>
      </c>
      <c r="AS2" s="61">
        <f t="shared" ref="AS2:AS11" si="43">S2/AJ2</f>
      </c>
      <c r="AT2" s="62"/>
    </row>
    <row r="3">
      <c r="A3" s="50" t="s">
        <v>146</v>
      </c>
      <c r="B3" s="45" t="s">
        <v>151</v>
      </c>
      <c r="C3" s="47" t="s">
        <v>152</v>
      </c>
      <c r="D3" s="51">
        <v>3</v>
      </c>
      <c r="E3" s="52">
        <v>6</v>
      </c>
      <c r="F3" s="53">
        <f t="shared" si="9"/>
      </c>
      <c r="G3" s="52">
        <v>6</v>
      </c>
      <c r="H3" s="52">
        <v>5</v>
      </c>
      <c r="I3" s="53">
        <v>820.21</v>
      </c>
      <c r="J3" s="52">
        <v>1</v>
      </c>
      <c r="K3" s="53">
        <v>243</v>
      </c>
      <c r="L3" s="52">
        <v>5</v>
      </c>
      <c r="M3" s="53">
        <v>3310.6800000000003</v>
      </c>
      <c r="N3" s="52">
        <v>1</v>
      </c>
      <c r="O3" s="53">
        <v>6774.84</v>
      </c>
      <c r="P3" s="52">
        <v>3</v>
      </c>
      <c r="Q3" s="53">
        <v>706.98</v>
      </c>
      <c r="R3" s="45">
        <f t="shared" si="23"/>
      </c>
      <c r="S3" s="54">
        <v>1796.981</v>
      </c>
      <c r="T3" s="55">
        <f t="shared" si="37"/>
      </c>
      <c r="U3" s="56">
        <f t="shared" si="46"/>
      </c>
      <c r="V3" s="56">
        <f t="shared" si="0"/>
      </c>
      <c r="W3" s="57">
        <f t="shared" si="17"/>
      </c>
      <c r="X3" s="57">
        <f t="shared" si="31"/>
      </c>
      <c r="Y3" s="57">
        <f t="shared" si="40"/>
      </c>
      <c r="Z3" s="47">
        <v>2</v>
      </c>
      <c r="AA3" s="47">
        <v>3</v>
      </c>
      <c r="AB3" s="52" t="s">
        <v>153</v>
      </c>
      <c r="AC3" s="52">
        <v>5</v>
      </c>
      <c r="AD3" s="53"/>
      <c r="AE3" s="53"/>
      <c r="AF3" s="53">
        <v>37168</v>
      </c>
      <c r="AG3" s="53">
        <v>34</v>
      </c>
      <c r="AH3" s="53">
        <v>49523</v>
      </c>
      <c r="AI3" s="53">
        <v>2666</v>
      </c>
      <c r="AJ3" s="53">
        <v>370</v>
      </c>
      <c r="AK3" s="53">
        <v>20</v>
      </c>
      <c r="AL3" s="53">
        <v>88</v>
      </c>
      <c r="AM3" s="53">
        <v>5</v>
      </c>
      <c r="AN3" s="59"/>
      <c r="AO3" s="57">
        <f t="shared" si="3"/>
      </c>
      <c r="AP3" s="57">
        <f t="shared" si="20"/>
      </c>
      <c r="AQ3" s="57">
        <f t="shared" si="6"/>
      </c>
      <c r="AR3" s="60">
        <f t="shared" si="34"/>
      </c>
      <c r="AS3" s="61">
        <f t="shared" si="43"/>
      </c>
      <c r="AT3" s="62"/>
    </row>
    <row r="4">
      <c r="A4" s="63" t="s">
        <v>146</v>
      </c>
      <c r="B4" s="64"/>
      <c r="C4" s="64"/>
      <c r="D4" s="64">
        <f>SUM(D2:D3)</f>
      </c>
      <c r="E4" s="64">
        <f>SUM(E2:E3)</f>
      </c>
      <c r="F4" s="64">
        <f>SUM(F2:F3)</f>
      </c>
      <c r="G4" s="64">
        <f>SUM(G2:G3)</f>
      </c>
      <c r="H4" s="64">
        <f>SUM(H2:H3)</f>
      </c>
      <c r="I4" s="64">
        <f>SUM(I2:I3)</f>
      </c>
      <c r="J4" s="64">
        <f>SUM(J2:J3)</f>
      </c>
      <c r="K4" s="64">
        <f>SUM(K2:K3)</f>
      </c>
      <c r="L4" s="64">
        <f>SUM(L2:L3)</f>
      </c>
      <c r="M4" s="64">
        <f>SUM(M2:M3)</f>
      </c>
      <c r="N4" s="64">
        <f>SUM(N2:N3)</f>
      </c>
      <c r="O4" s="64">
        <f>SUM(O2:O3)</f>
      </c>
      <c r="P4" s="64">
        <f>SUM(P2:P3)</f>
      </c>
      <c r="Q4" s="64">
        <f>SUM(Q2:Q3)</f>
      </c>
      <c r="R4" s="64">
        <f>SUM(R2:R3)</f>
      </c>
      <c r="S4" s="64">
        <f>SUM(S2:S3)</f>
      </c>
      <c r="T4" s="65">
        <f t="shared" si="37"/>
      </c>
      <c r="U4" s="65">
        <f t="shared" si="46"/>
      </c>
      <c r="V4" s="65">
        <f t="shared" si="0"/>
      </c>
      <c r="W4" s="65">
        <f t="shared" si="17"/>
      </c>
      <c r="X4" s="65">
        <f t="shared" si="31"/>
      </c>
      <c r="Y4" s="66">
        <f t="shared" si="40"/>
      </c>
      <c r="Z4" s="67">
        <f>SUM(Z2:Z3)</f>
      </c>
      <c r="AA4" s="67">
        <f>SUM(AA2:AA3)</f>
      </c>
      <c r="AB4" s="67"/>
      <c r="AC4" s="67">
        <f>SUM(AC2:AC3)</f>
      </c>
      <c r="AD4" s="67"/>
      <c r="AE4" s="67"/>
      <c r="AF4" s="67">
        <f>SUM(AF2:AF3)</f>
      </c>
      <c r="AG4" s="67">
        <f>SUM(AG2:AG3)</f>
      </c>
      <c r="AH4" s="67">
        <f>SUM(AH2:AH3)</f>
      </c>
      <c r="AI4" s="67">
        <f>SUM(AI2:AI3)</f>
      </c>
      <c r="AJ4" s="67">
        <f>SUM(AJ2:AJ3)</f>
      </c>
      <c r="AK4" s="67">
        <f>SUM(AK2:AK3)</f>
      </c>
      <c r="AL4" s="67">
        <f>SUM(AL2:AL3)</f>
      </c>
      <c r="AM4" s="67">
        <f>SUM(AM2:AM3)</f>
      </c>
      <c r="AN4" s="67">
        <f>SUM(AN2:AN3)</f>
      </c>
      <c r="AO4" s="66">
        <f t="shared" si="3"/>
      </c>
      <c r="AP4" s="66">
        <f t="shared" si="20"/>
      </c>
      <c r="AQ4" s="66">
        <f t="shared" si="6"/>
      </c>
      <c r="AR4" s="66">
        <f t="shared" si="34"/>
      </c>
      <c r="AS4" s="68">
        <f t="shared" si="43"/>
      </c>
      <c r="AT4" s="66">
        <f>F4/AJ4</f>
      </c>
    </row>
    <row r="5">
      <c r="A5" s="50" t="s">
        <v>154</v>
      </c>
      <c r="B5" s="47" t="s">
        <v>147</v>
      </c>
      <c r="C5" s="47" t="s">
        <v>148</v>
      </c>
      <c r="D5" s="47">
        <v>3</v>
      </c>
      <c r="E5" s="52">
        <v>6</v>
      </c>
      <c r="F5" s="53">
        <f t="shared" ref="F5:F6" si="10">H5+J5</f>
      </c>
      <c r="G5" s="52">
        <v>2</v>
      </c>
      <c r="H5" s="52">
        <v>2</v>
      </c>
      <c r="I5" s="53">
        <v>35.620000000000005</v>
      </c>
      <c r="J5" s="52">
        <v>0</v>
      </c>
      <c r="K5" s="52">
        <v>0</v>
      </c>
      <c r="L5" s="52">
        <v>2</v>
      </c>
      <c r="M5" s="52">
        <v>427.44000000000005</v>
      </c>
      <c r="N5" s="52">
        <v>0</v>
      </c>
      <c r="O5" s="52">
        <v>0</v>
      </c>
      <c r="P5" s="52">
        <v>0</v>
      </c>
      <c r="Q5" s="52">
        <v>0</v>
      </c>
      <c r="R5" s="45">
        <f t="shared" ref="R5:R6" si="24">(I5*12)+K5</f>
      </c>
      <c r="S5" s="54">
        <v>4782.999</v>
      </c>
      <c r="T5" s="55">
        <f t="shared" si="37"/>
      </c>
      <c r="U5" s="56">
        <f t="shared" si="46"/>
      </c>
      <c r="V5" s="56">
        <f t="shared" si="0"/>
      </c>
      <c r="W5" s="57">
        <f t="shared" si="17"/>
      </c>
      <c r="X5" s="57">
        <f t="shared" si="31"/>
      </c>
      <c r="Y5" s="57">
        <f t="shared" si="40"/>
      </c>
      <c r="Z5" s="47">
        <v>0</v>
      </c>
      <c r="AA5" s="47">
        <v>0</v>
      </c>
      <c r="AB5" s="52" t="s">
        <v>155</v>
      </c>
      <c r="AC5" s="52">
        <v>5</v>
      </c>
      <c r="AD5" s="52" t="s">
        <v>150</v>
      </c>
      <c r="AE5" s="52">
        <v>6</v>
      </c>
      <c r="AF5" s="58">
        <v>97206</v>
      </c>
      <c r="AG5" s="53">
        <v>39</v>
      </c>
      <c r="AH5" s="58">
        <v>179503</v>
      </c>
      <c r="AI5" s="53">
        <v>9656</v>
      </c>
      <c r="AJ5" s="53">
        <v>485</v>
      </c>
      <c r="AK5" s="53">
        <v>54</v>
      </c>
      <c r="AL5" s="53">
        <v>155</v>
      </c>
      <c r="AM5" s="53">
        <v>7</v>
      </c>
      <c r="AN5" s="69"/>
      <c r="AO5" s="57">
        <f t="shared" si="3"/>
      </c>
      <c r="AP5" s="57">
        <f t="shared" si="20"/>
      </c>
      <c r="AQ5" s="57">
        <f t="shared" si="6"/>
      </c>
      <c r="AR5" s="60">
        <f t="shared" si="34"/>
      </c>
      <c r="AS5" s="61">
        <f t="shared" si="43"/>
      </c>
      <c r="AT5" s="62"/>
    </row>
    <row r="6">
      <c r="A6" s="50" t="s">
        <v>154</v>
      </c>
      <c r="B6" s="45" t="s">
        <v>151</v>
      </c>
      <c r="C6" s="47" t="s">
        <v>152</v>
      </c>
      <c r="D6" s="47">
        <v>3</v>
      </c>
      <c r="E6" s="52">
        <v>9</v>
      </c>
      <c r="F6" s="53">
        <f t="shared" si="10"/>
      </c>
      <c r="G6" s="52">
        <v>6</v>
      </c>
      <c r="H6" s="52">
        <v>5</v>
      </c>
      <c r="I6" s="53">
        <v>1035.1499999999999</v>
      </c>
      <c r="J6" s="52">
        <v>3</v>
      </c>
      <c r="K6" s="53">
        <v>2049.3</v>
      </c>
      <c r="L6" s="52">
        <v>4</v>
      </c>
      <c r="M6" s="53">
        <v>2939.94</v>
      </c>
      <c r="N6" s="52">
        <v>4</v>
      </c>
      <c r="O6" s="53">
        <v>11531.16</v>
      </c>
      <c r="P6" s="52">
        <v>3</v>
      </c>
      <c r="Q6" s="53">
        <v>706.98</v>
      </c>
      <c r="R6" s="45">
        <f t="shared" si="24"/>
      </c>
      <c r="S6" s="54">
        <v>2174.419</v>
      </c>
      <c r="T6" s="55">
        <f t="shared" si="37"/>
      </c>
      <c r="U6" s="56">
        <f t="shared" si="46"/>
      </c>
      <c r="V6" s="56">
        <f t="shared" si="0"/>
      </c>
      <c r="W6" s="57">
        <f t="shared" si="17"/>
      </c>
      <c r="X6" s="57">
        <f t="shared" si="31"/>
      </c>
      <c r="Y6" s="57">
        <f t="shared" si="40"/>
      </c>
      <c r="Z6" s="47">
        <v>5</v>
      </c>
      <c r="AA6" s="47">
        <v>6</v>
      </c>
      <c r="AB6" s="52" t="s">
        <v>153</v>
      </c>
      <c r="AC6" s="52">
        <v>1</v>
      </c>
      <c r="AD6" s="53"/>
      <c r="AE6" s="53"/>
      <c r="AF6" s="53">
        <v>55599</v>
      </c>
      <c r="AG6" s="53">
        <v>31</v>
      </c>
      <c r="AH6" s="53">
        <v>80494</v>
      </c>
      <c r="AI6" s="53">
        <v>4003</v>
      </c>
      <c r="AJ6" s="53">
        <v>333</v>
      </c>
      <c r="AK6" s="53">
        <v>19</v>
      </c>
      <c r="AL6" s="53">
        <v>86</v>
      </c>
      <c r="AM6" s="53">
        <v>4</v>
      </c>
      <c r="AN6" s="69"/>
      <c r="AO6" s="57">
        <f t="shared" si="3"/>
      </c>
      <c r="AP6" s="57">
        <f t="shared" si="20"/>
      </c>
      <c r="AQ6" s="57">
        <f t="shared" si="6"/>
      </c>
      <c r="AR6" s="60">
        <f t="shared" si="34"/>
      </c>
      <c r="AS6" s="61">
        <f t="shared" si="43"/>
      </c>
      <c r="AT6" s="62"/>
    </row>
    <row r="7">
      <c r="A7" s="63" t="s">
        <v>154</v>
      </c>
      <c r="B7" s="64"/>
      <c r="C7" s="64"/>
      <c r="D7" s="64">
        <f>SUM(D5:D6)</f>
      </c>
      <c r="E7" s="64">
        <f>SUM(E5:E6)</f>
      </c>
      <c r="F7" s="64">
        <f>SUM(F5:F6)</f>
      </c>
      <c r="G7" s="64">
        <f>SUM(G5:G6)</f>
      </c>
      <c r="H7" s="64">
        <f>SUM(H5:H6)</f>
      </c>
      <c r="I7" s="64">
        <f>SUM(I5:I6)</f>
      </c>
      <c r="J7" s="64">
        <f>SUM(J5:J6)</f>
      </c>
      <c r="K7" s="64">
        <f>SUM(K5:K6)</f>
      </c>
      <c r="L7" s="64">
        <f>SUM(L5:L6)</f>
      </c>
      <c r="M7" s="64">
        <f>SUM(M5:M6)</f>
      </c>
      <c r="N7" s="64">
        <f>SUM(N5:N6)</f>
      </c>
      <c r="O7" s="64">
        <f>SUM(O5:O6)</f>
      </c>
      <c r="P7" s="64">
        <f>SUM(P5:P6)</f>
      </c>
      <c r="Q7" s="64">
        <f>SUM(Q5:Q6)</f>
      </c>
      <c r="R7" s="64">
        <f>SUM(R5:R6)</f>
      </c>
      <c r="S7" s="70">
        <f>SUM(S5:S6)</f>
      </c>
      <c r="T7" s="65">
        <f t="shared" si="37"/>
      </c>
      <c r="U7" s="65">
        <f t="shared" si="46"/>
      </c>
      <c r="V7" s="65">
        <f t="shared" si="0"/>
      </c>
      <c r="W7" s="65">
        <f t="shared" si="17"/>
      </c>
      <c r="X7" s="65">
        <f t="shared" si="31"/>
      </c>
      <c r="Y7" s="66">
        <f t="shared" si="40"/>
      </c>
      <c r="Z7" s="67">
        <f>SUM(Z5:Z6)</f>
      </c>
      <c r="AA7" s="67">
        <f>SUM(AA5:AA6)</f>
      </c>
      <c r="AB7" s="67"/>
      <c r="AC7" s="67">
        <f>SUM(AC5:AC6)</f>
      </c>
      <c r="AD7" s="67"/>
      <c r="AE7" s="67"/>
      <c r="AF7" s="67">
        <f>SUM(AF5:AF6)</f>
      </c>
      <c r="AG7" s="67">
        <f>SUM(AG5:AG6)</f>
      </c>
      <c r="AH7" s="67">
        <f>SUM(AH5:AH6)</f>
      </c>
      <c r="AI7" s="67">
        <f>SUM(AI5:AI6)</f>
      </c>
      <c r="AJ7" s="67">
        <f>SUM(AJ5:AJ6)</f>
      </c>
      <c r="AK7" s="67">
        <f>SUM(AK5:AK6)</f>
      </c>
      <c r="AL7" s="67">
        <f>SUM(AL5:AL6)</f>
      </c>
      <c r="AM7" s="67">
        <f>SUM(AM5:AM6)</f>
      </c>
      <c r="AN7" s="67">
        <f>SUM(AN5:AN6)</f>
      </c>
      <c r="AO7" s="66">
        <f t="shared" si="3"/>
      </c>
      <c r="AP7" s="66">
        <f t="shared" si="20"/>
      </c>
      <c r="AQ7" s="66">
        <f t="shared" si="6"/>
      </c>
      <c r="AR7" s="66">
        <f t="shared" si="34"/>
      </c>
      <c r="AS7" s="68">
        <f t="shared" si="43"/>
      </c>
      <c r="AT7" s="66">
        <f>F7/AJ7</f>
      </c>
    </row>
    <row r="8">
      <c r="A8" s="50" t="s">
        <v>156</v>
      </c>
      <c r="B8" s="45" t="s">
        <v>151</v>
      </c>
      <c r="C8" s="47" t="s">
        <v>148</v>
      </c>
      <c r="D8" s="47">
        <v>3</v>
      </c>
      <c r="E8" s="52">
        <v>9</v>
      </c>
      <c r="F8" s="53">
        <f t="shared" ref="F8:F9" si="11">H8+J8</f>
      </c>
      <c r="G8" s="52">
        <v>6</v>
      </c>
      <c r="H8" s="52">
        <v>5</v>
      </c>
      <c r="I8" s="53">
        <v>558.12</v>
      </c>
      <c r="J8" s="52">
        <v>1</v>
      </c>
      <c r="K8" s="52">
        <v>423</v>
      </c>
      <c r="L8" s="52">
        <v>5</v>
      </c>
      <c r="M8" s="52">
        <v>4635.360000000001</v>
      </c>
      <c r="N8" s="52">
        <v>1</v>
      </c>
      <c r="O8" s="52">
        <v>2485.08</v>
      </c>
      <c r="P8" s="52">
        <v>2</v>
      </c>
      <c r="Q8" s="52">
        <v>174.29000000000002</v>
      </c>
      <c r="R8" s="45">
        <f t="shared" ref="R8:R9" si="25">(I8*12)+K8</f>
      </c>
      <c r="S8" s="54">
        <v>4559.414000000001</v>
      </c>
      <c r="T8" s="55">
        <f t="shared" si="37"/>
      </c>
      <c r="U8" s="56">
        <f t="shared" si="46"/>
      </c>
      <c r="V8" s="56">
        <f t="shared" si="0"/>
      </c>
      <c r="W8" s="57">
        <f t="shared" si="17"/>
      </c>
      <c r="X8" s="57">
        <f t="shared" si="31"/>
      </c>
      <c r="Y8" s="57">
        <f t="shared" si="40"/>
      </c>
      <c r="Z8" s="47">
        <v>0</v>
      </c>
      <c r="AA8" s="47">
        <v>0</v>
      </c>
      <c r="AB8" s="52" t="s">
        <v>155</v>
      </c>
      <c r="AC8" s="52">
        <v>1</v>
      </c>
      <c r="AD8" s="52" t="s">
        <v>150</v>
      </c>
      <c r="AE8" s="52">
        <v>6</v>
      </c>
      <c r="AF8" s="58">
        <v>121727</v>
      </c>
      <c r="AG8" s="53">
        <v>41</v>
      </c>
      <c r="AH8" s="58">
        <v>197722</v>
      </c>
      <c r="AI8" s="53">
        <v>8914</v>
      </c>
      <c r="AJ8" s="53">
        <v>864</v>
      </c>
      <c r="AK8" s="53">
        <v>60</v>
      </c>
      <c r="AL8" s="53">
        <v>173</v>
      </c>
      <c r="AM8" s="53">
        <v>13</v>
      </c>
      <c r="AN8" s="69"/>
      <c r="AO8" s="57">
        <f t="shared" si="3"/>
      </c>
      <c r="AP8" s="57">
        <f t="shared" si="20"/>
      </c>
      <c r="AQ8" s="57">
        <f t="shared" si="6"/>
      </c>
      <c r="AR8" s="60">
        <f t="shared" si="34"/>
      </c>
      <c r="AS8" s="61">
        <f t="shared" si="43"/>
      </c>
      <c r="AT8" s="62"/>
    </row>
    <row r="9">
      <c r="A9" s="50" t="s">
        <v>156</v>
      </c>
      <c r="B9" s="47" t="s">
        <v>147</v>
      </c>
      <c r="C9" s="47" t="s">
        <v>152</v>
      </c>
      <c r="D9" s="47">
        <v>3</v>
      </c>
      <c r="E9" s="52">
        <v>2</v>
      </c>
      <c r="F9" s="53">
        <f t="shared" si="11"/>
      </c>
      <c r="G9" s="52">
        <v>1</v>
      </c>
      <c r="H9" s="52">
        <v>1</v>
      </c>
      <c r="I9" s="53">
        <v>216.9</v>
      </c>
      <c r="J9" s="52">
        <v>0</v>
      </c>
      <c r="K9" s="52">
        <v>0</v>
      </c>
      <c r="L9" s="52">
        <v>0</v>
      </c>
      <c r="M9" s="52">
        <v>0</v>
      </c>
      <c r="N9" s="52">
        <v>1</v>
      </c>
      <c r="O9" s="53">
        <v>2602.8</v>
      </c>
      <c r="P9" s="52">
        <v>0</v>
      </c>
      <c r="Q9" s="52">
        <v>0</v>
      </c>
      <c r="R9" s="45">
        <f t="shared" si="25"/>
      </c>
      <c r="S9" s="54">
        <v>3022.008</v>
      </c>
      <c r="T9" s="55">
        <f t="shared" si="37"/>
      </c>
      <c r="U9" s="56">
        <f t="shared" si="46"/>
      </c>
      <c r="V9" s="56">
        <f t="shared" si="0"/>
      </c>
      <c r="W9" s="57">
        <f t="shared" si="17"/>
      </c>
      <c r="X9" s="57">
        <f t="shared" si="31"/>
      </c>
      <c r="Y9" s="57">
        <f t="shared" si="40"/>
      </c>
      <c r="Z9" s="47">
        <v>0</v>
      </c>
      <c r="AA9" s="47">
        <v>0</v>
      </c>
      <c r="AB9" s="52" t="s">
        <v>153</v>
      </c>
      <c r="AC9" s="52">
        <v>5</v>
      </c>
      <c r="AD9" s="53"/>
      <c r="AE9" s="53"/>
      <c r="AF9" s="53">
        <v>64433</v>
      </c>
      <c r="AG9" s="53">
        <v>36</v>
      </c>
      <c r="AH9" s="53">
        <v>86397</v>
      </c>
      <c r="AI9" s="53">
        <v>3672</v>
      </c>
      <c r="AJ9" s="53">
        <v>638</v>
      </c>
      <c r="AK9" s="53">
        <v>35</v>
      </c>
      <c r="AL9" s="53">
        <v>141</v>
      </c>
      <c r="AM9" s="53">
        <v>6</v>
      </c>
      <c r="AN9" s="69"/>
      <c r="AO9" s="57">
        <f t="shared" si="3"/>
      </c>
      <c r="AP9" s="57">
        <f t="shared" si="20"/>
      </c>
      <c r="AQ9" s="57">
        <f t="shared" si="6"/>
      </c>
      <c r="AR9" s="60">
        <f t="shared" si="34"/>
      </c>
      <c r="AS9" s="61">
        <f t="shared" si="43"/>
      </c>
      <c r="AT9" s="62"/>
    </row>
    <row r="10">
      <c r="A10" s="63" t="s">
        <v>156</v>
      </c>
      <c r="B10" s="64"/>
      <c r="C10" s="64"/>
      <c r="D10" s="64">
        <f>SUM(D8:D9)</f>
      </c>
      <c r="E10" s="64">
        <f>SUM(E8:E9)</f>
      </c>
      <c r="F10" s="64">
        <f>SUM(F8:F9)</f>
      </c>
      <c r="G10" s="64">
        <f>SUM(G8:G9)</f>
      </c>
      <c r="H10" s="64">
        <f>SUM(H8:H9)</f>
      </c>
      <c r="I10" s="64">
        <f>SUM(I8:I9)</f>
      </c>
      <c r="J10" s="64">
        <f>SUM(J8:J9)</f>
      </c>
      <c r="K10" s="64">
        <f>SUM(K8:K9)</f>
      </c>
      <c r="L10" s="64">
        <f>SUM(L8:L9)</f>
      </c>
      <c r="M10" s="64">
        <f>SUM(M8:M9)</f>
      </c>
      <c r="N10" s="64">
        <f>SUM(N8:N9)</f>
      </c>
      <c r="O10" s="64">
        <f>SUM(O8:O9)</f>
      </c>
      <c r="P10" s="64">
        <f>SUM(P8:P9)</f>
      </c>
      <c r="Q10" s="64">
        <f>SUM(Q8:Q9)</f>
      </c>
      <c r="R10" s="64">
        <f>SUM(R8:R9)</f>
      </c>
      <c r="S10" s="70">
        <f>SUM(S8:S9)</f>
      </c>
      <c r="T10" s="65">
        <f t="shared" si="37"/>
      </c>
      <c r="U10" s="65">
        <f t="shared" si="46"/>
      </c>
      <c r="V10" s="65">
        <f t="shared" si="0"/>
      </c>
      <c r="W10" s="65">
        <f t="shared" si="17"/>
      </c>
      <c r="X10" s="65">
        <f t="shared" si="31"/>
      </c>
      <c r="Y10" s="66">
        <f t="shared" si="40"/>
      </c>
      <c r="Z10" s="67">
        <f>SUM(Z8:Z9)</f>
      </c>
      <c r="AA10" s="67">
        <f>SUM(AA8:AA9)</f>
      </c>
      <c r="AB10" s="67"/>
      <c r="AC10" s="67">
        <f>SUM(AC8:AC9)</f>
      </c>
      <c r="AD10" s="67"/>
      <c r="AE10" s="67"/>
      <c r="AF10" s="67">
        <f>SUM(AF8:AF9)</f>
      </c>
      <c r="AG10" s="67">
        <f>SUM(AG8:AG9)</f>
      </c>
      <c r="AH10" s="67">
        <f>SUM(AH8:AH9)</f>
      </c>
      <c r="AI10" s="67">
        <f>SUM(AI8:AI9)</f>
      </c>
      <c r="AJ10" s="67">
        <f>SUM(AJ8:AJ9)</f>
      </c>
      <c r="AK10" s="67">
        <f>SUM(AK8:AK9)</f>
      </c>
      <c r="AL10" s="67">
        <f>SUM(AL8:AL9)</f>
      </c>
      <c r="AM10" s="67">
        <f>SUM(AM8:AM9)</f>
      </c>
      <c r="AN10" s="67">
        <f>SUM(AN8:AN9)</f>
      </c>
      <c r="AO10" s="66">
        <f t="shared" si="3"/>
      </c>
      <c r="AP10" s="66">
        <f t="shared" si="20"/>
      </c>
      <c r="AQ10" s="66">
        <f t="shared" si="6"/>
      </c>
      <c r="AR10" s="66">
        <f t="shared" si="34"/>
      </c>
      <c r="AS10" s="68">
        <f t="shared" si="43"/>
      </c>
      <c r="AT10" s="66">
        <f>F10/AJ10</f>
      </c>
    </row>
    <row r="11">
      <c r="A11" s="50" t="s">
        <v>157</v>
      </c>
      <c r="B11" s="45" t="s">
        <v>151</v>
      </c>
      <c r="C11" s="47" t="s">
        <v>158</v>
      </c>
      <c r="D11" s="47">
        <v>5</v>
      </c>
      <c r="E11" s="52">
        <v>16</v>
      </c>
      <c r="F11" s="53">
        <f>H11+J11</f>
      </c>
      <c r="G11" s="52">
        <v>8</v>
      </c>
      <c r="H11" s="52">
        <v>8</v>
      </c>
      <c r="I11" s="53">
        <v>1464.45</v>
      </c>
      <c r="J11" s="52">
        <v>0</v>
      </c>
      <c r="K11" s="52">
        <v>0</v>
      </c>
      <c r="L11" s="52">
        <v>5</v>
      </c>
      <c r="M11" s="52">
        <v>7400.88</v>
      </c>
      <c r="N11" s="52">
        <v>3</v>
      </c>
      <c r="O11" s="52">
        <v>10172.52</v>
      </c>
      <c r="P11" s="52">
        <v>5</v>
      </c>
      <c r="Q11" s="52">
        <v>1101.93</v>
      </c>
      <c r="R11" s="45">
        <f>(I11*12)+K11</f>
      </c>
      <c r="S11" s="54">
        <v>3775.646</v>
      </c>
      <c r="T11" s="55">
        <f t="shared" si="37"/>
      </c>
      <c r="U11" s="56">
        <f t="shared" si="46"/>
      </c>
      <c r="V11" s="56">
        <f t="shared" si="0"/>
      </c>
      <c r="W11" s="57">
        <f t="shared" si="17"/>
      </c>
      <c r="X11" s="57">
        <f t="shared" si="31"/>
      </c>
      <c r="Y11" s="57">
        <f t="shared" si="40"/>
      </c>
      <c r="Z11" s="47">
        <v>3</v>
      </c>
      <c r="AA11" s="47">
        <v>3</v>
      </c>
      <c r="AB11" s="52" t="s">
        <v>149</v>
      </c>
      <c r="AC11" s="52">
        <v>4</v>
      </c>
      <c r="AD11" s="52" t="s">
        <v>150</v>
      </c>
      <c r="AE11" s="52">
        <v>5</v>
      </c>
      <c r="AF11" s="58">
        <v>79241</v>
      </c>
      <c r="AG11" s="53">
        <v>307</v>
      </c>
      <c r="AH11" s="58">
        <v>103460</v>
      </c>
      <c r="AI11" s="53">
        <v>5824</v>
      </c>
      <c r="AJ11" s="53">
        <v>1049</v>
      </c>
      <c r="AK11" s="53">
        <v>48</v>
      </c>
      <c r="AL11" s="53">
        <v>218</v>
      </c>
      <c r="AM11" s="53">
        <v>9</v>
      </c>
      <c r="AN11" s="69"/>
      <c r="AO11" s="57">
        <f t="shared" si="3"/>
      </c>
      <c r="AP11" s="57">
        <f t="shared" si="20"/>
      </c>
      <c r="AQ11" s="57">
        <f t="shared" si="6"/>
      </c>
      <c r="AR11" s="60">
        <f t="shared" si="34"/>
      </c>
      <c r="AS11" s="61">
        <f t="shared" si="43"/>
      </c>
      <c r="AT11" s="62"/>
    </row>
    <row customHeight="true" ht="16.071428571428573" r="12">
      <c r="A12" s="50"/>
      <c r="B12" s="45"/>
      <c r="C12" s="47"/>
      <c r="D12" s="47"/>
      <c r="E12" s="52"/>
      <c r="F12" s="53"/>
      <c r="G12" s="52"/>
      <c r="H12" s="52"/>
      <c r="I12" s="53"/>
      <c r="J12" s="52"/>
      <c r="K12" s="52"/>
      <c r="L12" s="52"/>
      <c r="M12" s="52"/>
      <c r="N12" s="52"/>
      <c r="O12" s="52"/>
      <c r="P12" s="52"/>
      <c r="Q12" s="52"/>
      <c r="R12" s="45"/>
      <c r="S12" s="54"/>
      <c r="T12" s="55"/>
      <c r="U12" s="56"/>
      <c r="V12" s="56"/>
      <c r="W12" s="57"/>
      <c r="X12" s="57"/>
      <c r="Y12" s="57"/>
      <c r="Z12" s="47"/>
      <c r="AA12" s="47"/>
      <c r="AB12" s="52" t="s">
        <v>153</v>
      </c>
      <c r="AC12" s="53">
        <v>1</v>
      </c>
      <c r="AD12" s="52"/>
      <c r="AE12" s="52"/>
      <c r="AF12" s="58"/>
      <c r="AG12" s="53"/>
      <c r="AH12" s="58"/>
      <c r="AI12" s="53"/>
      <c r="AJ12" s="53"/>
      <c r="AK12" s="53"/>
      <c r="AL12" s="53"/>
      <c r="AM12" s="53"/>
      <c r="AN12" s="69"/>
      <c r="AO12" s="57"/>
      <c r="AP12" s="57"/>
      <c r="AQ12" s="57"/>
      <c r="AR12" s="60"/>
      <c r="AS12" s="61"/>
      <c r="AT12" s="62"/>
    </row>
    <row r="13">
      <c r="A13" s="63" t="s">
        <v>157</v>
      </c>
      <c r="B13" s="64"/>
      <c r="C13" s="64"/>
      <c r="D13" s="64">
        <f>SUM(D11)</f>
      </c>
      <c r="E13" s="64">
        <f>SUM(E11)</f>
      </c>
      <c r="F13" s="64">
        <f>SUM(F11)</f>
      </c>
      <c r="G13" s="64">
        <f>SUM(G11)</f>
      </c>
      <c r="H13" s="64">
        <f>SUM(H11)</f>
      </c>
      <c r="I13" s="64">
        <f>SUM(I11)</f>
      </c>
      <c r="J13" s="64">
        <f>SUM(J11)</f>
      </c>
      <c r="K13" s="64">
        <f>SUM(K11)</f>
      </c>
      <c r="L13" s="64">
        <f>SUM(L11)</f>
      </c>
      <c r="M13" s="64">
        <f>SUM(M11)</f>
      </c>
      <c r="N13" s="64">
        <f>SUM(N11)</f>
      </c>
      <c r="O13" s="64">
        <f>SUM(O11)</f>
      </c>
      <c r="P13" s="64">
        <f>SUM(P11)</f>
      </c>
      <c r="Q13" s="64">
        <f>SUM(Q11)</f>
      </c>
      <c r="R13" s="64">
        <f>SUM(R11)</f>
      </c>
      <c r="S13" s="70">
        <f>SUM(S11)</f>
      </c>
      <c r="T13" s="65">
        <f t="shared" ref="T13:T14" si="38">R13/S13</f>
      </c>
      <c r="U13" s="65">
        <f t="shared" ref="U13:U14" si="47">R13/F13</f>
      </c>
      <c r="V13" s="65">
        <f t="shared" ref="V13:V14" si="1">S13/F13</f>
      </c>
      <c r="W13" s="65">
        <f t="shared" ref="W13:W14" si="18">Z13/F13</f>
      </c>
      <c r="X13" s="65">
        <f t="shared" ref="X13:X14" si="32">AA13/F13</f>
      </c>
      <c r="Y13" s="66">
        <f t="shared" ref="Y13:Y14" si="41">P13/F13</f>
      </c>
      <c r="Z13" s="67">
        <f>SUM(Z11)</f>
      </c>
      <c r="AA13" s="67">
        <f>SUM(AA11)</f>
      </c>
      <c r="AB13" s="67"/>
      <c r="AC13" s="71">
        <f>SUM(AC11)</f>
      </c>
      <c r="AD13" s="67"/>
      <c r="AE13" s="67"/>
      <c r="AF13" s="67">
        <f>SUM(AF11)</f>
      </c>
      <c r="AG13" s="67">
        <f>SUM(AG11)</f>
      </c>
      <c r="AH13" s="67">
        <f>SUM(AH11)</f>
      </c>
      <c r="AI13" s="67">
        <f>SUM(AI11)</f>
      </c>
      <c r="AJ13" s="67">
        <f>SUM(AJ11)</f>
      </c>
      <c r="AK13" s="67">
        <f>SUM(AK11)</f>
      </c>
      <c r="AL13" s="67">
        <f>SUM(AL11)</f>
      </c>
      <c r="AM13" s="67">
        <f>SUM(AM11)</f>
      </c>
      <c r="AN13" s="67">
        <f>SUM(AN11)</f>
      </c>
      <c r="AO13" s="66">
        <f t="shared" ref="AO13:AO14" si="4">AG13/AF13</f>
      </c>
      <c r="AP13" s="66">
        <f t="shared" ref="AP13:AP14" si="21">(AK13+AL13+AM13)/AH13</f>
      </c>
      <c r="AQ13" s="66">
        <f t="shared" ref="AQ13:AQ14" si="7">AI13/AH13</f>
      </c>
      <c r="AR13" s="66">
        <f t="shared" ref="AR13:AR14" si="35">AL13/AH13</f>
      </c>
      <c r="AS13" s="68">
        <f t="shared" ref="AS13:AS14" si="44">S13/AJ13</f>
      </c>
      <c r="AT13" s="66">
        <f>F13/AJ13</f>
      </c>
    </row>
    <row r="14">
      <c r="A14" s="50" t="s">
        <v>159</v>
      </c>
      <c r="B14" s="45" t="s">
        <v>151</v>
      </c>
      <c r="C14" s="47" t="s">
        <v>158</v>
      </c>
      <c r="D14" s="47">
        <v>5</v>
      </c>
      <c r="E14" s="52">
        <v>19</v>
      </c>
      <c r="F14" s="53">
        <f>H14+J14</f>
      </c>
      <c r="G14" s="52">
        <v>6</v>
      </c>
      <c r="H14" s="52">
        <v>7</v>
      </c>
      <c r="I14" s="53">
        <v>400.20000000000005</v>
      </c>
      <c r="J14" s="52">
        <v>0</v>
      </c>
      <c r="K14" s="52">
        <v>0</v>
      </c>
      <c r="L14" s="52">
        <v>5</v>
      </c>
      <c r="M14" s="52">
        <v>2088.3600000000006</v>
      </c>
      <c r="N14" s="52">
        <v>2</v>
      </c>
      <c r="O14" s="52">
        <v>2714.04</v>
      </c>
      <c r="P14" s="52">
        <v>5</v>
      </c>
      <c r="Q14" s="52">
        <v>1101.93</v>
      </c>
      <c r="R14" s="45">
        <f>(I14*12)+K14</f>
      </c>
      <c r="S14" s="54">
        <v>9417.095</v>
      </c>
      <c r="T14" s="55">
        <f t="shared" si="38"/>
      </c>
      <c r="U14" s="56">
        <f t="shared" si="47"/>
      </c>
      <c r="V14" s="56">
        <f t="shared" si="1"/>
      </c>
      <c r="W14" s="57">
        <f t="shared" si="18"/>
      </c>
      <c r="X14" s="57">
        <f t="shared" si="32"/>
      </c>
      <c r="Y14" s="57">
        <f t="shared" si="41"/>
      </c>
      <c r="Z14" s="47">
        <v>3</v>
      </c>
      <c r="AA14" s="47">
        <v>3</v>
      </c>
      <c r="AB14" s="52" t="s">
        <v>149</v>
      </c>
      <c r="AC14" s="52">
        <v>4</v>
      </c>
      <c r="AD14" s="52" t="s">
        <v>150</v>
      </c>
      <c r="AE14" s="52">
        <v>5</v>
      </c>
      <c r="AF14" s="58">
        <v>295003</v>
      </c>
      <c r="AG14" s="53">
        <v>1998</v>
      </c>
      <c r="AH14" s="58">
        <v>258921</v>
      </c>
      <c r="AI14" s="53">
        <v>13813</v>
      </c>
      <c r="AJ14" s="53">
        <v>2311</v>
      </c>
      <c r="AK14" s="53">
        <v>84</v>
      </c>
      <c r="AL14" s="53">
        <v>353</v>
      </c>
      <c r="AM14" s="53">
        <v>13</v>
      </c>
      <c r="AN14" s="69"/>
      <c r="AO14" s="57">
        <f t="shared" si="4"/>
      </c>
      <c r="AP14" s="57">
        <f t="shared" si="21"/>
      </c>
      <c r="AQ14" s="57">
        <f t="shared" si="7"/>
      </c>
      <c r="AR14" s="60">
        <f t="shared" si="35"/>
      </c>
      <c r="AS14" s="61">
        <f t="shared" si="44"/>
      </c>
      <c r="AT14" s="62"/>
    </row>
    <row customHeight="true" ht="16.071428571428573" r="15">
      <c r="A15" s="50"/>
      <c r="B15" s="45"/>
      <c r="C15" s="47"/>
      <c r="D15" s="47"/>
      <c r="E15" s="52"/>
      <c r="F15" s="53"/>
      <c r="G15" s="52"/>
      <c r="H15" s="52"/>
      <c r="I15" s="53"/>
      <c r="J15" s="52"/>
      <c r="K15" s="52"/>
      <c r="L15" s="52"/>
      <c r="M15" s="52"/>
      <c r="N15" s="52"/>
      <c r="O15" s="52"/>
      <c r="P15" s="52"/>
      <c r="Q15" s="52"/>
      <c r="R15" s="45"/>
      <c r="S15" s="54"/>
      <c r="T15" s="55"/>
      <c r="U15" s="56"/>
      <c r="V15" s="56"/>
      <c r="W15" s="57"/>
      <c r="X15" s="57"/>
      <c r="Y15" s="57"/>
      <c r="Z15" s="47"/>
      <c r="AA15" s="47"/>
      <c r="AB15" s="52" t="s">
        <v>153</v>
      </c>
      <c r="AC15" s="53">
        <v>1</v>
      </c>
      <c r="AD15" s="52"/>
      <c r="AE15" s="52"/>
      <c r="AF15" s="58"/>
      <c r="AG15" s="53"/>
      <c r="AH15" s="58"/>
      <c r="AI15" s="53"/>
      <c r="AJ15" s="53"/>
      <c r="AK15" s="53"/>
      <c r="AL15" s="53"/>
      <c r="AM15" s="53"/>
      <c r="AN15" s="69"/>
      <c r="AO15" s="57"/>
      <c r="AP15" s="57"/>
      <c r="AQ15" s="57"/>
      <c r="AR15" s="60"/>
      <c r="AS15" s="61"/>
      <c r="AT15" s="62"/>
    </row>
    <row r="16">
      <c r="A16" s="63" t="s">
        <v>159</v>
      </c>
      <c r="B16" s="64"/>
      <c r="C16" s="64"/>
      <c r="D16" s="64">
        <f>SUM(D14)</f>
      </c>
      <c r="E16" s="64">
        <f>SUM(E14)</f>
      </c>
      <c r="F16" s="64">
        <f>SUM(F14)</f>
      </c>
      <c r="G16" s="64">
        <f>SUM(G14)</f>
      </c>
      <c r="H16" s="64">
        <f>SUM(H14)</f>
      </c>
      <c r="I16" s="64">
        <f>SUM(I14)</f>
      </c>
      <c r="J16" s="64">
        <f>SUM(J14)</f>
      </c>
      <c r="K16" s="64">
        <f>SUM(K14)</f>
      </c>
      <c r="L16" s="64">
        <f>SUM(L14)</f>
      </c>
      <c r="M16" s="64">
        <f>SUM(M14)</f>
      </c>
      <c r="N16" s="64">
        <f>SUM(N14)</f>
      </c>
      <c r="O16" s="64">
        <f>SUM(O14)</f>
      </c>
      <c r="P16" s="64">
        <f>SUM(P14)</f>
      </c>
      <c r="Q16" s="64">
        <f>SUM(Q14)</f>
      </c>
      <c r="R16" s="64">
        <f>SUM(R14)</f>
      </c>
      <c r="S16" s="70">
        <f>SUM(S14)</f>
      </c>
      <c r="T16" s="65">
        <f t="shared" ref="T16:T30" si="39">R16/S16</f>
      </c>
      <c r="U16" s="65">
        <f t="shared" ref="U16:U30" si="48">R16/F16</f>
      </c>
      <c r="V16" s="65">
        <f t="shared" ref="V16:V30" si="2">S16/F16</f>
      </c>
      <c r="W16" s="65">
        <f t="shared" ref="W16:W30" si="19">Z16/F16</f>
      </c>
      <c r="X16" s="65">
        <f t="shared" ref="X16:X30" si="33">AA16/F16</f>
      </c>
      <c r="Y16" s="66">
        <f t="shared" ref="Y16:Y30" si="42">P16/F16</f>
      </c>
      <c r="Z16" s="67">
        <f>SUM(Z14)</f>
      </c>
      <c r="AA16" s="67">
        <f>SUM(AA14)</f>
      </c>
      <c r="AB16" s="67"/>
      <c r="AC16" s="71">
        <f>SUM(AC14)</f>
      </c>
      <c r="AD16" s="67"/>
      <c r="AE16" s="67"/>
      <c r="AF16" s="67">
        <f>SUM(AF14)</f>
      </c>
      <c r="AG16" s="67">
        <f>SUM(AG14)</f>
      </c>
      <c r="AH16" s="67">
        <f>SUM(AH14)</f>
      </c>
      <c r="AI16" s="67">
        <f>SUM(AI14)</f>
      </c>
      <c r="AJ16" s="67">
        <f>SUM(AJ14)</f>
      </c>
      <c r="AK16" s="67">
        <f>SUM(AK14)</f>
      </c>
      <c r="AL16" s="67">
        <f>SUM(AL14)</f>
      </c>
      <c r="AM16" s="67">
        <f>SUM(AM14)</f>
      </c>
      <c r="AN16" s="67">
        <f>SUM(AN14)</f>
      </c>
      <c r="AO16" s="66">
        <f t="shared" ref="AO16:AO30" si="5">AG16/AF16</f>
      </c>
      <c r="AP16" s="66">
        <f t="shared" ref="AP16:AP30" si="22">(AK16+AL16+AM16)/AH16</f>
      </c>
      <c r="AQ16" s="66">
        <f t="shared" ref="AQ16:AQ30" si="8">AI16/AH16</f>
      </c>
      <c r="AR16" s="66">
        <f t="shared" ref="AR16:AR30" si="36">AL16/AH16</f>
      </c>
      <c r="AS16" s="68">
        <f t="shared" ref="AS16:AS30" si="45">S16/AJ16</f>
      </c>
      <c r="AT16" s="66">
        <f>F16/AJ16</f>
      </c>
    </row>
    <row r="17">
      <c r="A17" s="50" t="s">
        <v>160</v>
      </c>
      <c r="B17" s="47" t="s">
        <v>147</v>
      </c>
      <c r="C17" s="47" t="s">
        <v>161</v>
      </c>
      <c r="D17" s="47">
        <v>3</v>
      </c>
      <c r="E17" s="52">
        <v>10</v>
      </c>
      <c r="F17" s="53">
        <f t="shared" ref="F17:F18" si="12">H17+J17</f>
      </c>
      <c r="G17" s="52">
        <v>4</v>
      </c>
      <c r="H17" s="52">
        <v>4</v>
      </c>
      <c r="I17" s="53">
        <v>300.72</v>
      </c>
      <c r="J17" s="52">
        <v>0</v>
      </c>
      <c r="K17" s="52">
        <v>0</v>
      </c>
      <c r="L17" s="52">
        <v>4</v>
      </c>
      <c r="M17" s="52">
        <v>3608.6400000000003</v>
      </c>
      <c r="N17" s="52">
        <v>0</v>
      </c>
      <c r="O17" s="52">
        <v>0</v>
      </c>
      <c r="P17" s="52">
        <v>3</v>
      </c>
      <c r="Q17" s="52">
        <v>280.98</v>
      </c>
      <c r="R17" s="45">
        <f t="shared" ref="R17:R18" si="26">(I17*12)+K17</f>
      </c>
      <c r="S17" s="54">
        <v>1832.068</v>
      </c>
      <c r="T17" s="55">
        <f t="shared" si="39"/>
      </c>
      <c r="U17" s="56">
        <f t="shared" si="48"/>
      </c>
      <c r="V17" s="56">
        <f t="shared" si="2"/>
      </c>
      <c r="W17" s="57">
        <f t="shared" si="19"/>
      </c>
      <c r="X17" s="57">
        <f t="shared" si="33"/>
      </c>
      <c r="Y17" s="57">
        <f t="shared" si="42"/>
      </c>
      <c r="Z17" s="47">
        <v>0</v>
      </c>
      <c r="AA17" s="47">
        <v>0</v>
      </c>
      <c r="AB17" s="52" t="s">
        <v>149</v>
      </c>
      <c r="AC17" s="52">
        <v>7</v>
      </c>
      <c r="AD17" s="52" t="s">
        <v>150</v>
      </c>
      <c r="AE17" s="52">
        <v>8</v>
      </c>
      <c r="AF17" s="58">
        <v>25388</v>
      </c>
      <c r="AG17" s="53">
        <v>108</v>
      </c>
      <c r="AH17" s="58">
        <v>21448</v>
      </c>
      <c r="AI17" s="53">
        <v>1338</v>
      </c>
      <c r="AJ17" s="53">
        <v>551</v>
      </c>
      <c r="AK17" s="53">
        <v>23</v>
      </c>
      <c r="AL17" s="53">
        <v>82</v>
      </c>
      <c r="AM17" s="53">
        <v>4</v>
      </c>
      <c r="AN17" s="69"/>
      <c r="AO17" s="57">
        <f t="shared" si="5"/>
      </c>
      <c r="AP17" s="57">
        <f t="shared" si="22"/>
      </c>
      <c r="AQ17" s="57">
        <f t="shared" si="8"/>
      </c>
      <c r="AR17" s="60">
        <f t="shared" si="36"/>
      </c>
      <c r="AS17" s="61">
        <f t="shared" si="45"/>
      </c>
      <c r="AT17" s="62"/>
    </row>
    <row r="18">
      <c r="A18" s="50" t="s">
        <v>160</v>
      </c>
      <c r="B18" s="47" t="s">
        <v>151</v>
      </c>
      <c r="C18" s="47" t="s">
        <v>158</v>
      </c>
      <c r="D18" s="47">
        <v>5</v>
      </c>
      <c r="E18" s="52">
        <v>12</v>
      </c>
      <c r="F18" s="53">
        <f t="shared" si="12"/>
      </c>
      <c r="G18" s="52">
        <v>4</v>
      </c>
      <c r="H18" s="52">
        <v>5</v>
      </c>
      <c r="I18" s="53">
        <v>695.4799999999999</v>
      </c>
      <c r="J18" s="52">
        <v>0</v>
      </c>
      <c r="K18" s="52">
        <v>0</v>
      </c>
      <c r="L18" s="52">
        <v>2</v>
      </c>
      <c r="M18" s="52">
        <v>501.59999999999997</v>
      </c>
      <c r="N18" s="52">
        <v>3</v>
      </c>
      <c r="O18" s="53">
        <v>7844.16</v>
      </c>
      <c r="P18" s="52">
        <v>1</v>
      </c>
      <c r="Q18" s="52">
        <v>408.52</v>
      </c>
      <c r="R18" s="45">
        <f t="shared" si="26"/>
      </c>
      <c r="S18" s="54">
        <v>5210.831999999999</v>
      </c>
      <c r="T18" s="55">
        <f t="shared" si="39"/>
      </c>
      <c r="U18" s="56">
        <f t="shared" si="48"/>
      </c>
      <c r="V18" s="56">
        <f t="shared" si="2"/>
      </c>
      <c r="W18" s="57">
        <f t="shared" si="19"/>
      </c>
      <c r="X18" s="57">
        <f t="shared" si="33"/>
      </c>
      <c r="Y18" s="57">
        <f t="shared" si="42"/>
      </c>
      <c r="Z18" s="47">
        <v>0</v>
      </c>
      <c r="AA18" s="47">
        <v>0</v>
      </c>
      <c r="AB18" s="52" t="s">
        <v>153</v>
      </c>
      <c r="AC18" s="52">
        <v>1</v>
      </c>
      <c r="AD18" s="53"/>
      <c r="AE18" s="53"/>
      <c r="AF18" s="53">
        <v>116630</v>
      </c>
      <c r="AG18" s="53">
        <v>614</v>
      </c>
      <c r="AH18" s="53">
        <v>56712</v>
      </c>
      <c r="AI18" s="53">
        <v>2792</v>
      </c>
      <c r="AJ18" s="53">
        <v>1334</v>
      </c>
      <c r="AK18" s="53">
        <v>23</v>
      </c>
      <c r="AL18" s="53">
        <v>171</v>
      </c>
      <c r="AM18" s="53">
        <v>7</v>
      </c>
      <c r="AN18" s="69"/>
      <c r="AO18" s="57">
        <f t="shared" si="5"/>
      </c>
      <c r="AP18" s="57">
        <f t="shared" si="22"/>
      </c>
      <c r="AQ18" s="57">
        <f t="shared" si="8"/>
      </c>
      <c r="AR18" s="60">
        <f t="shared" si="36"/>
      </c>
      <c r="AS18" s="61">
        <f t="shared" si="45"/>
      </c>
      <c r="AT18" s="62"/>
    </row>
    <row r="19">
      <c r="A19" s="63" t="s">
        <v>160</v>
      </c>
      <c r="B19" s="64"/>
      <c r="C19" s="64"/>
      <c r="D19" s="64">
        <f>SUM(D17:D18)</f>
      </c>
      <c r="E19" s="64">
        <f>SUM(E17:E18)</f>
      </c>
      <c r="F19" s="64">
        <f>SUM(F17:F18)</f>
      </c>
      <c r="G19" s="64">
        <f>SUM(G17:G18)</f>
      </c>
      <c r="H19" s="64">
        <f>SUM(H17:H18)</f>
      </c>
      <c r="I19" s="64">
        <f>SUM(I17:I18)</f>
      </c>
      <c r="J19" s="64">
        <f>SUM(J17:J18)</f>
      </c>
      <c r="K19" s="64">
        <f>SUM(K17:K18)</f>
      </c>
      <c r="L19" s="64">
        <f>SUM(L17:L18)</f>
      </c>
      <c r="M19" s="64">
        <f>SUM(M17:M18)</f>
      </c>
      <c r="N19" s="64">
        <f>SUM(N17:N18)</f>
      </c>
      <c r="O19" s="64">
        <f>SUM(O17:O18)</f>
      </c>
      <c r="P19" s="64">
        <f>SUM(P17:P18)</f>
      </c>
      <c r="Q19" s="64">
        <f>SUM(Q17:Q18)</f>
      </c>
      <c r="R19" s="64">
        <f>SUM(R17:R18)</f>
      </c>
      <c r="S19" s="70">
        <f>SUM(S17:S18)</f>
      </c>
      <c r="T19" s="65">
        <f t="shared" si="39"/>
      </c>
      <c r="U19" s="65">
        <f t="shared" si="48"/>
      </c>
      <c r="V19" s="65">
        <f t="shared" si="2"/>
      </c>
      <c r="W19" s="65">
        <f t="shared" si="19"/>
      </c>
      <c r="X19" s="65">
        <f t="shared" si="33"/>
      </c>
      <c r="Y19" s="66">
        <f t="shared" si="42"/>
      </c>
      <c r="Z19" s="67">
        <f>SUM(Z17:Z18)</f>
      </c>
      <c r="AA19" s="67">
        <f>SUM(AA17:AA18)</f>
      </c>
      <c r="AB19" s="67"/>
      <c r="AC19" s="67">
        <f>SUM(AC17:AC18)</f>
      </c>
      <c r="AD19" s="67"/>
      <c r="AE19" s="67"/>
      <c r="AF19" s="67">
        <f>SUM(AF17:AF18)</f>
      </c>
      <c r="AG19" s="67">
        <f>SUM(AG17:AG18)</f>
      </c>
      <c r="AH19" s="67">
        <f>SUM(AH17:AH18)</f>
      </c>
      <c r="AI19" s="67">
        <f>SUM(AI17:AI18)</f>
      </c>
      <c r="AJ19" s="67">
        <f>SUM(AJ17:AJ18)</f>
      </c>
      <c r="AK19" s="67">
        <f>SUM(AK17:AK18)</f>
      </c>
      <c r="AL19" s="67">
        <f>SUM(AL17:AL18)</f>
      </c>
      <c r="AM19" s="67">
        <f>SUM(AM17:AM18)</f>
      </c>
      <c r="AN19" s="67">
        <f>SUM(AN17:AN18)</f>
      </c>
      <c r="AO19" s="66">
        <f t="shared" si="5"/>
      </c>
      <c r="AP19" s="66">
        <f t="shared" si="22"/>
      </c>
      <c r="AQ19" s="66">
        <f t="shared" si="8"/>
      </c>
      <c r="AR19" s="66">
        <f t="shared" si="36"/>
      </c>
      <c r="AS19" s="68">
        <f t="shared" si="45"/>
      </c>
      <c r="AT19" s="66">
        <f>F19/AJ19</f>
      </c>
    </row>
    <row r="20">
      <c r="A20" s="50" t="s">
        <v>162</v>
      </c>
      <c r="B20" s="47" t="s">
        <v>147</v>
      </c>
      <c r="C20" s="47" t="s">
        <v>161</v>
      </c>
      <c r="D20" s="47">
        <v>3</v>
      </c>
      <c r="E20" s="52">
        <v>4</v>
      </c>
      <c r="F20" s="53">
        <f t="shared" ref="F20:F21" si="13">H20+J20</f>
      </c>
      <c r="G20" s="52">
        <v>3</v>
      </c>
      <c r="H20" s="52">
        <v>3</v>
      </c>
      <c r="I20" s="52">
        <v>236.42000000000002</v>
      </c>
      <c r="J20" s="52">
        <v>0</v>
      </c>
      <c r="K20" s="52">
        <v>0</v>
      </c>
      <c r="L20" s="52">
        <v>3</v>
      </c>
      <c r="M20" s="52">
        <v>2837.04</v>
      </c>
      <c r="N20" s="52">
        <v>0</v>
      </c>
      <c r="O20" s="52">
        <v>0</v>
      </c>
      <c r="P20" s="52">
        <v>0</v>
      </c>
      <c r="Q20" s="52">
        <v>0</v>
      </c>
      <c r="R20" s="45">
        <f t="shared" ref="R20:R21" si="27">(I20*12)+K20</f>
      </c>
      <c r="S20" s="54">
        <v>2675.672</v>
      </c>
      <c r="T20" s="55">
        <f t="shared" si="39"/>
      </c>
      <c r="U20" s="56">
        <f t="shared" si="48"/>
      </c>
      <c r="V20" s="56">
        <f t="shared" si="2"/>
      </c>
      <c r="W20" s="57">
        <f t="shared" si="19"/>
      </c>
      <c r="X20" s="57">
        <f t="shared" si="33"/>
      </c>
      <c r="Y20" s="57">
        <f t="shared" si="42"/>
      </c>
      <c r="Z20" s="47">
        <v>1</v>
      </c>
      <c r="AA20" s="47">
        <v>1</v>
      </c>
      <c r="AB20" s="52" t="s">
        <v>149</v>
      </c>
      <c r="AC20" s="52">
        <v>7</v>
      </c>
      <c r="AD20" s="52" t="s">
        <v>150</v>
      </c>
      <c r="AE20" s="52">
        <v>8</v>
      </c>
      <c r="AF20" s="58">
        <v>36945</v>
      </c>
      <c r="AG20" s="53">
        <v>156</v>
      </c>
      <c r="AH20" s="58">
        <v>38317</v>
      </c>
      <c r="AI20" s="53">
        <v>2332</v>
      </c>
      <c r="AJ20" s="53">
        <v>628</v>
      </c>
      <c r="AK20" s="53">
        <v>32</v>
      </c>
      <c r="AL20" s="53">
        <v>101</v>
      </c>
      <c r="AM20" s="53">
        <v>3</v>
      </c>
      <c r="AN20" s="69"/>
      <c r="AO20" s="57">
        <f t="shared" si="5"/>
      </c>
      <c r="AP20" s="57">
        <f t="shared" si="22"/>
      </c>
      <c r="AQ20" s="57">
        <f t="shared" si="8"/>
      </c>
      <c r="AR20" s="60">
        <f t="shared" si="36"/>
      </c>
      <c r="AS20" s="61">
        <f t="shared" si="45"/>
      </c>
      <c r="AT20" s="62"/>
    </row>
    <row r="21">
      <c r="A21" s="50" t="s">
        <v>162</v>
      </c>
      <c r="B21" s="47" t="s">
        <v>151</v>
      </c>
      <c r="C21" s="47" t="s">
        <v>158</v>
      </c>
      <c r="D21" s="47">
        <v>5</v>
      </c>
      <c r="E21" s="52">
        <v>11</v>
      </c>
      <c r="F21" s="53">
        <f t="shared" si="13"/>
      </c>
      <c r="G21" s="52">
        <v>5</v>
      </c>
      <c r="H21" s="52">
        <v>5</v>
      </c>
      <c r="I21" s="53">
        <v>482.34</v>
      </c>
      <c r="J21" s="52">
        <v>1</v>
      </c>
      <c r="K21" s="52">
        <v>622</v>
      </c>
      <c r="L21" s="52">
        <v>4</v>
      </c>
      <c r="M21" s="52">
        <v>4537</v>
      </c>
      <c r="N21" s="52">
        <v>2</v>
      </c>
      <c r="O21" s="53">
        <v>1873.0799999999997</v>
      </c>
      <c r="P21" s="52">
        <v>1</v>
      </c>
      <c r="Q21" s="52">
        <v>140.06</v>
      </c>
      <c r="R21" s="45">
        <f t="shared" si="27"/>
      </c>
      <c r="S21" s="54">
        <v>4264.825</v>
      </c>
      <c r="T21" s="55">
        <f t="shared" si="39"/>
      </c>
      <c r="U21" s="56">
        <f t="shared" si="48"/>
      </c>
      <c r="V21" s="56">
        <f t="shared" si="2"/>
      </c>
      <c r="W21" s="57">
        <f t="shared" si="19"/>
      </c>
      <c r="X21" s="57">
        <f t="shared" si="33"/>
      </c>
      <c r="Y21" s="57">
        <f t="shared" si="42"/>
      </c>
      <c r="Z21" s="47">
        <v>5</v>
      </c>
      <c r="AA21" s="47">
        <v>1</v>
      </c>
      <c r="AB21" s="52" t="s">
        <v>153</v>
      </c>
      <c r="AC21" s="52">
        <v>1</v>
      </c>
      <c r="AD21" s="53"/>
      <c r="AE21" s="53"/>
      <c r="AF21" s="53">
        <v>96035</v>
      </c>
      <c r="AG21" s="53">
        <v>1108</v>
      </c>
      <c r="AH21" s="53">
        <v>53719</v>
      </c>
      <c r="AI21" s="53">
        <v>2476</v>
      </c>
      <c r="AJ21" s="53">
        <v>873</v>
      </c>
      <c r="AK21" s="53">
        <v>38</v>
      </c>
      <c r="AL21" s="53">
        <v>134</v>
      </c>
      <c r="AM21" s="53">
        <v>3</v>
      </c>
      <c r="AN21" s="69"/>
      <c r="AO21" s="57">
        <f t="shared" si="5"/>
      </c>
      <c r="AP21" s="57">
        <f t="shared" si="22"/>
      </c>
      <c r="AQ21" s="57">
        <f t="shared" si="8"/>
      </c>
      <c r="AR21" s="60">
        <f t="shared" si="36"/>
      </c>
      <c r="AS21" s="61">
        <f t="shared" si="45"/>
      </c>
      <c r="AT21" s="62"/>
    </row>
    <row r="22">
      <c r="A22" s="63" t="s">
        <v>162</v>
      </c>
      <c r="B22" s="64"/>
      <c r="C22" s="64"/>
      <c r="D22" s="64">
        <f>SUM(D20:D21)</f>
      </c>
      <c r="E22" s="64">
        <f>SUM(E20:E21)</f>
      </c>
      <c r="F22" s="64">
        <f>SUM(F20:F21)</f>
      </c>
      <c r="G22" s="64">
        <f>SUM(G20:G21)</f>
      </c>
      <c r="H22" s="64">
        <f>SUM(H20:H21)</f>
      </c>
      <c r="I22" s="64">
        <f>SUM(I20:I21)</f>
      </c>
      <c r="J22" s="64">
        <f>SUM(J20:J21)</f>
      </c>
      <c r="K22" s="64">
        <f>SUM(K20:K21)</f>
      </c>
      <c r="L22" s="64">
        <f>SUM(L20:L21)</f>
      </c>
      <c r="M22" s="64">
        <f>SUM(M20:M21)</f>
      </c>
      <c r="N22" s="64">
        <f>SUM(N20:N21)</f>
      </c>
      <c r="O22" s="64">
        <f>SUM(O20:O21)</f>
      </c>
      <c r="P22" s="64">
        <f>SUM(P20:P21)</f>
      </c>
      <c r="Q22" s="64">
        <f>SUM(Q20:Q21)</f>
      </c>
      <c r="R22" s="64">
        <f>SUM(R20:R21)</f>
      </c>
      <c r="S22" s="70">
        <f>SUM(S20:S21)</f>
      </c>
      <c r="T22" s="65">
        <f t="shared" si="39"/>
      </c>
      <c r="U22" s="65">
        <f t="shared" si="48"/>
      </c>
      <c r="V22" s="65">
        <f t="shared" si="2"/>
      </c>
      <c r="W22" s="65">
        <f t="shared" si="19"/>
      </c>
      <c r="X22" s="65">
        <f t="shared" si="33"/>
      </c>
      <c r="Y22" s="66">
        <f t="shared" si="42"/>
      </c>
      <c r="Z22" s="67">
        <f>SUM(Z20:Z21)</f>
      </c>
      <c r="AA22" s="67">
        <f>SUM(AA20:AA21)</f>
      </c>
      <c r="AB22" s="67"/>
      <c r="AC22" s="67">
        <f>SUM(AC20:AC21)</f>
      </c>
      <c r="AD22" s="67"/>
      <c r="AE22" s="67"/>
      <c r="AF22" s="67">
        <f>SUM(AF20:AF21)</f>
      </c>
      <c r="AG22" s="67">
        <f>SUM(AG20:AG21)</f>
      </c>
      <c r="AH22" s="67">
        <f>SUM(AH20:AH21)</f>
      </c>
      <c r="AI22" s="67">
        <f>SUM(AI20:AI21)</f>
      </c>
      <c r="AJ22" s="67">
        <f>SUM(AJ20:AJ21)</f>
      </c>
      <c r="AK22" s="67">
        <f>SUM(AK20:AK21)</f>
      </c>
      <c r="AL22" s="67">
        <f>SUM(AL20:AL21)</f>
      </c>
      <c r="AM22" s="67">
        <f>SUM(AM20:AM21)</f>
      </c>
      <c r="AN22" s="67">
        <f>SUM(AN20:AN21)</f>
      </c>
      <c r="AO22" s="66">
        <f t="shared" si="5"/>
      </c>
      <c r="AP22" s="66">
        <f t="shared" si="22"/>
      </c>
      <c r="AQ22" s="66">
        <f t="shared" si="8"/>
      </c>
      <c r="AR22" s="66">
        <f t="shared" si="36"/>
      </c>
      <c r="AS22" s="68">
        <f t="shared" si="45"/>
      </c>
      <c r="AT22" s="66">
        <f>F22/AJ22</f>
      </c>
    </row>
    <row r="23">
      <c r="A23" s="50" t="s">
        <v>163</v>
      </c>
      <c r="B23" s="47" t="s">
        <v>147</v>
      </c>
      <c r="C23" s="47" t="s">
        <v>161</v>
      </c>
      <c r="D23" s="47">
        <v>3</v>
      </c>
      <c r="E23" s="52">
        <v>5</v>
      </c>
      <c r="F23" s="53">
        <f t="shared" ref="F23:F24" si="14">H23+J23</f>
      </c>
      <c r="G23" s="52">
        <v>1</v>
      </c>
      <c r="H23" s="52">
        <v>2</v>
      </c>
      <c r="I23" s="52">
        <v>164.82</v>
      </c>
      <c r="J23" s="52">
        <v>0</v>
      </c>
      <c r="K23" s="52">
        <v>0</v>
      </c>
      <c r="L23" s="52">
        <v>1</v>
      </c>
      <c r="M23" s="52">
        <v>206.64</v>
      </c>
      <c r="N23" s="52">
        <v>1</v>
      </c>
      <c r="O23" s="52">
        <v>1771.1999999999998</v>
      </c>
      <c r="P23" s="52">
        <v>0</v>
      </c>
      <c r="Q23" s="52">
        <v>0</v>
      </c>
      <c r="R23" s="45">
        <f t="shared" ref="R23:R24" si="28">(I23*12)+K23</f>
      </c>
      <c r="S23" s="54">
        <v>3073.022</v>
      </c>
      <c r="T23" s="55">
        <f t="shared" si="39"/>
      </c>
      <c r="U23" s="56">
        <f t="shared" si="48"/>
      </c>
      <c r="V23" s="56">
        <f t="shared" si="2"/>
      </c>
      <c r="W23" s="57">
        <f t="shared" si="19"/>
      </c>
      <c r="X23" s="57">
        <f t="shared" si="33"/>
      </c>
      <c r="Y23" s="57">
        <f t="shared" si="42"/>
      </c>
      <c r="Z23" s="47">
        <v>1</v>
      </c>
      <c r="AA23" s="47">
        <v>1</v>
      </c>
      <c r="AB23" s="52" t="s">
        <v>149</v>
      </c>
      <c r="AC23" s="52">
        <v>7</v>
      </c>
      <c r="AD23" s="52" t="s">
        <v>150</v>
      </c>
      <c r="AE23" s="52">
        <v>8</v>
      </c>
      <c r="AF23" s="58">
        <v>50619</v>
      </c>
      <c r="AG23" s="53">
        <v>111</v>
      </c>
      <c r="AH23" s="58">
        <v>56092</v>
      </c>
      <c r="AI23" s="53">
        <v>4096</v>
      </c>
      <c r="AJ23" s="53">
        <v>580</v>
      </c>
      <c r="AK23" s="53">
        <v>70</v>
      </c>
      <c r="AL23" s="53">
        <v>210</v>
      </c>
      <c r="AM23" s="53">
        <v>3</v>
      </c>
      <c r="AN23" s="69"/>
      <c r="AO23" s="57">
        <f t="shared" si="5"/>
      </c>
      <c r="AP23" s="57">
        <f t="shared" si="22"/>
      </c>
      <c r="AQ23" s="57">
        <f t="shared" si="8"/>
      </c>
      <c r="AR23" s="60">
        <f t="shared" si="36"/>
      </c>
      <c r="AS23" s="61">
        <f t="shared" si="45"/>
      </c>
      <c r="AT23" s="62"/>
    </row>
    <row r="24">
      <c r="A24" s="50" t="s">
        <v>163</v>
      </c>
      <c r="B24" s="47" t="s">
        <v>151</v>
      </c>
      <c r="C24" s="47" t="s">
        <v>158</v>
      </c>
      <c r="D24" s="47">
        <v>5</v>
      </c>
      <c r="E24" s="52">
        <v>22</v>
      </c>
      <c r="F24" s="53">
        <f t="shared" si="14"/>
      </c>
      <c r="G24" s="52">
        <v>10</v>
      </c>
      <c r="H24" s="52">
        <v>8</v>
      </c>
      <c r="I24" s="53">
        <v>1666.8999999999999</v>
      </c>
      <c r="J24" s="52">
        <v>4</v>
      </c>
      <c r="K24" s="52">
        <v>7145.5</v>
      </c>
      <c r="L24" s="52">
        <v>2</v>
      </c>
      <c r="M24" s="52">
        <v>1759</v>
      </c>
      <c r="N24" s="52">
        <v>10</v>
      </c>
      <c r="O24" s="53">
        <v>25389.3</v>
      </c>
      <c r="P24" s="52">
        <v>2</v>
      </c>
      <c r="Q24" s="52">
        <v>281.48</v>
      </c>
      <c r="R24" s="45">
        <f t="shared" si="28"/>
      </c>
      <c r="S24" s="54">
        <v>7197.709000000001</v>
      </c>
      <c r="T24" s="55">
        <f t="shared" si="39"/>
      </c>
      <c r="U24" s="56">
        <f t="shared" si="48"/>
      </c>
      <c r="V24" s="56">
        <f t="shared" si="2"/>
      </c>
      <c r="W24" s="57">
        <f t="shared" si="19"/>
      </c>
      <c r="X24" s="57">
        <f t="shared" si="33"/>
      </c>
      <c r="Y24" s="57">
        <f t="shared" si="42"/>
      </c>
      <c r="Z24" s="47">
        <v>1</v>
      </c>
      <c r="AA24" s="47">
        <v>1</v>
      </c>
      <c r="AB24" s="52" t="s">
        <v>153</v>
      </c>
      <c r="AC24" s="52">
        <v>1</v>
      </c>
      <c r="AD24" s="53"/>
      <c r="AE24" s="53"/>
      <c r="AF24" s="53">
        <v>40916</v>
      </c>
      <c r="AG24" s="53">
        <v>74</v>
      </c>
      <c r="AH24" s="53">
        <v>48420</v>
      </c>
      <c r="AI24" s="53">
        <v>2922</v>
      </c>
      <c r="AJ24" s="53">
        <v>389</v>
      </c>
      <c r="AK24" s="53">
        <v>42</v>
      </c>
      <c r="AL24" s="53">
        <v>118</v>
      </c>
      <c r="AM24" s="53">
        <v>4</v>
      </c>
      <c r="AN24" s="69"/>
      <c r="AO24" s="57">
        <f t="shared" si="5"/>
      </c>
      <c r="AP24" s="57">
        <f t="shared" si="22"/>
      </c>
      <c r="AQ24" s="57">
        <f t="shared" si="8"/>
      </c>
      <c r="AR24" s="60">
        <f t="shared" si="36"/>
      </c>
      <c r="AS24" s="61">
        <f t="shared" si="45"/>
      </c>
      <c r="AT24" s="62"/>
    </row>
    <row r="25">
      <c r="A25" s="63" t="s">
        <v>163</v>
      </c>
      <c r="B25" s="64"/>
      <c r="C25" s="64"/>
      <c r="D25" s="64">
        <f>SUM(D23:D24)</f>
      </c>
      <c r="E25" s="64">
        <f>SUM(E23:E24)</f>
      </c>
      <c r="F25" s="64">
        <f>SUM(F23:F24)</f>
      </c>
      <c r="G25" s="64">
        <f>SUM(G23:G24)</f>
      </c>
      <c r="H25" s="64">
        <f>SUM(H23:H24)</f>
      </c>
      <c r="I25" s="64">
        <f>SUM(I23:I24)</f>
      </c>
      <c r="J25" s="64">
        <f>SUM(J23:J24)</f>
      </c>
      <c r="K25" s="64">
        <f>SUM(K23:K24)</f>
      </c>
      <c r="L25" s="64">
        <f>SUM(L23:L24)</f>
      </c>
      <c r="M25" s="64">
        <f>SUM(M23:M24)</f>
      </c>
      <c r="N25" s="64">
        <f>SUM(N23:N24)</f>
      </c>
      <c r="O25" s="64">
        <f>SUM(O23:O24)</f>
      </c>
      <c r="P25" s="64">
        <f>SUM(P23:P24)</f>
      </c>
      <c r="Q25" s="64">
        <f>SUM(Q23:Q24)</f>
      </c>
      <c r="R25" s="64">
        <f>SUM(R23:R24)</f>
      </c>
      <c r="S25" s="70">
        <f>SUM(S23:S24)</f>
      </c>
      <c r="T25" s="65">
        <f t="shared" si="39"/>
      </c>
      <c r="U25" s="65">
        <f t="shared" si="48"/>
      </c>
      <c r="V25" s="65">
        <f t="shared" si="2"/>
      </c>
      <c r="W25" s="65">
        <f t="shared" si="19"/>
      </c>
      <c r="X25" s="65">
        <f t="shared" si="33"/>
      </c>
      <c r="Y25" s="66">
        <f t="shared" si="42"/>
      </c>
      <c r="Z25" s="67">
        <f>SUM(Z23:Z24)</f>
      </c>
      <c r="AA25" s="67">
        <f>SUM(AA23:AA24)</f>
      </c>
      <c r="AB25" s="67"/>
      <c r="AC25" s="67">
        <f>SUM(AC23:AC24)</f>
      </c>
      <c r="AD25" s="67"/>
      <c r="AE25" s="67"/>
      <c r="AF25" s="67">
        <f>SUM(AF23:AF24)</f>
      </c>
      <c r="AG25" s="67">
        <f>SUM(AG23:AG24)</f>
      </c>
      <c r="AH25" s="67">
        <f>SUM(AH23:AH24)</f>
      </c>
      <c r="AI25" s="67">
        <f>SUM(AI23:AI24)</f>
      </c>
      <c r="AJ25" s="67">
        <f>SUM(AJ23:AJ24)</f>
      </c>
      <c r="AK25" s="67">
        <f>SUM(AK23:AK24)</f>
      </c>
      <c r="AL25" s="67">
        <f>SUM(AL23:AL24)</f>
      </c>
      <c r="AM25" s="67">
        <f>SUM(AM23:AM24)</f>
      </c>
      <c r="AN25" s="67">
        <f>SUM(AN23:AN24)</f>
      </c>
      <c r="AO25" s="66">
        <f t="shared" si="5"/>
      </c>
      <c r="AP25" s="66">
        <f t="shared" si="22"/>
      </c>
      <c r="AQ25" s="66">
        <f t="shared" si="8"/>
      </c>
      <c r="AR25" s="66">
        <f t="shared" si="36"/>
      </c>
      <c r="AS25" s="68">
        <f t="shared" si="45"/>
      </c>
      <c r="AT25" s="66">
        <f>F25/AJ25</f>
      </c>
    </row>
    <row r="26">
      <c r="A26" s="50" t="s">
        <v>164</v>
      </c>
      <c r="B26" s="47" t="s">
        <v>147</v>
      </c>
      <c r="C26" s="47" t="s">
        <v>165</v>
      </c>
      <c r="D26" s="47">
        <v>5</v>
      </c>
      <c r="E26" s="52">
        <v>8</v>
      </c>
      <c r="F26" s="53">
        <f t="shared" ref="F26:F27" si="15">H26+J26</f>
      </c>
      <c r="G26" s="52">
        <v>4</v>
      </c>
      <c r="H26" s="52">
        <v>3</v>
      </c>
      <c r="I26" s="52">
        <v>193.31</v>
      </c>
      <c r="J26" s="52">
        <v>1</v>
      </c>
      <c r="K26" s="52">
        <v>548</v>
      </c>
      <c r="L26" s="52">
        <v>3</v>
      </c>
      <c r="M26" s="52">
        <v>1924.88</v>
      </c>
      <c r="N26" s="52">
        <v>1</v>
      </c>
      <c r="O26" s="52">
        <v>942.8399999999999</v>
      </c>
      <c r="P26" s="52">
        <v>1</v>
      </c>
      <c r="Q26" s="52">
        <v>99.03</v>
      </c>
      <c r="R26" s="45">
        <f t="shared" ref="R26:R27" si="29">(I26*12)+K26</f>
      </c>
      <c r="S26" s="54">
        <v>5038.536</v>
      </c>
      <c r="T26" s="55">
        <f t="shared" si="39"/>
      </c>
      <c r="U26" s="56">
        <f t="shared" si="48"/>
      </c>
      <c r="V26" s="56">
        <f t="shared" si="2"/>
      </c>
      <c r="W26" s="57">
        <f t="shared" si="19"/>
      </c>
      <c r="X26" s="57">
        <f t="shared" si="33"/>
      </c>
      <c r="Y26" s="57">
        <f t="shared" si="42"/>
      </c>
      <c r="Z26" s="47">
        <v>2</v>
      </c>
      <c r="AA26" s="47">
        <v>2</v>
      </c>
      <c r="AB26" s="52" t="s">
        <v>166</v>
      </c>
      <c r="AC26" s="52">
        <v>2</v>
      </c>
      <c r="AD26" s="52" t="s">
        <v>150</v>
      </c>
      <c r="AE26" s="52">
        <v>10</v>
      </c>
      <c r="AF26" s="58">
        <v>100012</v>
      </c>
      <c r="AG26" s="53">
        <v>496</v>
      </c>
      <c r="AH26" s="58">
        <v>57943</v>
      </c>
      <c r="AI26" s="53">
        <v>3951</v>
      </c>
      <c r="AJ26" s="53">
        <v>1079</v>
      </c>
      <c r="AK26" s="53">
        <v>74</v>
      </c>
      <c r="AL26" s="53">
        <v>206</v>
      </c>
      <c r="AM26" s="53">
        <v>7</v>
      </c>
      <c r="AN26" s="69"/>
      <c r="AO26" s="57">
        <f t="shared" si="5"/>
      </c>
      <c r="AP26" s="57">
        <f t="shared" si="22"/>
      </c>
      <c r="AQ26" s="57">
        <f t="shared" si="8"/>
      </c>
      <c r="AR26" s="60">
        <f t="shared" si="36"/>
      </c>
      <c r="AS26" s="61">
        <f t="shared" si="45"/>
      </c>
      <c r="AT26" s="62"/>
    </row>
    <row r="27">
      <c r="A27" s="50" t="s">
        <v>164</v>
      </c>
      <c r="B27" s="47" t="s">
        <v>151</v>
      </c>
      <c r="C27" s="47" t="s">
        <v>158</v>
      </c>
      <c r="D27" s="47">
        <v>5</v>
      </c>
      <c r="E27" s="52">
        <v>16</v>
      </c>
      <c r="F27" s="53">
        <f t="shared" si="15"/>
      </c>
      <c r="G27" s="52">
        <v>5</v>
      </c>
      <c r="H27" s="52">
        <v>8</v>
      </c>
      <c r="I27" s="53">
        <v>1259.6499999999999</v>
      </c>
      <c r="J27" s="52">
        <v>0</v>
      </c>
      <c r="K27" s="52">
        <v>0</v>
      </c>
      <c r="L27" s="52">
        <v>3</v>
      </c>
      <c r="M27" s="52">
        <v>2586.4800000000005</v>
      </c>
      <c r="N27" s="52">
        <v>5</v>
      </c>
      <c r="O27" s="53">
        <v>12529.32</v>
      </c>
      <c r="P27" s="52">
        <v>2</v>
      </c>
      <c r="Q27" s="52">
        <v>200.5</v>
      </c>
      <c r="R27" s="45">
        <f t="shared" si="29"/>
      </c>
      <c r="S27" s="54">
        <v>8260.655</v>
      </c>
      <c r="T27" s="55">
        <f t="shared" si="39"/>
      </c>
      <c r="U27" s="56">
        <f t="shared" si="48"/>
      </c>
      <c r="V27" s="56">
        <f t="shared" si="2"/>
      </c>
      <c r="W27" s="57">
        <f t="shared" si="19"/>
      </c>
      <c r="X27" s="57">
        <f t="shared" si="33"/>
      </c>
      <c r="Y27" s="57">
        <f t="shared" si="42"/>
      </c>
      <c r="Z27" s="47">
        <v>4</v>
      </c>
      <c r="AA27" s="47">
        <v>4</v>
      </c>
      <c r="AB27" s="52" t="s">
        <v>149</v>
      </c>
      <c r="AC27" s="52">
        <v>8</v>
      </c>
      <c r="AD27" s="53"/>
      <c r="AE27" s="53"/>
      <c r="AF27" s="53">
        <v>196213</v>
      </c>
      <c r="AG27" s="53">
        <v>1975</v>
      </c>
      <c r="AH27" s="53">
        <v>127064</v>
      </c>
      <c r="AI27" s="53">
        <v>6116</v>
      </c>
      <c r="AJ27" s="53">
        <v>1838</v>
      </c>
      <c r="AK27" s="53">
        <v>70</v>
      </c>
      <c r="AL27" s="53">
        <v>273</v>
      </c>
      <c r="AM27" s="53">
        <v>11</v>
      </c>
      <c r="AN27" s="69"/>
      <c r="AO27" s="57">
        <f t="shared" si="5"/>
      </c>
      <c r="AP27" s="57">
        <f t="shared" si="22"/>
      </c>
      <c r="AQ27" s="57">
        <f t="shared" si="8"/>
      </c>
      <c r="AR27" s="60">
        <f t="shared" si="36"/>
      </c>
      <c r="AS27" s="61">
        <f t="shared" si="45"/>
      </c>
      <c r="AT27" s="62"/>
    </row>
    <row r="28">
      <c r="A28" s="63" t="s">
        <v>164</v>
      </c>
      <c r="B28" s="64"/>
      <c r="C28" s="64"/>
      <c r="D28" s="64">
        <f>SUM(D26:D27)</f>
      </c>
      <c r="E28" s="64">
        <f>SUM(E26:E27)</f>
      </c>
      <c r="F28" s="64">
        <f>SUM(F26:F27)</f>
      </c>
      <c r="G28" s="64">
        <f>SUM(G26:G27)</f>
      </c>
      <c r="H28" s="64">
        <f>SUM(H26:H27)</f>
      </c>
      <c r="I28" s="64">
        <f>SUM(I26:I27)</f>
      </c>
      <c r="J28" s="64">
        <f>SUM(J26:J27)</f>
      </c>
      <c r="K28" s="64">
        <f>SUM(K26:K27)</f>
      </c>
      <c r="L28" s="64">
        <f>SUM(L26:L27)</f>
      </c>
      <c r="M28" s="64">
        <f>SUM(M26:M27)</f>
      </c>
      <c r="N28" s="64">
        <f>SUM(N26:N27)</f>
      </c>
      <c r="O28" s="64">
        <f>SUM(O26:O27)</f>
      </c>
      <c r="P28" s="64">
        <f>SUM(P26:P27)</f>
      </c>
      <c r="Q28" s="64">
        <f>SUM(Q26:Q27)</f>
      </c>
      <c r="R28" s="64">
        <f>SUM(R26:R27)</f>
      </c>
      <c r="S28" s="70">
        <f>SUM(S26:S27)</f>
      </c>
      <c r="T28" s="65">
        <f t="shared" si="39"/>
      </c>
      <c r="U28" s="65">
        <f t="shared" si="48"/>
      </c>
      <c r="V28" s="65">
        <f t="shared" si="2"/>
      </c>
      <c r="W28" s="65">
        <f t="shared" si="19"/>
      </c>
      <c r="X28" s="65">
        <f t="shared" si="33"/>
      </c>
      <c r="Y28" s="66">
        <f t="shared" si="42"/>
      </c>
      <c r="Z28" s="67">
        <f>SUM(Z26:Z27)</f>
      </c>
      <c r="AA28" s="67">
        <f>SUM(AA26:AA27)</f>
      </c>
      <c r="AB28" s="67"/>
      <c r="AC28" s="67">
        <f>SUM(AC26:AC27)</f>
      </c>
      <c r="AD28" s="67"/>
      <c r="AE28" s="67"/>
      <c r="AF28" s="67">
        <f>SUM(AF26:AF27)</f>
      </c>
      <c r="AG28" s="67">
        <f>SUM(AG26:AG27)</f>
      </c>
      <c r="AH28" s="67">
        <f>SUM(AH26:AH27)</f>
      </c>
      <c r="AI28" s="67">
        <f>SUM(AI26:AI27)</f>
      </c>
      <c r="AJ28" s="67">
        <f>SUM(AJ26:AJ27)</f>
      </c>
      <c r="AK28" s="67">
        <f>SUM(AK26:AK27)</f>
      </c>
      <c r="AL28" s="67">
        <f>SUM(AL26:AL27)</f>
      </c>
      <c r="AM28" s="67">
        <f>SUM(AM26:AM27)</f>
      </c>
      <c r="AN28" s="67">
        <f>SUM(AN26:AN27)</f>
      </c>
      <c r="AO28" s="66">
        <f t="shared" si="5"/>
      </c>
      <c r="AP28" s="66">
        <f t="shared" si="22"/>
      </c>
      <c r="AQ28" s="66">
        <f t="shared" si="8"/>
      </c>
      <c r="AR28" s="66">
        <f t="shared" si="36"/>
      </c>
      <c r="AS28" s="68">
        <f t="shared" si="45"/>
      </c>
      <c r="AT28" s="66">
        <f>F28/AJ28</f>
      </c>
    </row>
    <row r="29">
      <c r="A29" s="50" t="s">
        <v>167</v>
      </c>
      <c r="B29" s="47" t="s">
        <v>147</v>
      </c>
      <c r="C29" s="47" t="s">
        <v>165</v>
      </c>
      <c r="D29" s="47">
        <v>5</v>
      </c>
      <c r="E29" s="52">
        <v>7</v>
      </c>
      <c r="F29" s="53">
        <f t="shared" ref="F29:F30" si="16">H29+J29</f>
      </c>
      <c r="G29" s="52">
        <v>4</v>
      </c>
      <c r="H29" s="52">
        <v>3</v>
      </c>
      <c r="I29" s="52">
        <v>242.2</v>
      </c>
      <c r="J29" s="52">
        <v>1</v>
      </c>
      <c r="K29" s="52">
        <v>1640</v>
      </c>
      <c r="L29" s="52">
        <v>2</v>
      </c>
      <c r="M29" s="52">
        <v>421.32</v>
      </c>
      <c r="N29" s="52">
        <v>2</v>
      </c>
      <c r="O29" s="52">
        <v>4125.08</v>
      </c>
      <c r="P29" s="52">
        <v>3</v>
      </c>
      <c r="Q29" s="52">
        <v>526.37</v>
      </c>
      <c r="R29" s="45">
        <f t="shared" ref="R29:R30" si="30">(I29*12)+K29</f>
      </c>
      <c r="S29" s="54">
        <v>3659.0020000000004</v>
      </c>
      <c r="T29" s="55">
        <f t="shared" si="39"/>
      </c>
      <c r="U29" s="56">
        <f t="shared" si="48"/>
      </c>
      <c r="V29" s="56">
        <f t="shared" si="2"/>
      </c>
      <c r="W29" s="57">
        <f t="shared" si="19"/>
      </c>
      <c r="X29" s="57">
        <f t="shared" si="33"/>
      </c>
      <c r="Y29" s="57">
        <f t="shared" si="42"/>
      </c>
      <c r="Z29" s="47">
        <v>0</v>
      </c>
      <c r="AA29" s="47">
        <v>0</v>
      </c>
      <c r="AB29" s="52" t="s">
        <v>166</v>
      </c>
      <c r="AC29" s="52">
        <v>2</v>
      </c>
      <c r="AD29" s="52" t="s">
        <v>150</v>
      </c>
      <c r="AE29" s="52">
        <v>10</v>
      </c>
      <c r="AF29" s="58">
        <v>86735</v>
      </c>
      <c r="AG29" s="53">
        <v>515</v>
      </c>
      <c r="AH29" s="58">
        <v>17318</v>
      </c>
      <c r="AI29" s="53">
        <v>1324</v>
      </c>
      <c r="AJ29" s="53">
        <v>803</v>
      </c>
      <c r="AK29" s="53">
        <v>23</v>
      </c>
      <c r="AL29" s="53">
        <v>145</v>
      </c>
      <c r="AM29" s="53">
        <v>4</v>
      </c>
      <c r="AN29" s="69"/>
      <c r="AO29" s="57">
        <f t="shared" si="5"/>
      </c>
      <c r="AP29" s="57">
        <f t="shared" si="22"/>
      </c>
      <c r="AQ29" s="57">
        <f t="shared" si="8"/>
      </c>
      <c r="AR29" s="60">
        <f t="shared" si="36"/>
      </c>
      <c r="AS29" s="61">
        <f t="shared" si="45"/>
      </c>
      <c r="AT29" s="62"/>
    </row>
    <row r="30">
      <c r="A30" s="50" t="s">
        <v>167</v>
      </c>
      <c r="B30" s="47" t="s">
        <v>151</v>
      </c>
      <c r="C30" s="47" t="s">
        <v>158</v>
      </c>
      <c r="D30" s="47">
        <v>5</v>
      </c>
      <c r="E30" s="52">
        <v>14</v>
      </c>
      <c r="F30" s="53">
        <f t="shared" si="16"/>
      </c>
      <c r="G30" s="52">
        <v>6</v>
      </c>
      <c r="H30" s="52">
        <v>6</v>
      </c>
      <c r="I30" s="53">
        <v>1226.33</v>
      </c>
      <c r="J30" s="52">
        <v>0</v>
      </c>
      <c r="K30" s="52">
        <v>0</v>
      </c>
      <c r="L30" s="52">
        <v>3</v>
      </c>
      <c r="M30" s="52">
        <v>3434.2799999999997</v>
      </c>
      <c r="N30" s="52">
        <v>3</v>
      </c>
      <c r="O30" s="53">
        <v>11281.68</v>
      </c>
      <c r="P30" s="52">
        <v>3</v>
      </c>
      <c r="Q30" s="52">
        <v>940.14</v>
      </c>
      <c r="R30" s="45">
        <f t="shared" si="30"/>
      </c>
      <c r="S30" s="54">
        <v>8545.610999999999</v>
      </c>
      <c r="T30" s="55">
        <f t="shared" si="39"/>
      </c>
      <c r="U30" s="56">
        <f t="shared" si="48"/>
      </c>
      <c r="V30" s="56">
        <f t="shared" si="2"/>
      </c>
      <c r="W30" s="57">
        <f t="shared" si="19"/>
      </c>
      <c r="X30" s="57">
        <f t="shared" si="33"/>
      </c>
      <c r="Y30" s="57">
        <f t="shared" si="42"/>
      </c>
      <c r="Z30" s="47">
        <v>3</v>
      </c>
      <c r="AA30" s="47">
        <v>0</v>
      </c>
      <c r="AB30" s="52" t="s">
        <v>149</v>
      </c>
      <c r="AC30" s="52">
        <v>7</v>
      </c>
      <c r="AD30" s="53"/>
      <c r="AE30" s="53"/>
      <c r="AF30" s="53">
        <v>340325</v>
      </c>
      <c r="AG30" s="53">
        <v>3740</v>
      </c>
      <c r="AH30" s="53">
        <v>76671</v>
      </c>
      <c r="AI30" s="53">
        <v>4470</v>
      </c>
      <c r="AJ30" s="53">
        <v>2048</v>
      </c>
      <c r="AK30" s="53">
        <v>72</v>
      </c>
      <c r="AL30" s="53">
        <v>222</v>
      </c>
      <c r="AM30" s="53">
        <v>12</v>
      </c>
      <c r="AN30" s="69"/>
      <c r="AO30" s="57">
        <f t="shared" si="5"/>
      </c>
      <c r="AP30" s="57">
        <f t="shared" si="22"/>
      </c>
      <c r="AQ30" s="57">
        <f t="shared" si="8"/>
      </c>
      <c r="AR30" s="60">
        <f t="shared" si="36"/>
      </c>
      <c r="AS30" s="61">
        <f t="shared" si="45"/>
      </c>
      <c r="AT30" s="62"/>
    </row>
    <row customHeight="true" ht="16.071428571428573" r="31">
      <c r="A31" s="50"/>
      <c r="B31" s="47"/>
      <c r="C31" s="47"/>
      <c r="D31" s="47"/>
      <c r="E31" s="52"/>
      <c r="F31" s="53"/>
      <c r="G31" s="52"/>
      <c r="H31" s="52"/>
      <c r="I31" s="53"/>
      <c r="J31" s="52"/>
      <c r="K31" s="52"/>
      <c r="L31" s="52"/>
      <c r="M31" s="52"/>
      <c r="N31" s="52"/>
      <c r="O31" s="53"/>
      <c r="P31" s="52"/>
      <c r="Q31" s="52"/>
      <c r="R31" s="45"/>
      <c r="S31" s="54"/>
      <c r="T31" s="55"/>
      <c r="U31" s="56"/>
      <c r="V31" s="56"/>
      <c r="W31" s="57"/>
      <c r="X31" s="57"/>
      <c r="Y31" s="57"/>
      <c r="Z31" s="47"/>
      <c r="AA31" s="47"/>
      <c r="AB31" s="52" t="s">
        <v>153</v>
      </c>
      <c r="AC31" s="52">
        <v>1</v>
      </c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69"/>
      <c r="AO31" s="57"/>
      <c r="AP31" s="57"/>
      <c r="AQ31" s="57"/>
      <c r="AR31" s="60"/>
      <c r="AS31" s="61"/>
      <c r="AT31" s="62"/>
    </row>
    <row r="32">
      <c r="A32" s="63" t="s">
        <v>167</v>
      </c>
      <c r="B32" s="64"/>
      <c r="C32" s="64"/>
      <c r="D32" s="64">
        <f>SUM(D29:D30)</f>
      </c>
      <c r="E32" s="64">
        <f>SUM(E29:E30)</f>
      </c>
      <c r="F32" s="64">
        <f>SUM(F29:F30)</f>
      </c>
      <c r="G32" s="64">
        <f>SUM(G29:G30)</f>
      </c>
      <c r="H32" s="64">
        <f>SUM(H29:H30)</f>
      </c>
      <c r="I32" s="64">
        <f>SUM(I29:I30)</f>
      </c>
      <c r="J32" s="64">
        <f>SUM(J29:J30)</f>
      </c>
      <c r="K32" s="64">
        <f>SUM(K29:K30)</f>
      </c>
      <c r="L32" s="64">
        <f>SUM(L29:L30)</f>
      </c>
      <c r="M32" s="64">
        <f>SUM(M29:M30)</f>
      </c>
      <c r="N32" s="64">
        <f>SUM(N29:N30)</f>
      </c>
      <c r="O32" s="64">
        <f>SUM(O29:O30)</f>
      </c>
      <c r="P32" s="64">
        <f>SUM(P29:P30)</f>
      </c>
      <c r="Q32" s="64">
        <f>SUM(Q29:Q30)</f>
      </c>
      <c r="R32" s="64">
        <f>SUM(R29:R30)</f>
      </c>
      <c r="S32" s="70">
        <f>SUM(S29:S30)</f>
      </c>
      <c r="T32" s="65">
        <f>R32/S32</f>
      </c>
      <c r="U32" s="65">
        <f>R32/F32</f>
      </c>
      <c r="V32" s="65">
        <f>S32/F32</f>
      </c>
      <c r="W32" s="65">
        <f>Z32/F32</f>
      </c>
      <c r="X32" s="65">
        <f>AA32/F32</f>
      </c>
      <c r="Y32" s="66">
        <f>P32/F32</f>
      </c>
      <c r="Z32" s="67">
        <f>SUM(Z29:Z30)</f>
      </c>
      <c r="AA32" s="67">
        <f>SUM(AA29:AA30)</f>
      </c>
      <c r="AB32" s="67"/>
      <c r="AC32" s="67">
        <f>AC30+AC29+AC31</f>
      </c>
      <c r="AD32" s="67"/>
      <c r="AE32" s="67"/>
      <c r="AF32" s="67">
        <f>SUM(AF29:AF30)</f>
      </c>
      <c r="AG32" s="67">
        <f>SUM(AG29:AG30)</f>
      </c>
      <c r="AH32" s="67">
        <f>SUM(AH29:AH30)</f>
      </c>
      <c r="AI32" s="67">
        <f>SUM(AI29:AI30)</f>
      </c>
      <c r="AJ32" s="67">
        <f>SUM(AJ29:AJ30)</f>
      </c>
      <c r="AK32" s="67">
        <f>SUM(AK29:AK30)</f>
      </c>
      <c r="AL32" s="67">
        <f>SUM(AL29:AL30)</f>
      </c>
      <c r="AM32" s="67">
        <f>SUM(AM29:AM30)</f>
      </c>
      <c r="AN32" s="67">
        <f>SUM(AN29:AN30)</f>
      </c>
      <c r="AO32" s="66">
        <f>AG32/AF32</f>
      </c>
      <c r="AP32" s="66">
        <f>(AK32+AL32+AM32)/AH32</f>
      </c>
      <c r="AQ32" s="66">
        <f>AI32/AH32</f>
      </c>
      <c r="AR32" s="66">
        <f>AL32/AH32</f>
      </c>
      <c r="AS32" s="68">
        <f>S32/AJ32</f>
      </c>
      <c r="AT32" s="66">
        <f>F32/AJ32</f>
      </c>
    </row>
    <row r="33">
      <c r="AF33">
        <f>AF43-AF32</f>
      </c>
      <c r="AG33">
        <f>AG43-AG32</f>
      </c>
      <c r="AH33">
        <f>AH43-AH32</f>
      </c>
      <c r="AI33">
        <f>AI43-AI32</f>
      </c>
      <c r="AJ33">
        <f>AJ43-AJ32</f>
      </c>
      <c r="AK33">
        <f>AK43-AK32</f>
      </c>
      <c r="AL33">
        <f>AL43-AL32</f>
      </c>
      <c r="AM33">
        <f>AM43-AM32</f>
      </c>
    </row>
    <row r="34"/>
    <row r="35"/>
    <row r="36">
      <c r="H36" s="72" t="s">
        <v>168</v>
      </c>
      <c r="K36" t="s">
        <v>128</v>
      </c>
      <c r="L36" t="s">
        <v>169</v>
      </c>
    </row>
    <row r="37">
      <c r="K37" t="s">
        <v>153</v>
      </c>
      <c r="L37">
        <v>17</v>
      </c>
    </row>
    <row r="38">
      <c r="K38" t="s">
        <v>166</v>
      </c>
      <c r="L38">
        <v>4</v>
      </c>
      <c r="AM38" s="73"/>
      <c r="AN38" s="73"/>
    </row>
    <row r="39">
      <c r="K39" t="s">
        <v>149</v>
      </c>
      <c r="L39">
        <v>45</v>
      </c>
      <c r="AM39" s="73"/>
      <c r="AN39" s="73"/>
    </row>
    <row r="40">
      <c r="K40" t="s">
        <v>155</v>
      </c>
      <c r="L40">
        <v>6</v>
      </c>
      <c r="AE40" s="74" t="s">
        <v>170</v>
      </c>
      <c r="AF40" s="75">
        <v>234130</v>
      </c>
      <c r="AG40" s="75">
        <v>3147</v>
      </c>
      <c r="AH40" s="75">
        <v>1689</v>
      </c>
      <c r="AI40" s="75">
        <v>2</v>
      </c>
      <c r="AJ40" s="75">
        <v>1603</v>
      </c>
      <c r="AK40">
        <v>31</v>
      </c>
      <c r="AL40">
        <v>134</v>
      </c>
      <c r="AM40">
        <v>1</v>
      </c>
      <c r="AN40" s="73"/>
    </row>
    <row r="41">
      <c r="K41" t="s">
        <v>171</v>
      </c>
      <c r="L41">
        <v>72</v>
      </c>
      <c r="AE41" s="74" t="s">
        <v>172</v>
      </c>
      <c r="AF41" s="75">
        <v>65203</v>
      </c>
      <c r="AG41" s="75">
        <v>100</v>
      </c>
      <c r="AH41" s="75">
        <v>45421</v>
      </c>
      <c r="AI41" s="75">
        <v>2633</v>
      </c>
      <c r="AJ41" s="75">
        <v>244</v>
      </c>
      <c r="AK41">
        <v>16</v>
      </c>
      <c r="AL41">
        <v>59</v>
      </c>
      <c r="AM41">
        <v>6</v>
      </c>
    </row>
    <row r="42">
      <c r="AE42" s="74" t="s">
        <v>173</v>
      </c>
      <c r="AF42" s="75">
        <v>127727</v>
      </c>
      <c r="AG42" s="75">
        <v>1008</v>
      </c>
      <c r="AH42" s="75">
        <v>46879</v>
      </c>
      <c r="AI42" s="75">
        <v>3159</v>
      </c>
      <c r="AJ42" s="75">
        <v>1004</v>
      </c>
      <c r="AK42">
        <v>48</v>
      </c>
      <c r="AL42">
        <v>174</v>
      </c>
      <c r="AM42">
        <v>9</v>
      </c>
    </row>
    <row r="43">
      <c r="AF43">
        <f>SUM(AF40:AF42)</f>
      </c>
      <c r="AG43">
        <f>SUM(AG40:AG42)</f>
      </c>
      <c r="AH43">
        <f>SUM(AH40:AH42)</f>
      </c>
      <c r="AI43">
        <f>SUM(AI40:AI42)</f>
      </c>
      <c r="AJ43">
        <f>SUM(AJ40:AJ42)</f>
      </c>
      <c r="AK43">
        <f>SUM(AK40:AK42)</f>
      </c>
      <c r="AL43">
        <f>SUM(AL40:AL42)</f>
      </c>
      <c r="AM43">
        <f>SUM(AM40:AM42)</f>
      </c>
    </row>
    <row r="44"/>
    <row r="45"/>
    <row r="46"/>
    <row r="47"/>
    <row r="48"/>
    <row r="49"/>
    <row r="50"/>
    <row r="51"/>
    <row r="52">
      <c r="AM52" s="74"/>
      <c r="AN52" s="74"/>
    </row>
    <row r="53">
      <c r="AM53" s="73"/>
      <c r="AN53" s="73"/>
    </row>
  </sheetData>
  <autoFilter ref="A1:AT20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20.768375880281692"/>
    <col collapsed="false" customWidth="true" hidden="false" max="12" min="12" style="0" width="11.211267605633802"/>
    <col collapsed="false" customWidth="true" hidden="false" max="14" min="14" style="0" width="12.64480633802817"/>
    <col collapsed="false" customWidth="true" hidden="false" max="7" min="7" style="0" width="11.211267605633802"/>
    <col collapsed="false" customWidth="true" hidden="false" max="9" min="9" style="0" width="14.109595070422536"/>
    <col collapsed="false" customWidth="true" hidden="false" max="11" min="11" style="0" width="12.64480633802817"/>
    <col collapsed="false" customWidth="true" hidden="false" max="13" min="13" style="0" width="11.211267605633802"/>
  </cols>
  <sheetData>
    <row r="1">
      <c r="A1" s="76" t="s">
        <v>174</v>
      </c>
      <c r="B1" s="76" t="s">
        <v>175</v>
      </c>
      <c r="C1" s="76" t="s">
        <v>176</v>
      </c>
      <c r="D1" s="76" t="s">
        <v>177</v>
      </c>
      <c r="E1" s="76" t="s">
        <v>178</v>
      </c>
      <c r="F1" s="76" t="s">
        <v>179</v>
      </c>
      <c r="G1" s="76" t="s">
        <v>180</v>
      </c>
      <c r="H1" s="77" t="s">
        <v>181</v>
      </c>
      <c r="I1" s="77" t="s">
        <v>182</v>
      </c>
      <c r="J1" s="77" t="s">
        <v>183</v>
      </c>
      <c r="K1" s="77" t="s">
        <v>184</v>
      </c>
      <c r="L1" s="78" t="s">
        <v>185</v>
      </c>
      <c r="M1" s="78" t="s">
        <v>186</v>
      </c>
      <c r="N1" s="78" t="s">
        <v>187</v>
      </c>
      <c r="O1" s="78" t="s">
        <v>188</v>
      </c>
      <c r="P1" s="77" t="s">
        <v>189</v>
      </c>
      <c r="Q1" s="76" t="s">
        <v>190</v>
      </c>
      <c r="R1" s="76" t="s">
        <v>191</v>
      </c>
      <c r="S1" s="76" t="s">
        <v>192</v>
      </c>
      <c r="T1" s="76" t="s">
        <v>193</v>
      </c>
      <c r="U1" s="76" t="s">
        <v>194</v>
      </c>
      <c r="V1" s="76" t="s">
        <v>195</v>
      </c>
      <c r="W1" s="78" t="s">
        <v>196</v>
      </c>
      <c r="X1" s="78" t="s">
        <v>197</v>
      </c>
      <c r="Y1" s="76" t="s">
        <v>198</v>
      </c>
      <c r="Z1" s="78" t="s">
        <v>199</v>
      </c>
      <c r="AA1" s="76" t="s">
        <v>200</v>
      </c>
      <c r="AB1" s="76" t="s">
        <v>201</v>
      </c>
      <c r="AC1" s="76" t="s">
        <v>202</v>
      </c>
      <c r="AD1" s="78" t="s">
        <v>203</v>
      </c>
      <c r="AE1" s="78" t="s">
        <v>202</v>
      </c>
      <c r="AF1" s="76" t="s">
        <v>204</v>
      </c>
      <c r="AG1" s="76" t="s">
        <v>177</v>
      </c>
      <c r="AH1" s="79" t="s">
        <v>205</v>
      </c>
      <c r="AI1" s="79" t="s">
        <v>206</v>
      </c>
      <c r="AJ1" s="79" t="s">
        <v>207</v>
      </c>
      <c r="AK1" s="79" t="s">
        <v>208</v>
      </c>
      <c r="AL1" s="79" t="s">
        <v>209</v>
      </c>
      <c r="AM1" s="79" t="s">
        <v>210</v>
      </c>
      <c r="AN1" s="79" t="s">
        <v>211</v>
      </c>
      <c r="AO1" s="79" t="s">
        <v>212</v>
      </c>
      <c r="AP1" s="79" t="s">
        <v>213</v>
      </c>
      <c r="AQ1" s="80" t="s">
        <v>214</v>
      </c>
      <c r="AR1" s="80" t="s">
        <v>215</v>
      </c>
      <c r="AS1" s="80" t="s">
        <v>216</v>
      </c>
      <c r="AT1" s="80" t="s">
        <v>217</v>
      </c>
      <c r="AU1" s="80" t="s">
        <v>218</v>
      </c>
      <c r="AV1" s="80" t="s">
        <v>219</v>
      </c>
    </row>
    <row r="2">
      <c r="A2" s="81" t="s">
        <v>220</v>
      </c>
      <c r="B2" s="78" t="s">
        <v>221</v>
      </c>
      <c r="C2" s="78" t="s">
        <v>222</v>
      </c>
      <c r="D2" s="82">
        <v>5</v>
      </c>
      <c r="E2" s="83">
        <v>8</v>
      </c>
      <c r="F2" s="83">
        <v>4</v>
      </c>
      <c r="G2" s="83">
        <v>4</v>
      </c>
      <c r="H2" s="83">
        <v>4</v>
      </c>
      <c r="I2" s="83">
        <v>382.46000000000004</v>
      </c>
      <c r="J2" s="83">
        <v>0</v>
      </c>
      <c r="K2" s="83">
        <v>0</v>
      </c>
      <c r="L2" s="83">
        <v>3</v>
      </c>
      <c r="M2" s="83">
        <v>2104.44</v>
      </c>
      <c r="N2" s="83">
        <v>1</v>
      </c>
      <c r="O2" s="83">
        <v>2485.08</v>
      </c>
      <c r="P2" s="83">
        <v>2</v>
      </c>
      <c r="Q2" s="83">
        <v>154.79</v>
      </c>
      <c r="R2" s="76">
        <f t="shared" ref="R2:R4" si="5">(I2*12)+K2</f>
      </c>
      <c r="S2" s="84">
        <v>7036.014999999999</v>
      </c>
      <c r="T2" s="85">
        <f t="shared" ref="T2:T34" si="2">R2/S2</f>
      </c>
      <c r="U2" s="86">
        <f t="shared" ref="U2:U34" si="18">R2/F2</f>
      </c>
      <c r="V2" s="86">
        <f t="shared" ref="V2:V34" si="14">S2/F2</f>
      </c>
      <c r="W2" s="87">
        <f t="shared" ref="W2:W34" si="12">Z2/F2</f>
      </c>
      <c r="X2" s="87">
        <f t="shared" ref="X2:X34" si="3">AA2/F2</f>
      </c>
      <c r="Y2" s="87">
        <f t="shared" ref="Y2:Y34" si="19">P2/F2</f>
      </c>
      <c r="Z2" s="78">
        <v>2</v>
      </c>
      <c r="AA2" s="78">
        <v>2</v>
      </c>
      <c r="AB2" s="83" t="s">
        <v>223</v>
      </c>
      <c r="AC2" s="83">
        <v>7</v>
      </c>
      <c r="AD2" s="83" t="s">
        <v>224</v>
      </c>
      <c r="AE2" s="83">
        <v>15</v>
      </c>
      <c r="AF2" s="88">
        <v>198629</v>
      </c>
      <c r="AG2" s="83">
        <v>253</v>
      </c>
      <c r="AH2" s="83">
        <v>132483</v>
      </c>
      <c r="AI2" s="83">
        <v>10960</v>
      </c>
      <c r="AJ2" s="83">
        <v>947</v>
      </c>
      <c r="AK2" s="83">
        <v>54</v>
      </c>
      <c r="AL2" s="83">
        <v>180</v>
      </c>
      <c r="AM2" s="83">
        <v>10</v>
      </c>
      <c r="AN2" s="89"/>
      <c r="AO2" s="87">
        <f t="shared" ref="AO2:AO34" si="15">AG2/AF2</f>
      </c>
      <c r="AP2" s="87">
        <f t="shared" ref="AP2:AP34" si="4">(AK2+AL2+AM2)/AH2</f>
      </c>
      <c r="AQ2" s="87">
        <f t="shared" ref="AQ2:AQ34" si="16">AI2/AH2</f>
      </c>
      <c r="AR2" s="90">
        <f t="shared" ref="AR2:AR34" si="0">AL2/AH2</f>
      </c>
      <c r="AS2" s="91">
        <f t="shared" ref="AS2:AS34" si="17">S2/AJ2</f>
      </c>
      <c r="AT2" s="90">
        <f t="shared" ref="AT2:AT29" si="1">AN2/AJ2</f>
      </c>
      <c r="AU2" s="91">
        <f t="shared" ref="AU2:AU29" si="13">S2/AL2</f>
      </c>
      <c r="AV2" s="92"/>
    </row>
    <row r="3">
      <c r="A3" s="81" t="s">
        <v>220</v>
      </c>
      <c r="B3" s="78" t="s">
        <v>225</v>
      </c>
      <c r="C3" s="78" t="s">
        <v>226</v>
      </c>
      <c r="D3" s="82">
        <v>5</v>
      </c>
      <c r="E3" s="83">
        <v>3</v>
      </c>
      <c r="F3" s="83">
        <v>2</v>
      </c>
      <c r="G3" s="83">
        <v>2</v>
      </c>
      <c r="H3" s="83">
        <v>2</v>
      </c>
      <c r="I3" s="83">
        <v>316.87</v>
      </c>
      <c r="J3" s="83">
        <v>0</v>
      </c>
      <c r="K3" s="83">
        <v>0</v>
      </c>
      <c r="L3" s="83">
        <v>2</v>
      </c>
      <c r="M3" s="83">
        <v>3802.44</v>
      </c>
      <c r="N3" s="83">
        <v>0</v>
      </c>
      <c r="O3" s="83">
        <v>0</v>
      </c>
      <c r="P3" s="83">
        <v>2</v>
      </c>
      <c r="Q3" s="83">
        <v>316.87</v>
      </c>
      <c r="R3" s="76">
        <f t="shared" si="5"/>
      </c>
      <c r="S3" s="84">
        <v>5618.348999999999</v>
      </c>
      <c r="T3" s="85">
        <f t="shared" si="2"/>
      </c>
      <c r="U3" s="86">
        <f t="shared" si="18"/>
      </c>
      <c r="V3" s="86">
        <f t="shared" si="14"/>
      </c>
      <c r="W3" s="87">
        <f t="shared" si="12"/>
      </c>
      <c r="X3" s="87">
        <f t="shared" si="3"/>
      </c>
      <c r="Y3" s="87">
        <f t="shared" si="19"/>
      </c>
      <c r="Z3" s="78">
        <v>1</v>
      </c>
      <c r="AA3" s="78">
        <v>1</v>
      </c>
      <c r="AB3" s="83"/>
      <c r="AC3" s="83"/>
      <c r="AD3" s="83"/>
      <c r="AE3" s="83"/>
      <c r="AF3" s="93">
        <v>179684</v>
      </c>
      <c r="AG3" s="94">
        <v>359</v>
      </c>
      <c r="AH3" s="93">
        <v>106248</v>
      </c>
      <c r="AI3" s="94">
        <v>6704</v>
      </c>
      <c r="AJ3" s="94">
        <v>988</v>
      </c>
      <c r="AK3" s="83">
        <v>27</v>
      </c>
      <c r="AL3" s="83">
        <v>144</v>
      </c>
      <c r="AM3" s="83">
        <v>9</v>
      </c>
      <c r="AN3" s="89"/>
      <c r="AO3" s="87">
        <f t="shared" si="15"/>
      </c>
      <c r="AP3" s="87">
        <f t="shared" si="4"/>
      </c>
      <c r="AQ3" s="87">
        <f t="shared" si="16"/>
      </c>
      <c r="AR3" s="90">
        <f t="shared" si="0"/>
      </c>
      <c r="AS3" s="91">
        <f t="shared" si="17"/>
      </c>
      <c r="AT3" s="90">
        <f t="shared" si="1"/>
      </c>
      <c r="AU3" s="91">
        <f t="shared" si="13"/>
      </c>
      <c r="AV3" s="92"/>
    </row>
    <row r="4">
      <c r="A4" s="81" t="s">
        <v>220</v>
      </c>
      <c r="B4" s="78" t="s">
        <v>227</v>
      </c>
      <c r="C4" s="78" t="s">
        <v>228</v>
      </c>
      <c r="D4" s="82">
        <v>5</v>
      </c>
      <c r="E4" s="83">
        <v>14</v>
      </c>
      <c r="F4" s="83">
        <v>8</v>
      </c>
      <c r="G4" s="83">
        <v>8</v>
      </c>
      <c r="H4" s="83">
        <v>8</v>
      </c>
      <c r="I4" s="94">
        <v>1318.99</v>
      </c>
      <c r="J4" s="83">
        <v>0</v>
      </c>
      <c r="K4" s="83">
        <v>0</v>
      </c>
      <c r="L4" s="83">
        <v>3</v>
      </c>
      <c r="M4" s="83">
        <v>4236.24</v>
      </c>
      <c r="N4" s="83">
        <v>5</v>
      </c>
      <c r="O4" s="83">
        <v>11591.64</v>
      </c>
      <c r="P4" s="83">
        <v>1</v>
      </c>
      <c r="Q4" s="83">
        <v>237.01</v>
      </c>
      <c r="R4" s="76">
        <f t="shared" si="5"/>
      </c>
      <c r="S4" s="84">
        <v>6912.688</v>
      </c>
      <c r="T4" s="85">
        <f t="shared" si="2"/>
      </c>
      <c r="U4" s="86">
        <f t="shared" si="18"/>
      </c>
      <c r="V4" s="86">
        <f t="shared" si="14"/>
      </c>
      <c r="W4" s="87">
        <f t="shared" si="12"/>
      </c>
      <c r="X4" s="87">
        <f t="shared" si="3"/>
      </c>
      <c r="Y4" s="87">
        <f t="shared" si="19"/>
      </c>
      <c r="Z4" s="78">
        <v>1</v>
      </c>
      <c r="AA4" s="78">
        <v>1</v>
      </c>
      <c r="AB4" s="83" t="s">
        <v>229</v>
      </c>
      <c r="AC4" s="83">
        <v>8</v>
      </c>
      <c r="AD4" s="94"/>
      <c r="AE4" s="94"/>
      <c r="AF4" s="94">
        <v>240703</v>
      </c>
      <c r="AG4" s="94">
        <v>327</v>
      </c>
      <c r="AH4" s="94">
        <v>262686</v>
      </c>
      <c r="AI4" s="94">
        <v>11577</v>
      </c>
      <c r="AJ4" s="94">
        <v>998</v>
      </c>
      <c r="AK4" s="83">
        <v>62</v>
      </c>
      <c r="AL4" s="83">
        <v>215</v>
      </c>
      <c r="AM4" s="83">
        <v>8</v>
      </c>
      <c r="AN4" s="89"/>
      <c r="AO4" s="87">
        <f t="shared" si="15"/>
      </c>
      <c r="AP4" s="87">
        <f t="shared" si="4"/>
      </c>
      <c r="AQ4" s="87">
        <f t="shared" si="16"/>
      </c>
      <c r="AR4" s="90">
        <f t="shared" si="0"/>
      </c>
      <c r="AS4" s="91">
        <f t="shared" si="17"/>
      </c>
      <c r="AT4" s="90">
        <f t="shared" si="1"/>
      </c>
      <c r="AU4" s="91">
        <f t="shared" si="13"/>
      </c>
      <c r="AV4" s="92"/>
    </row>
    <row r="5">
      <c r="A5" s="95" t="s">
        <v>220</v>
      </c>
      <c r="B5" s="96"/>
      <c r="C5" s="96"/>
      <c r="D5" s="96">
        <f>SUM(D2:D4)</f>
      </c>
      <c r="E5" s="96">
        <f>SUM(E2:E4)</f>
      </c>
      <c r="F5" s="96">
        <f>SUM(F2:F4)</f>
      </c>
      <c r="G5" s="96">
        <f>SUM(G2:G4)</f>
      </c>
      <c r="H5" s="96">
        <f>SUM(H2:H4)</f>
      </c>
      <c r="I5" s="96">
        <f>SUM(I2:I4)</f>
      </c>
      <c r="J5" s="96">
        <f>SUM(J2:J4)</f>
      </c>
      <c r="K5" s="96">
        <f>SUM(K2:K4)</f>
      </c>
      <c r="L5" s="96">
        <f>SUM(L2:L4)</f>
      </c>
      <c r="M5" s="96">
        <f>SUM(M2:M4)</f>
      </c>
      <c r="N5" s="96">
        <f>SUM(N2:N4)</f>
      </c>
      <c r="O5" s="96">
        <f>SUM(O2:O4)</f>
      </c>
      <c r="P5" s="96">
        <f>SUM(P2:P4)</f>
      </c>
      <c r="Q5" s="96">
        <f>SUM(Q2:Q4)</f>
      </c>
      <c r="R5" s="96">
        <f>SUM(R2:R4)</f>
      </c>
      <c r="S5" s="96">
        <f>SUM(S2:S4)</f>
      </c>
      <c r="T5" s="97">
        <f t="shared" si="2"/>
      </c>
      <c r="U5" s="97">
        <f t="shared" si="18"/>
      </c>
      <c r="V5" s="97">
        <f t="shared" si="14"/>
      </c>
      <c r="W5" s="97">
        <f t="shared" si="12"/>
      </c>
      <c r="X5" s="97">
        <f t="shared" si="3"/>
      </c>
      <c r="Y5" s="98">
        <f t="shared" si="19"/>
      </c>
      <c r="Z5" s="99">
        <f>SUM(Z2:Z4)</f>
      </c>
      <c r="AA5" s="99">
        <f>SUM(AA2:AA4)</f>
      </c>
      <c r="AB5" s="99"/>
      <c r="AC5" s="99">
        <f>SUM(AC2:AC4)</f>
      </c>
      <c r="AD5" s="99"/>
      <c r="AE5" s="99"/>
      <c r="AF5" s="99">
        <f>SUM(AF2:AF4)</f>
      </c>
      <c r="AG5" s="99">
        <f>SUM(AG2:AG4)</f>
      </c>
      <c r="AH5" s="99">
        <f>SUM(AH2:AH4)</f>
      </c>
      <c r="AI5" s="99">
        <f>SUM(AI2:AI4)</f>
      </c>
      <c r="AJ5" s="99">
        <f>SUM(AJ2:AJ4)</f>
      </c>
      <c r="AK5" s="99">
        <f>SUM(AK2:AK4)</f>
      </c>
      <c r="AL5" s="99">
        <f>SUM(AL2:AL4)</f>
      </c>
      <c r="AM5" s="99">
        <f>SUM(AM2:AM4)</f>
      </c>
      <c r="AN5" s="99">
        <f>SUM(AN2:AN4)</f>
      </c>
      <c r="AO5" s="98">
        <f t="shared" si="15"/>
      </c>
      <c r="AP5" s="98">
        <f t="shared" si="4"/>
      </c>
      <c r="AQ5" s="98">
        <f t="shared" si="16"/>
      </c>
      <c r="AR5" s="98">
        <f t="shared" si="0"/>
      </c>
      <c r="AS5" s="100">
        <f t="shared" si="17"/>
      </c>
      <c r="AT5" s="98">
        <f t="shared" si="1"/>
      </c>
      <c r="AU5" s="100">
        <f t="shared" si="13"/>
      </c>
      <c r="AV5" s="98">
        <f>F5/AL5</f>
      </c>
    </row>
    <row r="6">
      <c r="A6" s="81" t="s">
        <v>230</v>
      </c>
      <c r="B6" s="78" t="s">
        <v>221</v>
      </c>
      <c r="C6" s="78" t="s">
        <v>222</v>
      </c>
      <c r="D6" s="82">
        <v>5</v>
      </c>
      <c r="E6" s="83">
        <v>14</v>
      </c>
      <c r="F6" s="83">
        <v>8</v>
      </c>
      <c r="G6" s="83">
        <v>6</v>
      </c>
      <c r="H6" s="83">
        <v>6</v>
      </c>
      <c r="I6" s="83">
        <v>605.82</v>
      </c>
      <c r="J6" s="83">
        <v>2</v>
      </c>
      <c r="K6" s="83">
        <v>3874.2</v>
      </c>
      <c r="L6" s="83">
        <v>5</v>
      </c>
      <c r="M6" s="83">
        <v>2800.72</v>
      </c>
      <c r="N6" s="83">
        <v>3</v>
      </c>
      <c r="O6" s="83">
        <v>8343.32</v>
      </c>
      <c r="P6" s="83">
        <v>2</v>
      </c>
      <c r="Q6" s="83">
        <v>3874.2</v>
      </c>
      <c r="R6" s="76">
        <f t="shared" ref="R6:R8" si="6">(I6*12)+K6</f>
      </c>
      <c r="S6" s="84">
        <v>6323.617</v>
      </c>
      <c r="T6" s="85">
        <f t="shared" si="2"/>
      </c>
      <c r="U6" s="86">
        <f t="shared" si="18"/>
      </c>
      <c r="V6" s="86">
        <f t="shared" si="14"/>
      </c>
      <c r="W6" s="87">
        <f t="shared" si="12"/>
      </c>
      <c r="X6" s="87">
        <f t="shared" si="3"/>
      </c>
      <c r="Y6" s="87">
        <f t="shared" si="19"/>
      </c>
      <c r="Z6" s="78">
        <v>1</v>
      </c>
      <c r="AA6" s="78">
        <v>1</v>
      </c>
      <c r="AB6" s="83" t="s">
        <v>231</v>
      </c>
      <c r="AC6" s="83">
        <v>6</v>
      </c>
      <c r="AD6" s="83" t="s">
        <v>224</v>
      </c>
      <c r="AE6" s="83">
        <v>15</v>
      </c>
      <c r="AF6" s="88">
        <v>170300</v>
      </c>
      <c r="AG6" s="83">
        <v>219</v>
      </c>
      <c r="AH6" s="83">
        <v>143068</v>
      </c>
      <c r="AI6" s="83">
        <v>9647</v>
      </c>
      <c r="AJ6" s="83">
        <v>691</v>
      </c>
      <c r="AK6" s="83">
        <v>58</v>
      </c>
      <c r="AL6" s="83">
        <v>184</v>
      </c>
      <c r="AM6" s="83">
        <v>10</v>
      </c>
      <c r="AN6" s="89"/>
      <c r="AO6" s="87">
        <f t="shared" si="15"/>
      </c>
      <c r="AP6" s="87">
        <f t="shared" si="4"/>
      </c>
      <c r="AQ6" s="87">
        <f t="shared" si="16"/>
      </c>
      <c r="AR6" s="90">
        <f t="shared" si="0"/>
      </c>
      <c r="AS6" s="91">
        <f t="shared" si="17"/>
      </c>
      <c r="AT6" s="90">
        <f t="shared" si="1"/>
      </c>
      <c r="AU6" s="91">
        <f t="shared" si="13"/>
      </c>
      <c r="AV6" s="92"/>
    </row>
    <row r="7">
      <c r="A7" s="81" t="s">
        <v>230</v>
      </c>
      <c r="B7" s="78" t="s">
        <v>225</v>
      </c>
      <c r="C7" s="78" t="s">
        <v>226</v>
      </c>
      <c r="D7" s="82">
        <v>5</v>
      </c>
      <c r="E7" s="83">
        <v>13</v>
      </c>
      <c r="F7" s="83">
        <v>6</v>
      </c>
      <c r="G7" s="83">
        <v>7</v>
      </c>
      <c r="H7" s="83">
        <v>5</v>
      </c>
      <c r="I7" s="83">
        <v>487.43</v>
      </c>
      <c r="J7" s="83">
        <v>1</v>
      </c>
      <c r="K7" s="83">
        <v>265.9</v>
      </c>
      <c r="L7" s="83">
        <v>5</v>
      </c>
      <c r="M7" s="83">
        <v>2445.2200000000003</v>
      </c>
      <c r="N7" s="83">
        <v>1</v>
      </c>
      <c r="O7" s="83">
        <v>3669.84</v>
      </c>
      <c r="P7" s="83">
        <v>0</v>
      </c>
      <c r="Q7" s="83">
        <v>0</v>
      </c>
      <c r="R7" s="76">
        <f t="shared" si="6"/>
      </c>
      <c r="S7" s="84">
        <v>8960.38</v>
      </c>
      <c r="T7" s="85">
        <f t="shared" si="2"/>
      </c>
      <c r="U7" s="86">
        <f t="shared" si="18"/>
      </c>
      <c r="V7" s="86">
        <f t="shared" si="14"/>
      </c>
      <c r="W7" s="87">
        <f t="shared" si="12"/>
      </c>
      <c r="X7" s="87">
        <f t="shared" si="3"/>
      </c>
      <c r="Y7" s="87">
        <f t="shared" si="19"/>
      </c>
      <c r="Z7" s="78">
        <v>1</v>
      </c>
      <c r="AA7" s="78">
        <v>2</v>
      </c>
      <c r="AB7" s="83" t="s">
        <v>223</v>
      </c>
      <c r="AC7" s="83">
        <v>1</v>
      </c>
      <c r="AD7" s="83"/>
      <c r="AE7" s="83"/>
      <c r="AF7" s="93">
        <v>214251</v>
      </c>
      <c r="AG7" s="94">
        <v>334</v>
      </c>
      <c r="AH7" s="93">
        <v>169003</v>
      </c>
      <c r="AI7" s="94">
        <v>11457</v>
      </c>
      <c r="AJ7" s="94">
        <v>919</v>
      </c>
      <c r="AK7" s="83">
        <v>52</v>
      </c>
      <c r="AL7" s="83">
        <v>153</v>
      </c>
      <c r="AM7" s="83">
        <v>11</v>
      </c>
      <c r="AN7" s="89"/>
      <c r="AO7" s="87">
        <f t="shared" si="15"/>
      </c>
      <c r="AP7" s="87">
        <f t="shared" si="4"/>
      </c>
      <c r="AQ7" s="87">
        <f t="shared" si="16"/>
      </c>
      <c r="AR7" s="90">
        <f t="shared" si="0"/>
      </c>
      <c r="AS7" s="91">
        <f t="shared" si="17"/>
      </c>
      <c r="AT7" s="90">
        <f t="shared" si="1"/>
      </c>
      <c r="AU7" s="91">
        <f t="shared" si="13"/>
      </c>
      <c r="AV7" s="92"/>
    </row>
    <row r="8">
      <c r="A8" s="81" t="s">
        <v>230</v>
      </c>
      <c r="B8" s="78" t="s">
        <v>227</v>
      </c>
      <c r="C8" s="78" t="s">
        <v>228</v>
      </c>
      <c r="D8" s="82">
        <v>5</v>
      </c>
      <c r="E8" s="83">
        <v>13</v>
      </c>
      <c r="F8" s="83">
        <v>9</v>
      </c>
      <c r="G8" s="83">
        <v>8</v>
      </c>
      <c r="H8" s="83">
        <v>9</v>
      </c>
      <c r="I8" s="94">
        <v>1958.98</v>
      </c>
      <c r="J8" s="83">
        <v>0</v>
      </c>
      <c r="K8" s="83">
        <v>0</v>
      </c>
      <c r="L8" s="83">
        <v>2</v>
      </c>
      <c r="M8" s="83">
        <v>1091.16</v>
      </c>
      <c r="N8" s="83">
        <v>7</v>
      </c>
      <c r="O8" s="83">
        <v>22416.6</v>
      </c>
      <c r="P8" s="83">
        <v>2</v>
      </c>
      <c r="Q8" s="83">
        <v>600.33</v>
      </c>
      <c r="R8" s="76">
        <f t="shared" si="6"/>
      </c>
      <c r="S8" s="84">
        <v>10660.645</v>
      </c>
      <c r="T8" s="85">
        <f t="shared" si="2"/>
      </c>
      <c r="U8" s="86">
        <f t="shared" si="18"/>
      </c>
      <c r="V8" s="86">
        <f t="shared" si="14"/>
      </c>
      <c r="W8" s="87">
        <f t="shared" si="12"/>
      </c>
      <c r="X8" s="87">
        <f t="shared" si="3"/>
      </c>
      <c r="Y8" s="87">
        <f t="shared" si="19"/>
      </c>
      <c r="Z8" s="78">
        <v>1</v>
      </c>
      <c r="AA8" s="78">
        <v>1</v>
      </c>
      <c r="AB8" s="83" t="s">
        <v>232</v>
      </c>
      <c r="AC8" s="83">
        <v>8</v>
      </c>
      <c r="AD8" s="94"/>
      <c r="AE8" s="94"/>
      <c r="AF8" s="94">
        <v>337176</v>
      </c>
      <c r="AG8" s="94">
        <v>788</v>
      </c>
      <c r="AH8" s="94">
        <v>307062</v>
      </c>
      <c r="AI8" s="94">
        <v>15446</v>
      </c>
      <c r="AJ8" s="94">
        <v>1631</v>
      </c>
      <c r="AK8" s="83">
        <v>94</v>
      </c>
      <c r="AL8" s="83">
        <v>226</v>
      </c>
      <c r="AM8" s="83">
        <v>18</v>
      </c>
      <c r="AN8" s="89"/>
      <c r="AO8" s="87">
        <f t="shared" si="15"/>
      </c>
      <c r="AP8" s="87">
        <f t="shared" si="4"/>
      </c>
      <c r="AQ8" s="87">
        <f t="shared" si="16"/>
      </c>
      <c r="AR8" s="90">
        <f t="shared" si="0"/>
      </c>
      <c r="AS8" s="91">
        <f t="shared" si="17"/>
      </c>
      <c r="AT8" s="90">
        <f t="shared" si="1"/>
      </c>
      <c r="AU8" s="91">
        <f t="shared" si="13"/>
      </c>
      <c r="AV8" s="92"/>
    </row>
    <row r="9">
      <c r="A9" s="95" t="s">
        <v>230</v>
      </c>
      <c r="B9" s="96"/>
      <c r="C9" s="96"/>
      <c r="D9" s="96">
        <f>SUM(D6:D8)</f>
      </c>
      <c r="E9" s="96">
        <f>SUM(E6:E8)</f>
      </c>
      <c r="F9" s="96">
        <f>SUM(F6:F8)</f>
      </c>
      <c r="G9" s="96">
        <f>SUM(G6:G8)</f>
      </c>
      <c r="H9" s="96">
        <f>SUM(H6:H8)</f>
      </c>
      <c r="I9" s="96">
        <f>SUM(I6:I8)</f>
      </c>
      <c r="J9" s="96">
        <f>SUM(J6:J8)</f>
      </c>
      <c r="K9" s="96">
        <f>SUM(K6:K8)</f>
      </c>
      <c r="L9" s="96">
        <f>SUM(L6:L8)</f>
      </c>
      <c r="M9" s="96">
        <f>SUM(M6:M8)</f>
      </c>
      <c r="N9" s="96">
        <f>SUM(N6:N8)</f>
      </c>
      <c r="O9" s="96">
        <f>SUM(O6:O8)</f>
      </c>
      <c r="P9" s="96">
        <f>SUM(P6:P8)</f>
      </c>
      <c r="Q9" s="96">
        <f>SUM(Q6:Q8)</f>
      </c>
      <c r="R9" s="96">
        <f>SUM(R6:R8)</f>
      </c>
      <c r="S9" s="96">
        <f>SUM(S6:S8)</f>
      </c>
      <c r="T9" s="97">
        <f t="shared" si="2"/>
      </c>
      <c r="U9" s="97">
        <f t="shared" si="18"/>
      </c>
      <c r="V9" s="97">
        <f t="shared" si="14"/>
      </c>
      <c r="W9" s="97">
        <f t="shared" si="12"/>
      </c>
      <c r="X9" s="97">
        <f t="shared" si="3"/>
      </c>
      <c r="Y9" s="98">
        <f t="shared" si="19"/>
      </c>
      <c r="Z9" s="99">
        <f>SUM(Z6:Z8)</f>
      </c>
      <c r="AA9" s="99">
        <f>SUM(AA6:AA8)</f>
      </c>
      <c r="AB9" s="99"/>
      <c r="AC9" s="99">
        <f>SUM(AC6:AC8)</f>
      </c>
      <c r="AD9" s="99"/>
      <c r="AE9" s="99"/>
      <c r="AF9" s="99">
        <f>SUM(AF6:AF8)</f>
      </c>
      <c r="AG9" s="99">
        <f>SUM(AG6:AG8)</f>
      </c>
      <c r="AH9" s="99">
        <f>SUM(AH6:AH8)</f>
      </c>
      <c r="AI9" s="99">
        <f>SUM(AI6:AI8)</f>
      </c>
      <c r="AJ9" s="99">
        <f>SUM(AJ6:AJ8)</f>
      </c>
      <c r="AK9" s="99">
        <f>SUM(AK6:AK8)</f>
      </c>
      <c r="AL9" s="99">
        <f>SUM(AL6:AL8)</f>
      </c>
      <c r="AM9" s="99">
        <f>SUM(AM6:AM8)</f>
      </c>
      <c r="AN9" s="99">
        <f>SUM(AN6:AN8)</f>
      </c>
      <c r="AO9" s="98">
        <f t="shared" si="15"/>
      </c>
      <c r="AP9" s="98">
        <f t="shared" si="4"/>
      </c>
      <c r="AQ9" s="98">
        <f t="shared" si="16"/>
      </c>
      <c r="AR9" s="98">
        <f t="shared" si="0"/>
      </c>
      <c r="AS9" s="100">
        <f t="shared" si="17"/>
      </c>
      <c r="AT9" s="98">
        <f t="shared" si="1"/>
      </c>
      <c r="AU9" s="100">
        <f t="shared" si="13"/>
      </c>
      <c r="AV9" s="98">
        <f>F9/AL9</f>
      </c>
    </row>
    <row r="10">
      <c r="A10" s="81" t="s">
        <v>233</v>
      </c>
      <c r="B10" s="78" t="s">
        <v>221</v>
      </c>
      <c r="C10" s="78" t="s">
        <v>222</v>
      </c>
      <c r="D10" s="82">
        <v>5</v>
      </c>
      <c r="E10" s="83">
        <v>24</v>
      </c>
      <c r="F10" s="83">
        <v>18</v>
      </c>
      <c r="G10" s="83">
        <v>17</v>
      </c>
      <c r="H10" s="83">
        <v>17</v>
      </c>
      <c r="I10" s="83">
        <v>2687.99</v>
      </c>
      <c r="J10" s="83">
        <v>1</v>
      </c>
      <c r="K10" s="83">
        <v>272</v>
      </c>
      <c r="L10" s="83">
        <v>12</v>
      </c>
      <c r="M10" s="83">
        <v>9420.68</v>
      </c>
      <c r="N10" s="83">
        <v>6</v>
      </c>
      <c r="O10" s="83">
        <v>23107.2</v>
      </c>
      <c r="P10" s="83">
        <v>2</v>
      </c>
      <c r="Q10" s="83">
        <v>937.92</v>
      </c>
      <c r="R10" s="76">
        <f t="shared" ref="R10:R13" si="7">(I10*12)+K10</f>
      </c>
      <c r="S10" s="84">
        <v>10249.461</v>
      </c>
      <c r="T10" s="85">
        <f t="shared" si="2"/>
      </c>
      <c r="U10" s="86">
        <f t="shared" si="18"/>
      </c>
      <c r="V10" s="86">
        <f t="shared" si="14"/>
      </c>
      <c r="W10" s="87">
        <f t="shared" si="12"/>
      </c>
      <c r="X10" s="87">
        <f t="shared" si="3"/>
      </c>
      <c r="Y10" s="87">
        <f t="shared" si="19"/>
      </c>
      <c r="Z10" s="78">
        <v>1</v>
      </c>
      <c r="AA10" s="78">
        <v>1</v>
      </c>
      <c r="AB10" s="83" t="s">
        <v>231</v>
      </c>
      <c r="AC10" s="83">
        <v>6</v>
      </c>
      <c r="AD10" s="83" t="s">
        <v>224</v>
      </c>
      <c r="AE10" s="83">
        <v>15</v>
      </c>
      <c r="AF10" s="88">
        <v>241603</v>
      </c>
      <c r="AG10" s="83">
        <v>457</v>
      </c>
      <c r="AH10" s="83">
        <v>273902</v>
      </c>
      <c r="AI10" s="83">
        <v>19861</v>
      </c>
      <c r="AJ10" s="83">
        <v>1283</v>
      </c>
      <c r="AK10" s="83">
        <v>67</v>
      </c>
      <c r="AL10" s="83">
        <v>278</v>
      </c>
      <c r="AM10" s="83">
        <v>25</v>
      </c>
      <c r="AN10" s="89"/>
      <c r="AO10" s="87">
        <f t="shared" si="15"/>
      </c>
      <c r="AP10" s="87">
        <f t="shared" si="4"/>
      </c>
      <c r="AQ10" s="87">
        <f t="shared" si="16"/>
      </c>
      <c r="AR10" s="90">
        <f t="shared" si="0"/>
      </c>
      <c r="AS10" s="91">
        <f t="shared" si="17"/>
      </c>
      <c r="AT10" s="90">
        <f t="shared" si="1"/>
      </c>
      <c r="AU10" s="91">
        <f t="shared" si="13"/>
      </c>
      <c r="AV10" s="92"/>
    </row>
    <row r="11">
      <c r="A11" s="81" t="s">
        <v>233</v>
      </c>
      <c r="B11" s="78" t="s">
        <v>225</v>
      </c>
      <c r="C11" s="78" t="s">
        <v>234</v>
      </c>
      <c r="D11" s="82">
        <v>3</v>
      </c>
      <c r="E11" s="83">
        <v>9</v>
      </c>
      <c r="F11" s="83">
        <v>4</v>
      </c>
      <c r="G11" s="83">
        <v>5</v>
      </c>
      <c r="H11" s="83">
        <v>3</v>
      </c>
      <c r="I11" s="83">
        <v>457.68</v>
      </c>
      <c r="J11" s="83">
        <v>1</v>
      </c>
      <c r="K11" s="83">
        <v>575.7</v>
      </c>
      <c r="L11" s="83">
        <v>2</v>
      </c>
      <c r="M11" s="83">
        <v>1097.7</v>
      </c>
      <c r="N11" s="83">
        <v>2</v>
      </c>
      <c r="O11" s="83">
        <v>4970.16</v>
      </c>
      <c r="P11" s="83">
        <v>1</v>
      </c>
      <c r="Q11" s="83">
        <v>575.7</v>
      </c>
      <c r="R11" s="76">
        <f t="shared" si="7"/>
      </c>
      <c r="S11" s="84">
        <v>5607.501</v>
      </c>
      <c r="T11" s="85">
        <f t="shared" si="2"/>
      </c>
      <c r="U11" s="86">
        <f t="shared" si="18"/>
      </c>
      <c r="V11" s="86">
        <f t="shared" si="14"/>
      </c>
      <c r="W11" s="87">
        <f t="shared" si="12"/>
      </c>
      <c r="X11" s="87">
        <f t="shared" si="3"/>
      </c>
      <c r="Y11" s="87">
        <f t="shared" si="19"/>
      </c>
      <c r="Z11" s="78">
        <v>0</v>
      </c>
      <c r="AA11" s="78">
        <v>0</v>
      </c>
      <c r="AB11" s="83" t="s">
        <v>223</v>
      </c>
      <c r="AC11" s="83">
        <v>1</v>
      </c>
      <c r="AD11" s="83"/>
      <c r="AE11" s="83"/>
      <c r="AF11" s="93">
        <v>118859</v>
      </c>
      <c r="AG11" s="94">
        <v>167</v>
      </c>
      <c r="AH11" s="93">
        <v>127908</v>
      </c>
      <c r="AI11" s="94">
        <v>9166</v>
      </c>
      <c r="AJ11" s="94">
        <v>547</v>
      </c>
      <c r="AK11" s="83">
        <v>28</v>
      </c>
      <c r="AL11" s="83">
        <v>126</v>
      </c>
      <c r="AM11" s="83">
        <v>4</v>
      </c>
      <c r="AN11" s="89"/>
      <c r="AO11" s="87">
        <f t="shared" si="15"/>
      </c>
      <c r="AP11" s="87">
        <f t="shared" si="4"/>
      </c>
      <c r="AQ11" s="87">
        <f t="shared" si="16"/>
      </c>
      <c r="AR11" s="90">
        <f t="shared" si="0"/>
      </c>
      <c r="AS11" s="91">
        <f t="shared" si="17"/>
      </c>
      <c r="AT11" s="90">
        <f t="shared" si="1"/>
      </c>
      <c r="AU11" s="91">
        <f t="shared" si="13"/>
      </c>
      <c r="AV11" s="92"/>
    </row>
    <row r="12">
      <c r="A12" s="81" t="s">
        <v>233</v>
      </c>
      <c r="B12" s="78" t="s">
        <v>235</v>
      </c>
      <c r="C12" s="78" t="s">
        <v>236</v>
      </c>
      <c r="D12" s="82">
        <v>2</v>
      </c>
      <c r="E12" s="83">
        <v>1</v>
      </c>
      <c r="F12" s="83">
        <v>1</v>
      </c>
      <c r="G12" s="83">
        <v>1</v>
      </c>
      <c r="H12" s="83">
        <v>1</v>
      </c>
      <c r="I12" s="83">
        <v>101.34</v>
      </c>
      <c r="J12" s="83">
        <v>0</v>
      </c>
      <c r="K12" s="83">
        <v>0</v>
      </c>
      <c r="L12" s="83">
        <v>0</v>
      </c>
      <c r="M12" s="83">
        <v>0</v>
      </c>
      <c r="N12" s="83">
        <v>1</v>
      </c>
      <c r="O12" s="83">
        <v>1216.08</v>
      </c>
      <c r="P12" s="83">
        <v>0</v>
      </c>
      <c r="Q12" s="83">
        <v>0</v>
      </c>
      <c r="R12" s="76">
        <f t="shared" si="7"/>
      </c>
      <c r="S12" s="84">
        <v>3628.0769999999998</v>
      </c>
      <c r="T12" s="85">
        <f t="shared" si="2"/>
      </c>
      <c r="U12" s="86">
        <f t="shared" si="18"/>
      </c>
      <c r="V12" s="86">
        <f t="shared" si="14"/>
      </c>
      <c r="W12" s="87">
        <f t="shared" si="12"/>
      </c>
      <c r="X12" s="87">
        <f t="shared" si="3"/>
      </c>
      <c r="Y12" s="87">
        <f t="shared" si="19"/>
      </c>
      <c r="Z12" s="78">
        <v>0</v>
      </c>
      <c r="AA12" s="78">
        <v>0</v>
      </c>
      <c r="AB12" s="83" t="s">
        <v>237</v>
      </c>
      <c r="AC12" s="83">
        <v>8</v>
      </c>
      <c r="AD12" s="94"/>
      <c r="AE12" s="94"/>
      <c r="AF12" s="94">
        <v>86447</v>
      </c>
      <c r="AG12" s="94">
        <v>147</v>
      </c>
      <c r="AH12" s="94">
        <v>90270</v>
      </c>
      <c r="AI12" s="94">
        <v>6612</v>
      </c>
      <c r="AJ12" s="94">
        <v>401</v>
      </c>
      <c r="AK12" s="83">
        <v>24</v>
      </c>
      <c r="AL12" s="83">
        <v>101</v>
      </c>
      <c r="AM12" s="83">
        <v>2</v>
      </c>
      <c r="AN12" s="89"/>
      <c r="AO12" s="87">
        <f t="shared" si="15"/>
      </c>
      <c r="AP12" s="87">
        <f t="shared" si="4"/>
      </c>
      <c r="AQ12" s="87">
        <f t="shared" si="16"/>
      </c>
      <c r="AR12" s="90">
        <f t="shared" si="0"/>
      </c>
      <c r="AS12" s="91">
        <f t="shared" si="17"/>
      </c>
      <c r="AT12" s="90">
        <f t="shared" si="1"/>
      </c>
      <c r="AU12" s="91">
        <f t="shared" si="13"/>
      </c>
      <c r="AV12" s="92"/>
    </row>
    <row r="13">
      <c r="A13" s="81" t="s">
        <v>233</v>
      </c>
      <c r="B13" s="78" t="s">
        <v>227</v>
      </c>
      <c r="C13" s="78" t="s">
        <v>228</v>
      </c>
      <c r="D13" s="82">
        <v>5</v>
      </c>
      <c r="E13" s="83">
        <v>28</v>
      </c>
      <c r="F13" s="83">
        <v>19</v>
      </c>
      <c r="G13" s="83">
        <v>17</v>
      </c>
      <c r="H13" s="83">
        <v>19</v>
      </c>
      <c r="I13" s="94">
        <v>2225.72</v>
      </c>
      <c r="J13" s="83">
        <v>0</v>
      </c>
      <c r="K13" s="83">
        <v>0</v>
      </c>
      <c r="L13" s="83">
        <v>10</v>
      </c>
      <c r="M13" s="83">
        <v>6850.32</v>
      </c>
      <c r="N13" s="83">
        <v>9</v>
      </c>
      <c r="O13" s="83">
        <v>19858.32</v>
      </c>
      <c r="P13" s="83">
        <v>7</v>
      </c>
      <c r="Q13" s="83">
        <v>1031.49</v>
      </c>
      <c r="R13" s="76">
        <f t="shared" si="7"/>
      </c>
      <c r="S13" s="84">
        <v>14458.074999999997</v>
      </c>
      <c r="T13" s="85">
        <f t="shared" si="2"/>
      </c>
      <c r="U13" s="86">
        <f t="shared" si="18"/>
      </c>
      <c r="V13" s="86">
        <f t="shared" si="14"/>
      </c>
      <c r="W13" s="87">
        <f t="shared" si="12"/>
      </c>
      <c r="X13" s="87">
        <f t="shared" si="3"/>
      </c>
      <c r="Y13" s="87">
        <f t="shared" si="19"/>
      </c>
      <c r="Z13" s="78">
        <v>1</v>
      </c>
      <c r="AA13" s="78">
        <v>1</v>
      </c>
      <c r="AB13" s="83"/>
      <c r="AC13" s="83"/>
      <c r="AD13" s="94"/>
      <c r="AE13" s="94"/>
      <c r="AF13" s="94">
        <v>454429</v>
      </c>
      <c r="AG13" s="94">
        <v>521</v>
      </c>
      <c r="AH13" s="94">
        <v>623431</v>
      </c>
      <c r="AI13" s="94">
        <v>31389</v>
      </c>
      <c r="AJ13" s="94">
        <v>2022</v>
      </c>
      <c r="AK13" s="83">
        <v>149</v>
      </c>
      <c r="AL13" s="83">
        <v>399</v>
      </c>
      <c r="AM13" s="83">
        <v>9</v>
      </c>
      <c r="AN13" s="89"/>
      <c r="AO13" s="87">
        <f t="shared" si="15"/>
      </c>
      <c r="AP13" s="87">
        <f t="shared" si="4"/>
      </c>
      <c r="AQ13" s="87">
        <f t="shared" si="16"/>
      </c>
      <c r="AR13" s="90">
        <f t="shared" si="0"/>
      </c>
      <c r="AS13" s="91">
        <f t="shared" si="17"/>
      </c>
      <c r="AT13" s="98">
        <f t="shared" si="1"/>
      </c>
      <c r="AU13" s="100">
        <f t="shared" si="13"/>
      </c>
      <c r="AV13" s="98">
        <f>F13/AL13</f>
      </c>
    </row>
    <row r="14">
      <c r="A14" s="95" t="s">
        <v>233</v>
      </c>
      <c r="B14" s="96"/>
      <c r="C14" s="96"/>
      <c r="D14" s="96">
        <f>SUM(D10:D13)</f>
      </c>
      <c r="E14" s="96">
        <f>SUM(E10:E13)</f>
      </c>
      <c r="F14" s="96">
        <f>SUM(F10:F13)</f>
      </c>
      <c r="G14" s="96">
        <f>SUM(G10:G13)</f>
      </c>
      <c r="H14" s="96">
        <f>SUM(H10:H13)</f>
      </c>
      <c r="I14" s="96">
        <f>SUM(I10:I13)</f>
      </c>
      <c r="J14" s="96">
        <f>SUM(J10:J13)</f>
      </c>
      <c r="K14" s="96">
        <f>SUM(K10:K13)</f>
      </c>
      <c r="L14" s="96">
        <f>SUM(L10:L13)</f>
      </c>
      <c r="M14" s="96">
        <f>SUM(M10:M13)</f>
      </c>
      <c r="N14" s="96">
        <f>SUM(N10:N13)</f>
      </c>
      <c r="O14" s="96">
        <f>SUM(O10:O13)</f>
      </c>
      <c r="P14" s="96">
        <f>SUM(P10:P13)</f>
      </c>
      <c r="Q14" s="96">
        <f>SUM(Q10:Q13)</f>
      </c>
      <c r="R14" s="96">
        <f>SUM(R10:R13)</f>
      </c>
      <c r="S14" s="96">
        <f>SUM(S10:S13)</f>
      </c>
      <c r="T14" s="97">
        <f t="shared" si="2"/>
      </c>
      <c r="U14" s="97">
        <f t="shared" si="18"/>
      </c>
      <c r="V14" s="97">
        <f t="shared" si="14"/>
      </c>
      <c r="W14" s="97">
        <f t="shared" si="12"/>
      </c>
      <c r="X14" s="97">
        <f t="shared" si="3"/>
      </c>
      <c r="Y14" s="98">
        <f t="shared" si="19"/>
      </c>
      <c r="Z14" s="99">
        <f>SUM(Z10:Z13)</f>
      </c>
      <c r="AA14" s="99">
        <f>SUM(AA10:AA13)</f>
      </c>
      <c r="AB14" s="99"/>
      <c r="AC14" s="99">
        <f>SUM(AC10:AC13)</f>
      </c>
      <c r="AD14" s="99"/>
      <c r="AE14" s="99"/>
      <c r="AF14" s="99">
        <f>SUM(AF10:AF13)</f>
      </c>
      <c r="AG14" s="99">
        <f>SUM(AG10:AG13)</f>
      </c>
      <c r="AH14" s="99">
        <f>SUM(AH10:AH13)</f>
      </c>
      <c r="AI14" s="99">
        <f>SUM(AI10:AI13)</f>
      </c>
      <c r="AJ14" s="99">
        <f>SUM(AJ10:AJ13)</f>
      </c>
      <c r="AK14" s="99">
        <f>SUM(AK10:AK13)</f>
      </c>
      <c r="AL14" s="99">
        <f>SUM(AL10:AL13)</f>
      </c>
      <c r="AM14" s="99">
        <f>SUM(AM10:AM13)</f>
      </c>
      <c r="AN14" s="99">
        <f>SUM(AN10:AN13)</f>
      </c>
      <c r="AO14" s="98">
        <f t="shared" si="15"/>
      </c>
      <c r="AP14" s="98">
        <f t="shared" si="4"/>
      </c>
      <c r="AQ14" s="98">
        <f t="shared" si="16"/>
      </c>
      <c r="AR14" s="98">
        <f t="shared" si="0"/>
      </c>
      <c r="AS14" s="100">
        <f t="shared" si="17"/>
      </c>
      <c r="AT14" s="90">
        <f t="shared" si="1"/>
      </c>
      <c r="AU14" s="91">
        <f t="shared" si="13"/>
      </c>
      <c r="AV14" s="92"/>
    </row>
    <row r="15">
      <c r="A15" s="81" t="s">
        <v>238</v>
      </c>
      <c r="B15" s="76" t="s">
        <v>221</v>
      </c>
      <c r="C15" s="76" t="s">
        <v>222</v>
      </c>
      <c r="D15" s="76">
        <v>5</v>
      </c>
      <c r="E15" s="83">
        <v>15</v>
      </c>
      <c r="F15" s="83">
        <v>11</v>
      </c>
      <c r="G15" s="83">
        <v>9</v>
      </c>
      <c r="H15" s="83">
        <v>9</v>
      </c>
      <c r="I15" s="94">
        <v>668.4200000000001</v>
      </c>
      <c r="J15" s="83">
        <v>2</v>
      </c>
      <c r="K15" s="94">
        <v>438.1</v>
      </c>
      <c r="L15" s="83">
        <v>10</v>
      </c>
      <c r="M15" s="94">
        <v>7243.060000000001</v>
      </c>
      <c r="N15" s="83">
        <v>1</v>
      </c>
      <c r="O15" s="94">
        <v>1216.08</v>
      </c>
      <c r="P15" s="83">
        <v>4</v>
      </c>
      <c r="Q15" s="94">
        <v>421.96999999999997</v>
      </c>
      <c r="R15" s="76">
        <f t="shared" ref="R15:R18" si="8">(I15*12)+K15</f>
      </c>
      <c r="S15" s="101">
        <v>8014.295</v>
      </c>
      <c r="T15" s="85">
        <f t="shared" si="2"/>
      </c>
      <c r="U15" s="86">
        <f t="shared" si="18"/>
      </c>
      <c r="V15" s="86">
        <f t="shared" si="14"/>
      </c>
      <c r="W15" s="87">
        <f t="shared" si="12"/>
      </c>
      <c r="X15" s="87">
        <f t="shared" si="3"/>
      </c>
      <c r="Y15" s="87">
        <f t="shared" si="19"/>
      </c>
      <c r="Z15" s="78">
        <v>0</v>
      </c>
      <c r="AA15" s="78">
        <v>0</v>
      </c>
      <c r="AB15" s="94" t="s">
        <v>231</v>
      </c>
      <c r="AC15" s="94">
        <v>6</v>
      </c>
      <c r="AD15" s="94" t="s">
        <v>224</v>
      </c>
      <c r="AE15" s="94">
        <v>15</v>
      </c>
      <c r="AF15" s="93">
        <v>188584</v>
      </c>
      <c r="AG15" s="94">
        <v>397</v>
      </c>
      <c r="AH15" s="94">
        <v>187511</v>
      </c>
      <c r="AI15" s="94">
        <v>17828</v>
      </c>
      <c r="AJ15" s="94">
        <v>1790</v>
      </c>
      <c r="AK15" s="94">
        <v>252</v>
      </c>
      <c r="AL15" s="94">
        <v>655</v>
      </c>
      <c r="AM15" s="94">
        <v>9</v>
      </c>
      <c r="AN15" s="89"/>
      <c r="AO15" s="87">
        <f t="shared" si="15"/>
      </c>
      <c r="AP15" s="87">
        <f t="shared" si="4"/>
      </c>
      <c r="AQ15" s="87">
        <f t="shared" si="16"/>
      </c>
      <c r="AR15" s="90">
        <f t="shared" si="0"/>
      </c>
      <c r="AS15" s="91">
        <f t="shared" si="17"/>
      </c>
      <c r="AT15" s="90">
        <f t="shared" si="1"/>
      </c>
      <c r="AU15" s="91">
        <f t="shared" si="13"/>
      </c>
      <c r="AV15" s="92"/>
    </row>
    <row r="16">
      <c r="A16" s="81" t="s">
        <v>238</v>
      </c>
      <c r="B16" s="76" t="s">
        <v>225</v>
      </c>
      <c r="C16" s="76" t="s">
        <v>234</v>
      </c>
      <c r="D16" s="76">
        <v>3</v>
      </c>
      <c r="E16" s="83">
        <v>10</v>
      </c>
      <c r="F16" s="83">
        <v>4</v>
      </c>
      <c r="G16" s="83">
        <v>4</v>
      </c>
      <c r="H16" s="83">
        <v>4</v>
      </c>
      <c r="I16" s="83">
        <v>596.5</v>
      </c>
      <c r="J16" s="83">
        <v>0</v>
      </c>
      <c r="K16" s="83">
        <v>0</v>
      </c>
      <c r="L16" s="83">
        <v>1</v>
      </c>
      <c r="M16" s="94">
        <v>971.76</v>
      </c>
      <c r="N16" s="83">
        <v>3</v>
      </c>
      <c r="O16" s="94">
        <v>6186.24</v>
      </c>
      <c r="P16" s="83">
        <v>0</v>
      </c>
      <c r="Q16" s="83">
        <v>0</v>
      </c>
      <c r="R16" s="76">
        <f t="shared" si="8"/>
      </c>
      <c r="S16" s="102">
        <v>5814.249</v>
      </c>
      <c r="T16" s="85">
        <f t="shared" si="2"/>
      </c>
      <c r="U16" s="86">
        <f t="shared" si="18"/>
      </c>
      <c r="V16" s="86">
        <f t="shared" si="14"/>
      </c>
      <c r="W16" s="87">
        <f t="shared" si="12"/>
      </c>
      <c r="X16" s="87">
        <f t="shared" si="3"/>
      </c>
      <c r="Y16" s="87">
        <f t="shared" si="19"/>
      </c>
      <c r="Z16" s="78">
        <v>0</v>
      </c>
      <c r="AA16" s="78">
        <v>0</v>
      </c>
      <c r="AB16" s="94" t="s">
        <v>223</v>
      </c>
      <c r="AC16" s="94">
        <v>1</v>
      </c>
      <c r="AD16" s="94"/>
      <c r="AE16" s="94"/>
      <c r="AF16" s="93">
        <v>170521</v>
      </c>
      <c r="AG16" s="94">
        <v>339</v>
      </c>
      <c r="AH16" s="93">
        <v>153053</v>
      </c>
      <c r="AI16" s="94">
        <v>13027</v>
      </c>
      <c r="AJ16" s="94">
        <v>1311</v>
      </c>
      <c r="AK16" s="94">
        <v>162</v>
      </c>
      <c r="AL16" s="94">
        <v>589</v>
      </c>
      <c r="AM16" s="94">
        <v>3</v>
      </c>
      <c r="AN16" s="89"/>
      <c r="AO16" s="87">
        <f t="shared" si="15"/>
      </c>
      <c r="AP16" s="87">
        <f t="shared" si="4"/>
      </c>
      <c r="AQ16" s="87">
        <f t="shared" si="16"/>
      </c>
      <c r="AR16" s="90">
        <f t="shared" si="0"/>
      </c>
      <c r="AS16" s="91">
        <f t="shared" si="17"/>
      </c>
      <c r="AT16" s="90">
        <f t="shared" si="1"/>
      </c>
      <c r="AU16" s="91">
        <f t="shared" si="13"/>
      </c>
      <c r="AV16" s="92"/>
    </row>
    <row r="17">
      <c r="A17" s="81" t="s">
        <v>238</v>
      </c>
      <c r="B17" s="76" t="s">
        <v>235</v>
      </c>
      <c r="C17" s="76" t="s">
        <v>236</v>
      </c>
      <c r="D17" s="76">
        <v>2</v>
      </c>
      <c r="E17" s="83">
        <v>2</v>
      </c>
      <c r="F17" s="83">
        <v>2</v>
      </c>
      <c r="G17" s="83">
        <v>2</v>
      </c>
      <c r="H17" s="83">
        <v>2</v>
      </c>
      <c r="I17" s="83">
        <v>76.02</v>
      </c>
      <c r="J17" s="83">
        <v>0</v>
      </c>
      <c r="K17" s="83">
        <v>0</v>
      </c>
      <c r="L17" s="83">
        <v>2</v>
      </c>
      <c r="M17" s="94">
        <v>912.2400000000001</v>
      </c>
      <c r="N17" s="83">
        <v>0</v>
      </c>
      <c r="O17" s="83">
        <v>0</v>
      </c>
      <c r="P17" s="83">
        <v>0</v>
      </c>
      <c r="Q17" s="83">
        <v>0</v>
      </c>
      <c r="R17" s="76">
        <f t="shared" si="8"/>
      </c>
      <c r="S17" s="101">
        <v>3198.9210000000003</v>
      </c>
      <c r="T17" s="85">
        <f t="shared" si="2"/>
      </c>
      <c r="U17" s="86">
        <f t="shared" si="18"/>
      </c>
      <c r="V17" s="86">
        <f t="shared" si="14"/>
      </c>
      <c r="W17" s="87">
        <f t="shared" si="12"/>
      </c>
      <c r="X17" s="87">
        <f t="shared" si="3"/>
      </c>
      <c r="Y17" s="87">
        <f t="shared" si="19"/>
      </c>
      <c r="Z17" s="78">
        <v>0</v>
      </c>
      <c r="AA17" s="78">
        <v>0</v>
      </c>
      <c r="AB17" s="94" t="s">
        <v>237</v>
      </c>
      <c r="AC17" s="94">
        <v>8</v>
      </c>
      <c r="AD17" s="94"/>
      <c r="AE17" s="94"/>
      <c r="AF17" s="94">
        <v>122582</v>
      </c>
      <c r="AG17" s="94">
        <v>193</v>
      </c>
      <c r="AH17" s="94">
        <v>80650</v>
      </c>
      <c r="AI17" s="94">
        <v>7536</v>
      </c>
      <c r="AJ17" s="94">
        <v>639</v>
      </c>
      <c r="AK17" s="94">
        <v>134</v>
      </c>
      <c r="AL17" s="94">
        <v>280</v>
      </c>
      <c r="AM17" s="94">
        <v>3</v>
      </c>
      <c r="AN17" s="89"/>
      <c r="AO17" s="87">
        <f t="shared" si="15"/>
      </c>
      <c r="AP17" s="87">
        <f t="shared" si="4"/>
      </c>
      <c r="AQ17" s="87">
        <f t="shared" si="16"/>
      </c>
      <c r="AR17" s="90">
        <f t="shared" si="0"/>
      </c>
      <c r="AS17" s="91">
        <f t="shared" si="17"/>
      </c>
      <c r="AT17" s="98">
        <f t="shared" si="1"/>
      </c>
      <c r="AU17" s="100">
        <f t="shared" si="13"/>
      </c>
      <c r="AV17" s="98">
        <f>F17/AL17</f>
      </c>
    </row>
    <row r="18">
      <c r="A18" s="81" t="s">
        <v>238</v>
      </c>
      <c r="B18" s="76" t="s">
        <v>227</v>
      </c>
      <c r="C18" s="76" t="s">
        <v>228</v>
      </c>
      <c r="D18" s="76">
        <v>5</v>
      </c>
      <c r="E18" s="83">
        <v>25</v>
      </c>
      <c r="F18" s="83">
        <v>18</v>
      </c>
      <c r="G18" s="83">
        <v>13</v>
      </c>
      <c r="H18" s="83">
        <v>15</v>
      </c>
      <c r="I18" s="94">
        <v>2148.31</v>
      </c>
      <c r="J18" s="83">
        <v>3</v>
      </c>
      <c r="K18" s="94">
        <v>5285</v>
      </c>
      <c r="L18" s="83">
        <v>5</v>
      </c>
      <c r="M18" s="94">
        <v>3993.7200000000003</v>
      </c>
      <c r="N18" s="83">
        <v>13</v>
      </c>
      <c r="O18" s="94">
        <v>27070.999999999996</v>
      </c>
      <c r="P18" s="83">
        <v>3</v>
      </c>
      <c r="Q18" s="94">
        <v>834.95</v>
      </c>
      <c r="R18" s="76">
        <f t="shared" si="8"/>
      </c>
      <c r="S18" s="101">
        <v>15723.811</v>
      </c>
      <c r="T18" s="85">
        <f t="shared" si="2"/>
      </c>
      <c r="U18" s="86">
        <f t="shared" si="18"/>
      </c>
      <c r="V18" s="86">
        <f t="shared" si="14"/>
      </c>
      <c r="W18" s="87">
        <f t="shared" si="12"/>
      </c>
      <c r="X18" s="87">
        <f t="shared" si="3"/>
      </c>
      <c r="Y18" s="87">
        <f t="shared" si="19"/>
      </c>
      <c r="Z18" s="78">
        <v>0</v>
      </c>
      <c r="AA18" s="78">
        <v>0</v>
      </c>
      <c r="AB18" s="94"/>
      <c r="AC18" s="94"/>
      <c r="AD18" s="94"/>
      <c r="AE18" s="94"/>
      <c r="AF18" s="94">
        <v>529777</v>
      </c>
      <c r="AG18" s="94">
        <v>662</v>
      </c>
      <c r="AH18" s="94">
        <v>544503</v>
      </c>
      <c r="AI18" s="94">
        <v>32818</v>
      </c>
      <c r="AJ18" s="94">
        <v>3270</v>
      </c>
      <c r="AK18" s="94">
        <v>415</v>
      </c>
      <c r="AL18" s="94">
        <v>1159</v>
      </c>
      <c r="AM18" s="94">
        <v>15</v>
      </c>
      <c r="AN18" s="89"/>
      <c r="AO18" s="87">
        <f t="shared" si="15"/>
      </c>
      <c r="AP18" s="87">
        <f t="shared" si="4"/>
      </c>
      <c r="AQ18" s="87">
        <f t="shared" si="16"/>
      </c>
      <c r="AR18" s="90">
        <f t="shared" si="0"/>
      </c>
      <c r="AS18" s="91">
        <f t="shared" si="17"/>
      </c>
      <c r="AT18" s="90">
        <f t="shared" si="1"/>
      </c>
      <c r="AU18" s="91">
        <f t="shared" si="13"/>
      </c>
      <c r="AV18" s="92"/>
    </row>
    <row r="19">
      <c r="A19" s="95" t="s">
        <v>238</v>
      </c>
      <c r="B19" s="96"/>
      <c r="C19" s="96"/>
      <c r="D19" s="96">
        <f>SUM(D15:D18)</f>
      </c>
      <c r="E19" s="96">
        <f>SUM(E15:E18)</f>
      </c>
      <c r="F19" s="96">
        <f>SUM(F15:F18)</f>
      </c>
      <c r="G19" s="96">
        <f>SUM(G15:G18)</f>
      </c>
      <c r="H19" s="96">
        <f>SUM(H15:H18)</f>
      </c>
      <c r="I19" s="96">
        <f>SUM(I15:I18)</f>
      </c>
      <c r="J19" s="96">
        <f>SUM(J15:J18)</f>
      </c>
      <c r="K19" s="96">
        <f>SUM(K15:K18)</f>
      </c>
      <c r="L19" s="96">
        <f>SUM(L15:L18)</f>
      </c>
      <c r="M19" s="96">
        <f>SUM(M15:M18)</f>
      </c>
      <c r="N19" s="96">
        <f>SUM(N15:N18)</f>
      </c>
      <c r="O19" s="96">
        <f>SUM(O15:O18)</f>
      </c>
      <c r="P19" s="96">
        <f>SUM(P15:P18)</f>
      </c>
      <c r="Q19" s="96">
        <f>SUM(Q15:Q18)</f>
      </c>
      <c r="R19" s="96">
        <f>SUM(R15:R18)</f>
      </c>
      <c r="S19" s="96">
        <f>SUM(S15:S18)</f>
      </c>
      <c r="T19" s="97">
        <f t="shared" si="2"/>
      </c>
      <c r="U19" s="97">
        <f t="shared" si="18"/>
      </c>
      <c r="V19" s="97">
        <f t="shared" si="14"/>
      </c>
      <c r="W19" s="97">
        <f t="shared" si="12"/>
      </c>
      <c r="X19" s="97">
        <f t="shared" si="3"/>
      </c>
      <c r="Y19" s="98">
        <f t="shared" si="19"/>
      </c>
      <c r="Z19" s="99">
        <f>SUM(Z15:Z18)</f>
      </c>
      <c r="AA19" s="99">
        <f>SUM(AA15:AA18)</f>
      </c>
      <c r="AB19" s="99"/>
      <c r="AC19" s="99">
        <f>SUM(AC15:AC18)</f>
      </c>
      <c r="AD19" s="99"/>
      <c r="AE19" s="99"/>
      <c r="AF19" s="99">
        <f>SUM(AF15:AF18)</f>
      </c>
      <c r="AG19" s="99">
        <f>SUM(AG15:AG18)</f>
      </c>
      <c r="AH19" s="99">
        <f>SUM(AH15:AH18)</f>
      </c>
      <c r="AI19" s="99">
        <f>SUM(AI15:AI18)</f>
      </c>
      <c r="AJ19" s="99">
        <f>SUM(AJ15:AJ18)</f>
      </c>
      <c r="AK19" s="99">
        <f>SUM(AK15:AK18)</f>
      </c>
      <c r="AL19" s="99">
        <f>SUM(AL15:AL18)</f>
      </c>
      <c r="AM19" s="99">
        <f>SUM(AM15:AM18)</f>
      </c>
      <c r="AN19" s="99">
        <f>SUM(AN15:AN18)</f>
      </c>
      <c r="AO19" s="98">
        <f t="shared" si="15"/>
      </c>
      <c r="AP19" s="98">
        <f t="shared" si="4"/>
      </c>
      <c r="AQ19" s="98">
        <f t="shared" si="16"/>
      </c>
      <c r="AR19" s="98">
        <f t="shared" si="0"/>
      </c>
      <c r="AS19" s="100">
        <f t="shared" si="17"/>
      </c>
      <c r="AT19" s="90">
        <f t="shared" si="1"/>
      </c>
      <c r="AU19" s="91">
        <f t="shared" si="13"/>
      </c>
      <c r="AV19" s="92"/>
    </row>
    <row r="20">
      <c r="A20" s="81" t="s">
        <v>239</v>
      </c>
      <c r="B20" s="76" t="s">
        <v>221</v>
      </c>
      <c r="C20" s="76" t="s">
        <v>222</v>
      </c>
      <c r="D20" s="76">
        <v>5</v>
      </c>
      <c r="E20" s="83">
        <v>12</v>
      </c>
      <c r="F20" s="83">
        <v>3</v>
      </c>
      <c r="G20" s="83">
        <v>4</v>
      </c>
      <c r="H20" s="83">
        <v>4</v>
      </c>
      <c r="I20" s="94">
        <v>1027.69</v>
      </c>
      <c r="J20" s="83">
        <v>0</v>
      </c>
      <c r="K20" s="83">
        <v>0</v>
      </c>
      <c r="L20" s="83">
        <v>2</v>
      </c>
      <c r="M20" s="94">
        <v>819.4799999999999</v>
      </c>
      <c r="N20" s="83">
        <v>2</v>
      </c>
      <c r="O20" s="94">
        <v>11512.8</v>
      </c>
      <c r="P20" s="83">
        <v>0</v>
      </c>
      <c r="Q20" s="83">
        <v>0</v>
      </c>
      <c r="R20" s="76">
        <f t="shared" ref="R20:R23" si="9">(I20*12)+K20</f>
      </c>
      <c r="S20" s="101">
        <v>8095.674</v>
      </c>
      <c r="T20" s="85">
        <f t="shared" si="2"/>
      </c>
      <c r="U20" s="86">
        <f t="shared" si="18"/>
      </c>
      <c r="V20" s="86">
        <f t="shared" si="14"/>
      </c>
      <c r="W20" s="87">
        <f t="shared" si="12"/>
      </c>
      <c r="X20" s="87">
        <f t="shared" si="3"/>
      </c>
      <c r="Y20" s="87">
        <f t="shared" si="19"/>
      </c>
      <c r="Z20" s="78">
        <v>0</v>
      </c>
      <c r="AA20" s="78">
        <v>0</v>
      </c>
      <c r="AB20" s="94" t="s">
        <v>231</v>
      </c>
      <c r="AC20" s="94">
        <v>6</v>
      </c>
      <c r="AD20" s="94" t="s">
        <v>224</v>
      </c>
      <c r="AE20" s="83">
        <v>12</v>
      </c>
      <c r="AF20" s="93">
        <v>143696</v>
      </c>
      <c r="AG20" s="94">
        <v>274</v>
      </c>
      <c r="AH20" s="94">
        <v>151147</v>
      </c>
      <c r="AI20" s="94">
        <v>15388</v>
      </c>
      <c r="AJ20" s="94">
        <v>1700</v>
      </c>
      <c r="AK20" s="94">
        <v>264</v>
      </c>
      <c r="AL20" s="94">
        <v>636</v>
      </c>
      <c r="AM20" s="94">
        <v>20</v>
      </c>
      <c r="AN20" s="89"/>
      <c r="AO20" s="87">
        <f t="shared" si="15"/>
      </c>
      <c r="AP20" s="87">
        <f t="shared" si="4"/>
      </c>
      <c r="AQ20" s="87">
        <f t="shared" si="16"/>
      </c>
      <c r="AR20" s="90">
        <f t="shared" si="0"/>
      </c>
      <c r="AS20" s="91">
        <f t="shared" si="17"/>
      </c>
      <c r="AT20" s="90">
        <f t="shared" si="1"/>
      </c>
      <c r="AU20" s="91">
        <f t="shared" si="13"/>
      </c>
      <c r="AV20" s="92"/>
    </row>
    <row r="21">
      <c r="A21" s="81" t="s">
        <v>239</v>
      </c>
      <c r="B21" s="76" t="s">
        <v>235</v>
      </c>
      <c r="C21" s="78" t="s">
        <v>240</v>
      </c>
      <c r="D21" s="78">
        <v>2</v>
      </c>
      <c r="E21" s="83">
        <v>19</v>
      </c>
      <c r="F21" s="83">
        <v>4</v>
      </c>
      <c r="G21" s="83">
        <v>4</v>
      </c>
      <c r="H21" s="83">
        <v>3</v>
      </c>
      <c r="I21" s="83">
        <v>132.44</v>
      </c>
      <c r="J21" s="83">
        <v>1</v>
      </c>
      <c r="K21" s="83">
        <v>1103.3</v>
      </c>
      <c r="L21" s="83">
        <v>2</v>
      </c>
      <c r="M21" s="94">
        <v>1488.38</v>
      </c>
      <c r="N21" s="83">
        <v>2</v>
      </c>
      <c r="O21" s="94">
        <v>1204.1999999999998</v>
      </c>
      <c r="P21" s="83">
        <v>1</v>
      </c>
      <c r="Q21" s="83">
        <v>1103.3</v>
      </c>
      <c r="R21" s="76">
        <f t="shared" si="9"/>
      </c>
      <c r="S21" s="102">
        <v>2396</v>
      </c>
      <c r="T21" s="85">
        <f t="shared" si="2"/>
      </c>
      <c r="U21" s="86">
        <f t="shared" si="18"/>
      </c>
      <c r="V21" s="86">
        <f t="shared" si="14"/>
      </c>
      <c r="W21" s="87">
        <f t="shared" si="12"/>
      </c>
      <c r="X21" s="87">
        <f t="shared" si="3"/>
      </c>
      <c r="Y21" s="87">
        <f t="shared" si="19"/>
      </c>
      <c r="Z21" s="78">
        <v>1</v>
      </c>
      <c r="AA21" s="78">
        <v>0</v>
      </c>
      <c r="AB21" s="94" t="s">
        <v>223</v>
      </c>
      <c r="AC21" s="94">
        <v>1</v>
      </c>
      <c r="AD21" s="94"/>
      <c r="AE21" s="94"/>
      <c r="AF21" s="93">
        <v>80119</v>
      </c>
      <c r="AG21" s="94">
        <v>152</v>
      </c>
      <c r="AH21" s="93">
        <v>56771</v>
      </c>
      <c r="AI21" s="94">
        <v>4982</v>
      </c>
      <c r="AJ21" s="94">
        <v>773</v>
      </c>
      <c r="AK21" s="94">
        <v>77</v>
      </c>
      <c r="AL21" s="94">
        <v>197</v>
      </c>
      <c r="AM21" s="94">
        <v>12</v>
      </c>
      <c r="AN21" s="89"/>
      <c r="AO21" s="87">
        <f t="shared" si="15"/>
      </c>
      <c r="AP21" s="87">
        <f t="shared" si="4"/>
      </c>
      <c r="AQ21" s="87">
        <f t="shared" si="16"/>
      </c>
      <c r="AR21" s="90">
        <f t="shared" si="0"/>
      </c>
      <c r="AS21" s="91">
        <f t="shared" si="17"/>
      </c>
      <c r="AT21" s="98">
        <f t="shared" si="1"/>
      </c>
      <c r="AU21" s="100">
        <f t="shared" si="13"/>
      </c>
      <c r="AV21" s="98">
        <f>F21/AL21</f>
      </c>
    </row>
    <row r="22">
      <c r="A22" s="81" t="s">
        <v>239</v>
      </c>
      <c r="B22" s="78" t="s">
        <v>241</v>
      </c>
      <c r="C22" s="78" t="s">
        <v>242</v>
      </c>
      <c r="D22" s="78">
        <v>3</v>
      </c>
      <c r="E22" s="83">
        <v>3</v>
      </c>
      <c r="F22" s="83">
        <v>1</v>
      </c>
      <c r="G22" s="83">
        <v>1</v>
      </c>
      <c r="H22" s="83">
        <v>1</v>
      </c>
      <c r="I22" s="83">
        <v>207.09</v>
      </c>
      <c r="J22" s="83">
        <v>0</v>
      </c>
      <c r="K22" s="83">
        <v>0</v>
      </c>
      <c r="L22" s="83">
        <v>0</v>
      </c>
      <c r="M22" s="83">
        <v>0</v>
      </c>
      <c r="N22" s="83">
        <v>1</v>
      </c>
      <c r="O22" s="83">
        <v>2485.08</v>
      </c>
      <c r="P22" s="83">
        <v>0</v>
      </c>
      <c r="Q22" s="83">
        <v>0</v>
      </c>
      <c r="R22" s="76">
        <f t="shared" si="9"/>
      </c>
      <c r="S22" s="102">
        <v>5567.146</v>
      </c>
      <c r="T22" s="85">
        <f t="shared" si="2"/>
      </c>
      <c r="U22" s="86">
        <f t="shared" si="18"/>
      </c>
      <c r="V22" s="86">
        <f t="shared" si="14"/>
      </c>
      <c r="W22" s="87">
        <f t="shared" si="12"/>
      </c>
      <c r="X22" s="87">
        <f t="shared" si="3"/>
      </c>
      <c r="Y22" s="87">
        <f t="shared" si="19"/>
      </c>
      <c r="Z22" s="78">
        <v>0</v>
      </c>
      <c r="AA22" s="78">
        <v>0</v>
      </c>
      <c r="AB22" s="83" t="s">
        <v>229</v>
      </c>
      <c r="AC22" s="83">
        <v>5</v>
      </c>
      <c r="AD22" s="94"/>
      <c r="AE22" s="94"/>
      <c r="AF22" s="94">
        <v>198373</v>
      </c>
      <c r="AG22" s="94">
        <v>248</v>
      </c>
      <c r="AH22" s="94">
        <v>186217</v>
      </c>
      <c r="AI22" s="94">
        <v>16405</v>
      </c>
      <c r="AJ22" s="94">
        <v>1143</v>
      </c>
      <c r="AK22" s="94">
        <v>143</v>
      </c>
      <c r="AL22" s="94">
        <v>375</v>
      </c>
      <c r="AM22" s="94">
        <v>8</v>
      </c>
      <c r="AN22" s="89"/>
      <c r="AO22" s="87">
        <f t="shared" si="15"/>
      </c>
      <c r="AP22" s="87">
        <f t="shared" si="4"/>
      </c>
      <c r="AQ22" s="87">
        <f t="shared" si="16"/>
      </c>
      <c r="AR22" s="90">
        <f t="shared" si="0"/>
      </c>
      <c r="AS22" s="91">
        <f t="shared" si="17"/>
      </c>
      <c r="AT22" s="90">
        <f t="shared" si="1"/>
      </c>
      <c r="AU22" s="91">
        <f t="shared" si="13"/>
      </c>
      <c r="AV22" s="92"/>
    </row>
    <row r="23">
      <c r="A23" s="81" t="s">
        <v>239</v>
      </c>
      <c r="B23" s="76" t="s">
        <v>227</v>
      </c>
      <c r="C23" s="78" t="s">
        <v>243</v>
      </c>
      <c r="D23" s="78">
        <v>2</v>
      </c>
      <c r="E23" s="83">
        <v>9</v>
      </c>
      <c r="F23" s="83">
        <v>3</v>
      </c>
      <c r="G23" s="83">
        <v>4</v>
      </c>
      <c r="H23" s="83">
        <v>4</v>
      </c>
      <c r="I23" s="94">
        <v>784.0799999999999</v>
      </c>
      <c r="J23" s="83">
        <v>0</v>
      </c>
      <c r="K23" s="83">
        <v>0</v>
      </c>
      <c r="L23" s="83">
        <v>1</v>
      </c>
      <c r="M23" s="94">
        <v>1718.28</v>
      </c>
      <c r="N23" s="83">
        <v>3</v>
      </c>
      <c r="O23" s="94">
        <v>7690.68</v>
      </c>
      <c r="P23" s="83">
        <v>1</v>
      </c>
      <c r="Q23" s="83">
        <v>134.19</v>
      </c>
      <c r="R23" s="76">
        <f t="shared" si="9"/>
      </c>
      <c r="S23" s="101">
        <v>5116.576999999999</v>
      </c>
      <c r="T23" s="85">
        <f t="shared" si="2"/>
      </c>
      <c r="U23" s="86">
        <f t="shared" si="18"/>
      </c>
      <c r="V23" s="86">
        <f t="shared" si="14"/>
      </c>
      <c r="W23" s="87">
        <f t="shared" si="12"/>
      </c>
      <c r="X23" s="87">
        <f t="shared" si="3"/>
      </c>
      <c r="Y23" s="87">
        <f t="shared" si="19"/>
      </c>
      <c r="Z23" s="78">
        <v>0</v>
      </c>
      <c r="AA23" s="78">
        <v>0</v>
      </c>
      <c r="AB23" s="94"/>
      <c r="AC23" s="94"/>
      <c r="AD23" s="94"/>
      <c r="AE23" s="94"/>
      <c r="AF23" s="94">
        <v>221471</v>
      </c>
      <c r="AG23" s="94">
        <v>186</v>
      </c>
      <c r="AH23" s="94">
        <v>236596</v>
      </c>
      <c r="AI23" s="94">
        <v>13512</v>
      </c>
      <c r="AJ23" s="94">
        <v>913</v>
      </c>
      <c r="AK23" s="94">
        <v>99</v>
      </c>
      <c r="AL23" s="94">
        <v>251</v>
      </c>
      <c r="AM23" s="94">
        <v>10</v>
      </c>
      <c r="AN23" s="89"/>
      <c r="AO23" s="87">
        <f t="shared" si="15"/>
      </c>
      <c r="AP23" s="87">
        <f t="shared" si="4"/>
      </c>
      <c r="AQ23" s="87">
        <f t="shared" si="16"/>
      </c>
      <c r="AR23" s="90">
        <f t="shared" si="0"/>
      </c>
      <c r="AS23" s="91">
        <f t="shared" si="17"/>
      </c>
      <c r="AT23" s="90">
        <f t="shared" si="1"/>
      </c>
      <c r="AU23" s="91">
        <f t="shared" si="13"/>
      </c>
      <c r="AV23" s="92"/>
    </row>
    <row r="24">
      <c r="A24" s="95" t="s">
        <v>239</v>
      </c>
      <c r="B24" s="96"/>
      <c r="C24" s="96"/>
      <c r="D24" s="96">
        <f>SUM(D20:D23)</f>
      </c>
      <c r="E24" s="96">
        <f>SUM(E20:E23)</f>
      </c>
      <c r="F24" s="96">
        <f>SUM(F20:F23)</f>
      </c>
      <c r="G24" s="96">
        <f>SUM(G20:G23)</f>
      </c>
      <c r="H24" s="96">
        <f>SUM(H20:H23)</f>
      </c>
      <c r="I24" s="96">
        <f>SUM(I20:I23)</f>
      </c>
      <c r="J24" s="96">
        <f>SUM(J20:J23)</f>
      </c>
      <c r="K24" s="96">
        <f>SUM(K20:K23)</f>
      </c>
      <c r="L24" s="96">
        <f>SUM(L20:L23)</f>
      </c>
      <c r="M24" s="96">
        <f>SUM(M20:M23)</f>
      </c>
      <c r="N24" s="96">
        <f>SUM(N20:N23)</f>
      </c>
      <c r="O24" s="96">
        <f>SUM(O20:O23)</f>
      </c>
      <c r="P24" s="96">
        <f>SUM(P20:P23)</f>
      </c>
      <c r="Q24" s="96">
        <f>SUM(Q20:Q23)</f>
      </c>
      <c r="R24" s="96">
        <f>SUM(R20:R23)</f>
      </c>
      <c r="S24" s="96">
        <f>SUM(S20:S23)</f>
      </c>
      <c r="T24" s="97">
        <f t="shared" si="2"/>
      </c>
      <c r="U24" s="97">
        <f t="shared" si="18"/>
      </c>
      <c r="V24" s="97">
        <f t="shared" si="14"/>
      </c>
      <c r="W24" s="97">
        <f t="shared" si="12"/>
      </c>
      <c r="X24" s="97">
        <f t="shared" si="3"/>
      </c>
      <c r="Y24" s="98">
        <f t="shared" si="19"/>
      </c>
      <c r="Z24" s="99">
        <f>SUM(Z20:Z23)</f>
      </c>
      <c r="AA24" s="99">
        <f>SUM(AA20:AA23)</f>
      </c>
      <c r="AB24" s="99"/>
      <c r="AC24" s="99">
        <f>SUM(AC20:AC23)</f>
      </c>
      <c r="AD24" s="99"/>
      <c r="AE24" s="99"/>
      <c r="AF24" s="99">
        <f>SUM(AF20:AF23)</f>
      </c>
      <c r="AG24" s="99">
        <f>SUM(AG20:AG23)</f>
      </c>
      <c r="AH24" s="99">
        <f>SUM(AH20:AH23)</f>
      </c>
      <c r="AI24" s="99">
        <f>SUM(AI20:AI23)</f>
      </c>
      <c r="AJ24" s="99">
        <f>SUM(AJ20:AJ23)</f>
      </c>
      <c r="AK24" s="99">
        <f>SUM(AK20:AK23)</f>
      </c>
      <c r="AL24" s="99">
        <f>SUM(AL20:AL23)</f>
      </c>
      <c r="AM24" s="99">
        <f>SUM(AM20:AM23)</f>
      </c>
      <c r="AN24" s="99">
        <f>SUM(AN20:AN23)</f>
      </c>
      <c r="AO24" s="98">
        <f t="shared" si="15"/>
      </c>
      <c r="AP24" s="98">
        <f t="shared" si="4"/>
      </c>
      <c r="AQ24" s="98">
        <f t="shared" si="16"/>
      </c>
      <c r="AR24" s="98">
        <f t="shared" si="0"/>
      </c>
      <c r="AS24" s="100">
        <f t="shared" si="17"/>
      </c>
      <c r="AT24" s="90">
        <f t="shared" si="1"/>
      </c>
      <c r="AU24" s="91">
        <f t="shared" si="13"/>
      </c>
      <c r="AV24" s="92"/>
    </row>
    <row r="25">
      <c r="A25" s="81" t="s">
        <v>244</v>
      </c>
      <c r="B25" s="76" t="s">
        <v>221</v>
      </c>
      <c r="C25" s="76" t="s">
        <v>222</v>
      </c>
      <c r="D25" s="76">
        <v>5</v>
      </c>
      <c r="E25" s="83">
        <v>24</v>
      </c>
      <c r="F25" s="83">
        <v>11</v>
      </c>
      <c r="G25" s="83">
        <v>10</v>
      </c>
      <c r="H25" s="83">
        <v>10</v>
      </c>
      <c r="I25" s="94">
        <v>901.8399999999999</v>
      </c>
      <c r="J25" s="83">
        <v>1</v>
      </c>
      <c r="K25" s="83">
        <v>873</v>
      </c>
      <c r="L25" s="83">
        <v>5</v>
      </c>
      <c r="M25" s="94">
        <v>2517.96</v>
      </c>
      <c r="N25" s="83">
        <v>6</v>
      </c>
      <c r="O25" s="83">
        <v>9177.12</v>
      </c>
      <c r="P25" s="83">
        <v>2</v>
      </c>
      <c r="Q25" s="83">
        <v>125.71</v>
      </c>
      <c r="R25" s="76">
        <f t="shared" ref="R25:R28" si="10">(I25*12)+K25</f>
      </c>
      <c r="S25" s="101">
        <v>8647.41</v>
      </c>
      <c r="T25" s="85">
        <f t="shared" si="2"/>
      </c>
      <c r="U25" s="86">
        <f t="shared" si="18"/>
      </c>
      <c r="V25" s="86">
        <f t="shared" si="14"/>
      </c>
      <c r="W25" s="87">
        <f t="shared" si="12"/>
      </c>
      <c r="X25" s="87">
        <f t="shared" si="3"/>
      </c>
      <c r="Y25" s="87">
        <f t="shared" si="19"/>
      </c>
      <c r="Z25" s="78">
        <v>2</v>
      </c>
      <c r="AA25" s="78">
        <v>2</v>
      </c>
      <c r="AB25" s="94" t="s">
        <v>231</v>
      </c>
      <c r="AC25" s="83">
        <v>7</v>
      </c>
      <c r="AD25" s="94" t="s">
        <v>224</v>
      </c>
      <c r="AE25" s="83">
        <v>15</v>
      </c>
      <c r="AF25" s="93">
        <v>318549</v>
      </c>
      <c r="AG25" s="94">
        <v>938</v>
      </c>
      <c r="AH25" s="94">
        <v>250065</v>
      </c>
      <c r="AI25" s="94">
        <v>24418</v>
      </c>
      <c r="AJ25" s="94">
        <v>2130</v>
      </c>
      <c r="AK25" s="94">
        <v>280</v>
      </c>
      <c r="AL25" s="94">
        <v>747</v>
      </c>
      <c r="AM25" s="94">
        <v>26</v>
      </c>
      <c r="AN25" s="89"/>
      <c r="AO25" s="87">
        <f t="shared" si="15"/>
      </c>
      <c r="AP25" s="87">
        <f t="shared" si="4"/>
      </c>
      <c r="AQ25" s="87">
        <f t="shared" si="16"/>
      </c>
      <c r="AR25" s="90">
        <f t="shared" si="0"/>
      </c>
      <c r="AS25" s="91">
        <f t="shared" si="17"/>
      </c>
      <c r="AT25" s="98">
        <f t="shared" si="1"/>
      </c>
      <c r="AU25" s="100">
        <f t="shared" si="13"/>
      </c>
      <c r="AV25" s="98">
        <f>F25/AL25</f>
      </c>
    </row>
    <row r="26">
      <c r="A26" s="81" t="s">
        <v>244</v>
      </c>
      <c r="B26" s="76" t="s">
        <v>241</v>
      </c>
      <c r="C26" s="78" t="s">
        <v>234</v>
      </c>
      <c r="D26" s="78">
        <v>3</v>
      </c>
      <c r="E26" s="83">
        <v>12</v>
      </c>
      <c r="F26" s="83">
        <v>6</v>
      </c>
      <c r="G26" s="83">
        <v>7</v>
      </c>
      <c r="H26" s="83">
        <v>6</v>
      </c>
      <c r="I26" s="83">
        <v>1341.52</v>
      </c>
      <c r="J26" s="83">
        <v>1</v>
      </c>
      <c r="K26" s="83">
        <v>0</v>
      </c>
      <c r="L26" s="83">
        <v>3</v>
      </c>
      <c r="M26" s="94">
        <v>2553.36</v>
      </c>
      <c r="N26" s="83">
        <v>3</v>
      </c>
      <c r="O26" s="94">
        <v>13544.880000000001</v>
      </c>
      <c r="P26" s="83">
        <v>2</v>
      </c>
      <c r="Q26" s="83">
        <v>906.32</v>
      </c>
      <c r="R26" s="76">
        <f t="shared" si="10"/>
      </c>
      <c r="S26" s="102">
        <v>6028.141</v>
      </c>
      <c r="T26" s="85">
        <f t="shared" si="2"/>
      </c>
      <c r="U26" s="86">
        <f t="shared" si="18"/>
      </c>
      <c r="V26" s="86">
        <f t="shared" si="14"/>
      </c>
      <c r="W26" s="87">
        <f t="shared" si="12"/>
      </c>
      <c r="X26" s="87">
        <f t="shared" si="3"/>
      </c>
      <c r="Y26" s="87">
        <f t="shared" si="19"/>
      </c>
      <c r="Z26" s="78">
        <v>0</v>
      </c>
      <c r="AA26" s="78">
        <v>0</v>
      </c>
      <c r="AB26" s="94"/>
      <c r="AC26" s="94"/>
      <c r="AD26" s="94"/>
      <c r="AE26" s="94"/>
      <c r="AF26" s="93">
        <v>236579</v>
      </c>
      <c r="AG26" s="94">
        <v>729</v>
      </c>
      <c r="AH26" s="93">
        <v>176650</v>
      </c>
      <c r="AI26" s="94">
        <v>14606</v>
      </c>
      <c r="AJ26" s="94">
        <v>1273</v>
      </c>
      <c r="AK26" s="94">
        <v>161</v>
      </c>
      <c r="AL26" s="94">
        <v>451</v>
      </c>
      <c r="AM26" s="94">
        <v>15</v>
      </c>
      <c r="AN26" s="89"/>
      <c r="AO26" s="87">
        <f t="shared" si="15"/>
      </c>
      <c r="AP26" s="87">
        <f t="shared" si="4"/>
      </c>
      <c r="AQ26" s="87">
        <f t="shared" si="16"/>
      </c>
      <c r="AR26" s="90">
        <f t="shared" si="0"/>
      </c>
      <c r="AS26" s="91">
        <f t="shared" si="17"/>
      </c>
      <c r="AT26" s="90">
        <f t="shared" si="1"/>
      </c>
      <c r="AU26" s="91">
        <f t="shared" si="13"/>
      </c>
      <c r="AV26" s="92"/>
    </row>
    <row r="27">
      <c r="A27" s="81" t="s">
        <v>244</v>
      </c>
      <c r="B27" s="78" t="s">
        <v>245</v>
      </c>
      <c r="C27" s="76" t="s">
        <v>236</v>
      </c>
      <c r="D27" s="78">
        <v>2</v>
      </c>
      <c r="E27" s="83">
        <v>4</v>
      </c>
      <c r="F27" s="83">
        <v>2</v>
      </c>
      <c r="G27" s="83">
        <v>2</v>
      </c>
      <c r="H27" s="83">
        <v>1</v>
      </c>
      <c r="I27" s="83">
        <v>216.9</v>
      </c>
      <c r="J27" s="83">
        <v>1</v>
      </c>
      <c r="K27" s="83">
        <v>2301</v>
      </c>
      <c r="L27" s="83">
        <v>0</v>
      </c>
      <c r="M27" s="83">
        <v>0</v>
      </c>
      <c r="N27" s="83">
        <v>2</v>
      </c>
      <c r="O27" s="83">
        <v>4903.8</v>
      </c>
      <c r="P27" s="83">
        <v>0</v>
      </c>
      <c r="Q27" s="83">
        <v>0</v>
      </c>
      <c r="R27" s="76">
        <f t="shared" si="10"/>
      </c>
      <c r="S27" s="102">
        <v>3665.0759999999996</v>
      </c>
      <c r="T27" s="85">
        <f t="shared" si="2"/>
      </c>
      <c r="U27" s="86">
        <f t="shared" si="18"/>
      </c>
      <c r="V27" s="86">
        <f t="shared" si="14"/>
      </c>
      <c r="W27" s="87">
        <f t="shared" si="12"/>
      </c>
      <c r="X27" s="87">
        <f t="shared" si="3"/>
      </c>
      <c r="Y27" s="87">
        <f t="shared" si="19"/>
      </c>
      <c r="Z27" s="78">
        <v>0</v>
      </c>
      <c r="AA27" s="78">
        <v>0</v>
      </c>
      <c r="AB27" s="83" t="s">
        <v>229</v>
      </c>
      <c r="AC27" s="83">
        <v>8</v>
      </c>
      <c r="AD27" s="94"/>
      <c r="AE27" s="94"/>
      <c r="AF27" s="94">
        <v>155584</v>
      </c>
      <c r="AG27" s="94">
        <v>314</v>
      </c>
      <c r="AH27" s="94">
        <v>135073</v>
      </c>
      <c r="AI27" s="94">
        <v>11531</v>
      </c>
      <c r="AJ27" s="94">
        <v>753</v>
      </c>
      <c r="AK27" s="94">
        <v>124</v>
      </c>
      <c r="AL27" s="94">
        <v>288</v>
      </c>
      <c r="AM27" s="94">
        <v>8</v>
      </c>
      <c r="AN27" s="89"/>
      <c r="AO27" s="87">
        <f t="shared" si="15"/>
      </c>
      <c r="AP27" s="87">
        <f t="shared" si="4"/>
      </c>
      <c r="AQ27" s="87">
        <f t="shared" si="16"/>
      </c>
      <c r="AR27" s="90">
        <f t="shared" si="0"/>
      </c>
      <c r="AS27" s="91">
        <f t="shared" si="17"/>
      </c>
      <c r="AT27" s="90">
        <f t="shared" si="1"/>
      </c>
      <c r="AU27" s="91">
        <f t="shared" si="13"/>
      </c>
      <c r="AV27" s="92"/>
    </row>
    <row r="28">
      <c r="A28" s="81" t="s">
        <v>244</v>
      </c>
      <c r="B28" s="76" t="s">
        <v>227</v>
      </c>
      <c r="C28" s="76" t="s">
        <v>228</v>
      </c>
      <c r="D28" s="78">
        <v>5</v>
      </c>
      <c r="E28" s="83">
        <v>34</v>
      </c>
      <c r="F28" s="83">
        <v>22</v>
      </c>
      <c r="G28" s="83">
        <v>22</v>
      </c>
      <c r="H28" s="83">
        <v>18</v>
      </c>
      <c r="I28" s="94">
        <v>4606.099999999999</v>
      </c>
      <c r="J28" s="83">
        <v>4</v>
      </c>
      <c r="K28" s="83">
        <v>3167.1</v>
      </c>
      <c r="L28" s="83">
        <v>10</v>
      </c>
      <c r="M28" s="94">
        <v>8722.419999999998</v>
      </c>
      <c r="N28" s="83">
        <v>12</v>
      </c>
      <c r="O28" s="94">
        <v>49717.88</v>
      </c>
      <c r="P28" s="83">
        <v>6</v>
      </c>
      <c r="Q28" s="83">
        <v>2903.9900000000002</v>
      </c>
      <c r="R28" s="76">
        <f t="shared" si="10"/>
      </c>
      <c r="S28" s="101">
        <v>19607.379</v>
      </c>
      <c r="T28" s="85">
        <f t="shared" si="2"/>
      </c>
      <c r="U28" s="86">
        <f t="shared" si="18"/>
      </c>
      <c r="V28" s="86">
        <f t="shared" si="14"/>
      </c>
      <c r="W28" s="87">
        <f t="shared" si="12"/>
      </c>
      <c r="X28" s="87">
        <f t="shared" si="3"/>
      </c>
      <c r="Y28" s="87">
        <f t="shared" si="19"/>
      </c>
      <c r="Z28" s="78">
        <v>2</v>
      </c>
      <c r="AA28" s="78">
        <v>2</v>
      </c>
      <c r="AB28" s="94"/>
      <c r="AC28" s="94"/>
      <c r="AD28" s="94"/>
      <c r="AE28" s="94"/>
      <c r="AF28" s="94">
        <v>884968</v>
      </c>
      <c r="AG28" s="94">
        <v>1130</v>
      </c>
      <c r="AH28" s="94">
        <v>979954</v>
      </c>
      <c r="AI28" s="94">
        <v>51547</v>
      </c>
      <c r="AJ28" s="94">
        <v>3928</v>
      </c>
      <c r="AK28" s="94">
        <v>439</v>
      </c>
      <c r="AL28" s="94">
        <v>1066</v>
      </c>
      <c r="AM28" s="94">
        <v>38</v>
      </c>
      <c r="AN28" s="89"/>
      <c r="AO28" s="87">
        <f t="shared" si="15"/>
      </c>
      <c r="AP28" s="87">
        <f t="shared" si="4"/>
      </c>
      <c r="AQ28" s="87">
        <f t="shared" si="16"/>
      </c>
      <c r="AR28" s="90">
        <f t="shared" si="0"/>
      </c>
      <c r="AS28" s="91">
        <f t="shared" si="17"/>
      </c>
      <c r="AT28" s="90">
        <f t="shared" si="1"/>
      </c>
      <c r="AU28" s="91">
        <f t="shared" si="13"/>
      </c>
      <c r="AV28" s="92"/>
    </row>
    <row r="29">
      <c r="A29" s="95" t="s">
        <v>244</v>
      </c>
      <c r="B29" s="96"/>
      <c r="C29" s="96"/>
      <c r="D29" s="96">
        <f>SUM(D25:D28)</f>
      </c>
      <c r="E29" s="96">
        <f>SUM(E25:E28)</f>
      </c>
      <c r="F29" s="96">
        <f>SUM(F25:F28)</f>
      </c>
      <c r="G29" s="96">
        <f>SUM(G25:G28)</f>
      </c>
      <c r="H29" s="96">
        <f>SUM(H25:H28)</f>
      </c>
      <c r="I29" s="96">
        <f>SUM(I25:I28)</f>
      </c>
      <c r="J29" s="96">
        <f>SUM(J25:J28)</f>
      </c>
      <c r="K29" s="96">
        <f>SUM(K25:K28)</f>
      </c>
      <c r="L29" s="96">
        <f>SUM(L25:L28)</f>
      </c>
      <c r="M29" s="96">
        <f>SUM(M25:M28)</f>
      </c>
      <c r="N29" s="96">
        <f>SUM(N25:N28)</f>
      </c>
      <c r="O29" s="96">
        <f>SUM(O25:O28)</f>
      </c>
      <c r="P29" s="96">
        <f>SUM(P25:P28)</f>
      </c>
      <c r="Q29" s="96">
        <f>SUM(Q25:Q28)</f>
      </c>
      <c r="R29" s="96">
        <f>SUM(R25:R28)</f>
      </c>
      <c r="S29" s="96">
        <f>SUM(S25:S28)</f>
      </c>
      <c r="T29" s="97">
        <f t="shared" si="2"/>
      </c>
      <c r="U29" s="97">
        <f t="shared" si="18"/>
      </c>
      <c r="V29" s="97">
        <f t="shared" si="14"/>
      </c>
      <c r="W29" s="97">
        <f t="shared" si="12"/>
      </c>
      <c r="X29" s="97">
        <f t="shared" si="3"/>
      </c>
      <c r="Y29" s="98">
        <f t="shared" si="19"/>
      </c>
      <c r="Z29" s="99">
        <f>SUM(Z25:Z28)</f>
      </c>
      <c r="AA29" s="99">
        <f>SUM(AA25:AA28)</f>
      </c>
      <c r="AB29" s="99"/>
      <c r="AC29" s="99">
        <f>SUM(AC25:AC28)</f>
      </c>
      <c r="AD29" s="99"/>
      <c r="AE29" s="99"/>
      <c r="AF29" s="99">
        <f>SUM(AF25:AF28)</f>
      </c>
      <c r="AG29" s="99">
        <f>SUM(AG25:AG28)</f>
      </c>
      <c r="AH29" s="99">
        <f>SUM(AH25:AH28)</f>
      </c>
      <c r="AI29" s="99">
        <f>SUM(AI25:AI28)</f>
      </c>
      <c r="AJ29" s="99">
        <f>SUM(AJ25:AJ28)</f>
      </c>
      <c r="AK29" s="99">
        <f>SUM(AK25:AK28)</f>
      </c>
      <c r="AL29" s="99">
        <f>SUM(AL25:AL28)</f>
      </c>
      <c r="AM29" s="99">
        <f>SUM(AM25:AM28)</f>
      </c>
      <c r="AN29" s="99">
        <f>SUM(AN25:AN28)</f>
      </c>
      <c r="AO29" s="98">
        <f t="shared" si="15"/>
      </c>
      <c r="AP29" s="98">
        <f t="shared" si="4"/>
      </c>
      <c r="AQ29" s="98">
        <f t="shared" si="16"/>
      </c>
      <c r="AR29" s="98">
        <f t="shared" si="0"/>
      </c>
      <c r="AS29" s="100">
        <f t="shared" si="17"/>
      </c>
      <c r="AT29" s="98">
        <f t="shared" si="1"/>
      </c>
      <c r="AU29" s="100">
        <f t="shared" si="13"/>
      </c>
      <c r="AV29" s="98">
        <f>F29/AL29</f>
      </c>
    </row>
    <row r="30">
      <c r="A30" s="81" t="s">
        <v>246</v>
      </c>
      <c r="B30" s="76" t="s">
        <v>221</v>
      </c>
      <c r="C30" s="76" t="s">
        <v>222</v>
      </c>
      <c r="D30" s="76">
        <v>5</v>
      </c>
      <c r="E30" s="83">
        <v>14</v>
      </c>
      <c r="F30" s="83">
        <v>7</v>
      </c>
      <c r="G30" s="83">
        <v>5</v>
      </c>
      <c r="H30" s="83">
        <v>7</v>
      </c>
      <c r="I30" s="94">
        <v>462.45000000000005</v>
      </c>
      <c r="J30" s="83">
        <v>0</v>
      </c>
      <c r="K30" s="83">
        <v>0</v>
      </c>
      <c r="L30" s="83">
        <v>5</v>
      </c>
      <c r="M30" s="94">
        <v>2611.8</v>
      </c>
      <c r="N30" s="83">
        <v>2</v>
      </c>
      <c r="O30" s="83">
        <v>2937.6000000000004</v>
      </c>
      <c r="P30" s="83">
        <v>1</v>
      </c>
      <c r="Q30" s="83">
        <v>44.53</v>
      </c>
      <c r="R30" s="76">
        <f t="shared" ref="R30:R33" si="11">(I30*12)+K30</f>
      </c>
      <c r="S30" s="101">
        <v>8225.822</v>
      </c>
      <c r="T30" s="85">
        <f t="shared" si="2"/>
      </c>
      <c r="U30" s="86">
        <f t="shared" si="18"/>
      </c>
      <c r="V30" s="86">
        <f t="shared" si="14"/>
      </c>
      <c r="W30" s="87">
        <f t="shared" si="12"/>
      </c>
      <c r="X30" s="87">
        <f t="shared" si="3"/>
      </c>
      <c r="Y30" s="87">
        <f t="shared" si="19"/>
      </c>
      <c r="Z30" s="78">
        <v>2</v>
      </c>
      <c r="AA30" s="78">
        <v>2</v>
      </c>
      <c r="AB30" s="94" t="s">
        <v>231</v>
      </c>
      <c r="AC30" s="94">
        <v>6</v>
      </c>
      <c r="AD30" s="94" t="s">
        <v>224</v>
      </c>
      <c r="AE30" s="83">
        <v>15</v>
      </c>
      <c r="AF30" s="93">
        <v>339446</v>
      </c>
      <c r="AG30" s="94">
        <v>770</v>
      </c>
      <c r="AH30" s="94">
        <v>258162</v>
      </c>
      <c r="AI30" s="94">
        <v>29037</v>
      </c>
      <c r="AJ30" s="94">
        <v>2115</v>
      </c>
      <c r="AK30" s="94">
        <v>354</v>
      </c>
      <c r="AL30" s="94">
        <v>830</v>
      </c>
      <c r="AM30" s="94">
        <v>43</v>
      </c>
      <c r="AN30" s="89"/>
      <c r="AO30" s="87">
        <f t="shared" si="15"/>
      </c>
      <c r="AP30" s="87">
        <f t="shared" si="4"/>
      </c>
      <c r="AQ30" s="87">
        <f t="shared" si="16"/>
      </c>
      <c r="AR30" s="90">
        <f t="shared" si="0"/>
      </c>
      <c r="AS30" s="91">
        <f t="shared" si="17"/>
      </c>
    </row>
    <row r="31">
      <c r="A31" s="81" t="s">
        <v>246</v>
      </c>
      <c r="B31" s="76" t="s">
        <v>241</v>
      </c>
      <c r="C31" s="78" t="s">
        <v>234</v>
      </c>
      <c r="D31" s="78">
        <v>3</v>
      </c>
      <c r="E31" s="83">
        <v>14</v>
      </c>
      <c r="F31" s="83">
        <v>5</v>
      </c>
      <c r="G31" s="83">
        <v>5</v>
      </c>
      <c r="H31" s="83">
        <v>4</v>
      </c>
      <c r="I31" s="83">
        <v>392.02</v>
      </c>
      <c r="J31" s="83">
        <v>1</v>
      </c>
      <c r="K31" s="83">
        <v>2301</v>
      </c>
      <c r="L31" s="83">
        <v>2</v>
      </c>
      <c r="M31" s="94">
        <v>565.5600000000001</v>
      </c>
      <c r="N31" s="83">
        <v>3</v>
      </c>
      <c r="O31" s="94">
        <v>6439.68</v>
      </c>
      <c r="P31" s="83">
        <v>1</v>
      </c>
      <c r="Q31" s="83">
        <v>197.29</v>
      </c>
      <c r="R31" s="76">
        <f t="shared" si="11"/>
      </c>
      <c r="S31" s="102">
        <v>6356.650000000001</v>
      </c>
      <c r="T31" s="85">
        <f t="shared" si="2"/>
      </c>
      <c r="U31" s="86">
        <f t="shared" si="18"/>
      </c>
      <c r="V31" s="86">
        <f t="shared" si="14"/>
      </c>
      <c r="W31" s="87">
        <f t="shared" si="12"/>
      </c>
      <c r="X31" s="87">
        <f t="shared" si="3"/>
      </c>
      <c r="Y31" s="87">
        <f t="shared" si="19"/>
      </c>
      <c r="Z31" s="78">
        <v>0</v>
      </c>
      <c r="AA31" s="78">
        <v>0</v>
      </c>
      <c r="AB31" s="94" t="s">
        <v>223</v>
      </c>
      <c r="AC31" s="94">
        <v>1</v>
      </c>
      <c r="AD31" s="94"/>
      <c r="AE31" s="94"/>
      <c r="AF31" s="93">
        <v>83100</v>
      </c>
      <c r="AG31" s="94">
        <v>369</v>
      </c>
      <c r="AH31" s="93">
        <v>90073</v>
      </c>
      <c r="AI31" s="94">
        <v>11574</v>
      </c>
      <c r="AJ31" s="94">
        <v>694</v>
      </c>
      <c r="AK31" s="94">
        <v>364</v>
      </c>
      <c r="AL31" s="94">
        <v>1060</v>
      </c>
      <c r="AM31" s="94">
        <v>22</v>
      </c>
      <c r="AN31" s="89"/>
      <c r="AO31" s="87">
        <f t="shared" si="15"/>
      </c>
      <c r="AP31" s="87">
        <f t="shared" si="4"/>
      </c>
      <c r="AQ31" s="87">
        <f t="shared" si="16"/>
      </c>
      <c r="AR31" s="90">
        <f t="shared" si="0"/>
      </c>
      <c r="AS31" s="91">
        <f t="shared" si="17"/>
      </c>
    </row>
    <row r="32">
      <c r="A32" s="81" t="s">
        <v>246</v>
      </c>
      <c r="B32" s="78" t="s">
        <v>247</v>
      </c>
      <c r="C32" s="76" t="s">
        <v>236</v>
      </c>
      <c r="D32" s="78">
        <v>2</v>
      </c>
      <c r="E32" s="83">
        <v>3</v>
      </c>
      <c r="F32" s="83">
        <v>1</v>
      </c>
      <c r="G32" s="83">
        <v>1</v>
      </c>
      <c r="H32" s="83">
        <v>1</v>
      </c>
      <c r="I32" s="83">
        <v>54.81</v>
      </c>
      <c r="J32" s="83">
        <v>0</v>
      </c>
      <c r="K32" s="83">
        <v>0</v>
      </c>
      <c r="L32" s="83">
        <v>0</v>
      </c>
      <c r="M32" s="83">
        <v>0</v>
      </c>
      <c r="N32" s="83">
        <v>1</v>
      </c>
      <c r="O32" s="83">
        <v>657.72</v>
      </c>
      <c r="P32" s="83">
        <v>0</v>
      </c>
      <c r="Q32" s="83">
        <v>0</v>
      </c>
      <c r="R32" s="76">
        <f t="shared" si="11"/>
      </c>
      <c r="S32" s="102">
        <v>3479.346</v>
      </c>
      <c r="T32" s="85">
        <f t="shared" si="2"/>
      </c>
      <c r="U32" s="86">
        <f t="shared" si="18"/>
      </c>
      <c r="V32" s="86">
        <f t="shared" si="14"/>
      </c>
      <c r="W32" s="87">
        <f t="shared" si="12"/>
      </c>
      <c r="X32" s="87">
        <f t="shared" si="3"/>
      </c>
      <c r="Y32" s="87">
        <f t="shared" si="19"/>
      </c>
      <c r="Z32" s="78">
        <v>0</v>
      </c>
      <c r="AA32" s="78">
        <v>0</v>
      </c>
      <c r="AB32" s="83" t="s">
        <v>229</v>
      </c>
      <c r="AC32" s="83">
        <v>8</v>
      </c>
      <c r="AD32" s="94"/>
      <c r="AE32" s="94"/>
      <c r="AF32" s="94">
        <v>175372</v>
      </c>
      <c r="AG32" s="94">
        <v>819</v>
      </c>
      <c r="AH32" s="94">
        <v>175664</v>
      </c>
      <c r="AI32" s="94">
        <v>22295</v>
      </c>
      <c r="AJ32" s="94">
        <v>1480</v>
      </c>
      <c r="AK32" s="94">
        <v>272</v>
      </c>
      <c r="AL32" s="94">
        <v>628</v>
      </c>
      <c r="AM32" s="94">
        <v>11</v>
      </c>
      <c r="AN32" s="89"/>
      <c r="AO32" s="87">
        <f t="shared" si="15"/>
      </c>
      <c r="AP32" s="87">
        <f t="shared" si="4"/>
      </c>
      <c r="AQ32" s="87">
        <f t="shared" si="16"/>
      </c>
      <c r="AR32" s="90">
        <f t="shared" si="0"/>
      </c>
      <c r="AS32" s="91">
        <f t="shared" si="17"/>
      </c>
    </row>
    <row r="33">
      <c r="A33" s="81" t="s">
        <v>246</v>
      </c>
      <c r="B33" s="76" t="s">
        <v>227</v>
      </c>
      <c r="C33" s="76" t="s">
        <v>228</v>
      </c>
      <c r="D33" s="78">
        <v>5</v>
      </c>
      <c r="E33" s="83">
        <v>32</v>
      </c>
      <c r="F33" s="83">
        <v>22</v>
      </c>
      <c r="G33" s="83">
        <v>19</v>
      </c>
      <c r="H33" s="83">
        <v>19</v>
      </c>
      <c r="I33" s="94">
        <v>2495.86</v>
      </c>
      <c r="J33" s="83">
        <v>3</v>
      </c>
      <c r="K33" s="83">
        <v>6205</v>
      </c>
      <c r="L33" s="83">
        <v>13</v>
      </c>
      <c r="M33" s="94">
        <v>9735.520000000002</v>
      </c>
      <c r="N33" s="83">
        <v>9</v>
      </c>
      <c r="O33" s="94">
        <v>26419.8</v>
      </c>
      <c r="P33" s="83">
        <v>4</v>
      </c>
      <c r="Q33" s="83">
        <v>531.29</v>
      </c>
      <c r="R33" s="76">
        <f t="shared" si="11"/>
      </c>
      <c r="S33" s="101">
        <v>19010.672</v>
      </c>
      <c r="T33" s="85">
        <f t="shared" si="2"/>
      </c>
      <c r="U33" s="86">
        <f t="shared" si="18"/>
      </c>
      <c r="V33" s="86">
        <f t="shared" si="14"/>
      </c>
      <c r="W33" s="87">
        <f t="shared" si="12"/>
      </c>
      <c r="X33" s="87">
        <f t="shared" si="3"/>
      </c>
      <c r="Y33" s="87">
        <f t="shared" si="19"/>
      </c>
      <c r="Z33" s="78">
        <v>4</v>
      </c>
      <c r="AA33" s="78">
        <v>4</v>
      </c>
      <c r="AB33" s="94"/>
      <c r="AC33" s="94"/>
      <c r="AD33" s="94"/>
      <c r="AE33" s="94"/>
      <c r="AF33" s="94">
        <v>908435</v>
      </c>
      <c r="AG33" s="94">
        <v>3505</v>
      </c>
      <c r="AH33" s="94">
        <v>958340</v>
      </c>
      <c r="AI33" s="94">
        <v>81588</v>
      </c>
      <c r="AJ33" s="94">
        <v>5780</v>
      </c>
      <c r="AK33" s="94">
        <v>971</v>
      </c>
      <c r="AL33" s="94">
        <v>1942</v>
      </c>
      <c r="AM33" s="94">
        <v>74</v>
      </c>
      <c r="AN33" s="89"/>
      <c r="AO33" s="87">
        <f t="shared" si="15"/>
      </c>
      <c r="AP33" s="87">
        <f t="shared" si="4"/>
      </c>
      <c r="AQ33" s="87">
        <f t="shared" si="16"/>
      </c>
      <c r="AR33" s="90">
        <f t="shared" si="0"/>
      </c>
      <c r="AS33" s="91">
        <f t="shared" si="17"/>
      </c>
    </row>
    <row r="34">
      <c r="A34" s="95" t="s">
        <v>246</v>
      </c>
      <c r="B34" s="96"/>
      <c r="C34" s="96"/>
      <c r="D34" s="96">
        <f>SUM(D30:D33)</f>
      </c>
      <c r="E34" s="96">
        <f>SUM(E30:E33)</f>
      </c>
      <c r="F34" s="96">
        <f>SUM(F30:F33)</f>
      </c>
      <c r="G34" s="96">
        <f>SUM(G30:G33)</f>
      </c>
      <c r="H34" s="96">
        <f>SUM(H30:H33)</f>
      </c>
      <c r="I34" s="96">
        <f>SUM(I30:I33)</f>
      </c>
      <c r="J34" s="96">
        <f>SUM(J30:J33)</f>
      </c>
      <c r="K34" s="96">
        <f>SUM(K30:K33)</f>
      </c>
      <c r="L34" s="96">
        <f>SUM(L30:L33)</f>
      </c>
      <c r="M34" s="96">
        <f>SUM(M30:M33)</f>
      </c>
      <c r="N34" s="96">
        <f>SUM(N30:N33)</f>
      </c>
      <c r="O34" s="96">
        <f>SUM(O30:O33)</f>
      </c>
      <c r="P34" s="96">
        <f>SUM(P30:P33)</f>
      </c>
      <c r="Q34" s="96">
        <f>SUM(Q30:Q33)</f>
      </c>
      <c r="R34" s="96">
        <f>SUM(R30:R33)</f>
      </c>
      <c r="S34" s="96">
        <f>SUM(S30:S33)</f>
      </c>
      <c r="T34" s="97">
        <f t="shared" si="2"/>
      </c>
      <c r="U34" s="97">
        <f t="shared" si="18"/>
      </c>
      <c r="V34" s="97">
        <f t="shared" si="14"/>
      </c>
      <c r="W34" s="97">
        <f t="shared" si="12"/>
      </c>
      <c r="X34" s="97">
        <f t="shared" si="3"/>
      </c>
      <c r="Y34" s="98">
        <f t="shared" si="19"/>
      </c>
      <c r="Z34" s="99">
        <f>SUM(Z30:Z33)</f>
      </c>
      <c r="AA34" s="99">
        <f>SUM(AA30:AA33)</f>
      </c>
      <c r="AB34" s="99"/>
      <c r="AC34" s="99">
        <f>SUM(AC30:AC33)</f>
      </c>
      <c r="AD34" s="99"/>
      <c r="AE34" s="99"/>
      <c r="AF34" s="99">
        <f>SUM(AF30:AF33)</f>
      </c>
      <c r="AG34" s="99">
        <f>SUM(AG30:AG33)</f>
      </c>
      <c r="AH34" s="99">
        <f>SUM(AH30:AH33)</f>
      </c>
      <c r="AI34" s="99">
        <f>SUM(AI30:AI33)</f>
      </c>
      <c r="AJ34" s="99">
        <f>SUM(AJ30:AJ33)</f>
      </c>
      <c r="AK34" s="99">
        <f>SUM(AK30:AK33)</f>
      </c>
      <c r="AL34" s="99">
        <f>SUM(AL30:AL33)</f>
      </c>
      <c r="AM34" s="99">
        <f>SUM(AM30:AM33)</f>
      </c>
      <c r="AN34" s="99">
        <f>SUM(AN30:AN33)</f>
      </c>
      <c r="AO34" s="98">
        <f t="shared" si="15"/>
      </c>
      <c r="AP34" s="98">
        <f t="shared" si="4"/>
      </c>
      <c r="AQ34" s="98">
        <f t="shared" si="16"/>
      </c>
      <c r="AR34" s="98">
        <f t="shared" si="0"/>
      </c>
      <c r="AS34" s="100">
        <f t="shared" si="17"/>
      </c>
    </row>
    <row r="35"/>
    <row r="36"/>
    <row r="37"/>
    <row r="38"/>
    <row r="39"/>
    <row r="40"/>
    <row r="41"/>
    <row r="42"/>
    <row r="43"/>
    <row r="44"/>
    <row r="45">
      <c r="K45">
        <f>K44/H44</f>
      </c>
    </row>
  </sheetData>
  <autoFilter ref="A1:AV200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1" min="11" style="0" width="12.64480633802817"/>
    <col collapsed="false" customWidth="true" hidden="false" max="13" min="13" style="0" width="12.64480633802817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12" min="12" style="0" width="12.64480633802817"/>
    <col collapsed="false" customWidth="true" hidden="false" max="6" min="6" style="0" width="11.211267605633802"/>
    <col collapsed="false" customWidth="true" hidden="false" max="10" min="10" style="0" width="11.211267605633802"/>
  </cols>
  <sheetData>
    <row r="1">
      <c r="A1" s="103" t="s">
        <v>248</v>
      </c>
      <c r="B1" s="103" t="s">
        <v>249</v>
      </c>
      <c r="C1" s="103" t="s">
        <v>250</v>
      </c>
      <c r="D1" s="103" t="s">
        <v>251</v>
      </c>
      <c r="E1" s="103" t="s">
        <v>252</v>
      </c>
      <c r="F1" s="103" t="s">
        <v>253</v>
      </c>
      <c r="G1" s="103" t="s">
        <v>254</v>
      </c>
      <c r="H1" s="104" t="s">
        <v>255</v>
      </c>
      <c r="I1" s="104" t="s">
        <v>256</v>
      </c>
      <c r="J1" s="104" t="s">
        <v>257</v>
      </c>
      <c r="K1" s="104" t="s">
        <v>258</v>
      </c>
      <c r="L1" s="105" t="s">
        <v>259</v>
      </c>
      <c r="M1" s="105" t="s">
        <v>260</v>
      </c>
      <c r="N1" s="105" t="s">
        <v>261</v>
      </c>
      <c r="O1" s="105" t="s">
        <v>262</v>
      </c>
      <c r="P1" s="104" t="s">
        <v>263</v>
      </c>
      <c r="Q1" s="103" t="s">
        <v>264</v>
      </c>
      <c r="R1" s="103" t="s">
        <v>265</v>
      </c>
      <c r="S1" s="103" t="s">
        <v>266</v>
      </c>
      <c r="T1" s="103" t="s">
        <v>267</v>
      </c>
      <c r="U1" s="103" t="s">
        <v>268</v>
      </c>
      <c r="V1" s="103" t="s">
        <v>269</v>
      </c>
      <c r="W1" s="105" t="s">
        <v>270</v>
      </c>
      <c r="X1" s="105" t="s">
        <v>271</v>
      </c>
      <c r="Y1" s="103" t="s">
        <v>272</v>
      </c>
      <c r="Z1" s="105" t="s">
        <v>273</v>
      </c>
      <c r="AA1" s="103" t="s">
        <v>274</v>
      </c>
      <c r="AB1" s="103" t="s">
        <v>275</v>
      </c>
      <c r="AC1" s="103" t="s">
        <v>276</v>
      </c>
      <c r="AD1" s="105" t="s">
        <v>277</v>
      </c>
      <c r="AE1" s="105" t="s">
        <v>276</v>
      </c>
      <c r="AF1" s="103" t="s">
        <v>278</v>
      </c>
      <c r="AG1" s="103" t="s">
        <v>251</v>
      </c>
      <c r="AH1" s="106" t="s">
        <v>279</v>
      </c>
      <c r="AI1" s="106" t="s">
        <v>280</v>
      </c>
      <c r="AJ1" s="106" t="s">
        <v>281</v>
      </c>
      <c r="AK1" s="106" t="s">
        <v>282</v>
      </c>
      <c r="AL1" s="106" t="s">
        <v>283</v>
      </c>
      <c r="AM1" s="106" t="s">
        <v>284</v>
      </c>
      <c r="AN1" s="106" t="s">
        <v>285</v>
      </c>
      <c r="AO1" s="106" t="s">
        <v>286</v>
      </c>
      <c r="AP1" s="106" t="s">
        <v>287</v>
      </c>
      <c r="AQ1" s="107" t="s">
        <v>288</v>
      </c>
      <c r="AR1" s="107" t="s">
        <v>289</v>
      </c>
      <c r="AS1" s="107" t="s">
        <v>290</v>
      </c>
      <c r="AT1" s="107" t="s">
        <v>291</v>
      </c>
      <c r="AU1" s="107" t="s">
        <v>292</v>
      </c>
      <c r="AV1" s="107" t="s">
        <v>293</v>
      </c>
    </row>
    <row r="2">
      <c r="A2" s="108" t="s">
        <v>294</v>
      </c>
      <c r="B2" s="109" t="s">
        <v>295</v>
      </c>
      <c r="C2" s="109" t="s">
        <v>296</v>
      </c>
      <c r="D2" s="109">
        <v>3</v>
      </c>
      <c r="E2" s="110">
        <v>5</v>
      </c>
      <c r="F2" s="111">
        <f t="shared" ref="F2:F3" si="0">H2+J2</f>
      </c>
      <c r="G2" s="110">
        <v>1</v>
      </c>
      <c r="H2" s="110">
        <v>2</v>
      </c>
      <c r="I2" s="110">
        <v>164.82</v>
      </c>
      <c r="J2" s="110">
        <v>0</v>
      </c>
      <c r="K2" s="110">
        <v>0</v>
      </c>
      <c r="L2" s="110">
        <v>1</v>
      </c>
      <c r="M2" s="110">
        <v>206.64</v>
      </c>
      <c r="N2" s="110">
        <v>1</v>
      </c>
      <c r="O2" s="110">
        <v>1771.1999999999998</v>
      </c>
      <c r="P2" s="110">
        <v>0</v>
      </c>
      <c r="Q2" s="110">
        <v>0</v>
      </c>
      <c r="R2" s="112">
        <f t="shared" ref="R2:R3" si="25">(I2*12)+K2</f>
      </c>
      <c r="S2" s="113">
        <v>3073.022</v>
      </c>
      <c r="T2" s="114">
        <f t="shared" ref="T2:T9" si="19">R2/S2</f>
      </c>
      <c r="U2" s="115">
        <f t="shared" ref="U2:U9" si="11">R2/F2</f>
      </c>
      <c r="V2" s="115">
        <f t="shared" ref="V2:V9" si="7">S2/F2</f>
      </c>
      <c r="W2" s="116">
        <f t="shared" ref="W2:W9" si="32">Z2/F2</f>
      </c>
      <c r="X2" s="116">
        <f t="shared" ref="X2:X9" si="21">AA2/F2</f>
      </c>
      <c r="Y2" s="116">
        <f t="shared" ref="Y2:Y9" si="13">P2/F2</f>
      </c>
      <c r="Z2" s="109">
        <v>1</v>
      </c>
      <c r="AA2" s="109">
        <v>1</v>
      </c>
      <c r="AB2" s="110" t="s">
        <v>297</v>
      </c>
      <c r="AC2" s="110">
        <v>7</v>
      </c>
      <c r="AD2" s="110" t="s">
        <v>298</v>
      </c>
      <c r="AE2" s="110">
        <v>8</v>
      </c>
      <c r="AF2" s="117">
        <v>50619</v>
      </c>
      <c r="AG2" s="111">
        <v>111</v>
      </c>
      <c r="AH2" s="117">
        <v>56092</v>
      </c>
      <c r="AI2" s="111">
        <v>4096</v>
      </c>
      <c r="AJ2" s="111">
        <v>580</v>
      </c>
      <c r="AK2" s="111">
        <v>70</v>
      </c>
      <c r="AL2" s="111">
        <v>210</v>
      </c>
      <c r="AM2" s="111">
        <v>3</v>
      </c>
      <c r="AN2" s="118"/>
      <c r="AO2" s="116">
        <f t="shared" ref="AO2:AO9" si="15">AG2/AF2</f>
      </c>
      <c r="AP2" s="116">
        <f t="shared" ref="AP2:AP9" si="9">(AK2+AL2+AM2)/AH2</f>
      </c>
      <c r="AQ2" s="116">
        <f t="shared" ref="AQ2:AQ9" si="17">AI2/AH2</f>
      </c>
      <c r="AR2" s="119">
        <f t="shared" ref="AR2:AR9" si="34">AL2/AH2</f>
      </c>
      <c r="AS2" s="120">
        <f t="shared" ref="AS2:AS9" si="23">S2/AJ2</f>
      </c>
      <c r="AT2" s="121"/>
    </row>
    <row r="3">
      <c r="A3" s="108" t="s">
        <v>294</v>
      </c>
      <c r="B3" s="109" t="s">
        <v>299</v>
      </c>
      <c r="C3" s="109" t="s">
        <v>300</v>
      </c>
      <c r="D3" s="109">
        <v>5</v>
      </c>
      <c r="E3" s="110">
        <v>22</v>
      </c>
      <c r="F3" s="111">
        <f t="shared" si="0"/>
      </c>
      <c r="G3" s="110">
        <v>10</v>
      </c>
      <c r="H3" s="110">
        <v>8</v>
      </c>
      <c r="I3" s="111">
        <v>1666.8999999999999</v>
      </c>
      <c r="J3" s="110">
        <v>4</v>
      </c>
      <c r="K3" s="110">
        <v>7145.5</v>
      </c>
      <c r="L3" s="110">
        <v>2</v>
      </c>
      <c r="M3" s="110">
        <v>1759</v>
      </c>
      <c r="N3" s="110">
        <v>10</v>
      </c>
      <c r="O3" s="111">
        <v>25389.3</v>
      </c>
      <c r="P3" s="110">
        <v>2</v>
      </c>
      <c r="Q3" s="110">
        <v>281.48</v>
      </c>
      <c r="R3" s="112">
        <f t="shared" si="25"/>
      </c>
      <c r="S3" s="113">
        <v>7197.709000000001</v>
      </c>
      <c r="T3" s="114">
        <f t="shared" si="19"/>
      </c>
      <c r="U3" s="115">
        <f t="shared" si="11"/>
      </c>
      <c r="V3" s="115">
        <f t="shared" si="7"/>
      </c>
      <c r="W3" s="116">
        <f t="shared" si="32"/>
      </c>
      <c r="X3" s="116">
        <f t="shared" si="21"/>
      </c>
      <c r="Y3" s="116">
        <f t="shared" si="13"/>
      </c>
      <c r="Z3" s="109">
        <v>1</v>
      </c>
      <c r="AA3" s="109">
        <v>1</v>
      </c>
      <c r="AB3" s="110" t="s">
        <v>301</v>
      </c>
      <c r="AC3" s="110">
        <v>1</v>
      </c>
      <c r="AD3" s="111"/>
      <c r="AE3" s="111"/>
      <c r="AF3" s="111">
        <v>40916</v>
      </c>
      <c r="AG3" s="111">
        <v>74</v>
      </c>
      <c r="AH3" s="111">
        <v>48420</v>
      </c>
      <c r="AI3" s="111">
        <v>2922</v>
      </c>
      <c r="AJ3" s="111">
        <v>389</v>
      </c>
      <c r="AK3" s="111">
        <v>42</v>
      </c>
      <c r="AL3" s="111">
        <v>118</v>
      </c>
      <c r="AM3" s="111">
        <v>4</v>
      </c>
      <c r="AN3" s="118"/>
      <c r="AO3" s="116">
        <f t="shared" si="15"/>
      </c>
      <c r="AP3" s="116">
        <f t="shared" si="9"/>
      </c>
      <c r="AQ3" s="116">
        <f t="shared" si="17"/>
      </c>
      <c r="AR3" s="119">
        <f t="shared" si="34"/>
      </c>
      <c r="AS3" s="120">
        <f t="shared" si="23"/>
      </c>
      <c r="AT3" s="121"/>
    </row>
    <row r="4">
      <c r="A4" s="122" t="s">
        <v>294</v>
      </c>
      <c r="B4" s="123"/>
      <c r="C4" s="123"/>
      <c r="D4" s="123">
        <f>SUM(D2:D3)</f>
      </c>
      <c r="E4" s="123">
        <f>SUM(E2:E3)</f>
      </c>
      <c r="F4" s="123">
        <f>SUM(F2:F3)</f>
      </c>
      <c r="G4" s="123">
        <f>SUM(G2:G3)</f>
      </c>
      <c r="H4" s="123">
        <f>SUM(H2:H3)</f>
      </c>
      <c r="I4" s="123">
        <f>SUM(I2:I3)</f>
      </c>
      <c r="J4" s="123">
        <f>SUM(J2:J3)</f>
      </c>
      <c r="K4" s="123">
        <f>SUM(K2:K3)</f>
      </c>
      <c r="L4" s="123">
        <f>SUM(L2:L3)</f>
      </c>
      <c r="M4" s="123">
        <f>SUM(M2:M3)</f>
      </c>
      <c r="N4" s="123">
        <f>SUM(N2:N3)</f>
      </c>
      <c r="O4" s="123">
        <f>SUM(O2:O3)</f>
      </c>
      <c r="P4" s="123">
        <f>SUM(P2:P3)</f>
      </c>
      <c r="Q4" s="123">
        <f>SUM(Q2:Q3)</f>
      </c>
      <c r="R4" s="123">
        <f>SUM(R2:R3)</f>
      </c>
      <c r="S4" s="124">
        <f>SUM(S2:S3)</f>
      </c>
      <c r="T4" s="125">
        <f t="shared" si="19"/>
      </c>
      <c r="U4" s="125">
        <f t="shared" si="11"/>
      </c>
      <c r="V4" s="125">
        <f t="shared" si="7"/>
      </c>
      <c r="W4" s="125">
        <f t="shared" si="32"/>
      </c>
      <c r="X4" s="125">
        <f t="shared" si="21"/>
      </c>
      <c r="Y4" s="126">
        <f t="shared" si="13"/>
      </c>
      <c r="Z4" s="127">
        <f>SUM(Z2:Z3)</f>
      </c>
      <c r="AA4" s="127">
        <f>SUM(AA2:AA3)</f>
      </c>
      <c r="AB4" s="127"/>
      <c r="AC4" s="127">
        <f>SUM(AC2:AC3)</f>
      </c>
      <c r="AD4" s="127"/>
      <c r="AE4" s="127"/>
      <c r="AF4" s="127">
        <f>SUM(AF2:AF3)</f>
      </c>
      <c r="AG4" s="127">
        <f>SUM(AG2:AG3)</f>
      </c>
      <c r="AH4" s="127">
        <f>SUM(AH2:AH3)</f>
      </c>
      <c r="AI4" s="127">
        <f>SUM(AI2:AI3)</f>
      </c>
      <c r="AJ4" s="127">
        <f>SUM(AJ2:AJ3)</f>
      </c>
      <c r="AK4" s="127">
        <f>SUM(AK2:AK3)</f>
      </c>
      <c r="AL4" s="127">
        <f>SUM(AL2:AL3)</f>
      </c>
      <c r="AM4" s="127">
        <f>SUM(AM2:AM3)</f>
      </c>
      <c r="AN4" s="127">
        <f>SUM(AN2:AN3)</f>
      </c>
      <c r="AO4" s="126">
        <f t="shared" si="15"/>
      </c>
      <c r="AP4" s="126">
        <f t="shared" si="9"/>
      </c>
      <c r="AQ4" s="126">
        <f t="shared" si="17"/>
      </c>
      <c r="AR4" s="126">
        <f t="shared" si="34"/>
      </c>
      <c r="AS4" s="128">
        <f t="shared" si="23"/>
      </c>
      <c r="AT4" s="126">
        <f>F4/AJ4</f>
      </c>
    </row>
    <row r="5">
      <c r="A5" s="108" t="s">
        <v>302</v>
      </c>
      <c r="B5" s="109" t="s">
        <v>295</v>
      </c>
      <c r="C5" s="109" t="s">
        <v>303</v>
      </c>
      <c r="D5" s="109">
        <v>5</v>
      </c>
      <c r="E5" s="110">
        <v>8</v>
      </c>
      <c r="F5" s="111">
        <f t="shared" ref="F5:F6" si="1">H5+J5</f>
      </c>
      <c r="G5" s="110">
        <v>4</v>
      </c>
      <c r="H5" s="110">
        <v>3</v>
      </c>
      <c r="I5" s="110">
        <v>193.31</v>
      </c>
      <c r="J5" s="110">
        <v>1</v>
      </c>
      <c r="K5" s="110">
        <v>548</v>
      </c>
      <c r="L5" s="110">
        <v>3</v>
      </c>
      <c r="M5" s="110">
        <v>1924.88</v>
      </c>
      <c r="N5" s="110">
        <v>1</v>
      </c>
      <c r="O5" s="110">
        <v>942.8399999999999</v>
      </c>
      <c r="P5" s="110">
        <v>1</v>
      </c>
      <c r="Q5" s="110">
        <v>99.03</v>
      </c>
      <c r="R5" s="112">
        <f t="shared" ref="R5:R6" si="26">(I5*12)+K5</f>
      </c>
      <c r="S5" s="113">
        <v>5038.536</v>
      </c>
      <c r="T5" s="114">
        <f t="shared" si="19"/>
      </c>
      <c r="U5" s="115">
        <f t="shared" si="11"/>
      </c>
      <c r="V5" s="115">
        <f t="shared" si="7"/>
      </c>
      <c r="W5" s="116">
        <f t="shared" si="32"/>
      </c>
      <c r="X5" s="116">
        <f t="shared" si="21"/>
      </c>
      <c r="Y5" s="116">
        <f t="shared" si="13"/>
      </c>
      <c r="Z5" s="109">
        <v>2</v>
      </c>
      <c r="AA5" s="109">
        <v>2</v>
      </c>
      <c r="AB5" s="110" t="s">
        <v>304</v>
      </c>
      <c r="AC5" s="110">
        <v>2</v>
      </c>
      <c r="AD5" s="110" t="s">
        <v>298</v>
      </c>
      <c r="AE5" s="110">
        <v>10</v>
      </c>
      <c r="AF5" s="117">
        <v>100012</v>
      </c>
      <c r="AG5" s="111">
        <v>496</v>
      </c>
      <c r="AH5" s="117">
        <v>57943</v>
      </c>
      <c r="AI5" s="111">
        <v>3951</v>
      </c>
      <c r="AJ5" s="111">
        <v>1079</v>
      </c>
      <c r="AK5" s="111">
        <v>74</v>
      </c>
      <c r="AL5" s="111">
        <v>206</v>
      </c>
      <c r="AM5" s="111">
        <v>7</v>
      </c>
      <c r="AN5" s="118"/>
      <c r="AO5" s="116">
        <f t="shared" si="15"/>
      </c>
      <c r="AP5" s="116">
        <f t="shared" si="9"/>
      </c>
      <c r="AQ5" s="116">
        <f t="shared" si="17"/>
      </c>
      <c r="AR5" s="119">
        <f t="shared" si="34"/>
      </c>
      <c r="AS5" s="120">
        <f t="shared" si="23"/>
      </c>
      <c r="AT5" s="121"/>
    </row>
    <row r="6">
      <c r="A6" s="108" t="s">
        <v>302</v>
      </c>
      <c r="B6" s="109" t="s">
        <v>299</v>
      </c>
      <c r="C6" s="109" t="s">
        <v>300</v>
      </c>
      <c r="D6" s="109">
        <v>5</v>
      </c>
      <c r="E6" s="110">
        <v>16</v>
      </c>
      <c r="F6" s="111">
        <f t="shared" si="1"/>
      </c>
      <c r="G6" s="110">
        <v>5</v>
      </c>
      <c r="H6" s="110">
        <v>8</v>
      </c>
      <c r="I6" s="111">
        <v>1259.6499999999999</v>
      </c>
      <c r="J6" s="110">
        <v>0</v>
      </c>
      <c r="K6" s="110">
        <v>0</v>
      </c>
      <c r="L6" s="110">
        <v>3</v>
      </c>
      <c r="M6" s="110">
        <v>2586.4800000000005</v>
      </c>
      <c r="N6" s="110">
        <v>5</v>
      </c>
      <c r="O6" s="111">
        <v>12529.32</v>
      </c>
      <c r="P6" s="110">
        <v>2</v>
      </c>
      <c r="Q6" s="110">
        <v>200.5</v>
      </c>
      <c r="R6" s="112">
        <f t="shared" si="26"/>
      </c>
      <c r="S6" s="113">
        <v>8260.655</v>
      </c>
      <c r="T6" s="114">
        <f t="shared" si="19"/>
      </c>
      <c r="U6" s="115">
        <f t="shared" si="11"/>
      </c>
      <c r="V6" s="115">
        <f t="shared" si="7"/>
      </c>
      <c r="W6" s="116">
        <f t="shared" si="32"/>
      </c>
      <c r="X6" s="116">
        <f t="shared" si="21"/>
      </c>
      <c r="Y6" s="116">
        <f t="shared" si="13"/>
      </c>
      <c r="Z6" s="109">
        <v>4</v>
      </c>
      <c r="AA6" s="109">
        <v>4</v>
      </c>
      <c r="AB6" s="110" t="s">
        <v>297</v>
      </c>
      <c r="AC6" s="110">
        <v>8</v>
      </c>
      <c r="AD6" s="111"/>
      <c r="AE6" s="111"/>
      <c r="AF6" s="111">
        <v>196213</v>
      </c>
      <c r="AG6" s="111">
        <v>1975</v>
      </c>
      <c r="AH6" s="111">
        <v>127064</v>
      </c>
      <c r="AI6" s="111">
        <v>6116</v>
      </c>
      <c r="AJ6" s="111">
        <v>1838</v>
      </c>
      <c r="AK6" s="111">
        <v>70</v>
      </c>
      <c r="AL6" s="111">
        <v>273</v>
      </c>
      <c r="AM6" s="111">
        <v>11</v>
      </c>
      <c r="AN6" s="118"/>
      <c r="AO6" s="116">
        <f t="shared" si="15"/>
      </c>
      <c r="AP6" s="116">
        <f t="shared" si="9"/>
      </c>
      <c r="AQ6" s="116">
        <f t="shared" si="17"/>
      </c>
      <c r="AR6" s="119">
        <f t="shared" si="34"/>
      </c>
      <c r="AS6" s="120">
        <f t="shared" si="23"/>
      </c>
      <c r="AT6" s="121"/>
    </row>
    <row r="7">
      <c r="A7" s="122" t="s">
        <v>302</v>
      </c>
      <c r="B7" s="123"/>
      <c r="C7" s="123"/>
      <c r="D7" s="123">
        <f>SUM(D5:D6)</f>
      </c>
      <c r="E7" s="123">
        <f>SUM(E5:E6)</f>
      </c>
      <c r="F7" s="123">
        <f>SUM(F5:F6)</f>
      </c>
      <c r="G7" s="123">
        <f>SUM(G5:G6)</f>
      </c>
      <c r="H7" s="123">
        <f>SUM(H5:H6)</f>
      </c>
      <c r="I7" s="123">
        <f>SUM(I5:I6)</f>
      </c>
      <c r="J7" s="123">
        <f>SUM(J5:J6)</f>
      </c>
      <c r="K7" s="123">
        <f>SUM(K5:K6)</f>
      </c>
      <c r="L7" s="123">
        <f>SUM(L5:L6)</f>
      </c>
      <c r="M7" s="123">
        <f>SUM(M5:M6)</f>
      </c>
      <c r="N7" s="123">
        <f>SUM(N5:N6)</f>
      </c>
      <c r="O7" s="123">
        <f>SUM(O5:O6)</f>
      </c>
      <c r="P7" s="123">
        <f>SUM(P5:P6)</f>
      </c>
      <c r="Q7" s="123">
        <f>SUM(Q5:Q6)</f>
      </c>
      <c r="R7" s="123">
        <f>SUM(R5:R6)</f>
      </c>
      <c r="S7" s="124">
        <f>SUM(S5:S6)</f>
      </c>
      <c r="T7" s="125">
        <f t="shared" si="19"/>
      </c>
      <c r="U7" s="125">
        <f t="shared" si="11"/>
      </c>
      <c r="V7" s="125">
        <f t="shared" si="7"/>
      </c>
      <c r="W7" s="125">
        <f t="shared" si="32"/>
      </c>
      <c r="X7" s="125">
        <f t="shared" si="21"/>
      </c>
      <c r="Y7" s="126">
        <f t="shared" si="13"/>
      </c>
      <c r="Z7" s="127">
        <f>SUM(Z5:Z6)</f>
      </c>
      <c r="AA7" s="127">
        <f>SUM(AA5:AA6)</f>
      </c>
      <c r="AB7" s="127"/>
      <c r="AC7" s="127">
        <f>SUM(AC5:AC6)</f>
      </c>
      <c r="AD7" s="127"/>
      <c r="AE7" s="127"/>
      <c r="AF7" s="127">
        <f>SUM(AF5:AF6)</f>
      </c>
      <c r="AG7" s="127">
        <f>SUM(AG5:AG6)</f>
      </c>
      <c r="AH7" s="127">
        <f>SUM(AH5:AH6)</f>
      </c>
      <c r="AI7" s="127">
        <f>SUM(AI5:AI6)</f>
      </c>
      <c r="AJ7" s="127">
        <f>SUM(AJ5:AJ6)</f>
      </c>
      <c r="AK7" s="127">
        <f>SUM(AK5:AK6)</f>
      </c>
      <c r="AL7" s="127">
        <f>SUM(AL5:AL6)</f>
      </c>
      <c r="AM7" s="127">
        <f>SUM(AM5:AM6)</f>
      </c>
      <c r="AN7" s="127">
        <f>SUM(AN5:AN6)</f>
      </c>
      <c r="AO7" s="126">
        <f t="shared" si="15"/>
      </c>
      <c r="AP7" s="126">
        <f t="shared" si="9"/>
      </c>
      <c r="AQ7" s="126">
        <f t="shared" si="17"/>
      </c>
      <c r="AR7" s="126">
        <f t="shared" si="34"/>
      </c>
      <c r="AS7" s="128">
        <f t="shared" si="23"/>
      </c>
      <c r="AT7" s="126">
        <f>F7/AJ7</f>
      </c>
    </row>
    <row r="8">
      <c r="A8" s="108" t="s">
        <v>305</v>
      </c>
      <c r="B8" s="109" t="s">
        <v>295</v>
      </c>
      <c r="C8" s="109" t="s">
        <v>303</v>
      </c>
      <c r="D8" s="109">
        <v>5</v>
      </c>
      <c r="E8" s="110">
        <v>7</v>
      </c>
      <c r="F8" s="111">
        <f t="shared" ref="F8:F9" si="2">H8+J8</f>
      </c>
      <c r="G8" s="110">
        <v>4</v>
      </c>
      <c r="H8" s="110">
        <v>3</v>
      </c>
      <c r="I8" s="110">
        <v>242.2</v>
      </c>
      <c r="J8" s="110">
        <v>1</v>
      </c>
      <c r="K8" s="110">
        <v>1640</v>
      </c>
      <c r="L8" s="110">
        <v>2</v>
      </c>
      <c r="M8" s="110">
        <v>421.32</v>
      </c>
      <c r="N8" s="110">
        <v>2</v>
      </c>
      <c r="O8" s="110">
        <v>4125.08</v>
      </c>
      <c r="P8" s="110">
        <v>3</v>
      </c>
      <c r="Q8" s="110">
        <v>526.37</v>
      </c>
      <c r="R8" s="112">
        <f t="shared" ref="R8:R9" si="27">(I8*12)+K8</f>
      </c>
      <c r="S8" s="113">
        <v>3659.0020000000004</v>
      </c>
      <c r="T8" s="114">
        <f t="shared" si="19"/>
      </c>
      <c r="U8" s="115">
        <f t="shared" si="11"/>
      </c>
      <c r="V8" s="115">
        <f t="shared" si="7"/>
      </c>
      <c r="W8" s="116">
        <f t="shared" si="32"/>
      </c>
      <c r="X8" s="116">
        <f t="shared" si="21"/>
      </c>
      <c r="Y8" s="116">
        <f t="shared" si="13"/>
      </c>
      <c r="Z8" s="109">
        <v>0</v>
      </c>
      <c r="AA8" s="109">
        <v>0</v>
      </c>
      <c r="AB8" s="110" t="s">
        <v>304</v>
      </c>
      <c r="AC8" s="110">
        <v>2</v>
      </c>
      <c r="AD8" s="110" t="s">
        <v>298</v>
      </c>
      <c r="AE8" s="110">
        <v>10</v>
      </c>
      <c r="AF8" s="117">
        <v>86735</v>
      </c>
      <c r="AG8" s="111">
        <v>515</v>
      </c>
      <c r="AH8" s="117">
        <v>17318</v>
      </c>
      <c r="AI8" s="111">
        <v>1324</v>
      </c>
      <c r="AJ8" s="111">
        <v>803</v>
      </c>
      <c r="AK8" s="111">
        <v>23</v>
      </c>
      <c r="AL8" s="111">
        <v>145</v>
      </c>
      <c r="AM8" s="111">
        <v>4</v>
      </c>
      <c r="AN8" s="118"/>
      <c r="AO8" s="116">
        <f t="shared" si="15"/>
      </c>
      <c r="AP8" s="116">
        <f t="shared" si="9"/>
      </c>
      <c r="AQ8" s="116">
        <f t="shared" si="17"/>
      </c>
      <c r="AR8" s="119">
        <f t="shared" si="34"/>
      </c>
      <c r="AS8" s="120">
        <f t="shared" si="23"/>
      </c>
      <c r="AT8" s="121"/>
    </row>
    <row r="9">
      <c r="A9" s="108" t="s">
        <v>305</v>
      </c>
      <c r="B9" s="109" t="s">
        <v>299</v>
      </c>
      <c r="C9" s="109" t="s">
        <v>300</v>
      </c>
      <c r="D9" s="109">
        <v>5</v>
      </c>
      <c r="E9" s="110">
        <v>14</v>
      </c>
      <c r="F9" s="111">
        <f t="shared" si="2"/>
      </c>
      <c r="G9" s="110">
        <v>6</v>
      </c>
      <c r="H9" s="110">
        <v>6</v>
      </c>
      <c r="I9" s="111">
        <v>1226.33</v>
      </c>
      <c r="J9" s="110">
        <v>0</v>
      </c>
      <c r="K9" s="110">
        <v>0</v>
      </c>
      <c r="L9" s="110">
        <v>3</v>
      </c>
      <c r="M9" s="110">
        <v>3434.2799999999997</v>
      </c>
      <c r="N9" s="110">
        <v>3</v>
      </c>
      <c r="O9" s="111">
        <v>11281.68</v>
      </c>
      <c r="P9" s="110">
        <v>3</v>
      </c>
      <c r="Q9" s="110">
        <v>940.14</v>
      </c>
      <c r="R9" s="112">
        <f t="shared" si="27"/>
      </c>
      <c r="S9" s="113">
        <v>8545.610999999999</v>
      </c>
      <c r="T9" s="114">
        <f t="shared" si="19"/>
      </c>
      <c r="U9" s="115">
        <f t="shared" si="11"/>
      </c>
      <c r="V9" s="115">
        <f t="shared" si="7"/>
      </c>
      <c r="W9" s="116">
        <f t="shared" si="32"/>
      </c>
      <c r="X9" s="116">
        <f t="shared" si="21"/>
      </c>
      <c r="Y9" s="116">
        <f t="shared" si="13"/>
      </c>
      <c r="Z9" s="109">
        <v>3</v>
      </c>
      <c r="AA9" s="109">
        <v>0</v>
      </c>
      <c r="AB9" s="110" t="s">
        <v>297</v>
      </c>
      <c r="AC9" s="110">
        <v>7</v>
      </c>
      <c r="AD9" s="111"/>
      <c r="AE9" s="111"/>
      <c r="AF9" s="111">
        <v>340325</v>
      </c>
      <c r="AG9" s="111">
        <v>3740</v>
      </c>
      <c r="AH9" s="111">
        <v>76671</v>
      </c>
      <c r="AI9" s="111">
        <v>4470</v>
      </c>
      <c r="AJ9" s="111">
        <v>2048</v>
      </c>
      <c r="AK9" s="111">
        <v>72</v>
      </c>
      <c r="AL9" s="111">
        <v>222</v>
      </c>
      <c r="AM9" s="111">
        <v>12</v>
      </c>
      <c r="AN9" s="118"/>
      <c r="AO9" s="116">
        <f t="shared" si="15"/>
      </c>
      <c r="AP9" s="116">
        <f t="shared" si="9"/>
      </c>
      <c r="AQ9" s="116">
        <f t="shared" si="17"/>
      </c>
      <c r="AR9" s="119">
        <f t="shared" si="34"/>
      </c>
      <c r="AS9" s="120">
        <f t="shared" si="23"/>
      </c>
      <c r="AT9" s="121"/>
    </row>
    <row r="10">
      <c r="A10" s="108"/>
      <c r="B10" s="109"/>
      <c r="C10" s="109"/>
      <c r="D10" s="109"/>
      <c r="E10" s="110"/>
      <c r="F10" s="111"/>
      <c r="G10" s="110"/>
      <c r="H10" s="110"/>
      <c r="I10" s="111"/>
      <c r="J10" s="110"/>
      <c r="K10" s="110"/>
      <c r="L10" s="110"/>
      <c r="M10" s="110"/>
      <c r="N10" s="110"/>
      <c r="O10" s="111"/>
      <c r="P10" s="110"/>
      <c r="Q10" s="110"/>
      <c r="R10" s="112"/>
      <c r="S10" s="113"/>
      <c r="T10" s="114"/>
      <c r="U10" s="115"/>
      <c r="V10" s="115"/>
      <c r="W10" s="116"/>
      <c r="X10" s="116"/>
      <c r="Y10" s="116"/>
      <c r="Z10" s="109"/>
      <c r="AA10" s="109"/>
      <c r="AB10" s="110" t="s">
        <v>301</v>
      </c>
      <c r="AC10" s="110">
        <v>1</v>
      </c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8"/>
      <c r="AO10" s="116"/>
      <c r="AP10" s="116"/>
      <c r="AQ10" s="116"/>
      <c r="AR10" s="119"/>
      <c r="AS10" s="120"/>
      <c r="AT10" s="121"/>
    </row>
    <row r="11">
      <c r="A11" s="122" t="s">
        <v>305</v>
      </c>
      <c r="B11" s="123"/>
      <c r="C11" s="123"/>
      <c r="D11" s="123">
        <f>SUM(D8:D9)</f>
      </c>
      <c r="E11" s="123">
        <f>SUM(E8:E9)</f>
      </c>
      <c r="F11" s="123">
        <f>SUM(F8:F9)</f>
      </c>
      <c r="G11" s="123">
        <f>SUM(G8:G9)</f>
      </c>
      <c r="H11" s="123">
        <f>SUM(H8:H9)</f>
      </c>
      <c r="I11" s="123">
        <f>SUM(I8:I9)</f>
      </c>
      <c r="J11" s="123">
        <f>SUM(J8:J9)</f>
      </c>
      <c r="K11" s="123">
        <f>SUM(K8:K9)</f>
      </c>
      <c r="L11" s="123">
        <f>SUM(L8:L9)</f>
      </c>
      <c r="M11" s="123">
        <f>SUM(M8:M9)</f>
      </c>
      <c r="N11" s="123">
        <f>SUM(N8:N9)</f>
      </c>
      <c r="O11" s="123">
        <f>SUM(O8:O9)</f>
      </c>
      <c r="P11" s="123">
        <f>SUM(P8:P9)</f>
      </c>
      <c r="Q11" s="123">
        <f>SUM(Q8:Q9)</f>
      </c>
      <c r="R11" s="123">
        <f>SUM(R8:R9)</f>
      </c>
      <c r="S11" s="124">
        <f>SUM(S8:S9)</f>
      </c>
      <c r="T11" s="125">
        <f t="shared" ref="T11:T26" si="20">R11/S11</f>
      </c>
      <c r="U11" s="125">
        <f t="shared" ref="U11:U26" si="12">R11/F11</f>
      </c>
      <c r="V11" s="125">
        <f t="shared" ref="V11:V26" si="8">S11/F11</f>
      </c>
      <c r="W11" s="125">
        <f t="shared" ref="W11:W26" si="33">Z11/F11</f>
      </c>
      <c r="X11" s="125">
        <f t="shared" ref="X11:X26" si="22">AA11/F11</f>
      </c>
      <c r="Y11" s="126">
        <f t="shared" ref="Y11:Y26" si="14">P11/F11</f>
      </c>
      <c r="Z11" s="127">
        <f>SUM(Z8:Z9)</f>
      </c>
      <c r="AA11" s="127">
        <f>SUM(AA8:AA9)</f>
      </c>
      <c r="AB11" s="127"/>
      <c r="AC11" s="127">
        <f>AC9+AC8+AC10</f>
      </c>
      <c r="AD11" s="127"/>
      <c r="AE11" s="127"/>
      <c r="AF11" s="127">
        <f>SUM(AF8:AF9)</f>
      </c>
      <c r="AG11" s="127">
        <f>SUM(AG8:AG9)</f>
      </c>
      <c r="AH11" s="127">
        <f>SUM(AH8:AH9)</f>
      </c>
      <c r="AI11" s="127">
        <f>SUM(AI8:AI9)</f>
      </c>
      <c r="AJ11" s="127">
        <f>SUM(AJ8:AJ9)</f>
      </c>
      <c r="AK11" s="127">
        <f>SUM(AK8:AK9)</f>
      </c>
      <c r="AL11" s="127">
        <f>SUM(AL8:AL9)</f>
      </c>
      <c r="AM11" s="127">
        <f>SUM(AM8:AM9)</f>
      </c>
      <c r="AN11" s="127">
        <f>SUM(AN8:AN9)</f>
      </c>
      <c r="AO11" s="126">
        <f t="shared" ref="AO11:AO26" si="16">AG11/AF11</f>
      </c>
      <c r="AP11" s="126">
        <f t="shared" ref="AP11:AP26" si="10">(AK11+AL11+AM11)/AH11</f>
      </c>
      <c r="AQ11" s="126">
        <f t="shared" ref="AQ11:AQ26" si="18">AI11/AH11</f>
      </c>
      <c r="AR11" s="126">
        <f t="shared" ref="AR11:AR26" si="35">AL11/AH11</f>
      </c>
      <c r="AS11" s="128">
        <f t="shared" ref="AS11:AS26" si="24">S11/AJ11</f>
      </c>
      <c r="AT11" s="126">
        <f>F11/AJ11</f>
      </c>
    </row>
    <row r="12">
      <c r="A12" s="108" t="s">
        <v>306</v>
      </c>
      <c r="B12" s="109" t="s">
        <v>295</v>
      </c>
      <c r="C12" s="109" t="s">
        <v>303</v>
      </c>
      <c r="D12" s="129">
        <v>5</v>
      </c>
      <c r="E12" s="110">
        <v>10</v>
      </c>
      <c r="F12" s="111">
        <f t="shared" ref="F12:F13" si="3">H12+J12</f>
      </c>
      <c r="G12" s="110">
        <v>4</v>
      </c>
      <c r="H12" s="110">
        <v>6</v>
      </c>
      <c r="I12" s="111">
        <v>739.37</v>
      </c>
      <c r="J12" s="110">
        <v>0</v>
      </c>
      <c r="K12" s="110">
        <v>0</v>
      </c>
      <c r="L12" s="110">
        <v>4</v>
      </c>
      <c r="M12" s="110">
        <v>2844.96</v>
      </c>
      <c r="N12" s="110">
        <v>2</v>
      </c>
      <c r="O12" s="111">
        <v>6027.4800000000005</v>
      </c>
      <c r="P12" s="110">
        <v>2</v>
      </c>
      <c r="Q12" s="110">
        <v>481.26000000000005</v>
      </c>
      <c r="R12" s="112">
        <f t="shared" ref="R12:R13" si="28">(I12*12)+K12</f>
      </c>
      <c r="S12" s="113">
        <v>5087.698</v>
      </c>
      <c r="T12" s="114">
        <f t="shared" si="20"/>
      </c>
      <c r="U12" s="115">
        <f t="shared" si="12"/>
      </c>
      <c r="V12" s="115">
        <f t="shared" si="8"/>
      </c>
      <c r="W12" s="116">
        <f t="shared" si="33"/>
      </c>
      <c r="X12" s="116">
        <f t="shared" si="22"/>
      </c>
      <c r="Y12" s="116">
        <f t="shared" si="14"/>
      </c>
      <c r="Z12" s="109">
        <v>2</v>
      </c>
      <c r="AA12" s="109">
        <v>2</v>
      </c>
      <c r="AB12" s="110" t="s">
        <v>304</v>
      </c>
      <c r="AC12" s="110">
        <v>2</v>
      </c>
      <c r="AD12" s="110" t="s">
        <v>298</v>
      </c>
      <c r="AE12" s="110">
        <v>10</v>
      </c>
      <c r="AF12" s="117">
        <v>193794</v>
      </c>
      <c r="AG12" s="111">
        <v>1673</v>
      </c>
      <c r="AH12" s="117">
        <v>37792</v>
      </c>
      <c r="AI12" s="111">
        <v>2926</v>
      </c>
      <c r="AJ12" s="111">
        <v>970</v>
      </c>
      <c r="AK12" s="111">
        <v>41</v>
      </c>
      <c r="AL12" s="111">
        <v>155</v>
      </c>
      <c r="AM12" s="111">
        <v>1</v>
      </c>
      <c r="AN12" s="130"/>
      <c r="AO12" s="116">
        <f t="shared" si="16"/>
      </c>
      <c r="AP12" s="116">
        <f t="shared" si="10"/>
      </c>
      <c r="AQ12" s="116">
        <f t="shared" si="18"/>
      </c>
      <c r="AR12" s="119">
        <f t="shared" si="35"/>
      </c>
      <c r="AS12" s="120">
        <f t="shared" si="24"/>
      </c>
      <c r="AT12" s="121"/>
    </row>
    <row r="13">
      <c r="A13" s="108" t="s">
        <v>306</v>
      </c>
      <c r="B13" s="112" t="s">
        <v>299</v>
      </c>
      <c r="C13" s="109" t="s">
        <v>300</v>
      </c>
      <c r="D13" s="129">
        <v>5</v>
      </c>
      <c r="E13" s="110">
        <v>12</v>
      </c>
      <c r="F13" s="111">
        <f t="shared" si="3"/>
      </c>
      <c r="G13" s="110">
        <v>5</v>
      </c>
      <c r="H13" s="110">
        <v>5</v>
      </c>
      <c r="I13" s="111">
        <v>235.78999999999996</v>
      </c>
      <c r="J13" s="110">
        <v>1</v>
      </c>
      <c r="K13" s="111">
        <v>734</v>
      </c>
      <c r="L13" s="110">
        <v>6</v>
      </c>
      <c r="M13" s="111">
        <v>3563.4799999999996</v>
      </c>
      <c r="N13" s="110">
        <v>0</v>
      </c>
      <c r="O13" s="110">
        <v>0</v>
      </c>
      <c r="P13" s="110">
        <v>1</v>
      </c>
      <c r="Q13" s="111">
        <v>73.58</v>
      </c>
      <c r="R13" s="112">
        <f t="shared" si="28"/>
      </c>
      <c r="S13" s="113">
        <v>3742.6209999999996</v>
      </c>
      <c r="T13" s="114">
        <f t="shared" si="20"/>
      </c>
      <c r="U13" s="115">
        <f t="shared" si="12"/>
      </c>
      <c r="V13" s="115">
        <f t="shared" si="8"/>
      </c>
      <c r="W13" s="116">
        <f t="shared" si="33"/>
      </c>
      <c r="X13" s="116">
        <f t="shared" si="22"/>
      </c>
      <c r="Y13" s="116">
        <f t="shared" si="14"/>
      </c>
      <c r="Z13" s="109">
        <v>2</v>
      </c>
      <c r="AA13" s="109">
        <v>2</v>
      </c>
      <c r="AB13" s="110" t="s">
        <v>297</v>
      </c>
      <c r="AC13" s="110">
        <v>7</v>
      </c>
      <c r="AD13" s="111"/>
      <c r="AE13" s="111"/>
      <c r="AF13" s="111">
        <v>153887</v>
      </c>
      <c r="AG13" s="111">
        <v>2455</v>
      </c>
      <c r="AH13" s="111">
        <v>29963</v>
      </c>
      <c r="AI13" s="111">
        <v>1708</v>
      </c>
      <c r="AJ13" s="111">
        <v>712</v>
      </c>
      <c r="AK13" s="111">
        <v>39</v>
      </c>
      <c r="AL13" s="111">
        <v>117</v>
      </c>
      <c r="AM13" s="111">
        <v>5</v>
      </c>
      <c r="AN13" s="130"/>
      <c r="AO13" s="116">
        <f t="shared" si="16"/>
      </c>
      <c r="AP13" s="116">
        <f t="shared" si="10"/>
      </c>
      <c r="AQ13" s="116">
        <f t="shared" si="18"/>
      </c>
      <c r="AR13" s="119">
        <f t="shared" si="35"/>
      </c>
      <c r="AS13" s="120">
        <f t="shared" si="24"/>
      </c>
      <c r="AT13" s="126">
        <f>F13/AJ13</f>
      </c>
    </row>
    <row r="14">
      <c r="A14" s="122" t="s">
        <v>306</v>
      </c>
      <c r="B14" s="123"/>
      <c r="C14" s="123"/>
      <c r="D14" s="123">
        <f>SUM(D12:D13)</f>
      </c>
      <c r="E14" s="123">
        <f>SUM(E12:E13)</f>
      </c>
      <c r="F14" s="123">
        <f>SUM(F12:F13)</f>
      </c>
      <c r="G14" s="123">
        <f>SUM(G12:G13)</f>
      </c>
      <c r="H14" s="123">
        <f>SUM(H12:H13)</f>
      </c>
      <c r="I14" s="123">
        <f>SUM(I12:I13)</f>
      </c>
      <c r="J14" s="123">
        <f>SUM(J12:J13)</f>
      </c>
      <c r="K14" s="123">
        <f>SUM(K12:K13)</f>
      </c>
      <c r="L14" s="123">
        <f>SUM(L12:L13)</f>
      </c>
      <c r="M14" s="123">
        <f>SUM(M12:M13)</f>
      </c>
      <c r="N14" s="123">
        <f>SUM(N12:N13)</f>
      </c>
      <c r="O14" s="123">
        <f>SUM(O12:O13)</f>
      </c>
      <c r="P14" s="123">
        <f>SUM(P12:P13)</f>
      </c>
      <c r="Q14" s="123">
        <f>SUM(Q12:Q13)</f>
      </c>
      <c r="R14" s="123">
        <f>SUM(R12:R13)</f>
      </c>
      <c r="S14" s="123">
        <f>SUM(S12:S13)</f>
      </c>
      <c r="T14" s="125">
        <f t="shared" si="20"/>
      </c>
      <c r="U14" s="125">
        <f t="shared" si="12"/>
      </c>
      <c r="V14" s="125">
        <f t="shared" si="8"/>
      </c>
      <c r="W14" s="125">
        <f t="shared" si="33"/>
      </c>
      <c r="X14" s="125">
        <f t="shared" si="22"/>
      </c>
      <c r="Y14" s="126">
        <f t="shared" si="14"/>
      </c>
      <c r="Z14" s="127">
        <f>SUM(Z12:Z13)</f>
      </c>
      <c r="AA14" s="127">
        <f>SUM(AA12:AA13)</f>
      </c>
      <c r="AB14" s="131"/>
      <c r="AC14" s="127">
        <f>AC13+AC12+AB13:Z11</f>
      </c>
      <c r="AD14" s="127"/>
      <c r="AE14" s="127"/>
      <c r="AF14" s="127">
        <f>SUM(AF12:AF13)</f>
      </c>
      <c r="AG14" s="127">
        <f>SUM(AG12:AG13)</f>
      </c>
      <c r="AH14" s="127">
        <f>SUM(AH12:AH13)</f>
      </c>
      <c r="AI14" s="127">
        <f>SUM(AI12:AI13)</f>
      </c>
      <c r="AJ14" s="127">
        <f>SUM(AJ12:AJ13)</f>
      </c>
      <c r="AK14" s="127">
        <f>SUM(AK12:AK13)</f>
      </c>
      <c r="AL14" s="127">
        <f>SUM(AL12:AL13)</f>
      </c>
      <c r="AM14" s="127">
        <f>SUM(AM12:AM13)</f>
      </c>
      <c r="AN14" s="127">
        <f>SUM(AN12:AN13)</f>
      </c>
      <c r="AO14" s="126">
        <f t="shared" si="16"/>
      </c>
      <c r="AP14" s="126">
        <f t="shared" si="10"/>
      </c>
      <c r="AQ14" s="126">
        <f t="shared" si="18"/>
      </c>
      <c r="AR14" s="126">
        <f t="shared" si="35"/>
      </c>
      <c r="AS14" s="128">
        <f t="shared" si="24"/>
      </c>
      <c r="AT14" s="121"/>
    </row>
    <row r="15">
      <c r="A15" s="108" t="s">
        <v>307</v>
      </c>
      <c r="B15" s="109" t="s">
        <v>295</v>
      </c>
      <c r="C15" s="109" t="s">
        <v>308</v>
      </c>
      <c r="D15" s="129">
        <v>4</v>
      </c>
      <c r="E15" s="110">
        <v>15</v>
      </c>
      <c r="F15" s="111">
        <f t="shared" ref="F15:F17" si="4">H15+J15</f>
      </c>
      <c r="G15" s="110">
        <v>6</v>
      </c>
      <c r="H15" s="110">
        <v>7</v>
      </c>
      <c r="I15" s="111">
        <v>1145.47</v>
      </c>
      <c r="J15" s="110">
        <v>0</v>
      </c>
      <c r="K15" s="110">
        <v>0</v>
      </c>
      <c r="L15" s="110">
        <v>2</v>
      </c>
      <c r="M15" s="110">
        <v>2368.2</v>
      </c>
      <c r="N15" s="110">
        <v>5</v>
      </c>
      <c r="O15" s="111">
        <v>11377.44</v>
      </c>
      <c r="P15" s="110">
        <v>2</v>
      </c>
      <c r="Q15" s="110">
        <v>100.96</v>
      </c>
      <c r="R15" s="112">
        <f t="shared" ref="R15:R17" si="29">(I15*12)+K15</f>
      </c>
      <c r="S15" s="132">
        <v>8860.389</v>
      </c>
      <c r="T15" s="114">
        <f t="shared" si="20"/>
      </c>
      <c r="U15" s="115">
        <f t="shared" si="12"/>
      </c>
      <c r="V15" s="115">
        <f t="shared" si="8"/>
      </c>
      <c r="W15" s="116">
        <f t="shared" si="33"/>
      </c>
      <c r="X15" s="116">
        <f t="shared" si="22"/>
      </c>
      <c r="Y15" s="116">
        <f t="shared" si="14"/>
      </c>
      <c r="Z15" s="109">
        <v>0</v>
      </c>
      <c r="AA15" s="109">
        <v>0</v>
      </c>
      <c r="AB15" s="110" t="s">
        <v>304</v>
      </c>
      <c r="AC15" s="110">
        <v>4</v>
      </c>
      <c r="AD15" s="110" t="s">
        <v>298</v>
      </c>
      <c r="AE15" s="110">
        <v>12</v>
      </c>
      <c r="AF15" s="117">
        <v>459657</v>
      </c>
      <c r="AG15" s="111">
        <v>4155</v>
      </c>
      <c r="AH15" s="117">
        <v>82913</v>
      </c>
      <c r="AI15" s="111">
        <v>5447</v>
      </c>
      <c r="AJ15" s="111">
        <v>1810</v>
      </c>
      <c r="AK15" s="110">
        <v>49</v>
      </c>
      <c r="AL15" s="110">
        <v>357</v>
      </c>
      <c r="AM15" s="110">
        <v>7</v>
      </c>
      <c r="AN15" s="130"/>
      <c r="AO15" s="116">
        <f t="shared" si="16"/>
      </c>
      <c r="AP15" s="116">
        <f t="shared" si="10"/>
      </c>
      <c r="AQ15" s="116">
        <f t="shared" si="18"/>
      </c>
      <c r="AR15" s="119">
        <f t="shared" si="35"/>
      </c>
      <c r="AS15" s="120">
        <f t="shared" si="24"/>
      </c>
      <c r="AT15" s="121"/>
    </row>
    <row r="16">
      <c r="A16" s="108" t="s">
        <v>307</v>
      </c>
      <c r="B16" s="109" t="s">
        <v>309</v>
      </c>
      <c r="C16" s="109" t="s">
        <v>296</v>
      </c>
      <c r="D16" s="129">
        <v>3</v>
      </c>
      <c r="E16" s="110">
        <v>9</v>
      </c>
      <c r="F16" s="111">
        <f t="shared" si="4"/>
      </c>
      <c r="G16" s="110">
        <v>4</v>
      </c>
      <c r="H16" s="110">
        <v>4</v>
      </c>
      <c r="I16" s="110">
        <v>180.56</v>
      </c>
      <c r="J16" s="110">
        <v>0</v>
      </c>
      <c r="K16" s="110">
        <v>0</v>
      </c>
      <c r="L16" s="110">
        <v>4</v>
      </c>
      <c r="M16" s="110">
        <v>2166.7200000000003</v>
      </c>
      <c r="N16" s="110">
        <v>0</v>
      </c>
      <c r="O16" s="110">
        <v>0</v>
      </c>
      <c r="P16" s="110">
        <v>0</v>
      </c>
      <c r="Q16" s="110">
        <v>0</v>
      </c>
      <c r="R16" s="112">
        <f t="shared" si="29"/>
      </c>
      <c r="S16" s="113">
        <v>9899.636</v>
      </c>
      <c r="T16" s="114">
        <f t="shared" si="20"/>
      </c>
      <c r="U16" s="115">
        <f t="shared" si="12"/>
      </c>
      <c r="V16" s="115">
        <f t="shared" si="8"/>
      </c>
      <c r="W16" s="116">
        <f t="shared" si="33"/>
      </c>
      <c r="X16" s="116">
        <f t="shared" si="22"/>
      </c>
      <c r="Y16" s="116">
        <f t="shared" si="14"/>
      </c>
      <c r="Z16" s="109">
        <v>1</v>
      </c>
      <c r="AA16" s="109">
        <v>1</v>
      </c>
      <c r="AB16" s="110" t="s">
        <v>297</v>
      </c>
      <c r="AC16" s="110">
        <v>7</v>
      </c>
      <c r="AD16" s="110"/>
      <c r="AE16" s="110"/>
      <c r="AF16" s="117">
        <v>462860</v>
      </c>
      <c r="AG16" s="111">
        <v>3011</v>
      </c>
      <c r="AH16" s="117">
        <v>174430</v>
      </c>
      <c r="AI16" s="111">
        <v>13403</v>
      </c>
      <c r="AJ16" s="111">
        <v>2173</v>
      </c>
      <c r="AK16" s="110">
        <v>67</v>
      </c>
      <c r="AL16" s="110">
        <v>289</v>
      </c>
      <c r="AM16" s="110">
        <v>6</v>
      </c>
      <c r="AN16" s="130"/>
      <c r="AO16" s="116">
        <f t="shared" si="16"/>
      </c>
      <c r="AP16" s="116">
        <f t="shared" si="10"/>
      </c>
      <c r="AQ16" s="116">
        <f t="shared" si="18"/>
      </c>
      <c r="AR16" s="119">
        <f t="shared" si="35"/>
      </c>
      <c r="AS16" s="120">
        <f t="shared" si="24"/>
      </c>
      <c r="AT16" s="126">
        <f>F16/AJ16</f>
      </c>
    </row>
    <row r="17">
      <c r="A17" s="108" t="s">
        <v>307</v>
      </c>
      <c r="B17" s="112" t="s">
        <v>299</v>
      </c>
      <c r="C17" s="109" t="s">
        <v>300</v>
      </c>
      <c r="D17" s="129">
        <v>5</v>
      </c>
      <c r="E17" s="110">
        <v>14</v>
      </c>
      <c r="F17" s="111">
        <f t="shared" si="4"/>
      </c>
      <c r="G17" s="110">
        <v>7</v>
      </c>
      <c r="H17" s="110">
        <v>8</v>
      </c>
      <c r="I17" s="111">
        <v>646.98</v>
      </c>
      <c r="J17" s="110">
        <v>0</v>
      </c>
      <c r="K17" s="110">
        <v>0</v>
      </c>
      <c r="L17" s="110">
        <v>7</v>
      </c>
      <c r="M17" s="111">
        <v>5992.5599999999995</v>
      </c>
      <c r="N17" s="110">
        <v>1</v>
      </c>
      <c r="O17" s="110">
        <v>1771.1999999999998</v>
      </c>
      <c r="P17" s="110">
        <v>2</v>
      </c>
      <c r="Q17" s="111">
        <v>279.69</v>
      </c>
      <c r="R17" s="112">
        <f t="shared" si="29"/>
      </c>
      <c r="S17" s="113">
        <v>8482.661</v>
      </c>
      <c r="T17" s="114">
        <f t="shared" si="20"/>
      </c>
      <c r="U17" s="115">
        <f t="shared" si="12"/>
      </c>
      <c r="V17" s="115">
        <f t="shared" si="8"/>
      </c>
      <c r="W17" s="116">
        <f t="shared" si="33"/>
      </c>
      <c r="X17" s="116">
        <f t="shared" si="22"/>
      </c>
      <c r="Y17" s="116">
        <f t="shared" si="14"/>
      </c>
      <c r="Z17" s="109">
        <v>3</v>
      </c>
      <c r="AA17" s="109">
        <v>3</v>
      </c>
      <c r="AB17" s="110" t="s">
        <v>301</v>
      </c>
      <c r="AC17" s="110">
        <v>1</v>
      </c>
      <c r="AD17" s="111"/>
      <c r="AE17" s="111"/>
      <c r="AF17" s="111">
        <v>407488</v>
      </c>
      <c r="AG17" s="111">
        <v>2903</v>
      </c>
      <c r="AH17" s="111">
        <v>213280</v>
      </c>
      <c r="AI17" s="111">
        <v>12501</v>
      </c>
      <c r="AJ17" s="111">
        <v>2222</v>
      </c>
      <c r="AK17" s="110">
        <v>97</v>
      </c>
      <c r="AL17" s="110">
        <v>384</v>
      </c>
      <c r="AM17" s="110">
        <v>8</v>
      </c>
      <c r="AN17" s="130"/>
      <c r="AO17" s="116">
        <f t="shared" si="16"/>
      </c>
      <c r="AP17" s="116">
        <f t="shared" si="10"/>
      </c>
      <c r="AQ17" s="116">
        <f t="shared" si="18"/>
      </c>
      <c r="AR17" s="119">
        <f t="shared" si="35"/>
      </c>
      <c r="AS17" s="120">
        <f t="shared" si="24"/>
      </c>
      <c r="AT17" s="121"/>
    </row>
    <row r="18">
      <c r="A18" s="122" t="s">
        <v>307</v>
      </c>
      <c r="B18" s="123"/>
      <c r="C18" s="123"/>
      <c r="D18" s="123">
        <f>SUM(D15:D17)</f>
      </c>
      <c r="E18" s="123">
        <f>SUM(E15:E17)</f>
      </c>
      <c r="F18" s="123">
        <f>SUM(F15:F17)</f>
      </c>
      <c r="G18" s="123">
        <f>SUM(G15:G17)</f>
      </c>
      <c r="H18" s="123">
        <f>SUM(H15:H17)</f>
      </c>
      <c r="I18" s="123">
        <f>SUM(I15:I17)</f>
      </c>
      <c r="J18" s="123">
        <f>SUM(J15:J17)</f>
      </c>
      <c r="K18" s="123">
        <f>SUM(K15:K17)</f>
      </c>
      <c r="L18" s="123">
        <f>SUM(L15:L17)</f>
      </c>
      <c r="M18" s="123">
        <f>SUM(M15:M17)</f>
      </c>
      <c r="N18" s="123">
        <f>SUM(N15:N17)</f>
      </c>
      <c r="O18" s="123">
        <f>SUM(O15:O17)</f>
      </c>
      <c r="P18" s="123">
        <f>SUM(P15:P17)</f>
      </c>
      <c r="Q18" s="123">
        <f>SUM(Q15:Q17)</f>
      </c>
      <c r="R18" s="123">
        <f>SUM(R15:R17)</f>
      </c>
      <c r="S18" s="123">
        <f>SUM(S15:S17)</f>
      </c>
      <c r="T18" s="125">
        <f t="shared" si="20"/>
      </c>
      <c r="U18" s="125">
        <f t="shared" si="12"/>
      </c>
      <c r="V18" s="125">
        <f t="shared" si="8"/>
      </c>
      <c r="W18" s="125">
        <f t="shared" si="33"/>
      </c>
      <c r="X18" s="125">
        <f t="shared" si="22"/>
      </c>
      <c r="Y18" s="126">
        <f t="shared" si="14"/>
      </c>
      <c r="Z18" s="127">
        <f>SUM(Z15:Z17)</f>
      </c>
      <c r="AA18" s="127">
        <f>SUM(AA15:AA17)</f>
      </c>
      <c r="AB18" s="127"/>
      <c r="AC18" s="127">
        <f>SUM(AC15:AC17)</f>
      </c>
      <c r="AD18" s="127"/>
      <c r="AE18" s="127"/>
      <c r="AF18" s="127">
        <f>SUM(AF15:AF17)</f>
      </c>
      <c r="AG18" s="127">
        <f>SUM(AG15:AG17)</f>
      </c>
      <c r="AH18" s="127">
        <f>SUM(AH15:AH17)</f>
      </c>
      <c r="AI18" s="127">
        <f>SUM(AI15:AI17)</f>
      </c>
      <c r="AJ18" s="127">
        <f>SUM(AJ15:AJ17)</f>
      </c>
      <c r="AK18" s="127">
        <f>SUM(AK15:AK17)</f>
      </c>
      <c r="AL18" s="127">
        <f>SUM(AL15:AL17)</f>
      </c>
      <c r="AM18" s="127">
        <f>SUM(AM15:AM17)</f>
      </c>
      <c r="AN18" s="127">
        <f>SUM(AN15:AN17)</f>
      </c>
      <c r="AO18" s="126">
        <f t="shared" si="16"/>
      </c>
      <c r="AP18" s="126">
        <f t="shared" si="10"/>
      </c>
      <c r="AQ18" s="126">
        <f t="shared" si="18"/>
      </c>
      <c r="AR18" s="126">
        <f t="shared" si="35"/>
      </c>
      <c r="AS18" s="128">
        <f t="shared" si="24"/>
      </c>
      <c r="AT18" s="121"/>
    </row>
    <row r="19">
      <c r="A19" s="108" t="s">
        <v>310</v>
      </c>
      <c r="B19" s="109" t="s">
        <v>295</v>
      </c>
      <c r="C19" s="109" t="s">
        <v>308</v>
      </c>
      <c r="D19" s="129">
        <v>4</v>
      </c>
      <c r="E19" s="110">
        <v>6</v>
      </c>
      <c r="F19" s="111">
        <f t="shared" ref="F19:F21" si="5">H19+J19</f>
      </c>
      <c r="G19" s="110">
        <v>3</v>
      </c>
      <c r="H19" s="110">
        <v>3</v>
      </c>
      <c r="I19" s="111">
        <v>648.27</v>
      </c>
      <c r="J19" s="110">
        <v>0</v>
      </c>
      <c r="K19" s="110">
        <v>0</v>
      </c>
      <c r="L19" s="110">
        <v>1</v>
      </c>
      <c r="M19" s="110">
        <v>274.20000000000005</v>
      </c>
      <c r="N19" s="110">
        <v>2</v>
      </c>
      <c r="O19" s="110">
        <v>7505.04</v>
      </c>
      <c r="P19" s="110">
        <v>1</v>
      </c>
      <c r="Q19" s="110">
        <v>408.52</v>
      </c>
      <c r="R19" s="112">
        <f t="shared" ref="R19:R21" si="30">(I19*12)+K19</f>
      </c>
      <c r="S19" s="113">
        <v>2532.526</v>
      </c>
      <c r="T19" s="114">
        <f t="shared" si="20"/>
      </c>
      <c r="U19" s="115">
        <f t="shared" si="12"/>
      </c>
      <c r="V19" s="115">
        <f t="shared" si="8"/>
      </c>
      <c r="W19" s="116">
        <f t="shared" si="33"/>
      </c>
      <c r="X19" s="116">
        <f t="shared" si="22"/>
      </c>
      <c r="Y19" s="116">
        <f t="shared" si="14"/>
      </c>
      <c r="Z19" s="109">
        <v>0</v>
      </c>
      <c r="AA19" s="109">
        <v>0</v>
      </c>
      <c r="AB19" s="110" t="s">
        <v>304</v>
      </c>
      <c r="AC19" s="110">
        <v>4</v>
      </c>
      <c r="AD19" s="110" t="s">
        <v>298</v>
      </c>
      <c r="AE19" s="110">
        <v>12</v>
      </c>
      <c r="AF19" s="117">
        <v>61861</v>
      </c>
      <c r="AG19" s="111">
        <v>309</v>
      </c>
      <c r="AH19" s="117">
        <v>26195</v>
      </c>
      <c r="AI19" s="111">
        <v>1791</v>
      </c>
      <c r="AJ19" s="111">
        <v>449</v>
      </c>
      <c r="AK19" s="110">
        <v>35</v>
      </c>
      <c r="AL19" s="110">
        <v>100</v>
      </c>
      <c r="AM19" s="110">
        <v>3</v>
      </c>
      <c r="AN19" s="130"/>
      <c r="AO19" s="116">
        <f t="shared" si="16"/>
      </c>
      <c r="AP19" s="116">
        <f t="shared" si="10"/>
      </c>
      <c r="AQ19" s="116">
        <f t="shared" si="18"/>
      </c>
      <c r="AR19" s="119">
        <f t="shared" si="35"/>
      </c>
      <c r="AS19" s="120">
        <f t="shared" si="24"/>
      </c>
      <c r="AT19" s="126">
        <f>F19/AJ19</f>
      </c>
    </row>
    <row r="20">
      <c r="A20" s="108" t="s">
        <v>310</v>
      </c>
      <c r="B20" s="109" t="s">
        <v>309</v>
      </c>
      <c r="C20" s="109" t="s">
        <v>296</v>
      </c>
      <c r="D20" s="129">
        <v>3</v>
      </c>
      <c r="E20" s="110">
        <v>7</v>
      </c>
      <c r="F20" s="111">
        <f t="shared" si="5"/>
      </c>
      <c r="G20" s="110">
        <v>2</v>
      </c>
      <c r="H20" s="110">
        <v>1</v>
      </c>
      <c r="I20" s="110">
        <v>56.95</v>
      </c>
      <c r="J20" s="110">
        <v>1</v>
      </c>
      <c r="K20" s="110">
        <v>2410</v>
      </c>
      <c r="L20" s="110">
        <v>1</v>
      </c>
      <c r="M20" s="110">
        <v>683.4000000000001</v>
      </c>
      <c r="N20" s="110">
        <v>1</v>
      </c>
      <c r="O20" s="110">
        <v>2410</v>
      </c>
      <c r="P20" s="110">
        <v>0</v>
      </c>
      <c r="Q20" s="110">
        <v>0</v>
      </c>
      <c r="R20" s="112">
        <f t="shared" si="30"/>
      </c>
      <c r="S20" s="113">
        <v>1685.716</v>
      </c>
      <c r="T20" s="114">
        <f t="shared" si="20"/>
      </c>
      <c r="U20" s="115">
        <f t="shared" si="12"/>
      </c>
      <c r="V20" s="115">
        <f t="shared" si="8"/>
      </c>
      <c r="W20" s="116">
        <f t="shared" si="33"/>
      </c>
      <c r="X20" s="116">
        <f t="shared" si="22"/>
      </c>
      <c r="Y20" s="116">
        <f t="shared" si="14"/>
      </c>
      <c r="Z20" s="109">
        <v>0</v>
      </c>
      <c r="AA20" s="109">
        <v>0</v>
      </c>
      <c r="AB20" s="110" t="s">
        <v>311</v>
      </c>
      <c r="AC20" s="110">
        <v>8</v>
      </c>
      <c r="AD20" s="110"/>
      <c r="AE20" s="110"/>
      <c r="AF20" s="117">
        <v>31575</v>
      </c>
      <c r="AG20" s="111">
        <v>182</v>
      </c>
      <c r="AH20" s="117">
        <v>11032</v>
      </c>
      <c r="AI20" s="111">
        <v>791</v>
      </c>
      <c r="AJ20" s="111">
        <v>355</v>
      </c>
      <c r="AK20" s="110">
        <v>16</v>
      </c>
      <c r="AL20" s="110">
        <v>82</v>
      </c>
      <c r="AM20" s="110">
        <v>3</v>
      </c>
      <c r="AN20" s="130"/>
      <c r="AO20" s="116">
        <f t="shared" si="16"/>
      </c>
      <c r="AP20" s="116">
        <f t="shared" si="10"/>
      </c>
      <c r="AQ20" s="116">
        <f t="shared" si="18"/>
      </c>
      <c r="AR20" s="119">
        <f t="shared" si="35"/>
      </c>
      <c r="AS20" s="120">
        <f t="shared" si="24"/>
      </c>
      <c r="AT20" s="121"/>
    </row>
    <row r="21">
      <c r="A21" s="108" t="s">
        <v>310</v>
      </c>
      <c r="B21" s="112" t="s">
        <v>299</v>
      </c>
      <c r="C21" s="109" t="s">
        <v>300</v>
      </c>
      <c r="D21" s="129">
        <v>5</v>
      </c>
      <c r="E21" s="110">
        <v>23</v>
      </c>
      <c r="F21" s="111">
        <f t="shared" si="5"/>
      </c>
      <c r="G21" s="110">
        <v>13</v>
      </c>
      <c r="H21" s="110">
        <v>11</v>
      </c>
      <c r="I21" s="111">
        <v>1403.44</v>
      </c>
      <c r="J21" s="110">
        <v>3</v>
      </c>
      <c r="K21" s="110">
        <v>2129</v>
      </c>
      <c r="L21" s="110">
        <v>7</v>
      </c>
      <c r="M21" s="111">
        <v>5591.76</v>
      </c>
      <c r="N21" s="110">
        <v>7</v>
      </c>
      <c r="O21" s="110">
        <v>13378.52</v>
      </c>
      <c r="P21" s="110">
        <v>2</v>
      </c>
      <c r="Q21" s="110">
        <v>306.69</v>
      </c>
      <c r="R21" s="112">
        <f t="shared" si="30"/>
      </c>
      <c r="S21" s="113">
        <v>11211.732</v>
      </c>
      <c r="T21" s="114">
        <f t="shared" si="20"/>
      </c>
      <c r="U21" s="115">
        <f t="shared" si="12"/>
      </c>
      <c r="V21" s="115">
        <f t="shared" si="8"/>
      </c>
      <c r="W21" s="116">
        <f t="shared" si="33"/>
      </c>
      <c r="X21" s="116">
        <f t="shared" si="22"/>
      </c>
      <c r="Y21" s="116">
        <f t="shared" si="14"/>
      </c>
      <c r="Z21" s="109">
        <v>2</v>
      </c>
      <c r="AA21" s="109">
        <v>2</v>
      </c>
      <c r="AB21" s="110"/>
      <c r="AC21" s="110"/>
      <c r="AD21" s="111"/>
      <c r="AE21" s="111"/>
      <c r="AF21" s="111">
        <v>337948</v>
      </c>
      <c r="AG21" s="111">
        <v>2108</v>
      </c>
      <c r="AH21" s="111">
        <v>343120</v>
      </c>
      <c r="AI21" s="111">
        <v>17862</v>
      </c>
      <c r="AJ21" s="111">
        <v>2968</v>
      </c>
      <c r="AK21" s="110">
        <v>100</v>
      </c>
      <c r="AL21" s="110">
        <v>416</v>
      </c>
      <c r="AM21" s="110">
        <v>18</v>
      </c>
      <c r="AN21" s="130"/>
      <c r="AO21" s="116">
        <f t="shared" si="16"/>
      </c>
      <c r="AP21" s="116">
        <f t="shared" si="10"/>
      </c>
      <c r="AQ21" s="116">
        <f t="shared" si="18"/>
      </c>
      <c r="AR21" s="119">
        <f t="shared" si="35"/>
      </c>
      <c r="AS21" s="120">
        <f t="shared" si="24"/>
      </c>
      <c r="AT21" s="121"/>
    </row>
    <row r="22">
      <c r="A22" s="122" t="s">
        <v>310</v>
      </c>
      <c r="B22" s="123"/>
      <c r="C22" s="123"/>
      <c r="D22" s="123">
        <f>SUM(D19:D21)</f>
      </c>
      <c r="E22" s="123">
        <f>SUM(E19:E21)</f>
      </c>
      <c r="F22" s="123">
        <f>SUM(F19:F21)</f>
      </c>
      <c r="G22" s="123">
        <f>SUM(G19:G21)</f>
      </c>
      <c r="H22" s="123">
        <f>SUM(H19:H21)</f>
      </c>
      <c r="I22" s="123">
        <f>SUM(I19:I21)</f>
      </c>
      <c r="J22" s="123">
        <f>SUM(J19:J21)</f>
      </c>
      <c r="K22" s="123">
        <f>SUM(K19:K21)</f>
      </c>
      <c r="L22" s="123">
        <f>SUM(L19:L21)</f>
      </c>
      <c r="M22" s="123">
        <f>SUM(M19:M21)</f>
      </c>
      <c r="N22" s="123">
        <f>SUM(N19:N21)</f>
      </c>
      <c r="O22" s="123">
        <f>SUM(O19:O21)</f>
      </c>
      <c r="P22" s="123">
        <f>SUM(P19:P21)</f>
      </c>
      <c r="Q22" s="123">
        <f>SUM(Q19:Q21)</f>
      </c>
      <c r="R22" s="123">
        <f>SUM(R19:R21)</f>
      </c>
      <c r="S22" s="123">
        <f>SUM(S19:S21)</f>
      </c>
      <c r="T22" s="125">
        <f t="shared" si="20"/>
      </c>
      <c r="U22" s="125">
        <f t="shared" si="12"/>
      </c>
      <c r="V22" s="125">
        <f t="shared" si="8"/>
      </c>
      <c r="W22" s="125">
        <f t="shared" si="33"/>
      </c>
      <c r="X22" s="125">
        <f t="shared" si="22"/>
      </c>
      <c r="Y22" s="126">
        <f t="shared" si="14"/>
      </c>
      <c r="Z22" s="127">
        <f>SUM(Z19:Z21)</f>
      </c>
      <c r="AA22" s="127">
        <f>SUM(AA19:AA21)</f>
      </c>
      <c r="AB22" s="127"/>
      <c r="AC22" s="127">
        <f>SUM(AC19:AC21)</f>
      </c>
      <c r="AD22" s="127"/>
      <c r="AE22" s="127"/>
      <c r="AF22" s="127">
        <f>SUM(AF19:AF21)</f>
      </c>
      <c r="AG22" s="127">
        <f>SUM(AG19:AG21)</f>
      </c>
      <c r="AH22" s="127">
        <f>SUM(AH19:AH21)</f>
      </c>
      <c r="AI22" s="127">
        <f>SUM(AI19:AI21)</f>
      </c>
      <c r="AJ22" s="127">
        <f>SUM(AJ19:AJ21)</f>
      </c>
      <c r="AK22" s="127">
        <f>SUM(AK19:AK21)</f>
      </c>
      <c r="AL22" s="127">
        <f>SUM(AL19:AL21)</f>
      </c>
      <c r="AM22" s="127">
        <f>SUM(AM19:AM21)</f>
      </c>
      <c r="AN22" s="127">
        <f>SUM(AN19:AN21)</f>
      </c>
      <c r="AO22" s="126">
        <f t="shared" si="16"/>
      </c>
      <c r="AP22" s="126">
        <f t="shared" si="10"/>
      </c>
      <c r="AQ22" s="126">
        <f t="shared" si="18"/>
      </c>
      <c r="AR22" s="126">
        <f t="shared" si="35"/>
      </c>
      <c r="AS22" s="128">
        <f t="shared" si="24"/>
      </c>
      <c r="AT22" s="126">
        <f>F22/AJ22</f>
      </c>
    </row>
    <row r="23">
      <c r="A23" s="108" t="s">
        <v>312</v>
      </c>
      <c r="B23" s="109" t="s">
        <v>295</v>
      </c>
      <c r="C23" s="109" t="s">
        <v>313</v>
      </c>
      <c r="D23" s="129">
        <v>5</v>
      </c>
      <c r="E23" s="110">
        <v>15</v>
      </c>
      <c r="F23" s="111">
        <f t="shared" ref="F23:F25" si="6">H23+J23</f>
      </c>
      <c r="G23" s="110">
        <v>8</v>
      </c>
      <c r="H23" s="110">
        <v>8</v>
      </c>
      <c r="I23" s="111">
        <v>741.21</v>
      </c>
      <c r="J23" s="110">
        <v>0</v>
      </c>
      <c r="K23" s="110">
        <v>0</v>
      </c>
      <c r="L23" s="110">
        <v>5</v>
      </c>
      <c r="M23" s="110">
        <v>2749.32</v>
      </c>
      <c r="N23" s="110">
        <v>3</v>
      </c>
      <c r="O23" s="110">
        <v>6145.200000000001</v>
      </c>
      <c r="P23" s="110">
        <v>1</v>
      </c>
      <c r="Q23" s="110">
        <v>113.26</v>
      </c>
      <c r="R23" s="112">
        <f t="shared" ref="R23:R25" si="31">(I23*12)+K23</f>
      </c>
      <c r="S23" s="113">
        <v>8720.7701</v>
      </c>
      <c r="T23" s="114">
        <f t="shared" si="20"/>
      </c>
      <c r="U23" s="115">
        <f t="shared" si="12"/>
      </c>
      <c r="V23" s="115">
        <f t="shared" si="8"/>
      </c>
      <c r="W23" s="116">
        <f t="shared" si="33"/>
      </c>
      <c r="X23" s="116">
        <f t="shared" si="22"/>
      </c>
      <c r="Y23" s="116">
        <f t="shared" si="14"/>
      </c>
      <c r="Z23" s="109">
        <v>2</v>
      </c>
      <c r="AA23" s="109">
        <v>2</v>
      </c>
      <c r="AB23" s="110" t="s">
        <v>304</v>
      </c>
      <c r="AC23" s="110">
        <v>7</v>
      </c>
      <c r="AD23" s="110" t="s">
        <v>298</v>
      </c>
      <c r="AE23" s="110">
        <v>15</v>
      </c>
      <c r="AF23" s="133">
        <v>152147</v>
      </c>
      <c r="AG23" s="110">
        <v>289</v>
      </c>
      <c r="AH23" s="110">
        <v>183591</v>
      </c>
      <c r="AI23" s="110">
        <v>13920</v>
      </c>
      <c r="AJ23" s="110">
        <v>1535</v>
      </c>
      <c r="AK23" s="110">
        <v>58</v>
      </c>
      <c r="AL23" s="110">
        <v>266</v>
      </c>
      <c r="AM23" s="110">
        <v>13</v>
      </c>
      <c r="AN23" s="130"/>
      <c r="AO23" s="116">
        <f t="shared" si="16"/>
      </c>
      <c r="AP23" s="116">
        <f t="shared" si="10"/>
      </c>
      <c r="AQ23" s="116">
        <f t="shared" si="18"/>
      </c>
      <c r="AR23" s="119">
        <f t="shared" si="35"/>
      </c>
      <c r="AS23" s="120">
        <f t="shared" si="24"/>
      </c>
    </row>
    <row r="24">
      <c r="A24" s="108" t="s">
        <v>312</v>
      </c>
      <c r="B24" s="109" t="s">
        <v>309</v>
      </c>
      <c r="C24" s="109" t="s">
        <v>303</v>
      </c>
      <c r="D24" s="129">
        <v>5</v>
      </c>
      <c r="E24" s="110">
        <v>6</v>
      </c>
      <c r="F24" s="111">
        <f t="shared" si="6"/>
      </c>
      <c r="G24" s="110">
        <v>3</v>
      </c>
      <c r="H24" s="110">
        <v>3</v>
      </c>
      <c r="I24" s="110">
        <v>726.67</v>
      </c>
      <c r="J24" s="110">
        <v>0</v>
      </c>
      <c r="K24" s="110">
        <v>0</v>
      </c>
      <c r="L24" s="110">
        <v>1</v>
      </c>
      <c r="M24" s="110">
        <v>683.4</v>
      </c>
      <c r="N24" s="110">
        <v>2</v>
      </c>
      <c r="O24" s="110">
        <v>8036.64</v>
      </c>
      <c r="P24" s="110">
        <v>1</v>
      </c>
      <c r="Q24" s="110">
        <v>522.12</v>
      </c>
      <c r="R24" s="112">
        <f t="shared" si="31"/>
      </c>
      <c r="S24" s="113">
        <v>6256.263</v>
      </c>
      <c r="T24" s="114">
        <f t="shared" si="20"/>
      </c>
      <c r="U24" s="115">
        <f t="shared" si="12"/>
      </c>
      <c r="V24" s="115">
        <f t="shared" si="8"/>
      </c>
      <c r="W24" s="116">
        <f t="shared" si="33"/>
      </c>
      <c r="X24" s="116">
        <f t="shared" si="22"/>
      </c>
      <c r="Y24" s="116">
        <f t="shared" si="14"/>
      </c>
      <c r="Z24" s="109">
        <v>0</v>
      </c>
      <c r="AA24" s="109">
        <v>0</v>
      </c>
      <c r="AB24" s="110" t="s">
        <v>311</v>
      </c>
      <c r="AC24" s="110">
        <v>8</v>
      </c>
      <c r="AD24" s="110"/>
      <c r="AE24" s="110"/>
      <c r="AF24" s="117">
        <v>94592</v>
      </c>
      <c r="AG24" s="111">
        <v>167</v>
      </c>
      <c r="AH24" s="117">
        <v>103416</v>
      </c>
      <c r="AI24" s="111">
        <v>7256</v>
      </c>
      <c r="AJ24" s="111">
        <v>810</v>
      </c>
      <c r="AK24" s="110">
        <v>36</v>
      </c>
      <c r="AL24" s="110">
        <v>197</v>
      </c>
      <c r="AM24" s="110">
        <v>8</v>
      </c>
      <c r="AN24" s="130"/>
      <c r="AO24" s="116">
        <f t="shared" si="16"/>
      </c>
      <c r="AP24" s="116">
        <f t="shared" si="10"/>
      </c>
      <c r="AQ24" s="116">
        <f t="shared" si="18"/>
      </c>
      <c r="AR24" s="119">
        <f t="shared" si="35"/>
      </c>
      <c r="AS24" s="120">
        <f t="shared" si="24"/>
      </c>
    </row>
    <row r="25">
      <c r="A25" s="108" t="s">
        <v>312</v>
      </c>
      <c r="B25" s="112" t="s">
        <v>299</v>
      </c>
      <c r="C25" s="109" t="s">
        <v>300</v>
      </c>
      <c r="D25" s="129">
        <v>5</v>
      </c>
      <c r="E25" s="110">
        <v>9</v>
      </c>
      <c r="F25" s="111">
        <f t="shared" si="6"/>
      </c>
      <c r="G25" s="110">
        <v>6</v>
      </c>
      <c r="H25" s="110">
        <v>4</v>
      </c>
      <c r="I25" s="111">
        <v>336.27</v>
      </c>
      <c r="J25" s="110">
        <v>2</v>
      </c>
      <c r="K25" s="110">
        <v>1771.8</v>
      </c>
      <c r="L25" s="110">
        <v>2</v>
      </c>
      <c r="M25" s="110">
        <v>1083.6000000000001</v>
      </c>
      <c r="N25" s="110">
        <v>4</v>
      </c>
      <c r="O25" s="110">
        <v>4723.44</v>
      </c>
      <c r="P25" s="110">
        <v>1</v>
      </c>
      <c r="Q25" s="110">
        <v>1162.8</v>
      </c>
      <c r="R25" s="112">
        <f t="shared" si="31"/>
      </c>
      <c r="S25" s="113">
        <v>3448.633</v>
      </c>
      <c r="T25" s="114">
        <f t="shared" si="20"/>
      </c>
      <c r="U25" s="115">
        <f t="shared" si="12"/>
      </c>
      <c r="V25" s="115">
        <f t="shared" si="8"/>
      </c>
      <c r="W25" s="116">
        <f t="shared" si="33"/>
      </c>
      <c r="X25" s="116">
        <f t="shared" si="22"/>
      </c>
      <c r="Y25" s="116">
        <f t="shared" si="14"/>
      </c>
      <c r="Z25" s="109">
        <v>0</v>
      </c>
      <c r="AA25" s="109">
        <v>0</v>
      </c>
      <c r="AB25" s="110"/>
      <c r="AC25" s="110"/>
      <c r="AD25" s="111"/>
      <c r="AE25" s="111"/>
      <c r="AF25" s="111">
        <v>60178</v>
      </c>
      <c r="AG25" s="111">
        <v>398</v>
      </c>
      <c r="AH25" s="111">
        <v>36506</v>
      </c>
      <c r="AI25" s="111">
        <v>2061</v>
      </c>
      <c r="AJ25" s="111">
        <v>726</v>
      </c>
      <c r="AK25" s="110">
        <v>31</v>
      </c>
      <c r="AL25" s="110">
        <v>162</v>
      </c>
      <c r="AM25" s="110">
        <v>4</v>
      </c>
      <c r="AN25" s="130"/>
      <c r="AO25" s="116">
        <f t="shared" si="16"/>
      </c>
      <c r="AP25" s="116">
        <f t="shared" si="10"/>
      </c>
      <c r="AQ25" s="116">
        <f t="shared" si="18"/>
      </c>
      <c r="AR25" s="119">
        <f t="shared" si="35"/>
      </c>
      <c r="AS25" s="120">
        <f t="shared" si="24"/>
      </c>
    </row>
    <row r="26">
      <c r="A26" s="122" t="s">
        <v>312</v>
      </c>
      <c r="B26" s="123"/>
      <c r="C26" s="123"/>
      <c r="D26" s="123">
        <f>SUM(D23:D25)</f>
      </c>
      <c r="E26" s="123">
        <f>SUM(E23:E25)</f>
      </c>
      <c r="F26" s="123">
        <f>SUM(F23:F25)</f>
      </c>
      <c r="G26" s="123">
        <f>SUM(G23:G25)</f>
      </c>
      <c r="H26" s="123">
        <f>SUM(H23:H25)</f>
      </c>
      <c r="I26" s="123">
        <f>SUM(I23:I25)</f>
      </c>
      <c r="J26" s="123">
        <f>SUM(J23:J25)</f>
      </c>
      <c r="K26" s="123">
        <f>SUM(K23:K25)</f>
      </c>
      <c r="L26" s="123">
        <f>SUM(L23:L25)</f>
      </c>
      <c r="M26" s="123">
        <f>SUM(M23:M25)</f>
      </c>
      <c r="N26" s="123">
        <f>SUM(N23:N25)</f>
      </c>
      <c r="O26" s="123">
        <f>SUM(O23:O25)</f>
      </c>
      <c r="P26" s="123">
        <f>SUM(P23:P25)</f>
      </c>
      <c r="Q26" s="123">
        <f>SUM(Q23:Q25)</f>
      </c>
      <c r="R26" s="123">
        <f>SUM(R23:R25)</f>
      </c>
      <c r="S26" s="123">
        <f>SUM(S23:S25)</f>
      </c>
      <c r="T26" s="125">
        <f t="shared" si="20"/>
      </c>
      <c r="U26" s="125">
        <f t="shared" si="12"/>
      </c>
      <c r="V26" s="125">
        <f t="shared" si="8"/>
      </c>
      <c r="W26" s="125">
        <f t="shared" si="33"/>
      </c>
      <c r="X26" s="125">
        <f t="shared" si="22"/>
      </c>
      <c r="Y26" s="126">
        <f t="shared" si="14"/>
      </c>
      <c r="Z26" s="127">
        <f>SUM(Z23:Z25)</f>
      </c>
      <c r="AA26" s="127">
        <f>SUM(AA23:AA25)</f>
      </c>
      <c r="AB26" s="127"/>
      <c r="AC26" s="127">
        <f>SUM(AC23:AC25)</f>
      </c>
      <c r="AD26" s="127"/>
      <c r="AE26" s="127"/>
      <c r="AF26" s="127">
        <f>SUM(AF23:AF25)</f>
      </c>
      <c r="AG26" s="127">
        <f>SUM(AG23:AG25)</f>
      </c>
      <c r="AH26" s="127">
        <f>SUM(AH23:AH25)</f>
      </c>
      <c r="AI26" s="127">
        <f>SUM(AI23:AI25)</f>
      </c>
      <c r="AJ26" s="127">
        <f>SUM(AJ23:AJ25)</f>
      </c>
      <c r="AK26" s="127">
        <f>SUM(AK23:AK25)</f>
      </c>
      <c r="AL26" s="127">
        <f>SUM(AL23:AL25)</f>
      </c>
      <c r="AM26" s="127">
        <f>SUM(AM23:AM25)</f>
      </c>
      <c r="AN26" s="127">
        <f>SUM(AN23:AN25)</f>
      </c>
      <c r="AO26" s="126">
        <f t="shared" si="16"/>
      </c>
      <c r="AP26" s="126">
        <f t="shared" si="10"/>
      </c>
      <c r="AQ26" s="126">
        <f t="shared" si="18"/>
      </c>
      <c r="AR26" s="126">
        <f t="shared" si="35"/>
      </c>
      <c r="AS26" s="128">
        <f t="shared" si="24"/>
      </c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9" min="9" style="0" width="11.211267605633802"/>
    <col collapsed="false" customWidth="true" hidden="false" max="11" min="11" style="0" width="12.64480633802817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20.768375880281692"/>
    <col collapsed="false" customWidth="true" hidden="false" max="10" min="10" style="0" width="11.211267605633802"/>
    <col collapsed="false" customWidth="true" hidden="false" max="4" min="4" style="0" width="11.211267605633802"/>
    <col collapsed="false" customWidth="true" hidden="false" max="6" min="6" style="0" width="14.109595070422536"/>
    <col collapsed="false" customWidth="true" hidden="false" max="8" min="8" style="0" width="12.64480633802817"/>
  </cols>
  <sheetData>
    <row r="1">
      <c r="A1" s="134" t="s">
        <v>314</v>
      </c>
      <c r="B1" s="134" t="s">
        <v>315</v>
      </c>
      <c r="C1" s="134" t="s">
        <v>316</v>
      </c>
      <c r="D1" s="134" t="s">
        <v>317</v>
      </c>
      <c r="E1" s="134" t="s">
        <v>318</v>
      </c>
      <c r="F1" s="134" t="s">
        <v>319</v>
      </c>
      <c r="G1" s="134" t="s">
        <v>320</v>
      </c>
      <c r="H1" s="135" t="s">
        <v>321</v>
      </c>
      <c r="I1" s="135" t="s">
        <v>322</v>
      </c>
      <c r="J1" s="135" t="s">
        <v>323</v>
      </c>
      <c r="K1" s="135" t="s">
        <v>324</v>
      </c>
      <c r="L1" s="136" t="s">
        <v>325</v>
      </c>
      <c r="M1" s="136" t="s">
        <v>326</v>
      </c>
      <c r="N1" s="136" t="s">
        <v>327</v>
      </c>
      <c r="O1" s="136" t="s">
        <v>328</v>
      </c>
      <c r="P1" s="135" t="s">
        <v>329</v>
      </c>
      <c r="Q1" s="134" t="s">
        <v>330</v>
      </c>
      <c r="R1" s="134" t="s">
        <v>331</v>
      </c>
      <c r="S1" s="134" t="s">
        <v>332</v>
      </c>
      <c r="T1" s="134" t="s">
        <v>333</v>
      </c>
      <c r="U1" s="134" t="s">
        <v>334</v>
      </c>
      <c r="V1" s="134" t="s">
        <v>335</v>
      </c>
      <c r="W1" s="136" t="s">
        <v>336</v>
      </c>
      <c r="X1" s="136" t="s">
        <v>337</v>
      </c>
      <c r="Y1" s="134" t="s">
        <v>338</v>
      </c>
      <c r="Z1" s="136" t="s">
        <v>339</v>
      </c>
      <c r="AA1" s="134" t="s">
        <v>340</v>
      </c>
      <c r="AB1" s="134" t="s">
        <v>341</v>
      </c>
      <c r="AC1" s="134" t="s">
        <v>342</v>
      </c>
      <c r="AD1" s="136" t="s">
        <v>343</v>
      </c>
      <c r="AE1" s="136" t="s">
        <v>342</v>
      </c>
      <c r="AF1" s="134" t="s">
        <v>344</v>
      </c>
      <c r="AG1" s="134" t="s">
        <v>317</v>
      </c>
      <c r="AH1" s="137" t="s">
        <v>345</v>
      </c>
      <c r="AI1" s="137" t="s">
        <v>346</v>
      </c>
      <c r="AJ1" s="137" t="s">
        <v>347</v>
      </c>
      <c r="AK1" s="137" t="s">
        <v>348</v>
      </c>
      <c r="AL1" s="137" t="s">
        <v>349</v>
      </c>
      <c r="AM1" s="137" t="s">
        <v>350</v>
      </c>
      <c r="AN1" s="137" t="s">
        <v>351</v>
      </c>
      <c r="AO1" s="137" t="s">
        <v>352</v>
      </c>
      <c r="AP1" s="137" t="s">
        <v>353</v>
      </c>
      <c r="AQ1" s="138" t="s">
        <v>354</v>
      </c>
      <c r="AR1" s="138" t="s">
        <v>355</v>
      </c>
      <c r="AS1" s="138" t="s">
        <v>356</v>
      </c>
      <c r="AT1" s="138" t="s">
        <v>357</v>
      </c>
      <c r="AU1" s="138" t="s">
        <v>358</v>
      </c>
      <c r="AV1" s="138" t="s">
        <v>359</v>
      </c>
    </row>
    <row r="2">
      <c r="A2" s="139" t="s">
        <v>360</v>
      </c>
      <c r="B2" s="136" t="s">
        <v>361</v>
      </c>
      <c r="C2" s="136" t="s">
        <v>362</v>
      </c>
      <c r="D2" s="140">
        <v>3</v>
      </c>
      <c r="E2" s="141">
        <v>1</v>
      </c>
      <c r="F2" s="142">
        <f t="shared" ref="F2:F3" si="33">H2+J2</f>
      </c>
      <c r="G2" s="141">
        <v>1</v>
      </c>
      <c r="H2" s="141">
        <v>1</v>
      </c>
      <c r="I2" s="142">
        <v>101.34</v>
      </c>
      <c r="J2" s="141">
        <v>0</v>
      </c>
      <c r="K2" s="141">
        <v>0</v>
      </c>
      <c r="L2" s="141">
        <v>0</v>
      </c>
      <c r="M2" s="141">
        <v>0</v>
      </c>
      <c r="N2" s="141">
        <v>1</v>
      </c>
      <c r="O2" s="142">
        <v>1216.08</v>
      </c>
      <c r="P2" s="141">
        <v>0</v>
      </c>
      <c r="Q2" s="141">
        <v>0</v>
      </c>
      <c r="R2" s="134">
        <f t="shared" ref="R2:R3" si="38">(I2*12)+K2</f>
      </c>
      <c r="S2" s="143">
        <v>618.763</v>
      </c>
      <c r="T2" s="144">
        <f t="shared" ref="T2:T11" si="9">R2/S2</f>
      </c>
      <c r="U2" s="145">
        <f t="shared" ref="U2:U11" si="18">R2/F2</f>
      </c>
      <c r="V2" s="145">
        <f t="shared" ref="V2:V11" si="21">S2/F2</f>
      </c>
      <c r="W2" s="146">
        <f t="shared" ref="W2:W11" si="24">Z2/F2</f>
      </c>
      <c r="X2" s="146">
        <f t="shared" ref="X2:X11" si="0">AA2/F2</f>
      </c>
      <c r="Y2" s="146">
        <f t="shared" ref="Y2:Y11" si="12">P2/F2</f>
      </c>
      <c r="Z2" s="136">
        <v>0</v>
      </c>
      <c r="AA2" s="136">
        <v>0</v>
      </c>
      <c r="AB2" s="141" t="s">
        <v>363</v>
      </c>
      <c r="AC2" s="141">
        <v>1</v>
      </c>
      <c r="AD2" s="141" t="s">
        <v>364</v>
      </c>
      <c r="AE2" s="141">
        <v>6</v>
      </c>
      <c r="AF2" s="147">
        <v>11933</v>
      </c>
      <c r="AG2" s="142">
        <v>36</v>
      </c>
      <c r="AH2" s="147">
        <v>9440</v>
      </c>
      <c r="AI2" s="142">
        <v>628</v>
      </c>
      <c r="AJ2" s="142">
        <v>0</v>
      </c>
      <c r="AK2" s="142">
        <v>10</v>
      </c>
      <c r="AL2" s="142">
        <v>59</v>
      </c>
      <c r="AM2" s="142">
        <v>0</v>
      </c>
      <c r="AN2" s="148"/>
      <c r="AO2" s="146">
        <f t="shared" ref="AO2:AO11" si="27">AG2/AF2</f>
      </c>
      <c r="AP2" s="146">
        <f t="shared" ref="AP2:AP11" si="3">(AK2+AL2+AM2)/AH2</f>
      </c>
      <c r="AQ2" s="146">
        <f t="shared" ref="AQ2:AQ11" si="30">AI2/AH2</f>
      </c>
      <c r="AR2" s="149">
        <f t="shared" ref="AR2:AR11" si="6">AL2/AH2</f>
      </c>
      <c r="AS2" s="150">
        <f t="shared" ref="AS2:AS11" si="15">S2/AJ2</f>
      </c>
      <c r="AT2" s="151"/>
    </row>
    <row r="3">
      <c r="A3" s="139" t="s">
        <v>360</v>
      </c>
      <c r="B3" s="134" t="s">
        <v>365</v>
      </c>
      <c r="C3" s="136" t="s">
        <v>366</v>
      </c>
      <c r="D3" s="140">
        <v>3</v>
      </c>
      <c r="E3" s="141">
        <v>6</v>
      </c>
      <c r="F3" s="142">
        <f t="shared" si="33"/>
      </c>
      <c r="G3" s="141">
        <v>6</v>
      </c>
      <c r="H3" s="141">
        <v>5</v>
      </c>
      <c r="I3" s="142">
        <v>820.21</v>
      </c>
      <c r="J3" s="141">
        <v>1</v>
      </c>
      <c r="K3" s="142">
        <v>243</v>
      </c>
      <c r="L3" s="141">
        <v>5</v>
      </c>
      <c r="M3" s="142">
        <v>3310.6800000000003</v>
      </c>
      <c r="N3" s="141">
        <v>1</v>
      </c>
      <c r="O3" s="142">
        <v>6774.84</v>
      </c>
      <c r="P3" s="141">
        <v>3</v>
      </c>
      <c r="Q3" s="142">
        <v>706.98</v>
      </c>
      <c r="R3" s="134">
        <f t="shared" si="38"/>
      </c>
      <c r="S3" s="143">
        <v>1796.981</v>
      </c>
      <c r="T3" s="144">
        <f t="shared" si="9"/>
      </c>
      <c r="U3" s="145">
        <f t="shared" si="18"/>
      </c>
      <c r="V3" s="145">
        <f t="shared" si="21"/>
      </c>
      <c r="W3" s="146">
        <f t="shared" si="24"/>
      </c>
      <c r="X3" s="146">
        <f t="shared" si="0"/>
      </c>
      <c r="Y3" s="146">
        <f t="shared" si="12"/>
      </c>
      <c r="Z3" s="136">
        <v>2</v>
      </c>
      <c r="AA3" s="136">
        <v>3</v>
      </c>
      <c r="AB3" s="141" t="s">
        <v>367</v>
      </c>
      <c r="AC3" s="141">
        <v>5</v>
      </c>
      <c r="AD3" s="142"/>
      <c r="AE3" s="142"/>
      <c r="AF3" s="142">
        <v>37168</v>
      </c>
      <c r="AG3" s="142">
        <v>34</v>
      </c>
      <c r="AH3" s="142">
        <v>49523</v>
      </c>
      <c r="AI3" s="142">
        <v>2666</v>
      </c>
      <c r="AJ3" s="142">
        <v>370</v>
      </c>
      <c r="AK3" s="142">
        <v>20</v>
      </c>
      <c r="AL3" s="142">
        <v>88</v>
      </c>
      <c r="AM3" s="142">
        <v>5</v>
      </c>
      <c r="AN3" s="148"/>
      <c r="AO3" s="146">
        <f t="shared" si="27"/>
      </c>
      <c r="AP3" s="146">
        <f t="shared" si="3"/>
      </c>
      <c r="AQ3" s="146">
        <f t="shared" si="30"/>
      </c>
      <c r="AR3" s="149">
        <f t="shared" si="6"/>
      </c>
      <c r="AS3" s="150">
        <f t="shared" si="15"/>
      </c>
      <c r="AT3" s="151"/>
    </row>
    <row r="4">
      <c r="A4" s="152" t="s">
        <v>360</v>
      </c>
      <c r="B4" s="153"/>
      <c r="C4" s="153"/>
      <c r="D4" s="153">
        <f>SUM(D2:D3)</f>
      </c>
      <c r="E4" s="153">
        <f>SUM(E2:E3)</f>
      </c>
      <c r="F4" s="153">
        <f>SUM(F2:F3)</f>
      </c>
      <c r="G4" s="153">
        <f>SUM(G2:G3)</f>
      </c>
      <c r="H4" s="153">
        <f>SUM(H2:H3)</f>
      </c>
      <c r="I4" s="153">
        <f>SUM(I2:I3)</f>
      </c>
      <c r="J4" s="153">
        <f>SUM(J2:J3)</f>
      </c>
      <c r="K4" s="153">
        <f>SUM(K2:K3)</f>
      </c>
      <c r="L4" s="153">
        <f>SUM(L2:L3)</f>
      </c>
      <c r="M4" s="153">
        <f>SUM(M2:M3)</f>
      </c>
      <c r="N4" s="153">
        <f>SUM(N2:N3)</f>
      </c>
      <c r="O4" s="153">
        <f>SUM(O2:O3)</f>
      </c>
      <c r="P4" s="153">
        <f>SUM(P2:P3)</f>
      </c>
      <c r="Q4" s="153">
        <f>SUM(Q2:Q3)</f>
      </c>
      <c r="R4" s="153">
        <f>SUM(R2:R3)</f>
      </c>
      <c r="S4" s="153">
        <f>SUM(S2:S3)</f>
      </c>
      <c r="T4" s="154">
        <f t="shared" si="9"/>
      </c>
      <c r="U4" s="154">
        <f t="shared" si="18"/>
      </c>
      <c r="V4" s="154">
        <f t="shared" si="21"/>
      </c>
      <c r="W4" s="154">
        <f t="shared" si="24"/>
      </c>
      <c r="X4" s="154">
        <f t="shared" si="0"/>
      </c>
      <c r="Y4" s="155">
        <f t="shared" si="12"/>
      </c>
      <c r="Z4" s="156">
        <f>SUM(Z2:Z3)</f>
      </c>
      <c r="AA4" s="156">
        <f>SUM(AA2:AA3)</f>
      </c>
      <c r="AB4" s="156"/>
      <c r="AC4" s="156">
        <f>SUM(AC2:AC3)</f>
      </c>
      <c r="AD4" s="156"/>
      <c r="AE4" s="156"/>
      <c r="AF4" s="156">
        <f>SUM(AF2:AF3)</f>
      </c>
      <c r="AG4" s="156">
        <f>SUM(AG2:AG3)</f>
      </c>
      <c r="AH4" s="156">
        <f>SUM(AH2:AH3)</f>
      </c>
      <c r="AI4" s="156">
        <f>SUM(AI2:AI3)</f>
      </c>
      <c r="AJ4" s="156">
        <f>SUM(AJ2:AJ3)</f>
      </c>
      <c r="AK4" s="156">
        <f>SUM(AK2:AK3)</f>
      </c>
      <c r="AL4" s="156">
        <f>SUM(AL2:AL3)</f>
      </c>
      <c r="AM4" s="156">
        <f>SUM(AM2:AM3)</f>
      </c>
      <c r="AN4" s="156">
        <f>SUM(AN2:AN3)</f>
      </c>
      <c r="AO4" s="155">
        <f t="shared" si="27"/>
      </c>
      <c r="AP4" s="155">
        <f t="shared" si="3"/>
      </c>
      <c r="AQ4" s="155">
        <f t="shared" si="30"/>
      </c>
      <c r="AR4" s="155">
        <f t="shared" si="6"/>
      </c>
      <c r="AS4" s="157">
        <f t="shared" si="15"/>
      </c>
      <c r="AT4" s="155">
        <f>F4/AJ4</f>
      </c>
    </row>
    <row r="5">
      <c r="A5" s="139" t="s">
        <v>368</v>
      </c>
      <c r="B5" s="136" t="s">
        <v>361</v>
      </c>
      <c r="C5" s="136" t="s">
        <v>362</v>
      </c>
      <c r="D5" s="136">
        <v>3</v>
      </c>
      <c r="E5" s="141">
        <v>6</v>
      </c>
      <c r="F5" s="142">
        <f t="shared" ref="F5:F6" si="34">H5+J5</f>
      </c>
      <c r="G5" s="141">
        <v>2</v>
      </c>
      <c r="H5" s="141">
        <v>2</v>
      </c>
      <c r="I5" s="142">
        <v>35.620000000000005</v>
      </c>
      <c r="J5" s="141">
        <v>0</v>
      </c>
      <c r="K5" s="141">
        <v>0</v>
      </c>
      <c r="L5" s="141">
        <v>2</v>
      </c>
      <c r="M5" s="141">
        <v>427.44000000000005</v>
      </c>
      <c r="N5" s="141">
        <v>0</v>
      </c>
      <c r="O5" s="141">
        <v>0</v>
      </c>
      <c r="P5" s="141">
        <v>0</v>
      </c>
      <c r="Q5" s="141">
        <v>0</v>
      </c>
      <c r="R5" s="134">
        <f t="shared" ref="R5:R6" si="39">(I5*12)+K5</f>
      </c>
      <c r="S5" s="143">
        <v>4782.999</v>
      </c>
      <c r="T5" s="144">
        <f t="shared" si="9"/>
      </c>
      <c r="U5" s="145">
        <f t="shared" si="18"/>
      </c>
      <c r="V5" s="145">
        <f t="shared" si="21"/>
      </c>
      <c r="W5" s="146">
        <f t="shared" si="24"/>
      </c>
      <c r="X5" s="146">
        <f t="shared" si="0"/>
      </c>
      <c r="Y5" s="146">
        <f t="shared" si="12"/>
      </c>
      <c r="Z5" s="136">
        <v>0</v>
      </c>
      <c r="AA5" s="136">
        <v>0</v>
      </c>
      <c r="AB5" s="141" t="s">
        <v>369</v>
      </c>
      <c r="AC5" s="141">
        <v>5</v>
      </c>
      <c r="AD5" s="141" t="s">
        <v>364</v>
      </c>
      <c r="AE5" s="141">
        <v>6</v>
      </c>
      <c r="AF5" s="147">
        <v>97206</v>
      </c>
      <c r="AG5" s="142">
        <v>39</v>
      </c>
      <c r="AH5" s="147">
        <v>179503</v>
      </c>
      <c r="AI5" s="142">
        <v>9656</v>
      </c>
      <c r="AJ5" s="142">
        <v>485</v>
      </c>
      <c r="AK5" s="142">
        <v>54</v>
      </c>
      <c r="AL5" s="142">
        <v>155</v>
      </c>
      <c r="AM5" s="142">
        <v>7</v>
      </c>
      <c r="AN5" s="158"/>
      <c r="AO5" s="146">
        <f t="shared" si="27"/>
      </c>
      <c r="AP5" s="146">
        <f t="shared" si="3"/>
      </c>
      <c r="AQ5" s="146">
        <f t="shared" si="30"/>
      </c>
      <c r="AR5" s="149">
        <f t="shared" si="6"/>
      </c>
      <c r="AS5" s="150">
        <f t="shared" si="15"/>
      </c>
      <c r="AT5" s="151"/>
    </row>
    <row r="6">
      <c r="A6" s="139" t="s">
        <v>368</v>
      </c>
      <c r="B6" s="134" t="s">
        <v>365</v>
      </c>
      <c r="C6" s="136" t="s">
        <v>366</v>
      </c>
      <c r="D6" s="136">
        <v>3</v>
      </c>
      <c r="E6" s="141">
        <v>9</v>
      </c>
      <c r="F6" s="142">
        <f t="shared" si="34"/>
      </c>
      <c r="G6" s="141">
        <v>6</v>
      </c>
      <c r="H6" s="141">
        <v>5</v>
      </c>
      <c r="I6" s="142">
        <v>1035.1499999999999</v>
      </c>
      <c r="J6" s="141">
        <v>3</v>
      </c>
      <c r="K6" s="142">
        <v>2049.3</v>
      </c>
      <c r="L6" s="141">
        <v>4</v>
      </c>
      <c r="M6" s="142">
        <v>2939.94</v>
      </c>
      <c r="N6" s="141">
        <v>4</v>
      </c>
      <c r="O6" s="142">
        <v>11531.16</v>
      </c>
      <c r="P6" s="141">
        <v>3</v>
      </c>
      <c r="Q6" s="142">
        <v>706.98</v>
      </c>
      <c r="R6" s="134">
        <f t="shared" si="39"/>
      </c>
      <c r="S6" s="143">
        <v>2174.419</v>
      </c>
      <c r="T6" s="144">
        <f t="shared" si="9"/>
      </c>
      <c r="U6" s="145">
        <f t="shared" si="18"/>
      </c>
      <c r="V6" s="145">
        <f t="shared" si="21"/>
      </c>
      <c r="W6" s="146">
        <f t="shared" si="24"/>
      </c>
      <c r="X6" s="146">
        <f t="shared" si="0"/>
      </c>
      <c r="Y6" s="146">
        <f t="shared" si="12"/>
      </c>
      <c r="Z6" s="136">
        <v>5</v>
      </c>
      <c r="AA6" s="136">
        <v>6</v>
      </c>
      <c r="AB6" s="141" t="s">
        <v>367</v>
      </c>
      <c r="AC6" s="141">
        <v>1</v>
      </c>
      <c r="AD6" s="142"/>
      <c r="AE6" s="142"/>
      <c r="AF6" s="142">
        <v>55599</v>
      </c>
      <c r="AG6" s="142">
        <v>31</v>
      </c>
      <c r="AH6" s="142">
        <v>80494</v>
      </c>
      <c r="AI6" s="142">
        <v>4003</v>
      </c>
      <c r="AJ6" s="142">
        <v>333</v>
      </c>
      <c r="AK6" s="142">
        <v>19</v>
      </c>
      <c r="AL6" s="142">
        <v>86</v>
      </c>
      <c r="AM6" s="142">
        <v>4</v>
      </c>
      <c r="AN6" s="158"/>
      <c r="AO6" s="146">
        <f t="shared" si="27"/>
      </c>
      <c r="AP6" s="146">
        <f t="shared" si="3"/>
      </c>
      <c r="AQ6" s="146">
        <f t="shared" si="30"/>
      </c>
      <c r="AR6" s="149">
        <f t="shared" si="6"/>
      </c>
      <c r="AS6" s="150">
        <f t="shared" si="15"/>
      </c>
      <c r="AT6" s="151"/>
    </row>
    <row r="7">
      <c r="A7" s="152" t="s">
        <v>368</v>
      </c>
      <c r="B7" s="153"/>
      <c r="C7" s="153"/>
      <c r="D7" s="153">
        <f>SUM(D5:D6)</f>
      </c>
      <c r="E7" s="153">
        <f>SUM(E5:E6)</f>
      </c>
      <c r="F7" s="153">
        <f>SUM(F5:F6)</f>
      </c>
      <c r="G7" s="153">
        <f>SUM(G5:G6)</f>
      </c>
      <c r="H7" s="153">
        <f>SUM(H5:H6)</f>
      </c>
      <c r="I7" s="153">
        <f>SUM(I5:I6)</f>
      </c>
      <c r="J7" s="153">
        <f>SUM(J5:J6)</f>
      </c>
      <c r="K7" s="153">
        <f>SUM(K5:K6)</f>
      </c>
      <c r="L7" s="153">
        <f>SUM(L5:L6)</f>
      </c>
      <c r="M7" s="153">
        <f>SUM(M5:M6)</f>
      </c>
      <c r="N7" s="153">
        <f>SUM(N5:N6)</f>
      </c>
      <c r="O7" s="153">
        <f>SUM(O5:O6)</f>
      </c>
      <c r="P7" s="153">
        <f>SUM(P5:P6)</f>
      </c>
      <c r="Q7" s="153">
        <f>SUM(Q5:Q6)</f>
      </c>
      <c r="R7" s="153">
        <f>SUM(R5:R6)</f>
      </c>
      <c r="S7" s="159">
        <f>SUM(S5:S6)</f>
      </c>
      <c r="T7" s="154">
        <f t="shared" si="9"/>
      </c>
      <c r="U7" s="154">
        <f t="shared" si="18"/>
      </c>
      <c r="V7" s="154">
        <f t="shared" si="21"/>
      </c>
      <c r="W7" s="154">
        <f t="shared" si="24"/>
      </c>
      <c r="X7" s="154">
        <f t="shared" si="0"/>
      </c>
      <c r="Y7" s="155">
        <f t="shared" si="12"/>
      </c>
      <c r="Z7" s="156">
        <f>SUM(Z5:Z6)</f>
      </c>
      <c r="AA7" s="156">
        <f>SUM(AA5:AA6)</f>
      </c>
      <c r="AB7" s="156"/>
      <c r="AC7" s="156">
        <f>SUM(AC5:AC6)</f>
      </c>
      <c r="AD7" s="156"/>
      <c r="AE7" s="156"/>
      <c r="AF7" s="156">
        <f>SUM(AF5:AF6)</f>
      </c>
      <c r="AG7" s="156">
        <f>SUM(AG5:AG6)</f>
      </c>
      <c r="AH7" s="156">
        <f>SUM(AH5:AH6)</f>
      </c>
      <c r="AI7" s="156">
        <f>SUM(AI5:AI6)</f>
      </c>
      <c r="AJ7" s="156">
        <f>SUM(AJ5:AJ6)</f>
      </c>
      <c r="AK7" s="156">
        <f>SUM(AK5:AK6)</f>
      </c>
      <c r="AL7" s="156">
        <f>SUM(AL5:AL6)</f>
      </c>
      <c r="AM7" s="156">
        <f>SUM(AM5:AM6)</f>
      </c>
      <c r="AN7" s="156">
        <f>SUM(AN5:AN6)</f>
      </c>
      <c r="AO7" s="155">
        <f t="shared" si="27"/>
      </c>
      <c r="AP7" s="155">
        <f t="shared" si="3"/>
      </c>
      <c r="AQ7" s="155">
        <f t="shared" si="30"/>
      </c>
      <c r="AR7" s="155">
        <f t="shared" si="6"/>
      </c>
      <c r="AS7" s="157">
        <f t="shared" si="15"/>
      </c>
      <c r="AT7" s="155">
        <f>F7/AJ7</f>
      </c>
    </row>
    <row r="8">
      <c r="A8" s="139" t="s">
        <v>370</v>
      </c>
      <c r="B8" s="134" t="s">
        <v>365</v>
      </c>
      <c r="C8" s="136" t="s">
        <v>362</v>
      </c>
      <c r="D8" s="136">
        <v>3</v>
      </c>
      <c r="E8" s="141">
        <v>9</v>
      </c>
      <c r="F8" s="142">
        <f t="shared" ref="F8:F9" si="35">H8+J8</f>
      </c>
      <c r="G8" s="141">
        <v>6</v>
      </c>
      <c r="H8" s="141">
        <v>5</v>
      </c>
      <c r="I8" s="142">
        <v>558.12</v>
      </c>
      <c r="J8" s="141">
        <v>1</v>
      </c>
      <c r="K8" s="141">
        <v>423</v>
      </c>
      <c r="L8" s="141">
        <v>5</v>
      </c>
      <c r="M8" s="141">
        <v>4635.360000000001</v>
      </c>
      <c r="N8" s="141">
        <v>1</v>
      </c>
      <c r="O8" s="141">
        <v>2485.08</v>
      </c>
      <c r="P8" s="141">
        <v>2</v>
      </c>
      <c r="Q8" s="141">
        <v>174.29000000000002</v>
      </c>
      <c r="R8" s="134">
        <f t="shared" ref="R8:R9" si="40">(I8*12)+K8</f>
      </c>
      <c r="S8" s="143">
        <v>4559.414000000001</v>
      </c>
      <c r="T8" s="144">
        <f t="shared" si="9"/>
      </c>
      <c r="U8" s="145">
        <f t="shared" si="18"/>
      </c>
      <c r="V8" s="145">
        <f t="shared" si="21"/>
      </c>
      <c r="W8" s="146">
        <f t="shared" si="24"/>
      </c>
      <c r="X8" s="146">
        <f t="shared" si="0"/>
      </c>
      <c r="Y8" s="146">
        <f t="shared" si="12"/>
      </c>
      <c r="Z8" s="136">
        <v>0</v>
      </c>
      <c r="AA8" s="136">
        <v>0</v>
      </c>
      <c r="AB8" s="141" t="s">
        <v>369</v>
      </c>
      <c r="AC8" s="141">
        <v>1</v>
      </c>
      <c r="AD8" s="141" t="s">
        <v>364</v>
      </c>
      <c r="AE8" s="141">
        <v>6</v>
      </c>
      <c r="AF8" s="147">
        <v>121727</v>
      </c>
      <c r="AG8" s="142">
        <v>41</v>
      </c>
      <c r="AH8" s="147">
        <v>197722</v>
      </c>
      <c r="AI8" s="142">
        <v>8914</v>
      </c>
      <c r="AJ8" s="142">
        <v>864</v>
      </c>
      <c r="AK8" s="142">
        <v>60</v>
      </c>
      <c r="AL8" s="142">
        <v>173</v>
      </c>
      <c r="AM8" s="142">
        <v>13</v>
      </c>
      <c r="AN8" s="158"/>
      <c r="AO8" s="146">
        <f t="shared" si="27"/>
      </c>
      <c r="AP8" s="146">
        <f t="shared" si="3"/>
      </c>
      <c r="AQ8" s="146">
        <f t="shared" si="30"/>
      </c>
      <c r="AR8" s="149">
        <f t="shared" si="6"/>
      </c>
      <c r="AS8" s="150">
        <f t="shared" si="15"/>
      </c>
      <c r="AT8" s="151"/>
    </row>
    <row r="9">
      <c r="A9" s="139" t="s">
        <v>370</v>
      </c>
      <c r="B9" s="136" t="s">
        <v>361</v>
      </c>
      <c r="C9" s="136" t="s">
        <v>366</v>
      </c>
      <c r="D9" s="136">
        <v>3</v>
      </c>
      <c r="E9" s="141">
        <v>2</v>
      </c>
      <c r="F9" s="142">
        <f t="shared" si="35"/>
      </c>
      <c r="G9" s="141">
        <v>1</v>
      </c>
      <c r="H9" s="141">
        <v>1</v>
      </c>
      <c r="I9" s="142">
        <v>216.9</v>
      </c>
      <c r="J9" s="141">
        <v>0</v>
      </c>
      <c r="K9" s="141">
        <v>0</v>
      </c>
      <c r="L9" s="141">
        <v>0</v>
      </c>
      <c r="M9" s="141">
        <v>0</v>
      </c>
      <c r="N9" s="141">
        <v>1</v>
      </c>
      <c r="O9" s="142">
        <v>2602.8</v>
      </c>
      <c r="P9" s="141">
        <v>0</v>
      </c>
      <c r="Q9" s="141">
        <v>0</v>
      </c>
      <c r="R9" s="134">
        <f t="shared" si="40"/>
      </c>
      <c r="S9" s="143">
        <v>3022.008</v>
      </c>
      <c r="T9" s="144">
        <f t="shared" si="9"/>
      </c>
      <c r="U9" s="145">
        <f t="shared" si="18"/>
      </c>
      <c r="V9" s="145">
        <f t="shared" si="21"/>
      </c>
      <c r="W9" s="146">
        <f t="shared" si="24"/>
      </c>
      <c r="X9" s="146">
        <f t="shared" si="0"/>
      </c>
      <c r="Y9" s="146">
        <f t="shared" si="12"/>
      </c>
      <c r="Z9" s="136">
        <v>0</v>
      </c>
      <c r="AA9" s="136">
        <v>0</v>
      </c>
      <c r="AB9" s="141" t="s">
        <v>367</v>
      </c>
      <c r="AC9" s="141">
        <v>5</v>
      </c>
      <c r="AD9" s="142"/>
      <c r="AE9" s="142"/>
      <c r="AF9" s="142">
        <v>64433</v>
      </c>
      <c r="AG9" s="142">
        <v>36</v>
      </c>
      <c r="AH9" s="142">
        <v>86397</v>
      </c>
      <c r="AI9" s="142">
        <v>3672</v>
      </c>
      <c r="AJ9" s="142">
        <v>638</v>
      </c>
      <c r="AK9" s="142">
        <v>35</v>
      </c>
      <c r="AL9" s="142">
        <v>141</v>
      </c>
      <c r="AM9" s="142">
        <v>6</v>
      </c>
      <c r="AN9" s="158"/>
      <c r="AO9" s="146">
        <f t="shared" si="27"/>
      </c>
      <c r="AP9" s="146">
        <f t="shared" si="3"/>
      </c>
      <c r="AQ9" s="146">
        <f t="shared" si="30"/>
      </c>
      <c r="AR9" s="149">
        <f t="shared" si="6"/>
      </c>
      <c r="AS9" s="150">
        <f t="shared" si="15"/>
      </c>
      <c r="AT9" s="151"/>
    </row>
    <row r="10">
      <c r="A10" s="152" t="s">
        <v>370</v>
      </c>
      <c r="B10" s="153"/>
      <c r="C10" s="153"/>
      <c r="D10" s="153">
        <f>SUM(D8:D9)</f>
      </c>
      <c r="E10" s="153">
        <f>SUM(E8:E9)</f>
      </c>
      <c r="F10" s="153">
        <f>SUM(F8:F9)</f>
      </c>
      <c r="G10" s="153">
        <f>SUM(G8:G9)</f>
      </c>
      <c r="H10" s="153">
        <f>SUM(H8:H9)</f>
      </c>
      <c r="I10" s="153">
        <f>SUM(I8:I9)</f>
      </c>
      <c r="J10" s="153">
        <f>SUM(J8:J9)</f>
      </c>
      <c r="K10" s="153">
        <f>SUM(K8:K9)</f>
      </c>
      <c r="L10" s="153">
        <f>SUM(L8:L9)</f>
      </c>
      <c r="M10" s="153">
        <f>SUM(M8:M9)</f>
      </c>
      <c r="N10" s="153">
        <f>SUM(N8:N9)</f>
      </c>
      <c r="O10" s="153">
        <f>SUM(O8:O9)</f>
      </c>
      <c r="P10" s="153">
        <f>SUM(P8:P9)</f>
      </c>
      <c r="Q10" s="153">
        <f>SUM(Q8:Q9)</f>
      </c>
      <c r="R10" s="153">
        <f>SUM(R8:R9)</f>
      </c>
      <c r="S10" s="159">
        <f>SUM(S8:S9)</f>
      </c>
      <c r="T10" s="154">
        <f t="shared" si="9"/>
      </c>
      <c r="U10" s="154">
        <f t="shared" si="18"/>
      </c>
      <c r="V10" s="154">
        <f t="shared" si="21"/>
      </c>
      <c r="W10" s="154">
        <f t="shared" si="24"/>
      </c>
      <c r="X10" s="154">
        <f t="shared" si="0"/>
      </c>
      <c r="Y10" s="155">
        <f t="shared" si="12"/>
      </c>
      <c r="Z10" s="156">
        <f>SUM(Z8:Z9)</f>
      </c>
      <c r="AA10" s="156">
        <f>SUM(AA8:AA9)</f>
      </c>
      <c r="AB10" s="156"/>
      <c r="AC10" s="156">
        <f>SUM(AC8:AC9)</f>
      </c>
      <c r="AD10" s="156"/>
      <c r="AE10" s="156"/>
      <c r="AF10" s="156">
        <f>SUM(AF8:AF9)</f>
      </c>
      <c r="AG10" s="156">
        <f>SUM(AG8:AG9)</f>
      </c>
      <c r="AH10" s="156">
        <f>SUM(AH8:AH9)</f>
      </c>
      <c r="AI10" s="156">
        <f>SUM(AI8:AI9)</f>
      </c>
      <c r="AJ10" s="156">
        <f>SUM(AJ8:AJ9)</f>
      </c>
      <c r="AK10" s="156">
        <f>SUM(AK8:AK9)</f>
      </c>
      <c r="AL10" s="156">
        <f>SUM(AL8:AL9)</f>
      </c>
      <c r="AM10" s="156">
        <f>SUM(AM8:AM9)</f>
      </c>
      <c r="AN10" s="156">
        <f>SUM(AN8:AN9)</f>
      </c>
      <c r="AO10" s="155">
        <f t="shared" si="27"/>
      </c>
      <c r="AP10" s="155">
        <f t="shared" si="3"/>
      </c>
      <c r="AQ10" s="155">
        <f t="shared" si="30"/>
      </c>
      <c r="AR10" s="155">
        <f t="shared" si="6"/>
      </c>
      <c r="AS10" s="157">
        <f t="shared" si="15"/>
      </c>
      <c r="AT10" s="155">
        <f>F10/AJ10</f>
      </c>
    </row>
    <row r="11">
      <c r="A11" s="139" t="s">
        <v>371</v>
      </c>
      <c r="B11" s="134" t="s">
        <v>365</v>
      </c>
      <c r="C11" s="136" t="s">
        <v>372</v>
      </c>
      <c r="D11" s="136">
        <v>5</v>
      </c>
      <c r="E11" s="141">
        <v>16</v>
      </c>
      <c r="F11" s="142">
        <f>H11+J11</f>
      </c>
      <c r="G11" s="141">
        <v>8</v>
      </c>
      <c r="H11" s="141">
        <v>8</v>
      </c>
      <c r="I11" s="142">
        <v>1464.45</v>
      </c>
      <c r="J11" s="141">
        <v>0</v>
      </c>
      <c r="K11" s="141">
        <v>0</v>
      </c>
      <c r="L11" s="141">
        <v>5</v>
      </c>
      <c r="M11" s="141">
        <v>7400.88</v>
      </c>
      <c r="N11" s="141">
        <v>3</v>
      </c>
      <c r="O11" s="141">
        <v>10172.52</v>
      </c>
      <c r="P11" s="141">
        <v>5</v>
      </c>
      <c r="Q11" s="141">
        <v>1101.93</v>
      </c>
      <c r="R11" s="134">
        <f>(I11*12)+K11</f>
      </c>
      <c r="S11" s="143">
        <v>3775.646</v>
      </c>
      <c r="T11" s="144">
        <f t="shared" si="9"/>
      </c>
      <c r="U11" s="145">
        <f t="shared" si="18"/>
      </c>
      <c r="V11" s="145">
        <f t="shared" si="21"/>
      </c>
      <c r="W11" s="146">
        <f t="shared" si="24"/>
      </c>
      <c r="X11" s="146">
        <f t="shared" si="0"/>
      </c>
      <c r="Y11" s="146">
        <f t="shared" si="12"/>
      </c>
      <c r="Z11" s="136">
        <v>3</v>
      </c>
      <c r="AA11" s="136">
        <v>3</v>
      </c>
      <c r="AB11" s="141" t="s">
        <v>363</v>
      </c>
      <c r="AC11" s="141">
        <v>4</v>
      </c>
      <c r="AD11" s="141" t="s">
        <v>364</v>
      </c>
      <c r="AE11" s="141">
        <v>5</v>
      </c>
      <c r="AF11" s="147">
        <v>79241</v>
      </c>
      <c r="AG11" s="142">
        <v>307</v>
      </c>
      <c r="AH11" s="147">
        <v>103460</v>
      </c>
      <c r="AI11" s="142">
        <v>5824</v>
      </c>
      <c r="AJ11" s="142">
        <v>1049</v>
      </c>
      <c r="AK11" s="142">
        <v>48</v>
      </c>
      <c r="AL11" s="142">
        <v>218</v>
      </c>
      <c r="AM11" s="142">
        <v>9</v>
      </c>
      <c r="AN11" s="158"/>
      <c r="AO11" s="146">
        <f t="shared" si="27"/>
      </c>
      <c r="AP11" s="146">
        <f t="shared" si="3"/>
      </c>
      <c r="AQ11" s="146">
        <f t="shared" si="30"/>
      </c>
      <c r="AR11" s="149">
        <f t="shared" si="6"/>
      </c>
      <c r="AS11" s="150">
        <f t="shared" si="15"/>
      </c>
      <c r="AT11" s="151"/>
    </row>
    <row r="12">
      <c r="A12" s="139"/>
      <c r="B12" s="134"/>
      <c r="C12" s="136"/>
      <c r="D12" s="136"/>
      <c r="E12" s="141"/>
      <c r="F12" s="142"/>
      <c r="G12" s="141"/>
      <c r="H12" s="141"/>
      <c r="I12" s="142"/>
      <c r="J12" s="141"/>
      <c r="K12" s="141"/>
      <c r="L12" s="141"/>
      <c r="M12" s="141"/>
      <c r="N12" s="141"/>
      <c r="O12" s="141"/>
      <c r="P12" s="141"/>
      <c r="Q12" s="141"/>
      <c r="R12" s="134"/>
      <c r="S12" s="143"/>
      <c r="T12" s="144"/>
      <c r="U12" s="145"/>
      <c r="V12" s="145"/>
      <c r="W12" s="146"/>
      <c r="X12" s="146"/>
      <c r="Y12" s="146"/>
      <c r="Z12" s="136"/>
      <c r="AA12" s="136"/>
      <c r="AB12" s="141" t="s">
        <v>367</v>
      </c>
      <c r="AC12" s="142">
        <v>1</v>
      </c>
      <c r="AD12" s="141"/>
      <c r="AE12" s="141"/>
      <c r="AF12" s="147"/>
      <c r="AG12" s="142"/>
      <c r="AH12" s="147"/>
      <c r="AI12" s="142"/>
      <c r="AJ12" s="142"/>
      <c r="AK12" s="142"/>
      <c r="AL12" s="142"/>
      <c r="AM12" s="142"/>
      <c r="AN12" s="158"/>
      <c r="AO12" s="146"/>
      <c r="AP12" s="146"/>
      <c r="AQ12" s="146"/>
      <c r="AR12" s="149"/>
      <c r="AS12" s="150"/>
      <c r="AT12" s="151"/>
    </row>
    <row r="13">
      <c r="A13" s="152" t="s">
        <v>371</v>
      </c>
      <c r="B13" s="153"/>
      <c r="C13" s="153"/>
      <c r="D13" s="153">
        <f>SUM(D11)</f>
      </c>
      <c r="E13" s="153">
        <f>SUM(E11)</f>
      </c>
      <c r="F13" s="153">
        <f>SUM(F11)</f>
      </c>
      <c r="G13" s="153">
        <f>SUM(G11)</f>
      </c>
      <c r="H13" s="153">
        <f>SUM(H11)</f>
      </c>
      <c r="I13" s="153">
        <f>SUM(I11)</f>
      </c>
      <c r="J13" s="153">
        <f>SUM(J11)</f>
      </c>
      <c r="K13" s="153">
        <f>SUM(K11)</f>
      </c>
      <c r="L13" s="153">
        <f>SUM(L11)</f>
      </c>
      <c r="M13" s="153">
        <f>SUM(M11)</f>
      </c>
      <c r="N13" s="153">
        <f>SUM(N11)</f>
      </c>
      <c r="O13" s="153">
        <f>SUM(O11)</f>
      </c>
      <c r="P13" s="153">
        <f>SUM(P11)</f>
      </c>
      <c r="Q13" s="153">
        <f>SUM(Q11)</f>
      </c>
      <c r="R13" s="153">
        <f>SUM(R11)</f>
      </c>
      <c r="S13" s="159">
        <f>SUM(S11)</f>
      </c>
      <c r="T13" s="154">
        <f t="shared" ref="T13:T14" si="10">R13/S13</f>
      </c>
      <c r="U13" s="154">
        <f t="shared" ref="U13:U14" si="19">R13/F13</f>
      </c>
      <c r="V13" s="154">
        <f t="shared" ref="V13:V14" si="22">S13/F13</f>
      </c>
      <c r="W13" s="154">
        <f t="shared" ref="W13:W14" si="25">Z13/F13</f>
      </c>
      <c r="X13" s="154">
        <f t="shared" ref="X13:X14" si="1">AA13/F13</f>
      </c>
      <c r="Y13" s="155">
        <f t="shared" ref="Y13:Y14" si="13">P13/F13</f>
      </c>
      <c r="Z13" s="156">
        <f>SUM(Z11)</f>
      </c>
      <c r="AA13" s="156">
        <f>SUM(AA11)</f>
      </c>
      <c r="AB13" s="156"/>
      <c r="AC13" s="160">
        <f>SUM(AC11)</f>
      </c>
      <c r="AD13" s="156"/>
      <c r="AE13" s="156"/>
      <c r="AF13" s="156">
        <f>SUM(AF11)</f>
      </c>
      <c r="AG13" s="156">
        <f>SUM(AG11)</f>
      </c>
      <c r="AH13" s="156">
        <f>SUM(AH11)</f>
      </c>
      <c r="AI13" s="156">
        <f>SUM(AI11)</f>
      </c>
      <c r="AJ13" s="156">
        <f>SUM(AJ11)</f>
      </c>
      <c r="AK13" s="156">
        <f>SUM(AK11)</f>
      </c>
      <c r="AL13" s="156">
        <f>SUM(AL11)</f>
      </c>
      <c r="AM13" s="156">
        <f>SUM(AM11)</f>
      </c>
      <c r="AN13" s="156">
        <f>SUM(AN11)</f>
      </c>
      <c r="AO13" s="155">
        <f t="shared" ref="AO13:AO14" si="28">AG13/AF13</f>
      </c>
      <c r="AP13" s="155">
        <f t="shared" ref="AP13:AP14" si="4">(AK13+AL13+AM13)/AH13</f>
      </c>
      <c r="AQ13" s="155">
        <f t="shared" ref="AQ13:AQ14" si="31">AI13/AH13</f>
      </c>
      <c r="AR13" s="155">
        <f t="shared" ref="AR13:AR14" si="7">AL13/AH13</f>
      </c>
      <c r="AS13" s="157">
        <f t="shared" ref="AS13:AS14" si="16">S13/AJ13</f>
      </c>
      <c r="AT13" s="155">
        <f>F13/AJ13</f>
      </c>
    </row>
    <row r="14">
      <c r="A14" s="139" t="s">
        <v>373</v>
      </c>
      <c r="B14" s="134" t="s">
        <v>365</v>
      </c>
      <c r="C14" s="136" t="s">
        <v>372</v>
      </c>
      <c r="D14" s="136">
        <v>5</v>
      </c>
      <c r="E14" s="141">
        <v>19</v>
      </c>
      <c r="F14" s="142">
        <f>H14+J14</f>
      </c>
      <c r="G14" s="141">
        <v>6</v>
      </c>
      <c r="H14" s="141">
        <v>7</v>
      </c>
      <c r="I14" s="142">
        <v>400.20000000000005</v>
      </c>
      <c r="J14" s="141">
        <v>0</v>
      </c>
      <c r="K14" s="141">
        <v>0</v>
      </c>
      <c r="L14" s="141">
        <v>5</v>
      </c>
      <c r="M14" s="141">
        <v>2088.3600000000006</v>
      </c>
      <c r="N14" s="141">
        <v>2</v>
      </c>
      <c r="O14" s="141">
        <v>2714.04</v>
      </c>
      <c r="P14" s="141">
        <v>5</v>
      </c>
      <c r="Q14" s="141">
        <v>1101.93</v>
      </c>
      <c r="R14" s="134">
        <f>(I14*12)+K14</f>
      </c>
      <c r="S14" s="143">
        <v>9417.095</v>
      </c>
      <c r="T14" s="144">
        <f t="shared" si="10"/>
      </c>
      <c r="U14" s="145">
        <f t="shared" si="19"/>
      </c>
      <c r="V14" s="145">
        <f t="shared" si="22"/>
      </c>
      <c r="W14" s="146">
        <f t="shared" si="25"/>
      </c>
      <c r="X14" s="146">
        <f t="shared" si="1"/>
      </c>
      <c r="Y14" s="146">
        <f t="shared" si="13"/>
      </c>
      <c r="Z14" s="136">
        <v>3</v>
      </c>
      <c r="AA14" s="136">
        <v>3</v>
      </c>
      <c r="AB14" s="141" t="s">
        <v>363</v>
      </c>
      <c r="AC14" s="141">
        <v>4</v>
      </c>
      <c r="AD14" s="141" t="s">
        <v>364</v>
      </c>
      <c r="AE14" s="141">
        <v>5</v>
      </c>
      <c r="AF14" s="147">
        <v>295003</v>
      </c>
      <c r="AG14" s="142">
        <v>1998</v>
      </c>
      <c r="AH14" s="147">
        <v>258921</v>
      </c>
      <c r="AI14" s="142">
        <v>13813</v>
      </c>
      <c r="AJ14" s="142">
        <v>2311</v>
      </c>
      <c r="AK14" s="142">
        <v>84</v>
      </c>
      <c r="AL14" s="142">
        <v>353</v>
      </c>
      <c r="AM14" s="142">
        <v>13</v>
      </c>
      <c r="AN14" s="158"/>
      <c r="AO14" s="146">
        <f t="shared" si="28"/>
      </c>
      <c r="AP14" s="146">
        <f t="shared" si="4"/>
      </c>
      <c r="AQ14" s="146">
        <f t="shared" si="31"/>
      </c>
      <c r="AR14" s="149">
        <f t="shared" si="7"/>
      </c>
      <c r="AS14" s="150">
        <f t="shared" si="16"/>
      </c>
      <c r="AT14" s="151"/>
    </row>
    <row r="15">
      <c r="A15" s="139"/>
      <c r="B15" s="134"/>
      <c r="C15" s="136"/>
      <c r="D15" s="136"/>
      <c r="E15" s="141"/>
      <c r="F15" s="142"/>
      <c r="G15" s="141"/>
      <c r="H15" s="141"/>
      <c r="I15" s="142"/>
      <c r="J15" s="141"/>
      <c r="K15" s="141"/>
      <c r="L15" s="141"/>
      <c r="M15" s="141"/>
      <c r="N15" s="141"/>
      <c r="O15" s="141"/>
      <c r="P15" s="141"/>
      <c r="Q15" s="141"/>
      <c r="R15" s="134"/>
      <c r="S15" s="143"/>
      <c r="T15" s="144"/>
      <c r="U15" s="145"/>
      <c r="V15" s="145"/>
      <c r="W15" s="146"/>
      <c r="X15" s="146"/>
      <c r="Y15" s="146"/>
      <c r="Z15" s="136"/>
      <c r="AA15" s="136"/>
      <c r="AB15" s="141" t="s">
        <v>367</v>
      </c>
      <c r="AC15" s="142">
        <v>1</v>
      </c>
      <c r="AD15" s="141"/>
      <c r="AE15" s="141"/>
      <c r="AF15" s="147"/>
      <c r="AG15" s="142"/>
      <c r="AH15" s="147"/>
      <c r="AI15" s="142"/>
      <c r="AJ15" s="142"/>
      <c r="AK15" s="142"/>
      <c r="AL15" s="142"/>
      <c r="AM15" s="142"/>
      <c r="AN15" s="158"/>
      <c r="AO15" s="146"/>
      <c r="AP15" s="146"/>
      <c r="AQ15" s="146"/>
      <c r="AR15" s="149"/>
      <c r="AS15" s="150"/>
      <c r="AT15" s="151"/>
    </row>
    <row r="16">
      <c r="A16" s="152" t="s">
        <v>373</v>
      </c>
      <c r="B16" s="153"/>
      <c r="C16" s="153"/>
      <c r="D16" s="153">
        <f>SUM(D14)</f>
      </c>
      <c r="E16" s="153">
        <f>SUM(E14)</f>
      </c>
      <c r="F16" s="153">
        <f>SUM(F14)</f>
      </c>
      <c r="G16" s="153">
        <f>SUM(G14)</f>
      </c>
      <c r="H16" s="153">
        <f>SUM(H14)</f>
      </c>
      <c r="I16" s="153">
        <f>SUM(I14)</f>
      </c>
      <c r="J16" s="153">
        <f>SUM(J14)</f>
      </c>
      <c r="K16" s="153">
        <f>SUM(K14)</f>
      </c>
      <c r="L16" s="153">
        <f>SUM(L14)</f>
      </c>
      <c r="M16" s="153">
        <f>SUM(M14)</f>
      </c>
      <c r="N16" s="153">
        <f>SUM(N14)</f>
      </c>
      <c r="O16" s="153">
        <f>SUM(O14)</f>
      </c>
      <c r="P16" s="153">
        <f>SUM(P14)</f>
      </c>
      <c r="Q16" s="153">
        <f>SUM(Q14)</f>
      </c>
      <c r="R16" s="153">
        <f>SUM(R14)</f>
      </c>
      <c r="S16" s="159">
        <f>SUM(S14)</f>
      </c>
      <c r="T16" s="154">
        <f t="shared" ref="T16:T22" si="11">R16/S16</f>
      </c>
      <c r="U16" s="154">
        <f t="shared" ref="U16:U22" si="20">R16/F16</f>
      </c>
      <c r="V16" s="154">
        <f t="shared" ref="V16:V22" si="23">S16/F16</f>
      </c>
      <c r="W16" s="154">
        <f t="shared" ref="W16:W22" si="26">Z16/F16</f>
      </c>
      <c r="X16" s="154">
        <f t="shared" ref="X16:X22" si="2">AA16/F16</f>
      </c>
      <c r="Y16" s="155">
        <f t="shared" ref="Y16:Y22" si="14">P16/F16</f>
      </c>
      <c r="Z16" s="156">
        <f>SUM(Z14)</f>
      </c>
      <c r="AA16" s="156">
        <f>SUM(AA14)</f>
      </c>
      <c r="AB16" s="156"/>
      <c r="AC16" s="160">
        <f>SUM(AC14)</f>
      </c>
      <c r="AD16" s="156"/>
      <c r="AE16" s="156"/>
      <c r="AF16" s="156">
        <f>SUM(AF14)</f>
      </c>
      <c r="AG16" s="156">
        <f>SUM(AG14)</f>
      </c>
      <c r="AH16" s="156">
        <f>SUM(AH14)</f>
      </c>
      <c r="AI16" s="156">
        <f>SUM(AI14)</f>
      </c>
      <c r="AJ16" s="156">
        <f>SUM(AJ14)</f>
      </c>
      <c r="AK16" s="156">
        <f>SUM(AK14)</f>
      </c>
      <c r="AL16" s="156">
        <f>SUM(AL14)</f>
      </c>
      <c r="AM16" s="156">
        <f>SUM(AM14)</f>
      </c>
      <c r="AN16" s="156">
        <f>SUM(AN14)</f>
      </c>
      <c r="AO16" s="155">
        <f t="shared" ref="AO16:AO22" si="29">AG16/AF16</f>
      </c>
      <c r="AP16" s="155">
        <f t="shared" ref="AP16:AP22" si="5">(AK16+AL16+AM16)/AH16</f>
      </c>
      <c r="AQ16" s="155">
        <f t="shared" ref="AQ16:AQ22" si="32">AI16/AH16</f>
      </c>
      <c r="AR16" s="155">
        <f t="shared" ref="AR16:AR22" si="8">AL16/AH16</f>
      </c>
      <c r="AS16" s="157">
        <f t="shared" ref="AS16:AS22" si="17">S16/AJ16</f>
      </c>
      <c r="AT16" s="155">
        <f>F16/AJ16</f>
      </c>
    </row>
    <row r="17">
      <c r="A17" s="139" t="s">
        <v>374</v>
      </c>
      <c r="B17" s="136" t="s">
        <v>361</v>
      </c>
      <c r="C17" s="136" t="s">
        <v>375</v>
      </c>
      <c r="D17" s="136">
        <v>3</v>
      </c>
      <c r="E17" s="141">
        <v>10</v>
      </c>
      <c r="F17" s="142">
        <f t="shared" ref="F17:F18" si="36">H17+J17</f>
      </c>
      <c r="G17" s="141">
        <v>4</v>
      </c>
      <c r="H17" s="141">
        <v>4</v>
      </c>
      <c r="I17" s="142">
        <v>300.72</v>
      </c>
      <c r="J17" s="141">
        <v>0</v>
      </c>
      <c r="K17" s="141">
        <v>0</v>
      </c>
      <c r="L17" s="141">
        <v>4</v>
      </c>
      <c r="M17" s="141">
        <v>3608.6400000000003</v>
      </c>
      <c r="N17" s="141">
        <v>0</v>
      </c>
      <c r="O17" s="141">
        <v>0</v>
      </c>
      <c r="P17" s="141">
        <v>3</v>
      </c>
      <c r="Q17" s="141">
        <v>280.98</v>
      </c>
      <c r="R17" s="134">
        <f t="shared" ref="R17:R18" si="41">(I17*12)+K17</f>
      </c>
      <c r="S17" s="143">
        <v>1832.068</v>
      </c>
      <c r="T17" s="144">
        <f t="shared" si="11"/>
      </c>
      <c r="U17" s="145">
        <f t="shared" si="20"/>
      </c>
      <c r="V17" s="145">
        <f t="shared" si="23"/>
      </c>
      <c r="W17" s="146">
        <f t="shared" si="26"/>
      </c>
      <c r="X17" s="146">
        <f t="shared" si="2"/>
      </c>
      <c r="Y17" s="146">
        <f t="shared" si="14"/>
      </c>
      <c r="Z17" s="136">
        <v>0</v>
      </c>
      <c r="AA17" s="136">
        <v>0</v>
      </c>
      <c r="AB17" s="141" t="s">
        <v>363</v>
      </c>
      <c r="AC17" s="141">
        <v>7</v>
      </c>
      <c r="AD17" s="141" t="s">
        <v>364</v>
      </c>
      <c r="AE17" s="141">
        <v>8</v>
      </c>
      <c r="AF17" s="147">
        <v>25388</v>
      </c>
      <c r="AG17" s="142">
        <v>108</v>
      </c>
      <c r="AH17" s="147">
        <v>21448</v>
      </c>
      <c r="AI17" s="142">
        <v>1338</v>
      </c>
      <c r="AJ17" s="142">
        <v>551</v>
      </c>
      <c r="AK17" s="142">
        <v>23</v>
      </c>
      <c r="AL17" s="142">
        <v>82</v>
      </c>
      <c r="AM17" s="142">
        <v>4</v>
      </c>
      <c r="AN17" s="158"/>
      <c r="AO17" s="146">
        <f t="shared" si="29"/>
      </c>
      <c r="AP17" s="146">
        <f t="shared" si="5"/>
      </c>
      <c r="AQ17" s="146">
        <f t="shared" si="32"/>
      </c>
      <c r="AR17" s="149">
        <f t="shared" si="8"/>
      </c>
      <c r="AS17" s="150">
        <f t="shared" si="17"/>
      </c>
      <c r="AT17" s="151"/>
    </row>
    <row r="18">
      <c r="A18" s="139" t="s">
        <v>374</v>
      </c>
      <c r="B18" s="136" t="s">
        <v>365</v>
      </c>
      <c r="C18" s="136" t="s">
        <v>372</v>
      </c>
      <c r="D18" s="136">
        <v>5</v>
      </c>
      <c r="E18" s="141">
        <v>12</v>
      </c>
      <c r="F18" s="142">
        <f t="shared" si="36"/>
      </c>
      <c r="G18" s="141">
        <v>4</v>
      </c>
      <c r="H18" s="141">
        <v>5</v>
      </c>
      <c r="I18" s="142">
        <v>695.4799999999999</v>
      </c>
      <c r="J18" s="141">
        <v>0</v>
      </c>
      <c r="K18" s="141">
        <v>0</v>
      </c>
      <c r="L18" s="141">
        <v>2</v>
      </c>
      <c r="M18" s="141">
        <v>501.59999999999997</v>
      </c>
      <c r="N18" s="141">
        <v>3</v>
      </c>
      <c r="O18" s="142">
        <v>7844.16</v>
      </c>
      <c r="P18" s="141">
        <v>1</v>
      </c>
      <c r="Q18" s="141">
        <v>408.52</v>
      </c>
      <c r="R18" s="134">
        <f t="shared" si="41"/>
      </c>
      <c r="S18" s="143">
        <v>5210.831999999999</v>
      </c>
      <c r="T18" s="144">
        <f t="shared" si="11"/>
      </c>
      <c r="U18" s="145">
        <f t="shared" si="20"/>
      </c>
      <c r="V18" s="145">
        <f t="shared" si="23"/>
      </c>
      <c r="W18" s="146">
        <f t="shared" si="26"/>
      </c>
      <c r="X18" s="146">
        <f t="shared" si="2"/>
      </c>
      <c r="Y18" s="146">
        <f t="shared" si="14"/>
      </c>
      <c r="Z18" s="136">
        <v>0</v>
      </c>
      <c r="AA18" s="136">
        <v>0</v>
      </c>
      <c r="AB18" s="141" t="s">
        <v>367</v>
      </c>
      <c r="AC18" s="141">
        <v>1</v>
      </c>
      <c r="AD18" s="142"/>
      <c r="AE18" s="142"/>
      <c r="AF18" s="142">
        <v>116630</v>
      </c>
      <c r="AG18" s="142">
        <v>614</v>
      </c>
      <c r="AH18" s="142">
        <v>56712</v>
      </c>
      <c r="AI18" s="142">
        <v>2792</v>
      </c>
      <c r="AJ18" s="142">
        <v>1334</v>
      </c>
      <c r="AK18" s="142">
        <v>23</v>
      </c>
      <c r="AL18" s="142">
        <v>171</v>
      </c>
      <c r="AM18" s="142">
        <v>7</v>
      </c>
      <c r="AN18" s="158"/>
      <c r="AO18" s="146">
        <f t="shared" si="29"/>
      </c>
      <c r="AP18" s="146">
        <f t="shared" si="5"/>
      </c>
      <c r="AQ18" s="146">
        <f t="shared" si="32"/>
      </c>
      <c r="AR18" s="149">
        <f t="shared" si="8"/>
      </c>
      <c r="AS18" s="150">
        <f t="shared" si="17"/>
      </c>
      <c r="AT18" s="151"/>
    </row>
    <row r="19">
      <c r="A19" s="152" t="s">
        <v>374</v>
      </c>
      <c r="B19" s="153"/>
      <c r="C19" s="153"/>
      <c r="D19" s="153">
        <f>SUM(D17:D18)</f>
      </c>
      <c r="E19" s="153">
        <f>SUM(E17:E18)</f>
      </c>
      <c r="F19" s="153">
        <f>SUM(F17:F18)</f>
      </c>
      <c r="G19" s="153">
        <f>SUM(G17:G18)</f>
      </c>
      <c r="H19" s="153">
        <f>SUM(H17:H18)</f>
      </c>
      <c r="I19" s="153">
        <f>SUM(I17:I18)</f>
      </c>
      <c r="J19" s="153">
        <f>SUM(J17:J18)</f>
      </c>
      <c r="K19" s="153">
        <f>SUM(K17:K18)</f>
      </c>
      <c r="L19" s="153">
        <f>SUM(L17:L18)</f>
      </c>
      <c r="M19" s="153">
        <f>SUM(M17:M18)</f>
      </c>
      <c r="N19" s="153">
        <f>SUM(N17:N18)</f>
      </c>
      <c r="O19" s="153">
        <f>SUM(O17:O18)</f>
      </c>
      <c r="P19" s="153">
        <f>SUM(P17:P18)</f>
      </c>
      <c r="Q19" s="153">
        <f>SUM(Q17:Q18)</f>
      </c>
      <c r="R19" s="153">
        <f>SUM(R17:R18)</f>
      </c>
      <c r="S19" s="159">
        <f>SUM(S17:S18)</f>
      </c>
      <c r="T19" s="154">
        <f t="shared" si="11"/>
      </c>
      <c r="U19" s="154">
        <f t="shared" si="20"/>
      </c>
      <c r="V19" s="154">
        <f t="shared" si="23"/>
      </c>
      <c r="W19" s="154">
        <f t="shared" si="26"/>
      </c>
      <c r="X19" s="154">
        <f t="shared" si="2"/>
      </c>
      <c r="Y19" s="155">
        <f t="shared" si="14"/>
      </c>
      <c r="Z19" s="156">
        <f>SUM(Z17:Z18)</f>
      </c>
      <c r="AA19" s="156">
        <f>SUM(AA17:AA18)</f>
      </c>
      <c r="AB19" s="156"/>
      <c r="AC19" s="156">
        <f>SUM(AC17:AC18)</f>
      </c>
      <c r="AD19" s="156"/>
      <c r="AE19" s="156"/>
      <c r="AF19" s="156">
        <f>SUM(AF17:AF18)</f>
      </c>
      <c r="AG19" s="156">
        <f>SUM(AG17:AG18)</f>
      </c>
      <c r="AH19" s="156">
        <f>SUM(AH17:AH18)</f>
      </c>
      <c r="AI19" s="156">
        <f>SUM(AI17:AI18)</f>
      </c>
      <c r="AJ19" s="156">
        <f>SUM(AJ17:AJ18)</f>
      </c>
      <c r="AK19" s="156">
        <f>SUM(AK17:AK18)</f>
      </c>
      <c r="AL19" s="156">
        <f>SUM(AL17:AL18)</f>
      </c>
      <c r="AM19" s="156">
        <f>SUM(AM17:AM18)</f>
      </c>
      <c r="AN19" s="156">
        <f>SUM(AN17:AN18)</f>
      </c>
      <c r="AO19" s="155">
        <f t="shared" si="29"/>
      </c>
      <c r="AP19" s="155">
        <f t="shared" si="5"/>
      </c>
      <c r="AQ19" s="155">
        <f t="shared" si="32"/>
      </c>
      <c r="AR19" s="155">
        <f t="shared" si="8"/>
      </c>
      <c r="AS19" s="157">
        <f t="shared" si="17"/>
      </c>
      <c r="AT19" s="155">
        <f>F19/AJ19</f>
      </c>
    </row>
    <row r="20">
      <c r="A20" s="139" t="s">
        <v>376</v>
      </c>
      <c r="B20" s="136" t="s">
        <v>361</v>
      </c>
      <c r="C20" s="136" t="s">
        <v>375</v>
      </c>
      <c r="D20" s="136">
        <v>3</v>
      </c>
      <c r="E20" s="141">
        <v>4</v>
      </c>
      <c r="F20" s="142">
        <f t="shared" ref="F20:F21" si="37">H20+J20</f>
      </c>
      <c r="G20" s="141">
        <v>3</v>
      </c>
      <c r="H20" s="141">
        <v>3</v>
      </c>
      <c r="I20" s="141">
        <v>236.42000000000002</v>
      </c>
      <c r="J20" s="141">
        <v>0</v>
      </c>
      <c r="K20" s="141">
        <v>0</v>
      </c>
      <c r="L20" s="141">
        <v>3</v>
      </c>
      <c r="M20" s="141">
        <v>2837.04</v>
      </c>
      <c r="N20" s="141">
        <v>0</v>
      </c>
      <c r="O20" s="141">
        <v>0</v>
      </c>
      <c r="P20" s="141">
        <v>0</v>
      </c>
      <c r="Q20" s="141">
        <v>0</v>
      </c>
      <c r="R20" s="134">
        <f t="shared" ref="R20:R21" si="42">(I20*12)+K20</f>
      </c>
      <c r="S20" s="143">
        <v>2675.672</v>
      </c>
      <c r="T20" s="144">
        <f t="shared" si="11"/>
      </c>
      <c r="U20" s="145">
        <f t="shared" si="20"/>
      </c>
      <c r="V20" s="145">
        <f t="shared" si="23"/>
      </c>
      <c r="W20" s="146">
        <f t="shared" si="26"/>
      </c>
      <c r="X20" s="146">
        <f t="shared" si="2"/>
      </c>
      <c r="Y20" s="146">
        <f t="shared" si="14"/>
      </c>
      <c r="Z20" s="136">
        <v>1</v>
      </c>
      <c r="AA20" s="136">
        <v>1</v>
      </c>
      <c r="AB20" s="141" t="s">
        <v>363</v>
      </c>
      <c r="AC20" s="141">
        <v>7</v>
      </c>
      <c r="AD20" s="141" t="s">
        <v>364</v>
      </c>
      <c r="AE20" s="141">
        <v>8</v>
      </c>
      <c r="AF20" s="147">
        <v>36945</v>
      </c>
      <c r="AG20" s="142">
        <v>156</v>
      </c>
      <c r="AH20" s="147">
        <v>38317</v>
      </c>
      <c r="AI20" s="142">
        <v>2332</v>
      </c>
      <c r="AJ20" s="142">
        <v>628</v>
      </c>
      <c r="AK20" s="142">
        <v>32</v>
      </c>
      <c r="AL20" s="142">
        <v>101</v>
      </c>
      <c r="AM20" s="142">
        <v>3</v>
      </c>
      <c r="AN20" s="158"/>
      <c r="AO20" s="146">
        <f t="shared" si="29"/>
      </c>
      <c r="AP20" s="146">
        <f t="shared" si="5"/>
      </c>
      <c r="AQ20" s="146">
        <f t="shared" si="32"/>
      </c>
      <c r="AR20" s="149">
        <f t="shared" si="8"/>
      </c>
      <c r="AS20" s="150">
        <f t="shared" si="17"/>
      </c>
      <c r="AT20" s="151"/>
    </row>
    <row r="21">
      <c r="A21" s="139" t="s">
        <v>376</v>
      </c>
      <c r="B21" s="136" t="s">
        <v>365</v>
      </c>
      <c r="C21" s="136" t="s">
        <v>372</v>
      </c>
      <c r="D21" s="136">
        <v>5</v>
      </c>
      <c r="E21" s="141">
        <v>11</v>
      </c>
      <c r="F21" s="142">
        <f t="shared" si="37"/>
      </c>
      <c r="G21" s="141">
        <v>5</v>
      </c>
      <c r="H21" s="141">
        <v>5</v>
      </c>
      <c r="I21" s="142">
        <v>482.34</v>
      </c>
      <c r="J21" s="141">
        <v>1</v>
      </c>
      <c r="K21" s="141">
        <v>622</v>
      </c>
      <c r="L21" s="141">
        <v>4</v>
      </c>
      <c r="M21" s="141">
        <v>4537</v>
      </c>
      <c r="N21" s="141">
        <v>2</v>
      </c>
      <c r="O21" s="142">
        <v>1873.0799999999997</v>
      </c>
      <c r="P21" s="141">
        <v>1</v>
      </c>
      <c r="Q21" s="141">
        <v>140.06</v>
      </c>
      <c r="R21" s="134">
        <f t="shared" si="42"/>
      </c>
      <c r="S21" s="143">
        <v>4264.825</v>
      </c>
      <c r="T21" s="144">
        <f t="shared" si="11"/>
      </c>
      <c r="U21" s="145">
        <f t="shared" si="20"/>
      </c>
      <c r="V21" s="145">
        <f t="shared" si="23"/>
      </c>
      <c r="W21" s="146">
        <f t="shared" si="26"/>
      </c>
      <c r="X21" s="146">
        <f t="shared" si="2"/>
      </c>
      <c r="Y21" s="146">
        <f t="shared" si="14"/>
      </c>
      <c r="Z21" s="136">
        <v>5</v>
      </c>
      <c r="AA21" s="136">
        <v>1</v>
      </c>
      <c r="AB21" s="141" t="s">
        <v>367</v>
      </c>
      <c r="AC21" s="141">
        <v>1</v>
      </c>
      <c r="AD21" s="142"/>
      <c r="AE21" s="142"/>
      <c r="AF21" s="142">
        <v>96035</v>
      </c>
      <c r="AG21" s="142">
        <v>1108</v>
      </c>
      <c r="AH21" s="142">
        <v>53719</v>
      </c>
      <c r="AI21" s="142">
        <v>2476</v>
      </c>
      <c r="AJ21" s="142">
        <v>873</v>
      </c>
      <c r="AK21" s="142">
        <v>38</v>
      </c>
      <c r="AL21" s="142">
        <v>134</v>
      </c>
      <c r="AM21" s="142">
        <v>3</v>
      </c>
      <c r="AN21" s="158"/>
      <c r="AO21" s="146">
        <f t="shared" si="29"/>
      </c>
      <c r="AP21" s="146">
        <f t="shared" si="5"/>
      </c>
      <c r="AQ21" s="146">
        <f t="shared" si="32"/>
      </c>
      <c r="AR21" s="149">
        <f t="shared" si="8"/>
      </c>
      <c r="AS21" s="150">
        <f t="shared" si="17"/>
      </c>
      <c r="AT21" s="151"/>
    </row>
    <row r="22">
      <c r="A22" s="152" t="s">
        <v>376</v>
      </c>
      <c r="B22" s="153"/>
      <c r="C22" s="153"/>
      <c r="D22" s="153">
        <f>SUM(D20:D21)</f>
      </c>
      <c r="E22" s="153">
        <f>SUM(E20:E21)</f>
      </c>
      <c r="F22" s="153">
        <f>SUM(F20:F21)</f>
      </c>
      <c r="G22" s="153">
        <f>SUM(G20:G21)</f>
      </c>
      <c r="H22" s="153">
        <f>SUM(H20:H21)</f>
      </c>
      <c r="I22" s="153">
        <f>SUM(I20:I21)</f>
      </c>
      <c r="J22" s="153">
        <f>SUM(J20:J21)</f>
      </c>
      <c r="K22" s="153">
        <f>SUM(K20:K21)</f>
      </c>
      <c r="L22" s="153">
        <f>SUM(L20:L21)</f>
      </c>
      <c r="M22" s="153">
        <f>SUM(M20:M21)</f>
      </c>
      <c r="N22" s="153">
        <f>SUM(N20:N21)</f>
      </c>
      <c r="O22" s="153">
        <f>SUM(O20:O21)</f>
      </c>
      <c r="P22" s="153">
        <f>SUM(P20:P21)</f>
      </c>
      <c r="Q22" s="153">
        <f>SUM(Q20:Q21)</f>
      </c>
      <c r="R22" s="153">
        <f>SUM(R20:R21)</f>
      </c>
      <c r="S22" s="159">
        <f>SUM(S20:S21)</f>
      </c>
      <c r="T22" s="154">
        <f t="shared" si="11"/>
      </c>
      <c r="U22" s="154">
        <f t="shared" si="20"/>
      </c>
      <c r="V22" s="154">
        <f t="shared" si="23"/>
      </c>
      <c r="W22" s="154">
        <f t="shared" si="26"/>
      </c>
      <c r="X22" s="154">
        <f t="shared" si="2"/>
      </c>
      <c r="Y22" s="155">
        <f t="shared" si="14"/>
      </c>
      <c r="Z22" s="156">
        <f>SUM(Z20:Z21)</f>
      </c>
      <c r="AA22" s="156">
        <f>SUM(AA20:AA21)</f>
      </c>
      <c r="AB22" s="156"/>
      <c r="AC22" s="156">
        <f>SUM(AC20:AC21)</f>
      </c>
      <c r="AD22" s="156"/>
      <c r="AE22" s="156"/>
      <c r="AF22" s="156">
        <f>SUM(AF20:AF21)</f>
      </c>
      <c r="AG22" s="156">
        <f>SUM(AG20:AG21)</f>
      </c>
      <c r="AH22" s="156">
        <f>SUM(AH20:AH21)</f>
      </c>
      <c r="AI22" s="156">
        <f>SUM(AI20:AI21)</f>
      </c>
      <c r="AJ22" s="156">
        <f>SUM(AJ20:AJ21)</f>
      </c>
      <c r="AK22" s="156">
        <f>SUM(AK20:AK21)</f>
      </c>
      <c r="AL22" s="156">
        <f>SUM(AL20:AL21)</f>
      </c>
      <c r="AM22" s="156">
        <f>SUM(AM20:AM21)</f>
      </c>
      <c r="AN22" s="156">
        <f>SUM(AN20:AN21)</f>
      </c>
      <c r="AO22" s="155">
        <f t="shared" si="29"/>
      </c>
      <c r="AP22" s="155">
        <f t="shared" si="5"/>
      </c>
      <c r="AQ22" s="155">
        <f t="shared" si="32"/>
      </c>
      <c r="AR22" s="155">
        <f t="shared" si="8"/>
      </c>
      <c r="AS22" s="157">
        <f t="shared" si="17"/>
      </c>
      <c r="AT22" s="155">
        <f>F22/AJ22</f>
      </c>
    </row>
    <row r="23"/>
    <row r="24"/>
    <row r="25"/>
    <row r="26"/>
    <row r="27"/>
    <row r="28"/>
    <row r="29"/>
    <row r="30"/>
    <row r="31"/>
    <row r="32">
      <c r="K32">
        <f>K30/J30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