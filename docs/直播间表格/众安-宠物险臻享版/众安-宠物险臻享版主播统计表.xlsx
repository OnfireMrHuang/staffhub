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9"/>
    <sheet name="2026.7" sheetId="5" r:id="rId11"/>
  </sheets>
  <calcPr calcMode="auto"/>
  <pivotCaches>
    <pivotCache cacheId="1" r:id="rId7"/>
    <pivotCache cacheId="2" r:id="rId8"/>
    <pivotCache cacheId="3" r:id="rId10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<sst xmlns="http://schemas.openxmlformats.org/spreadsheetml/2006/main" count="175" uniqueCount="175">
  <si>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</si>
  <si>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</si>
  <si>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</si>
  <si>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</si>
  <si>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</si>
  <si>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</si>
  <si>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</si>
  <si>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时段保单数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</si>
  <si>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</si>
  <si>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</si>
  <si>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</si>
  <si>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</si>
  <si>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</si>
  <si>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</si>
  <si>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</si>
  <si>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</si>
  <si>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</si>
  <si>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</si>
  <si>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</si>
  <si>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芦鑫鑫</t>
  </si>
  <si>
    <t xml:space="preserve">20:00-24:00</t>
  </si>
  <si>
    <t xml:space="preserve">武周帅双</t>
  </si>
  <si>
    <t xml:space="preserve">邓大攀</t>
  </si>
  <si>
    <t xml:space="preserve">张德华</t>
  </si>
  <si>
    <t xml:space="preserve">张凯悬</t>
  </si>
  <si>
    <t xml:space="preserve">郭斯元双</t>
  </si>
  <si>
    <t xml:space="preserve">李子健双</t>
  </si>
  <si>
    <t xml:space="preserve">张怡棣双</t>
  </si>
  <si>
    <t xml:space="preserve">孙晓松</t>
  </si>
  <si>
    <t xml:space="preserve">08:00-12:00</t>
  </si>
  <si>
    <t xml:space="preserve">罗丽洋双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</si>
  <si>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</si>
  <si>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</si>
  <si>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</si>
  <si>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</si>
  <si>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</si>
  <si>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</si>
  <si>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</si>
  <si>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</si>
  <si>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</si>
  <si>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</si>
  <si>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</si>
  <si>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</si>
  <si>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</si>
  <si>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</si>
  <si>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</si>
  <si>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</si>
  <si>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</si>
  <si>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</si>
  <si>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2026/9.2</t>
  </si>
  <si>
    <t xml:space="preserve">张凯悬</t>
  </si>
  <si>
    <t xml:space="preserve">08:00-13:00</t>
  </si>
  <si>
    <t xml:space="preserve">杨博双</t>
  </si>
  <si>
    <t xml:space="preserve">邓大攀</t>
  </si>
  <si>
    <t xml:space="preserve">2026/9.3</t>
  </si>
  <si>
    <t xml:space="preserve">2026/9.4</t>
  </si>
  <si>
    <t xml:space="preserve">2026/9.5</t>
  </si>
  <si>
    <t xml:space="preserve">2026/9.6</t>
  </si>
  <si>
    <t xml:space="preserve">08:00-12:00</t>
  </si>
  <si>
    <t xml:space="preserve">杨博</t>
  </si>
  <si>
    <t xml:space="preserve">2026/9.7</t>
  </si>
  <si>
    <t xml:space="preserve">2026/9.8</t>
  </si>
  <si>
    <t xml:space="preserve">王学伟双</t>
  </si>
  <si>
    <t xml:space="preserve">2026/9.9</t>
  </si>
  <si>
    <t xml:space="preserve">2026/9.10</t>
  </si>
  <si>
    <t xml:space="preserve">曹颖慧双</t>
  </si>
  <si>
    <t xml:space="preserve">2026/9.11</t>
  </si>
  <si>
    <t xml:space="preserve">2026/9.12</t>
  </si>
  <si>
    <t xml:space="preserve">2026/9.13</t>
  </si>
  <si>
    <t xml:space="preserve">孙晓松</t>
  </si>
  <si>
    <t xml:space="preserve">20:00-24:00</t>
  </si>
  <si>
    <t xml:space="preserve">张德华</t>
  </si>
  <si>
    <t xml:space="preserve">2026/9.14</t>
  </si>
  <si>
    <t xml:space="preserve">2026/9.17</t>
  </si>
  <si>
    <t xml:space="preserve">韩萌萌</t>
  </si>
  <si>
    <t xml:space="preserve">07:00-11:00</t>
  </si>
  <si>
    <t xml:space="preserve">张怡棣双</t>
  </si>
  <si>
    <t xml:space="preserve">2026/9.30</t>
  </si>
  <si>
    <t xml:space="preserve">芦鑫鑫</t>
  </si>
  <si>
    <t xml:space="preserve">武周帅双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</si>
  <si>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</si>
  <si>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</si>
  <si>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</si>
  <si>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</si>
  <si>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</si>
  <si>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</si>
  <si>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</si>
  <si>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</si>
  <si>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表单数量</t>
  </si>
  <si>
    <t xml:space="preserve">升级数量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</si>
  <si>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</si>
  <si>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</si>
  <si>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</si>
  <si>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</si>
  <si>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</si>
  <si>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</si>
  <si>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</si>
  <si>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</si>
  <si>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</si>
  <si>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</si>
  <si>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</si>
  <si>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2026/8.1</t>
  </si>
  <si>
    <t xml:space="preserve">张凯悬</t>
  </si>
  <si>
    <t xml:space="preserve">20:00-24:00</t>
  </si>
  <si>
    <t xml:space="preserve">董柯言</t>
  </si>
  <si>
    <t xml:space="preserve">邓大攀</t>
  </si>
  <si>
    <t xml:space="preserve">2026/8.2</t>
  </si>
  <si>
    <t xml:space="preserve">2026/8.3</t>
  </si>
  <si>
    <t xml:space="preserve">董柯言双</t>
  </si>
  <si>
    <t xml:space="preserve">2026/8.4</t>
  </si>
  <si>
    <t xml:space="preserve">孙晓松</t>
  </si>
  <si>
    <t xml:space="preserve">姜晓双</t>
  </si>
  <si>
    <t xml:space="preserve">姜晓</t>
  </si>
  <si>
    <t xml:space="preserve">2026/8.5</t>
  </si>
  <si>
    <t xml:space="preserve">2026/8.6</t>
  </si>
  <si>
    <t xml:space="preserve">2026/8.7</t>
  </si>
  <si>
    <t xml:space="preserve">2026/8.8</t>
  </si>
  <si>
    <t xml:space="preserve">2026/8.9</t>
  </si>
  <si>
    <t xml:space="preserve">何彩樱双</t>
  </si>
  <si>
    <t xml:space="preserve">2026/8.10</t>
  </si>
  <si>
    <t xml:space="preserve">贾占通双</t>
  </si>
  <si>
    <t xml:space="preserve">2026/8.11</t>
  </si>
  <si>
    <t xml:space="preserve">贾占通</t>
  </si>
  <si>
    <t xml:space="preserve">2026/8.12</t>
  </si>
  <si>
    <t xml:space="preserve">2026/8.13</t>
  </si>
  <si>
    <t xml:space="preserve">任子硕双</t>
  </si>
  <si>
    <t xml:space="preserve">2026/8.14</t>
  </si>
  <si>
    <t xml:space="preserve">18:00-22:00</t>
  </si>
  <si>
    <t xml:space="preserve">2026/8.15</t>
  </si>
  <si>
    <t xml:space="preserve">08:00-12:00</t>
  </si>
  <si>
    <t xml:space="preserve">2026/8.16</t>
  </si>
  <si>
    <t xml:space="preserve">2026/8.17</t>
  </si>
  <si>
    <t xml:space="preserve">2026/8.18</t>
  </si>
  <si>
    <t xml:space="preserve">2026/8.19</t>
  </si>
  <si>
    <t xml:space="preserve">2026/8.20</t>
  </si>
  <si>
    <t xml:space="preserve">2026/8.21</t>
  </si>
  <si>
    <t xml:space="preserve">2026/8.22</t>
  </si>
  <si>
    <t xml:space="preserve">2026/8.23</t>
  </si>
  <si>
    <t xml:space="preserve">2026/8.24</t>
  </si>
  <si>
    <t xml:space="preserve">2026/8.25</t>
  </si>
  <si>
    <t xml:space="preserve">杨博</t>
  </si>
  <si>
    <t xml:space="preserve">2026/8.26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</si>
  <si>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</si>
  <si>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</si>
  <si>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</si>
  <si>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</si>
  <si>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</si>
  <si>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</si>
  <si>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</si>
  <si>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</si>
  <si>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</si>
  <si>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</si>
  <si>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</si>
  <si>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</si>
  <si>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</si>
  <si>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</si>
  <si>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</si>
  <si>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</si>
  <si>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</si>
  <si>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</si>
  <si>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2026/7.24</t>
  </si>
  <si>
    <t xml:space="preserve">孙晓松</t>
  </si>
  <si>
    <t xml:space="preserve">20:00-24:00</t>
  </si>
  <si>
    <t xml:space="preserve">何彩樱双</t>
  </si>
  <si>
    <t xml:space="preserve">邓大攀</t>
  </si>
  <si>
    <t xml:space="preserve">2026/7.25</t>
  </si>
  <si>
    <t xml:space="preserve">2026/7.26</t>
  </si>
  <si>
    <t xml:space="preserve">2026/7.27</t>
  </si>
  <si>
    <t xml:space="preserve">何彩樱</t>
  </si>
  <si>
    <t xml:space="preserve">2026/7.28</t>
  </si>
  <si>
    <t xml:space="preserve">2026/7.29</t>
  </si>
  <si>
    <t xml:space="preserve">张凯悬</t>
  </si>
  <si>
    <t xml:space="preserve">任子硕双</t>
  </si>
  <si>
    <t xml:space="preserve">2026/7.30</t>
  </si>
  <si>
    <t xml:space="preserve">2026/7.31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</si>
</sst>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0.00"/>
    <numFmt numFmtId="165" formatCode="0.00_);[Red](0.00)"/>
    <numFmt numFmtId="166" formatCode="yyyy/m/d"/>
    <numFmt numFmtId="167" formatCode="0.00_);(0.00)"/>
    <numFmt numFmtId="168" formatCode="#,##0.00"/>
    <numFmt numFmtId="169" formatCode="0.00"/>
    <numFmt numFmtId="170" formatCode="0.00_);[Red](0.00)"/>
    <numFmt numFmtId="171" formatCode="0.00_);(0.00)"/>
    <numFmt numFmtId="172" formatCode="#,##0.00"/>
    <numFmt numFmtId="173" formatCode="0.00"/>
    <numFmt numFmtId="174" formatCode="0.00_);[Red](0.00)"/>
    <numFmt numFmtId="175" formatCode="0.00_);(0.00)"/>
    <numFmt numFmtId="176" formatCode="0.000"/>
    <numFmt numFmtId="177" formatCode="0.00"/>
    <numFmt numFmtId="178" formatCode="0.00_);[Red](0.00)"/>
    <numFmt numFmtId="179" formatCode="0.00_);(0.00)"/>
  </numFmts>
  <fonts count="6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</fills>
  <borders count="3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false" applyFont="true" applyNumberFormat="true" applyProtection="false" borderId="3" fillId="0" fontId="1" numFmtId="165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true" applyProtection="false" borderId="1" fillId="4" fontId="2" numFmtId="166" xfId="0">
      <alignment horizontal="center" vertical="center"/>
    </xf>
    <xf applyAlignment="true" applyBorder="false" applyFill="true" applyFont="true" applyNumberFormat="false" applyProtection="false" borderId="1" fillId="4" fontId="2" numFmtId="0" xfId="0">
      <alignment horizontal="center" vertical="center"/>
    </xf>
    <xf applyAlignment="true" applyBorder="false" applyFill="true" applyFont="true" applyNumberFormat="true" applyProtection="false" borderId="1" fillId="4" fontId="2" numFmtId="164" xfId="0">
      <alignment horizontal="center" vertical="center"/>
    </xf>
    <xf applyAlignment="true" applyBorder="false" applyFill="true" applyFont="true" applyNumberFormat="true" applyProtection="false" borderId="1" fillId="4" fontId="2" numFmtId="165" xfId="0">
      <alignment horizontal="center" vertical="center"/>
    </xf>
    <xf applyAlignment="true" applyBorder="false" applyFill="true" applyFont="true" applyNumberFormat="true" applyProtection="false" borderId="4" fillId="4" fontId="2" numFmtId="165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true" applyProtection="false" borderId="4" fillId="0" fontId="1" numFmtId="165" xfId="0">
      <alignment horizontal="center" vertical="center"/>
    </xf>
    <xf applyAlignment="true" applyBorder="false" applyFill="true" applyFont="true" applyNumberFormat="true" applyProtection="false" borderId="5" fillId="4" fontId="2" numFmtId="165" xfId="0">
      <alignment horizontal="center" vertical="center"/>
    </xf>
    <xf applyAlignment="true" applyBorder="false" applyFill="true" applyFont="true" applyNumberFormat="true" applyProtection="false" borderId="6" fillId="4" fontId="2" numFmtId="165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8" xfId="0">
      <alignment horizontal="center" vertical="center"/>
    </xf>
    <xf applyAlignment="true" applyBorder="false" applyFill="false" applyFont="true" applyNumberFormat="true" applyProtection="false" borderId="5" fillId="0" fontId="1" numFmtId="165" xfId="0">
      <alignment horizontal="center" vertical="center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8" fillId="5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true" applyProtection="false" borderId="7" fillId="5" fontId="1" numFmtId="169" xfId="0">
      <alignment horizontal="center" vertical="center"/>
    </xf>
    <xf applyAlignment="true" applyBorder="false" applyFill="true" applyFont="true" applyNumberFormat="true" applyProtection="false" borderId="7" fillId="5" fontId="1" numFmtId="17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true" applyFont="true" applyNumberFormat="false" applyProtection="false" borderId="9" fillId="6" fontId="1" numFmtId="0" xfId="0">
      <alignment horizontal="center" vertical="center"/>
    </xf>
    <xf applyAlignment="true" applyBorder="false" applyFill="true" applyFont="true" applyNumberFormat="true" applyProtection="false" borderId="9" fillId="6" fontId="1" numFmtId="171" xfId="0">
      <alignment horizontal="center" vertical="center"/>
    </xf>
    <xf applyAlignment="true" applyBorder="false" applyFill="false" applyFont="true" applyNumberFormat="true" applyProtection="false" borderId="9" fillId="0" fontId="1" numFmtId="170" xfId="0">
      <alignment horizontal="center" vertical="center"/>
    </xf>
    <xf applyAlignment="true" applyBorder="false" applyFill="false" applyFont="true" applyNumberFormat="true" applyProtection="false" borderId="10" fillId="0" fontId="1" numFmtId="17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9" fillId="7" fontId="2" numFmtId="0" xfId="0">
      <alignment horizontal="center" vertical="center"/>
    </xf>
    <xf applyAlignment="true" applyBorder="false" applyFill="true" applyFont="true" applyNumberFormat="false" applyProtection="false" borderId="9" fillId="7" fontId="2" numFmtId="0" xfId="0">
      <alignment horizontal="center" vertical="center"/>
    </xf>
    <xf applyAlignment="true" applyBorder="false" applyFill="true" applyFont="true" applyNumberFormat="true" applyProtection="false" borderId="9" fillId="7" fontId="2" numFmtId="169" xfId="0">
      <alignment horizontal="center" vertical="center"/>
    </xf>
    <xf applyAlignment="true" applyBorder="false" applyFill="true" applyFont="true" applyNumberFormat="true" applyProtection="false" borderId="9" fillId="7" fontId="2" numFmtId="170" xfId="0">
      <alignment horizontal="center" vertical="center"/>
    </xf>
    <xf applyAlignment="true" applyBorder="false" applyFill="true" applyFont="true" applyNumberFormat="true" applyProtection="false" borderId="11" fillId="7" fontId="2" numFmtId="17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2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8" fillId="5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true" applyProtection="false" borderId="7" fillId="5" fontId="1" numFmtId="169" xfId="0">
      <alignment horizontal="center" vertical="center"/>
    </xf>
    <xf applyAlignment="true" applyBorder="false" applyFill="true" applyFont="true" applyNumberFormat="true" applyProtection="false" borderId="7" fillId="5" fontId="1" numFmtId="17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true" applyFont="true" applyNumberFormat="false" applyProtection="false" borderId="9" fillId="6" fontId="1" numFmtId="0" xfId="0">
      <alignment horizontal="center" vertical="center"/>
    </xf>
    <xf applyAlignment="true" applyBorder="false" applyFill="true" applyFont="true" applyNumberFormat="true" applyProtection="false" borderId="9" fillId="6" fontId="1" numFmtId="171" xfId="0">
      <alignment horizontal="center" vertical="center"/>
    </xf>
    <xf applyAlignment="true" applyBorder="false" applyFill="false" applyFont="true" applyNumberFormat="true" applyProtection="false" borderId="9" fillId="0" fontId="1" numFmtId="170" xfId="0">
      <alignment horizontal="center" vertical="center"/>
    </xf>
    <xf applyAlignment="true" applyBorder="false" applyFill="false" applyFont="true" applyNumberFormat="true" applyProtection="false" borderId="10" fillId="0" fontId="1" numFmtId="17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9" fillId="7" fontId="2" numFmtId="0" xfId="0">
      <alignment horizontal="center" vertical="center"/>
    </xf>
    <xf applyAlignment="true" applyBorder="false" applyFill="true" applyFont="true" applyNumberFormat="false" applyProtection="false" borderId="9" fillId="7" fontId="2" numFmtId="0" xfId="0">
      <alignment horizontal="center" vertical="center"/>
    </xf>
    <xf applyAlignment="true" applyBorder="false" applyFill="true" applyFont="true" applyNumberFormat="true" applyProtection="false" borderId="9" fillId="7" fontId="2" numFmtId="169" xfId="0">
      <alignment horizontal="center" vertical="center"/>
    </xf>
    <xf applyAlignment="true" applyBorder="false" applyFill="true" applyFont="true" applyNumberFormat="true" applyProtection="false" borderId="9" fillId="7" fontId="2" numFmtId="170" xfId="0">
      <alignment horizontal="center" vertical="center"/>
    </xf>
    <xf applyAlignment="true" applyBorder="false" applyFill="true" applyFont="true" applyNumberFormat="true" applyProtection="false" borderId="11" fillId="7" fontId="2" numFmtId="17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2" xfId="0">
      <alignment horizontal="center" vertical="center"/>
    </xf>
    <xf applyAlignment="true" applyBorder="false" applyFill="true" applyFont="true" applyNumberFormat="false" applyProtection="false" borderId="12" fillId="8" fontId="1" numFmtId="0" xfId="0">
      <alignment horizontal="center" vertical="center"/>
    </xf>
    <xf applyAlignment="true" applyBorder="false" applyFill="true" applyFont="true" applyNumberFormat="false" applyProtection="false" borderId="13" fillId="8" fontId="1" numFmtId="0" xfId="0">
      <alignment horizontal="center" vertical="center"/>
    </xf>
    <xf applyAlignment="true" applyBorder="false" applyFill="true" applyFont="true" applyNumberFormat="false" applyProtection="false" borderId="12" fillId="8" fontId="1" numFmtId="0" xfId="0">
      <alignment horizontal="center" vertical="center"/>
    </xf>
    <xf applyAlignment="true" applyBorder="false" applyFill="true" applyFont="true" applyNumberFormat="true" applyProtection="false" borderId="12" fillId="8" fontId="1" numFmtId="173" xfId="0">
      <alignment horizontal="center" vertical="center"/>
    </xf>
    <xf applyAlignment="true" applyBorder="false" applyFill="true" applyFont="true" applyNumberFormat="true" applyProtection="false" borderId="12" fillId="8" fontId="1" numFmtId="17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true" applyFont="true" applyNumberFormat="false" applyProtection="false" borderId="17" fillId="9" fontId="1" numFmtId="0" xfId="0">
      <alignment horizontal="center" vertical="center"/>
    </xf>
    <xf applyAlignment="true" applyBorder="false" applyFill="true" applyFont="true" applyNumberFormat="true" applyProtection="false" borderId="18" fillId="9" fontId="1" numFmtId="175" xfId="0">
      <alignment horizontal="center" vertical="center"/>
    </xf>
    <xf applyAlignment="true" applyBorder="false" applyFill="false" applyFont="true" applyNumberFormat="true" applyProtection="false" borderId="16" fillId="0" fontId="1" numFmtId="174" xfId="0">
      <alignment horizontal="center" vertical="center"/>
    </xf>
    <xf applyAlignment="true" applyBorder="false" applyFill="false" applyFont="true" applyNumberFormat="true" applyProtection="false" borderId="17" fillId="0" fontId="1" numFmtId="174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true" applyFont="true" applyNumberFormat="false" applyProtection="false" borderId="19" fillId="10" fontId="2" numFmtId="0" xfId="0">
      <alignment horizontal="center" vertical="center"/>
    </xf>
    <xf applyAlignment="true" applyBorder="false" applyFill="true" applyFont="true" applyNumberFormat="false" applyProtection="false" borderId="15" fillId="10" fontId="2" numFmtId="0" xfId="0">
      <alignment horizontal="center" vertical="center"/>
    </xf>
    <xf applyAlignment="true" applyBorder="false" applyFill="true" applyFont="true" applyNumberFormat="false" applyProtection="false" borderId="20" fillId="10" fontId="2" numFmtId="0" xfId="0">
      <alignment horizontal="center" vertical="center"/>
    </xf>
    <xf applyAlignment="true" applyBorder="false" applyFill="true" applyFont="true" applyNumberFormat="false" applyProtection="false" borderId="21" fillId="10" fontId="2" numFmtId="0" xfId="0">
      <alignment horizontal="center" vertical="center"/>
    </xf>
    <xf applyAlignment="true" applyBorder="false" applyFill="true" applyFont="true" applyNumberFormat="true" applyProtection="false" borderId="22" fillId="10" fontId="2" numFmtId="173" xfId="0">
      <alignment horizontal="center" vertical="center"/>
    </xf>
    <xf applyAlignment="true" applyBorder="false" applyFill="true" applyFont="true" applyNumberFormat="true" applyProtection="false" borderId="20" fillId="10" fontId="2" numFmtId="174" xfId="0">
      <alignment horizontal="center" vertical="center"/>
    </xf>
    <xf applyAlignment="true" applyBorder="false" applyFill="true" applyFont="true" applyNumberFormat="true" applyProtection="false" borderId="21" fillId="10" fontId="2" numFmtId="174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true" applyFont="true" applyNumberFormat="true" applyProtection="false" borderId="24" fillId="9" fontId="1" numFmtId="175" xfId="0">
      <alignment horizontal="center" vertical="center"/>
    </xf>
    <xf applyAlignment="true" applyBorder="false" applyFill="true" applyFont="true" applyNumberFormat="false" applyProtection="false" borderId="23" fillId="10" fontId="2" numFmtId="0" xfId="0">
      <alignment horizontal="center" vertical="center"/>
    </xf>
    <xf applyAlignment="true" applyBorder="false" applyFill="true" applyFont="true" applyNumberFormat="true" applyProtection="false" borderId="21" fillId="10" fontId="2" numFmtId="173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true" applyFont="true" applyNumberFormat="false" applyProtection="false" borderId="22" fillId="9" fontId="1" numFmtId="0" xfId="0">
      <alignment horizontal="center" vertical="center"/>
    </xf>
    <xf applyAlignment="true" applyBorder="false" applyFill="true" applyFont="true" applyNumberFormat="true" applyProtection="false" borderId="15" fillId="9" fontId="1" numFmtId="175" xfId="0">
      <alignment horizontal="center" vertical="center"/>
    </xf>
    <xf applyAlignment="true" applyBorder="false" applyFill="false" applyFont="true" applyNumberFormat="true" applyProtection="false" borderId="20" fillId="0" fontId="1" numFmtId="174" xfId="0">
      <alignment horizontal="center" vertical="center"/>
    </xf>
    <xf applyAlignment="true" applyBorder="false" applyFill="true" applyFont="true" applyNumberFormat="false" applyProtection="false" borderId="25" fillId="10" fontId="2" numFmtId="0" xfId="0">
      <alignment horizontal="center" vertical="center"/>
    </xf>
    <xf applyAlignment="true" applyBorder="false" applyFill="true" applyFont="true" applyNumberFormat="true" applyProtection="false" borderId="15" fillId="10" fontId="2" numFmtId="175" xfId="0">
      <alignment horizontal="center" vertical="center"/>
    </xf>
    <xf applyAlignment="true" applyBorder="false" applyFill="true" applyFont="true" applyNumberFormat="true" applyProtection="false" borderId="15" fillId="10" fontId="2" numFmtId="174" xfId="0">
      <alignment horizontal="center" vertical="center"/>
    </xf>
    <xf applyAlignment="true" applyBorder="false" applyFill="true" applyFont="true" applyNumberFormat="false" applyProtection="false" borderId="17" fillId="9" fontId="1" numFmtId="0" xfId="0">
      <alignment horizontal="center" vertical="center"/>
    </xf>
    <xf applyAlignment="true" applyBorder="false" applyFill="true" applyFont="true" applyNumberFormat="false" applyProtection="false" borderId="21" fillId="9" fontId="1" numFmtId="0" xfId="0">
      <alignment horizontal="center" vertical="center"/>
    </xf>
    <xf applyAlignment="true" applyBorder="false" applyFill="true" applyFont="true" applyNumberFormat="true" applyProtection="false" borderId="18" fillId="9" fontId="1" numFmtId="175" xfId="0">
      <alignment horizontal="center" vertical="center"/>
    </xf>
    <xf applyAlignment="true" applyBorder="false" applyFill="true" applyFont="true" applyNumberFormat="false" applyProtection="false" borderId="21" fillId="9" fontId="1" numFmtId="0" xfId="0">
      <alignment horizontal="center" vertical="center"/>
    </xf>
    <xf applyAlignment="true" applyBorder="false" applyFill="false" applyFont="true" applyNumberFormat="true" applyProtection="false" borderId="21" fillId="0" fontId="1" numFmtId="174" xfId="0">
      <alignment horizontal="center" vertical="center"/>
    </xf>
    <xf applyAlignment="true" applyBorder="false" applyFill="true" applyFont="true" applyNumberFormat="false" applyProtection="false" borderId="15" fillId="9" fontId="1" numFmtId="0" xfId="0">
      <alignment horizontal="center" vertical="center"/>
    </xf>
    <xf applyAlignment="true" applyBorder="false" applyFill="false" applyFont="true" applyNumberFormat="true" applyProtection="false" borderId="15" fillId="0" fontId="1" numFmtId="174" xfId="0">
      <alignment horizontal="center" vertical="center"/>
    </xf>
    <xf applyAlignment="true" applyBorder="false" applyFill="true" applyFont="true" applyNumberFormat="false" applyProtection="false" borderId="23" fillId="10" fontId="2" numFmtId="0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true" applyFont="true" applyNumberFormat="true" applyProtection="false" borderId="15" fillId="9" fontId="1" numFmtId="176" xfId="0">
      <alignment horizontal="center" vertical="center"/>
    </xf>
    <xf applyAlignment="true" applyBorder="false" applyFill="true" applyFont="true" applyNumberFormat="false" applyProtection="false" borderId="15" fillId="10" fontId="2" numFmtId="0" xfId="0">
      <alignment horizontal="center" vertical="center"/>
    </xf>
    <xf applyAlignment="true" applyBorder="false" applyFill="true" applyFont="true" applyNumberFormat="false" applyProtection="false" borderId="18" fillId="10" fontId="2" numFmtId="0" xfId="0">
      <alignment horizontal="center" vertical="center"/>
    </xf>
    <xf applyAlignment="true" applyBorder="false" applyFill="true" applyFont="true" applyNumberFormat="false" applyProtection="false" borderId="18" fillId="10" fontId="2" numFmtId="0" xfId="0">
      <alignment horizontal="center" vertical="center"/>
    </xf>
    <xf applyAlignment="true" applyBorder="false" applyFill="true" applyFont="true" applyNumberFormat="false" applyProtection="false" borderId="27" fillId="10" fontId="2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15" fillId="9" fontId="1" numFmtId="175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5" numFmtId="0" xfId="0">
      <alignment vertical="center"/>
    </xf>
    <xf applyAlignment="true" applyBorder="false" applyFill="true" applyFont="true" applyNumberFormat="true" applyProtection="false" borderId="15" fillId="10" fontId="2" numFmtId="173" xfId="0">
      <alignment horizontal="center" vertical="center"/>
    </xf>
    <xf applyAlignment="true" applyBorder="false" applyFill="true" applyFont="true" applyNumberFormat="false" applyProtection="false" borderId="15" fillId="9" fontId="1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28" fillId="11" fontId="1" numFmtId="0" xfId="0">
      <alignment horizontal="center" vertical="center"/>
    </xf>
    <xf applyAlignment="true" applyBorder="false" applyFill="true" applyFont="true" applyNumberFormat="true" applyProtection="false" borderId="28" fillId="11" fontId="1" numFmtId="177" xfId="0">
      <alignment horizontal="center" vertical="center"/>
    </xf>
    <xf applyAlignment="true" applyBorder="false" applyFill="true" applyFont="true" applyNumberFormat="true" applyProtection="false" borderId="28" fillId="11" fontId="1" numFmtId="178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true" applyFont="true" applyNumberFormat="false" applyProtection="false" borderId="33" fillId="12" fontId="1" numFmtId="0" xfId="0">
      <alignment horizontal="center" vertical="center"/>
    </xf>
    <xf applyAlignment="true" applyBorder="false" applyFill="true" applyFont="true" applyNumberFormat="true" applyProtection="false" borderId="34" fillId="12" fontId="1" numFmtId="179" xfId="0">
      <alignment horizontal="center" vertical="center"/>
    </xf>
    <xf applyAlignment="true" applyBorder="false" applyFill="false" applyFont="true" applyNumberFormat="true" applyProtection="false" borderId="32" fillId="0" fontId="1" numFmtId="178" xfId="0">
      <alignment horizontal="center" vertical="center"/>
    </xf>
    <xf applyAlignment="true" applyBorder="false" applyFill="false" applyFont="true" applyNumberFormat="true" applyProtection="false" borderId="33" fillId="0" fontId="1" numFmtId="178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true" applyFont="true" applyNumberFormat="false" applyProtection="false" borderId="35" fillId="13" fontId="2" numFmtId="0" xfId="0">
      <alignment horizontal="center" vertical="center"/>
    </xf>
    <xf applyAlignment="true" applyBorder="false" applyFill="true" applyFont="true" applyNumberFormat="false" applyProtection="false" borderId="35" fillId="13" fontId="2" numFmtId="0" xfId="0">
      <alignment horizontal="center" vertical="center"/>
    </xf>
    <xf applyAlignment="true" applyBorder="false" applyFill="true" applyFont="true" applyNumberFormat="false" applyProtection="false" borderId="31" fillId="13" fontId="2" numFmtId="0" xfId="0">
      <alignment horizontal="center" vertical="center"/>
    </xf>
    <xf applyAlignment="true" applyBorder="false" applyFill="true" applyFont="true" applyNumberFormat="true" applyProtection="false" borderId="31" fillId="13" fontId="2" numFmtId="177" xfId="0">
      <alignment horizontal="center" vertical="center"/>
    </xf>
    <xf applyAlignment="true" applyBorder="false" applyFill="true" applyFont="true" applyNumberFormat="true" applyProtection="false" borderId="31" fillId="13" fontId="2" numFmtId="178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/xl/pivotCache/pivotCacheDefinition4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31" sheet="2026.9"/>
  </cacheSource>
  <cacheFields count="19">
    <cacheField name="日期" numFmtId="0">
      <sharedItems count="0"/>
    </cacheField>
    <cacheField name="主播" numFmtId="0">
      <sharedItems containsBlank="true" count="5">
        <s v="张凯悬"/>
        <m/>
        <s v="孙晓松"/>
        <s v="韩萌萌"/>
        <s v="芦鑫鑫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5" count="2">
        <n v="5"/>
        <n v="4"/>
      </sharedItems>
    </cacheField>
    <cacheField name="订单数" numFmtId="0">
      <sharedItems containsSemiMixedTypes="false" containsString="false" containsNumber="true" containsInteger="true" minValue="3" maxValue="17" count="0"/>
    </cacheField>
    <cacheField name="保险支付数" numFmtId="0">
      <sharedItems containsSemiMixedTypes="false" containsString="false" containsNumber="true" containsInteger="true" minValue="0" maxValue="6" count="0"/>
    </cacheField>
    <cacheField name="单数" numFmtId="0">
      <sharedItems containsSemiMixedTypes="false" containsString="false" containsNumber="true" containsInteger="true" minValue="0" maxValue="8" count="0"/>
    </cacheField>
    <cacheField name="家庭单数量" numFmtId="0">
      <sharedItems containsSemiMixedTypes="false" containsString="false" containsNumber="true" containsInteger="true" minValue="0" maxValue="2" count="0"/>
    </cacheField>
    <cacheField name="年化保费" numFmtId="0">
      <sharedItems containsSemiMixedTypes="false" containsString="false" containsNumber="true" minValue="0" maxValue="4790.4" count="8">
        <n v="2994"/>
        <n v="4790.4"/>
        <n v="2395.2"/>
        <n v="3592.8"/>
        <n v="1796.3999999999999"/>
        <n v="598.8"/>
        <n v="1197.6"/>
        <n v="0"/>
      </sharedItems>
    </cacheField>
    <cacheField name="投流消耗" numFmtId="0">
      <sharedItems containsSemiMixedTypes="false" containsString="false" containsNumber="true" minValue="1728.11" maxValue="6509.689999999999" count="15">
        <n v="1728.11"/>
        <n v="4808.99"/>
        <n v="3575.85"/>
        <n v="3363.63"/>
        <n v="5174.37"/>
        <n v="4558.52"/>
        <n v="2951.98"/>
        <n v="2433.43"/>
        <n v="2736.54"/>
        <n v="3834.85"/>
        <n v="3702.83"/>
        <n v="6509.689999999999"/>
        <n v="6378.32"/>
        <n v="2446.44"/>
        <n v="5827.63"/>
      </sharedItems>
    </cacheField>
    <cacheField name="ROI" numFmtId="0">
      <sharedItems containsSemiMixedTypes="false" containsString="false" containsNumber="true" minValue="0" maxValue="1.732528600609915" count="0"/>
    </cacheField>
    <cacheField name="单均" numFmtId="0">
      <sharedItems containsMixedTypes="true" containsNumber="true" minValue="598.8" maxValue="598.8000000000001" count="0"/>
    </cacheField>
    <cacheField name="保单成本" numFmtId="0">
      <sharedItems containsMixedTypes="true" containsNumber="true" minValue="345.62199999999996" maxValue="2433.43" count="0"/>
    </cacheField>
    <cacheField name="助播1" numFmtId="0">
      <sharedItems containsBlank="true" count="0"/>
    </cacheField>
    <cacheField name="助播时长" numFmtId="0">
      <sharedItems containsSemiMixedTypes="false" containsString="false" containsNumber="true" containsInteger="true" minValue="4" maxValue="5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MixedTypes="true" containsNumber="true" containsInteger="true" minValue="0" maxValue="0" count="0"/>
    </cacheField>
    <cacheField name="投手时长" numFmtId="0">
      <sharedItems containsSemiMixedTypes="false" containsString="false" containsNumber="true" containsInteger="true" minValue="4" maxValue="5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53:$W$81" sheet="2026.9"/>
  </cacheSource>
  <cacheFields count="23">
    <cacheField name="日期" numFmtId="0">
      <sharedItems count="0"/>
    </cacheField>
    <cacheField name="主播" numFmtId="0">
      <sharedItems containsBlank="true" count="4">
        <s v="张凯悬"/>
        <m/>
        <s v="孙晓松"/>
        <s v="韩萌萌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5" count="2">
        <n v="5"/>
        <n v="4"/>
      </sharedItems>
    </cacheField>
    <cacheField name="订单数" numFmtId="0">
      <sharedItems containsSemiMixedTypes="false" containsString="false" containsNumber="true" containsInteger="true" minValue="3" maxValue="17" count="0"/>
    </cacheField>
    <cacheField name="保险支付数" numFmtId="0">
      <sharedItems containsSemiMixedTypes="false" containsString="false" containsNumber="true" containsInteger="true" minValue="0" maxValue="6" count="0"/>
    </cacheField>
    <cacheField name="单数" numFmtId="0">
      <sharedItems containsSemiMixedTypes="false" containsString="false" containsNumber="true" containsInteger="true" minValue="0" maxValue="8" count="8">
        <n v="5"/>
        <n v="8"/>
        <n v="4"/>
        <n v="6"/>
        <n v="3"/>
        <n v="1"/>
        <n v="2"/>
        <n v="0"/>
      </sharedItems>
    </cacheField>
    <cacheField name="家庭单数量" numFmtId="0">
      <sharedItems containsSemiMixedTypes="false" containsString="false" containsNumber="true" containsInteger="true" minValue="0" maxValue="2" count="3">
        <n v="0"/>
        <n v="1"/>
        <n v="2"/>
      </sharedItems>
    </cacheField>
    <cacheField name="年化保费" numFmtId="0">
      <sharedItems containsSemiMixedTypes="false" containsString="false" containsNumber="true" minValue="0" maxValue="4790.4" count="8">
        <n v="2994"/>
        <n v="4790.4"/>
        <n v="2395.2"/>
        <n v="3592.8"/>
        <n v="1796.3999999999999"/>
        <n v="598.8"/>
        <n v="1197.6"/>
        <n v="0"/>
      </sharedItems>
    </cacheField>
    <cacheField name="投流消耗" numFmtId="0">
      <sharedItems containsSemiMixedTypes="false" containsString="false" containsNumber="true" minValue="1728.11" maxValue="6509.689999999999" count="14">
        <n v="1728.11"/>
        <n v="4808.99"/>
        <n v="3575.85"/>
        <n v="3363.63"/>
        <n v="5174.37"/>
        <n v="4558.52"/>
        <n v="2951.98"/>
        <n v="2433.43"/>
        <n v="2736.54"/>
        <n v="3834.85"/>
        <n v="3702.83"/>
        <n v="6509.689999999999"/>
        <n v="6378.32"/>
        <n v="2446.44"/>
      </sharedItems>
    </cacheField>
    <cacheField name="ROI" numFmtId="0">
      <sharedItems containsSemiMixedTypes="false" containsString="false" containsNumber="true" minValue="0" maxValue="1.732528600609915" count="0"/>
    </cacheField>
    <cacheField name="单均" numFmtId="0">
      <sharedItems containsMixedTypes="true" containsNumber="true" minValue="598.8" maxValue="598.8000000000001" count="0"/>
    </cacheField>
    <cacheField name="保单成本" numFmtId="0">
      <sharedItems containsMixedTypes="true" containsNumber="true" minValue="345.62199999999996" maxValue="2433.43" count="0"/>
    </cacheField>
    <cacheField name="助播1" numFmtId="0">
      <sharedItems containsBlank="true" count="0"/>
    </cacheField>
    <cacheField name="助播时长" numFmtId="0">
      <sharedItems containsSemiMixedTypes="false" containsString="false" containsNumber="true" containsInteger="true" minValue="4" maxValue="5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MixedTypes="true" containsNumber="true" containsInteger="true" minValue="0" maxValue="0" count="0"/>
    </cacheField>
    <cacheField name="投手时长" numFmtId="0">
      <sharedItems containsSemiMixedTypes="false" containsString="false" containsNumber="true" containsInteger="true" minValue="4" maxValue="5" count="0"/>
    </cacheField>
    <cacheField name="T列" numFmtId="0">
      <sharedItems containsString="false" containsBlank="true" count="0"/>
    </cacheField>
    <cacheField name="U列" numFmtId="0">
      <sharedItems containsString="false" containsBlank="true" count="0"/>
    </cacheField>
    <cacheField name="V列" numFmtId="0">
      <sharedItems containsString="false" containsBlank="true" count="0"/>
    </cacheField>
    <cacheField name="W列" numFmtId="0">
      <sharedItems containsString="false" containsBlank="true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T$61" sheet="2026.8"/>
  </cacheSource>
  <cacheFields count="20">
    <cacheField name="日期" numFmtId="0">
      <sharedItems count="0"/>
    </cacheField>
    <cacheField name="主播" numFmtId="0">
      <sharedItems containsBlank="true" count="0"/>
    </cacheField>
    <cacheField name="直播时段" numFmtId="0">
      <sharedItems containsBlank="true" count="0"/>
    </cacheField>
    <cacheField name="直播时长" numFmtId="0">
      <sharedItems containsString="false" containsBlank="true" containsNumber="true" containsInteger="true" minValue="4" maxValue="4" count="0"/>
    </cacheField>
    <cacheField name="订单数" numFmtId="0">
      <sharedItems containsString="false" containsBlank="true" containsNumber="true" containsInteger="true" minValue="27" maxValue="95" count="0"/>
    </cacheField>
    <cacheField name="保险支付数" numFmtId="0">
      <sharedItems containsString="false" containsBlank="true" containsNumber="true" containsInteger="true" minValue="4" maxValue="29" count="0"/>
    </cacheField>
    <cacheField name="表单数量" numFmtId="0">
      <sharedItems containsString="false" containsBlank="true" containsNumber="true" containsInteger="true" minValue="10" maxValue="35" count="0"/>
    </cacheField>
    <cacheField name="升级数量" numFmtId="0">
      <sharedItems containsString="false" containsBlank="true" containsNumber="true" containsInteger="true" minValue="1" maxValue="15" count="0"/>
    </cacheField>
    <cacheField name="家庭单数量" numFmtId="0">
      <sharedItems containsString="false" containsBlank="true" containsNumber="true" containsInteger="true" minValue="0" maxValue="16" count="0"/>
    </cacheField>
    <cacheField name="年化保费" numFmtId="0">
      <sharedItems containsString="false" containsBlank="true" containsNumber="true" minValue="2618.4" maxValue="12427.199999999997" count="0"/>
    </cacheField>
    <cacheField name="投流消耗" numFmtId="0">
      <sharedItems containsString="false" containsBlank="true" containsNumber="true" minValue="3168.65" maxValue="10377.679999999998" count="0"/>
    </cacheField>
    <cacheField name="ROI" numFmtId="0">
      <sharedItems containsString="false" containsBlank="true" containsNumber="true" minValue="0.7804903563255966" maxValue="2.9425780695248767" count="0"/>
    </cacheField>
    <cacheField name="单均" numFmtId="0">
      <sharedItems containsString="false" containsBlank="true" containsNumber="true" minValue="154.0235294117647" maxValue="518" count="0"/>
    </cacheField>
    <cacheField name="保单成本" numFmtId="0">
      <sharedItems containsString="false" containsBlank="true" containsNumber="true" minValue="105.62166666666667" maxValue="294.13461538461536" count="0"/>
    </cacheField>
    <cacheField name="助播1" numFmtId="0">
      <sharedItems containsBlank="true" count="10">
        <s v="董柯言"/>
        <m/>
        <s v="董柯言双"/>
        <s v="姜晓双"/>
        <s v="姜晓"/>
        <s v="何彩樱双"/>
        <s v="贾占通双"/>
        <s v="贾占通"/>
        <s v="任子硕双"/>
        <s v="杨博"/>
      </sharedItems>
    </cacheField>
    <cacheField name="助播时长" numFmtId="0">
      <sharedItems containsString="false" containsBlank="true" containsNumber="true" containsInteger="true" minValue="1" maxValue="4" count="4">
        <n v="4"/>
        <n v="1"/>
        <n v="3"/>
        <m/>
      </sharedItems>
    </cacheField>
    <cacheField name="助播2" numFmtId="0">
      <sharedItems containsString="false" containsBlank="true" containsNumber="true" containsInteger="true" minValue="0" maxValue="0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Blank="true" containsMixedTypes="true" containsNumber="true" containsInteger="true" minValue="0" maxValue="0" count="0"/>
    </cacheField>
    <cacheField name="投手时长" numFmtId="0">
      <sharedItems containsString="false" containsBlank="true" containsNumber="true" containsInteger="true" minValue="4" maxValue="4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18" sheet="2026.7"/>
  </cacheSource>
  <cacheFields count="19">
    <cacheField name="日期" numFmtId="0">
      <sharedItems containsBlank="true" count="0"/>
    </cacheField>
    <cacheField name="主播" numFmtId="0">
      <sharedItems containsBlank="true" count="0"/>
    </cacheField>
    <cacheField name="直播时段" numFmtId="0">
      <sharedItems containsBlank="true" count="0"/>
    </cacheField>
    <cacheField name="直播时长" numFmtId="0">
      <sharedItems containsString="false" containsBlank="true" containsNumber="true" containsInteger="true" minValue="4" maxValue="4" count="0"/>
    </cacheField>
    <cacheField name="订单数" numFmtId="0">
      <sharedItems containsString="false" containsBlank="true" containsNumber="true" containsInteger="true" minValue="2" maxValue="92" count="0"/>
    </cacheField>
    <cacheField name="保险支付数" numFmtId="0">
      <sharedItems containsString="false" containsBlank="true" containsNumber="true" containsInteger="true" minValue="2" maxValue="34" count="0"/>
    </cacheField>
    <cacheField name="保单数量" numFmtId="0">
      <sharedItems containsString="false" containsBlank="true" containsNumber="true" containsInteger="true" minValue="2" maxValue="40" count="0"/>
    </cacheField>
    <cacheField name="家庭单数量" numFmtId="0">
      <sharedItems containsString="false" containsBlank="true" containsNumber="true" containsInteger="true" minValue="0" maxValue="26" count="0"/>
    </cacheField>
    <cacheField name="年化保费" numFmtId="0">
      <sharedItems containsString="false" containsBlank="true" containsNumber="true" minValue="237.60000000000002" maxValue="6082.800000000001" count="0"/>
    </cacheField>
    <cacheField name="投流消耗" numFmtId="0">
      <sharedItems containsString="false" containsBlank="true" containsNumber="true" minValue="1281.21" maxValue="11661.310000000001" count="0"/>
    </cacheField>
    <cacheField name="ROI" numFmtId="0">
      <sharedItems containsString="false" containsBlank="true" containsNumber="true" minValue="0.18544969208794812" maxValue="0.9525658894091487" count="0"/>
    </cacheField>
    <cacheField name="单均" numFmtId="0">
      <sharedItems containsString="false" containsBlank="true" containsNumber="true" minValue="118.8" maxValue="358.31999999999994" count="0"/>
    </cacheField>
    <cacheField name="保单成本" numFmtId="0">
      <sharedItems containsString="false" containsBlank="true" containsNumber="true" minValue="205.9903225806452" maxValue="640.605" count="0"/>
    </cacheField>
    <cacheField name="助播1" numFmtId="0">
      <sharedItems containsBlank="true" count="4">
        <s v="何彩樱双"/>
        <m/>
        <s v="何彩樱"/>
        <s v="任子硕双"/>
      </sharedItems>
    </cacheField>
    <cacheField name="助播时长" numFmtId="0">
      <sharedItems containsSemiMixedTypes="false" containsString="false" containsNumber="true" containsInteger="true" minValue="1" maxValue="4" count="3">
        <n v="4"/>
        <n v="3"/>
        <n v="1"/>
      </sharedItems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Blank="true" containsMixedTypes="true" containsNumber="true" containsInteger="true" minValue="0" maxValue="0" count="0"/>
    </cacheField>
    <cacheField name="投手时长" numFmtId="0">
      <sharedItems containsString="false" containsBlank="true" containsNumber="true" containsInteger="true" minValue="4" maxValue="4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D$38:$G$43" firstHeaderRow="1" firstDataRow="1" firstDataCol="1"/>
  <pivotFields count="19">
    <pivotField compact="false" outline="false" showAll="false"/>
    <pivotField axis="axisRow" compact="false" outline="false" showAll="false">
      <items count="6">
        <item x="0"/>
        <item h="true" x="1"/>
        <item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84:$I$88" firstHeaderRow="1" firstDataRow="1" firstDataCol="1"/>
  <pivotFields count="23">
    <pivotField compact="false" outline="false" showAll="false"/>
    <pivotField axis="axisRow" compact="false" outline="false" showAll="false">
      <items count="5">
        <item x="0"/>
        <item h="true" x="1"/>
        <item x="2"/>
        <item x="3"/>
        <item t="default"/>
      </items>
    </pivotField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5">
    <dataField name="求和项:直播时长" fld="3" subtotal="sum"/>
    <dataField name="求和项:单数" fld="6" subtotal="sum"/>
    <dataField name="求和项:年化保费" fld="8" subtotal="sum"/>
    <dataField name="求和项:投流消耗" fld="9" subtotal="sum"/>
    <dataField name="求和项:家庭单数量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71:$D$81" firstHeaderRow="1" firstDataRow="1" firstDataCol="1"/>
  <pivotFields count="20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11">
        <item x="0"/>
        <item h="true" x="1"/>
        <item x="2"/>
        <item x="3"/>
        <item x="4"/>
        <item x="5"/>
        <item x="6"/>
        <item x="7"/>
        <item x="8"/>
        <item x="9"/>
        <item t="default"/>
      </items>
    </pivotField>
    <pivotField dataField="true" compact="false" outline="false" showAll="false">
      <items count="5">
        <item x="0"/>
        <item x="1"/>
        <item x="2"/>
        <item x="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4"/>
  </rowFields>
  <dataFields count="1">
    <dataField name="求和项:助播时长" fld="1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70:$D$74" firstHeaderRow="1" firstDataRow="1" firstDataCol="1"/>
  <pivotFields count="19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5">
        <item x="0"/>
        <item h="true" x="1"/>
        <item x="2"/>
        <item x="3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3"/>
  </rowFields>
  <dataFields count="1">
    <dataField name="求和项:助播时长" fld="1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0.64788732394366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1" t="s">
        <v>8</v>
      </c>
      <c r="I1" s="1" t="s">
        <v>9</v>
      </c>
      <c r="J1" s="3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1" t="s">
        <v>15</v>
      </c>
      <c r="P1" s="1" t="s">
        <v>16</v>
      </c>
      <c r="Q1" s="1" t="s">
        <v>15</v>
      </c>
      <c r="R1" s="1" t="s">
        <v>17</v>
      </c>
      <c r="S1" s="1" t="s">
        <v>18</v>
      </c>
    </row>
    <row r="2">
      <c r="A2" s="5">
        <v>46296</v>
      </c>
      <c r="B2" s="6" t="s">
        <v>19</v>
      </c>
      <c r="C2" s="6" t="s">
        <v>20</v>
      </c>
      <c r="D2" s="6">
        <v>4</v>
      </c>
      <c r="E2" s="6">
        <v>2</v>
      </c>
      <c r="F2" s="6">
        <v>0</v>
      </c>
      <c r="G2" s="6">
        <v>0</v>
      </c>
      <c r="H2" s="6">
        <v>0</v>
      </c>
      <c r="I2" s="7">
        <v>0</v>
      </c>
      <c r="J2" s="8">
        <v>5016.71</v>
      </c>
      <c r="K2" s="9">
        <f t="shared" ref="K2:K39" si="0">I2/J2</f>
      </c>
      <c r="L2" s="10">
        <f t="shared" ref="L2:L39" si="1">I2/G2</f>
      </c>
      <c r="M2" s="9">
        <f t="shared" ref="M2:M39" si="2">J2/(G2)</f>
      </c>
      <c r="N2" s="6" t="s">
        <v>21</v>
      </c>
      <c r="O2" s="6">
        <v>4</v>
      </c>
      <c r="P2" s="11"/>
      <c r="Q2" s="11"/>
      <c r="R2" s="11" t="s">
        <v>22</v>
      </c>
      <c r="S2" s="6">
        <v>4</v>
      </c>
    </row>
    <row r="3">
      <c r="A3" s="12">
        <v>46296</v>
      </c>
      <c r="B3" s="13"/>
      <c r="C3" s="13"/>
      <c r="D3" s="13">
        <f>SUM(D2)</f>
      </c>
      <c r="E3" s="13">
        <f>SUM(E2)</f>
      </c>
      <c r="F3" s="13">
        <f>SUM(F2)</f>
      </c>
      <c r="G3" s="13">
        <f>SUM(G2)</f>
      </c>
      <c r="H3" s="13">
        <f>SUM(H2)</f>
      </c>
      <c r="I3" s="14">
        <f>SUM(I2)</f>
      </c>
      <c r="J3" s="13">
        <f>SUM(J2)</f>
      </c>
      <c r="K3" s="15">
        <f t="shared" si="0"/>
      </c>
      <c r="L3" s="16">
        <f t="shared" si="1"/>
      </c>
      <c r="M3" s="15">
        <f t="shared" si="2"/>
      </c>
      <c r="N3" s="13"/>
      <c r="O3" s="13">
        <f>SUM(O2)</f>
      </c>
      <c r="P3" s="13"/>
      <c r="Q3" s="13">
        <f>SUM(Q2)</f>
      </c>
      <c r="R3" s="13">
        <f>SUM(R2)</f>
      </c>
      <c r="S3" s="13">
        <f>SUM(S2)</f>
      </c>
    </row>
    <row r="4">
      <c r="A4" s="17">
        <v>46297</v>
      </c>
      <c r="B4" s="6" t="s">
        <v>19</v>
      </c>
      <c r="C4" s="6" t="s">
        <v>20</v>
      </c>
      <c r="D4" s="6">
        <v>4</v>
      </c>
      <c r="E4" s="6">
        <v>10</v>
      </c>
      <c r="F4" s="6">
        <v>6</v>
      </c>
      <c r="G4" s="6">
        <v>6</v>
      </c>
      <c r="H4" s="6">
        <v>0</v>
      </c>
      <c r="I4" s="7">
        <v>4191.6</v>
      </c>
      <c r="J4" s="8">
        <v>4315.07</v>
      </c>
      <c r="K4" s="9">
        <f t="shared" si="0"/>
      </c>
      <c r="L4" s="10">
        <f t="shared" si="1"/>
      </c>
      <c r="M4" s="9">
        <f t="shared" si="2"/>
      </c>
      <c r="N4" s="6" t="s">
        <v>21</v>
      </c>
      <c r="O4" s="6">
        <v>4</v>
      </c>
      <c r="P4" s="11"/>
      <c r="Q4" s="11"/>
      <c r="R4" s="11" t="s">
        <v>22</v>
      </c>
      <c r="S4" s="6">
        <v>4</v>
      </c>
    </row>
    <row r="5">
      <c r="A5" s="12">
        <v>46297</v>
      </c>
      <c r="B5" s="13"/>
      <c r="C5" s="13"/>
      <c r="D5" s="13">
        <f>SUM(D4)</f>
      </c>
      <c r="E5" s="13">
        <f>SUM(E4)</f>
      </c>
      <c r="F5" s="13">
        <f>SUM(F4)</f>
      </c>
      <c r="G5" s="13">
        <f>SUM(G4)</f>
      </c>
      <c r="H5" s="13">
        <f>SUM(H4)</f>
      </c>
      <c r="I5" s="14">
        <f>SUM(I4)</f>
      </c>
      <c r="J5" s="13">
        <f>SUM(J4)</f>
      </c>
      <c r="K5" s="15">
        <f t="shared" si="0"/>
      </c>
      <c r="L5" s="16">
        <f t="shared" si="1"/>
      </c>
      <c r="M5" s="15">
        <f t="shared" si="2"/>
      </c>
      <c r="N5" s="13"/>
      <c r="O5" s="13">
        <f>SUM(O4)</f>
      </c>
      <c r="P5" s="13"/>
      <c r="Q5" s="13">
        <f>SUM(Q4)</f>
      </c>
      <c r="R5" s="13">
        <f>SUM(R4)</f>
      </c>
      <c r="S5" s="13">
        <f>SUM(S4)</f>
      </c>
    </row>
    <row r="6">
      <c r="A6" s="17">
        <v>46298</v>
      </c>
      <c r="B6" s="6" t="s">
        <v>19</v>
      </c>
      <c r="C6" s="6" t="s">
        <v>20</v>
      </c>
      <c r="D6" s="6">
        <v>4</v>
      </c>
      <c r="E6" s="6">
        <v>9</v>
      </c>
      <c r="F6" s="6">
        <v>4</v>
      </c>
      <c r="G6" s="6">
        <v>5</v>
      </c>
      <c r="H6" s="6">
        <v>0</v>
      </c>
      <c r="I6" s="7">
        <v>2994</v>
      </c>
      <c r="J6" s="8">
        <v>6476.6900000000005</v>
      </c>
      <c r="K6" s="9">
        <f t="shared" si="0"/>
      </c>
      <c r="L6" s="18">
        <f t="shared" si="1"/>
      </c>
      <c r="M6" s="9">
        <f t="shared" si="2"/>
      </c>
      <c r="N6" s="6" t="s">
        <v>21</v>
      </c>
      <c r="O6" s="6">
        <v>4</v>
      </c>
      <c r="P6" s="11"/>
      <c r="Q6" s="11"/>
      <c r="R6" s="11" t="s">
        <v>22</v>
      </c>
      <c r="S6" s="6">
        <v>4</v>
      </c>
    </row>
    <row r="7">
      <c r="A7" s="12">
        <v>46298</v>
      </c>
      <c r="B7" s="13"/>
      <c r="C7" s="13"/>
      <c r="D7" s="13">
        <f>SUM(D6)</f>
      </c>
      <c r="E7" s="13">
        <f>SUM(E6)</f>
      </c>
      <c r="F7" s="13">
        <f>SUM(F6)</f>
      </c>
      <c r="G7" s="13">
        <f>SUM(G6)</f>
      </c>
      <c r="H7" s="13">
        <f>SUM(H6)</f>
      </c>
      <c r="I7" s="14">
        <f>SUM(I6)</f>
      </c>
      <c r="J7" s="13">
        <f>SUM(J6)</f>
      </c>
      <c r="K7" s="19">
        <f t="shared" si="0"/>
      </c>
      <c r="L7" s="15">
        <f t="shared" si="1"/>
      </c>
      <c r="M7" s="20">
        <f t="shared" si="2"/>
      </c>
      <c r="N7" s="13"/>
      <c r="O7" s="13">
        <f>SUM(O6)</f>
      </c>
      <c r="P7" s="13"/>
      <c r="Q7" s="13">
        <f>SUM(Q6)</f>
      </c>
      <c r="R7" s="13">
        <f>SUM(R6)</f>
      </c>
      <c r="S7" s="13">
        <f>SUM(S6)</f>
      </c>
    </row>
    <row r="8">
      <c r="A8" s="17">
        <v>46299</v>
      </c>
      <c r="B8" s="6" t="s">
        <v>19</v>
      </c>
      <c r="C8" s="6" t="s">
        <v>20</v>
      </c>
      <c r="D8" s="6">
        <v>4</v>
      </c>
      <c r="E8" s="6">
        <v>7</v>
      </c>
      <c r="F8" s="6">
        <v>2</v>
      </c>
      <c r="G8" s="6">
        <v>2</v>
      </c>
      <c r="H8" s="6">
        <v>0</v>
      </c>
      <c r="I8" s="7">
        <v>1197.6</v>
      </c>
      <c r="J8" s="8">
        <v>4307.13</v>
      </c>
      <c r="K8" s="9">
        <f t="shared" si="0"/>
      </c>
      <c r="L8" s="18">
        <f t="shared" si="1"/>
      </c>
      <c r="M8" s="9">
        <f t="shared" si="2"/>
      </c>
      <c r="N8" s="6" t="s">
        <v>21</v>
      </c>
      <c r="O8" s="6">
        <v>4</v>
      </c>
      <c r="P8" s="11"/>
      <c r="Q8" s="11"/>
      <c r="R8" s="11" t="s">
        <v>22</v>
      </c>
      <c r="S8" s="6">
        <v>4</v>
      </c>
    </row>
    <row r="9">
      <c r="A9" s="12">
        <v>46299</v>
      </c>
      <c r="B9" s="13"/>
      <c r="C9" s="13"/>
      <c r="D9" s="13">
        <f>SUM(D8)</f>
      </c>
      <c r="E9" s="13">
        <f>SUM(E8)</f>
      </c>
      <c r="F9" s="13">
        <f>SUM(F8)</f>
      </c>
      <c r="G9" s="13">
        <f>SUM(G8)</f>
      </c>
      <c r="H9" s="13">
        <f>SUM(H8)</f>
      </c>
      <c r="I9" s="14">
        <f>SUM(I8)</f>
      </c>
      <c r="J9" s="13">
        <f>SUM(J8)</f>
      </c>
      <c r="K9" s="19">
        <f t="shared" si="0"/>
      </c>
      <c r="L9" s="15">
        <f t="shared" si="1"/>
      </c>
      <c r="M9" s="20">
        <f t="shared" si="2"/>
      </c>
      <c r="N9" s="13"/>
      <c r="O9" s="13">
        <f>SUM(O8)</f>
      </c>
      <c r="P9" s="13"/>
      <c r="Q9" s="13">
        <f>SUM(Q8)</f>
      </c>
      <c r="R9" s="13">
        <f>SUM(R8)</f>
      </c>
      <c r="S9" s="13">
        <f>SUM(S8)</f>
      </c>
    </row>
    <row r="10">
      <c r="A10" s="17">
        <v>46300</v>
      </c>
      <c r="B10" s="6" t="s">
        <v>19</v>
      </c>
      <c r="C10" s="6" t="s">
        <v>20</v>
      </c>
      <c r="D10" s="6">
        <v>4</v>
      </c>
      <c r="E10" s="6">
        <v>12</v>
      </c>
      <c r="F10" s="6">
        <v>8</v>
      </c>
      <c r="G10" s="6">
        <v>9</v>
      </c>
      <c r="H10" s="6">
        <v>0</v>
      </c>
      <c r="I10" s="7">
        <v>5988</v>
      </c>
      <c r="J10" s="8">
        <v>6952.57</v>
      </c>
      <c r="K10" s="9">
        <f t="shared" si="0"/>
      </c>
      <c r="L10" s="18">
        <f t="shared" si="1"/>
      </c>
      <c r="M10" s="9">
        <f t="shared" si="2"/>
      </c>
      <c r="N10" s="6" t="s">
        <v>21</v>
      </c>
      <c r="O10" s="6">
        <v>4</v>
      </c>
      <c r="P10" s="11"/>
      <c r="Q10" s="11"/>
      <c r="R10" s="11" t="s">
        <v>22</v>
      </c>
      <c r="S10" s="6">
        <v>4</v>
      </c>
    </row>
    <row r="11">
      <c r="A11" s="12">
        <v>46300</v>
      </c>
      <c r="B11" s="13"/>
      <c r="C11" s="13"/>
      <c r="D11" s="13">
        <f>SUM(D10)</f>
      </c>
      <c r="E11" s="13">
        <f>SUM(E10)</f>
      </c>
      <c r="F11" s="13">
        <f>SUM(F10)</f>
      </c>
      <c r="G11" s="13">
        <f>SUM(G10)</f>
      </c>
      <c r="H11" s="13">
        <f>SUM(H10)</f>
      </c>
      <c r="I11" s="14">
        <f>SUM(I10)</f>
      </c>
      <c r="J11" s="13">
        <f>SUM(J10)</f>
      </c>
      <c r="K11" s="19">
        <f t="shared" si="0"/>
      </c>
      <c r="L11" s="15">
        <f t="shared" si="1"/>
      </c>
      <c r="M11" s="20">
        <f t="shared" si="2"/>
      </c>
      <c r="N11" s="13"/>
      <c r="O11" s="13">
        <f>SUM(O10)</f>
      </c>
      <c r="P11" s="13"/>
      <c r="Q11" s="13">
        <f>SUM(Q10)</f>
      </c>
      <c r="R11" s="13">
        <f>SUM(R10)</f>
      </c>
      <c r="S11" s="13">
        <f>SUM(S10)</f>
      </c>
    </row>
    <row r="12">
      <c r="A12" s="17">
        <v>46301</v>
      </c>
      <c r="B12" s="6" t="s">
        <v>19</v>
      </c>
      <c r="C12" s="6" t="s">
        <v>20</v>
      </c>
      <c r="D12" s="6">
        <v>4</v>
      </c>
      <c r="E12" s="6">
        <v>11</v>
      </c>
      <c r="F12" s="6">
        <v>6</v>
      </c>
      <c r="G12" s="6">
        <v>7</v>
      </c>
      <c r="H12" s="6">
        <v>0</v>
      </c>
      <c r="I12" s="7">
        <v>4191.599999999999</v>
      </c>
      <c r="J12" s="8">
        <v>6981.96</v>
      </c>
      <c r="K12" s="9">
        <f t="shared" si="0"/>
      </c>
      <c r="L12" s="18">
        <f t="shared" si="1"/>
      </c>
      <c r="M12" s="9">
        <f t="shared" si="2"/>
      </c>
      <c r="N12" s="6" t="s">
        <v>21</v>
      </c>
      <c r="O12" s="6">
        <v>4</v>
      </c>
      <c r="P12" s="11"/>
      <c r="Q12" s="11"/>
      <c r="R12" s="11" t="s">
        <v>22</v>
      </c>
      <c r="S12" s="6">
        <v>4</v>
      </c>
    </row>
    <row r="13">
      <c r="A13" s="12">
        <v>46301</v>
      </c>
      <c r="B13" s="13"/>
      <c r="C13" s="13"/>
      <c r="D13" s="13">
        <f>SUM(D12)</f>
      </c>
      <c r="E13" s="13">
        <f>SUM(E12)</f>
      </c>
      <c r="F13" s="13">
        <f>SUM(F12)</f>
      </c>
      <c r="G13" s="13">
        <f>SUM(G12)</f>
      </c>
      <c r="H13" s="13">
        <f>SUM(H12)</f>
      </c>
      <c r="I13" s="14">
        <f>SUM(I12)</f>
      </c>
      <c r="J13" s="13">
        <f>SUM(J12)</f>
      </c>
      <c r="K13" s="19">
        <f t="shared" si="0"/>
      </c>
      <c r="L13" s="15">
        <f t="shared" si="1"/>
      </c>
      <c r="M13" s="20">
        <f t="shared" si="2"/>
      </c>
      <c r="N13" s="13"/>
      <c r="O13" s="13">
        <f>SUM(O12)</f>
      </c>
      <c r="P13" s="13"/>
      <c r="Q13" s="13">
        <f>SUM(Q12)</f>
      </c>
      <c r="R13" s="13">
        <f>SUM(R12)</f>
      </c>
      <c r="S13" s="13">
        <f>SUM(S12)</f>
      </c>
    </row>
    <row r="14">
      <c r="A14" s="17">
        <v>46302</v>
      </c>
      <c r="B14" s="6" t="s">
        <v>19</v>
      </c>
      <c r="C14" s="6" t="s">
        <v>20</v>
      </c>
      <c r="D14" s="6">
        <v>4</v>
      </c>
      <c r="E14" s="6">
        <v>7</v>
      </c>
      <c r="F14" s="6">
        <v>4</v>
      </c>
      <c r="G14" s="6">
        <v>5</v>
      </c>
      <c r="H14" s="6">
        <v>0</v>
      </c>
      <c r="I14" s="7">
        <v>2994</v>
      </c>
      <c r="J14" s="8">
        <v>5820.84</v>
      </c>
      <c r="K14" s="9">
        <f t="shared" si="0"/>
      </c>
      <c r="L14" s="18">
        <f t="shared" si="1"/>
      </c>
      <c r="M14" s="9">
        <f t="shared" si="2"/>
      </c>
      <c r="N14" s="6" t="s">
        <v>21</v>
      </c>
      <c r="O14" s="6">
        <v>4</v>
      </c>
      <c r="P14" s="11"/>
      <c r="Q14" s="11"/>
      <c r="R14" s="11" t="s">
        <v>23</v>
      </c>
      <c r="S14" s="6">
        <v>4</v>
      </c>
    </row>
    <row r="15">
      <c r="A15" s="12">
        <v>46302</v>
      </c>
      <c r="B15" s="13"/>
      <c r="C15" s="13"/>
      <c r="D15" s="13">
        <f>SUM(D14)</f>
      </c>
      <c r="E15" s="13">
        <f>SUM(E14)</f>
      </c>
      <c r="F15" s="13">
        <f>SUM(F14)</f>
      </c>
      <c r="G15" s="13">
        <f>SUM(G14)</f>
      </c>
      <c r="H15" s="13">
        <f>SUM(H14)</f>
      </c>
      <c r="I15" s="14">
        <f>SUM(I14)</f>
      </c>
      <c r="J15" s="13">
        <f>SUM(J14)</f>
      </c>
      <c r="K15" s="19">
        <f t="shared" si="0"/>
      </c>
      <c r="L15" s="15">
        <f t="shared" si="1"/>
      </c>
      <c r="M15" s="20">
        <f t="shared" si="2"/>
      </c>
      <c r="N15" s="13"/>
      <c r="O15" s="13">
        <f>SUM(O14)</f>
      </c>
      <c r="P15" s="13"/>
      <c r="Q15" s="13">
        <f>SUM(Q14)</f>
      </c>
      <c r="R15" s="13">
        <f>SUM(R14)</f>
      </c>
      <c r="S15" s="13">
        <f>SUM(S14)</f>
      </c>
    </row>
    <row r="16">
      <c r="A16" s="17">
        <v>46303</v>
      </c>
      <c r="B16" s="6" t="s">
        <v>19</v>
      </c>
      <c r="C16" s="6" t="s">
        <v>20</v>
      </c>
      <c r="D16" s="6">
        <v>4</v>
      </c>
      <c r="E16" s="6">
        <v>8</v>
      </c>
      <c r="F16" s="6">
        <v>5</v>
      </c>
      <c r="G16" s="6">
        <v>5</v>
      </c>
      <c r="H16" s="6">
        <v>0</v>
      </c>
      <c r="I16" s="7">
        <v>2994</v>
      </c>
      <c r="J16" s="8">
        <v>5348.3</v>
      </c>
      <c r="K16" s="9">
        <f t="shared" si="0"/>
      </c>
      <c r="L16" s="18">
        <f t="shared" si="1"/>
      </c>
      <c r="M16" s="9">
        <f t="shared" si="2"/>
      </c>
      <c r="N16" s="6" t="s">
        <v>21</v>
      </c>
      <c r="O16" s="6">
        <v>4</v>
      </c>
      <c r="P16" s="11"/>
      <c r="Q16" s="11"/>
      <c r="R16" s="11" t="s">
        <v>23</v>
      </c>
      <c r="S16" s="6">
        <v>4</v>
      </c>
    </row>
    <row r="17">
      <c r="A17" s="12">
        <v>46303</v>
      </c>
      <c r="B17" s="13"/>
      <c r="C17" s="13"/>
      <c r="D17" s="13">
        <f>SUM(D16)</f>
      </c>
      <c r="E17" s="13">
        <f>SUM(E16)</f>
      </c>
      <c r="F17" s="13">
        <f>SUM(F16)</f>
      </c>
      <c r="G17" s="13">
        <f>SUM(G16)</f>
      </c>
      <c r="H17" s="13">
        <f>SUM(H16)</f>
      </c>
      <c r="I17" s="14">
        <f>SUM(I16)</f>
      </c>
      <c r="J17" s="13">
        <f>SUM(J16)</f>
      </c>
      <c r="K17" s="19">
        <f t="shared" si="0"/>
      </c>
      <c r="L17" s="15">
        <f t="shared" si="1"/>
      </c>
      <c r="M17" s="20">
        <f t="shared" si="2"/>
      </c>
      <c r="N17" s="13"/>
      <c r="O17" s="13">
        <f>SUM(O16)</f>
      </c>
      <c r="P17" s="13"/>
      <c r="Q17" s="13">
        <f>SUM(Q16)</f>
      </c>
      <c r="R17" s="13">
        <f>SUM(R16)</f>
      </c>
      <c r="S17" s="13">
        <f>SUM(S16)</f>
      </c>
    </row>
    <row r="18">
      <c r="A18" s="17">
        <v>46304</v>
      </c>
      <c r="B18" s="6" t="s">
        <v>24</v>
      </c>
      <c r="C18" s="6" t="s">
        <v>20</v>
      </c>
      <c r="D18" s="6">
        <v>4</v>
      </c>
      <c r="E18" s="6">
        <v>8</v>
      </c>
      <c r="F18" s="6">
        <v>5</v>
      </c>
      <c r="G18" s="6">
        <v>6</v>
      </c>
      <c r="H18" s="6">
        <v>0</v>
      </c>
      <c r="I18" s="7">
        <v>3592.8</v>
      </c>
      <c r="J18" s="8">
        <v>5773.74</v>
      </c>
      <c r="K18" s="9">
        <f t="shared" si="0"/>
      </c>
      <c r="L18" s="18">
        <f t="shared" si="1"/>
      </c>
      <c r="M18" s="9">
        <f t="shared" si="2"/>
      </c>
      <c r="N18" s="6" t="s">
        <v>25</v>
      </c>
      <c r="O18" s="6">
        <v>4</v>
      </c>
      <c r="P18" s="11"/>
      <c r="Q18" s="11"/>
      <c r="R18" s="11" t="s">
        <v>23</v>
      </c>
      <c r="S18" s="6">
        <v>4</v>
      </c>
    </row>
    <row r="19">
      <c r="A19" s="12">
        <v>46304</v>
      </c>
      <c r="B19" s="13"/>
      <c r="C19" s="13"/>
      <c r="D19" s="13">
        <f>SUM(D18)</f>
      </c>
      <c r="E19" s="13">
        <f>SUM(E18)</f>
      </c>
      <c r="F19" s="13">
        <f>SUM(F18)</f>
      </c>
      <c r="G19" s="13">
        <f>SUM(G18)</f>
      </c>
      <c r="H19" s="13">
        <f>SUM(H18)</f>
      </c>
      <c r="I19" s="14">
        <f>SUM(I18)</f>
      </c>
      <c r="J19" s="13">
        <f>SUM(J18)</f>
      </c>
      <c r="K19" s="19">
        <f t="shared" si="0"/>
      </c>
      <c r="L19" s="15">
        <f t="shared" si="1"/>
      </c>
      <c r="M19" s="20">
        <f t="shared" si="2"/>
      </c>
      <c r="N19" s="13"/>
      <c r="O19" s="13">
        <f>SUM(O18)</f>
      </c>
      <c r="P19" s="13"/>
      <c r="Q19" s="13">
        <f>SUM(Q18)</f>
      </c>
      <c r="R19" s="13">
        <f>SUM(R18)</f>
      </c>
      <c r="S19" s="13">
        <f>SUM(S18)</f>
      </c>
    </row>
    <row r="20">
      <c r="A20" s="17">
        <v>46305</v>
      </c>
      <c r="B20" s="6" t="s">
        <v>24</v>
      </c>
      <c r="C20" s="6" t="s">
        <v>20</v>
      </c>
      <c r="D20" s="6">
        <v>4</v>
      </c>
      <c r="E20" s="6">
        <v>12</v>
      </c>
      <c r="F20" s="6">
        <v>7</v>
      </c>
      <c r="G20" s="6">
        <v>8</v>
      </c>
      <c r="H20" s="6">
        <v>0</v>
      </c>
      <c r="I20" s="7">
        <v>4790.4</v>
      </c>
      <c r="J20" s="8">
        <v>7418.17</v>
      </c>
      <c r="K20" s="9">
        <f t="shared" si="0"/>
      </c>
      <c r="L20" s="18">
        <f t="shared" si="1"/>
      </c>
      <c r="M20" s="9">
        <f t="shared" si="2"/>
      </c>
      <c r="N20" s="6" t="s">
        <v>26</v>
      </c>
      <c r="O20" s="6">
        <v>4</v>
      </c>
      <c r="P20" s="11"/>
      <c r="Q20" s="11"/>
      <c r="R20" s="11" t="s">
        <v>23</v>
      </c>
      <c r="S20" s="6">
        <v>4</v>
      </c>
    </row>
    <row r="21">
      <c r="A21" s="12">
        <v>46305</v>
      </c>
      <c r="B21" s="13"/>
      <c r="C21" s="13"/>
      <c r="D21" s="13">
        <f>SUM(D20)</f>
      </c>
      <c r="E21" s="13">
        <f>SUM(E20)</f>
      </c>
      <c r="F21" s="13">
        <f>SUM(F20)</f>
      </c>
      <c r="G21" s="13">
        <f>SUM(G20)</f>
      </c>
      <c r="H21" s="13">
        <f>SUM(H20)</f>
      </c>
      <c r="I21" s="14">
        <f>SUM(I20)</f>
      </c>
      <c r="J21" s="13">
        <f>SUM(J20)</f>
      </c>
      <c r="K21" s="19">
        <f t="shared" si="0"/>
      </c>
      <c r="L21" s="15">
        <f t="shared" si="1"/>
      </c>
      <c r="M21" s="20">
        <f t="shared" si="2"/>
      </c>
      <c r="N21" s="13"/>
      <c r="O21" s="13">
        <f>SUM(O20)</f>
      </c>
      <c r="P21" s="13"/>
      <c r="Q21" s="13">
        <f>SUM(Q20)</f>
      </c>
      <c r="R21" s="13">
        <f>SUM(R20)</f>
      </c>
      <c r="S21" s="13">
        <f>SUM(S20)</f>
      </c>
    </row>
    <row r="22">
      <c r="A22" s="17">
        <v>46306</v>
      </c>
      <c r="B22" s="6" t="s">
        <v>24</v>
      </c>
      <c r="C22" s="6" t="s">
        <v>20</v>
      </c>
      <c r="D22" s="6">
        <v>4</v>
      </c>
      <c r="E22" s="6">
        <v>6</v>
      </c>
      <c r="F22" s="6">
        <v>3</v>
      </c>
      <c r="G22" s="6">
        <v>3</v>
      </c>
      <c r="H22" s="6">
        <v>0</v>
      </c>
      <c r="I22" s="7">
        <v>1796.3999999999999</v>
      </c>
      <c r="J22" s="8">
        <v>6186.6</v>
      </c>
      <c r="K22" s="9">
        <f t="shared" si="0"/>
      </c>
      <c r="L22" s="18">
        <f t="shared" si="1"/>
      </c>
      <c r="M22" s="9">
        <f t="shared" si="2"/>
      </c>
      <c r="N22" s="6" t="s">
        <v>27</v>
      </c>
      <c r="O22" s="6">
        <v>4</v>
      </c>
      <c r="P22" s="11"/>
      <c r="Q22" s="11"/>
      <c r="R22" s="11" t="s">
        <v>23</v>
      </c>
      <c r="S22" s="6">
        <v>4</v>
      </c>
    </row>
    <row r="23">
      <c r="A23" s="12">
        <v>46306</v>
      </c>
      <c r="B23" s="13"/>
      <c r="C23" s="13"/>
      <c r="D23" s="13">
        <f>SUM(D22)</f>
      </c>
      <c r="E23" s="13">
        <f>SUM(E22)</f>
      </c>
      <c r="F23" s="13">
        <f>SUM(F22)</f>
      </c>
      <c r="G23" s="13">
        <f>SUM(G22)</f>
      </c>
      <c r="H23" s="13">
        <f>SUM(H22)</f>
      </c>
      <c r="I23" s="14">
        <f>SUM(I22)</f>
      </c>
      <c r="J23" s="13">
        <f>SUM(J22)</f>
      </c>
      <c r="K23" s="19">
        <f t="shared" si="0"/>
      </c>
      <c r="L23" s="15">
        <f t="shared" si="1"/>
      </c>
      <c r="M23" s="20">
        <f t="shared" si="2"/>
      </c>
      <c r="N23" s="13"/>
      <c r="O23" s="13">
        <f>SUM(O22)</f>
      </c>
      <c r="P23" s="13"/>
      <c r="Q23" s="13">
        <f>SUM(Q22)</f>
      </c>
      <c r="R23" s="13">
        <f>SUM(R22)</f>
      </c>
      <c r="S23" s="13">
        <f>SUM(S22)</f>
      </c>
    </row>
    <row r="24">
      <c r="A24" s="17">
        <v>46307</v>
      </c>
      <c r="B24" s="6" t="s">
        <v>24</v>
      </c>
      <c r="C24" s="6" t="s">
        <v>20</v>
      </c>
      <c r="D24" s="6">
        <v>4</v>
      </c>
      <c r="E24" s="6">
        <v>9</v>
      </c>
      <c r="F24" s="6">
        <v>3</v>
      </c>
      <c r="G24" s="6">
        <v>6</v>
      </c>
      <c r="H24" s="6">
        <v>1</v>
      </c>
      <c r="I24" s="7">
        <v>3592.7999999999997</v>
      </c>
      <c r="J24" s="8">
        <v>6330.0599999999995</v>
      </c>
      <c r="K24" s="9">
        <f t="shared" si="0"/>
      </c>
      <c r="L24" s="18">
        <f t="shared" si="1"/>
      </c>
      <c r="M24" s="9">
        <f t="shared" si="2"/>
      </c>
      <c r="N24" s="6" t="s">
        <v>27</v>
      </c>
      <c r="O24" s="6">
        <v>4</v>
      </c>
      <c r="P24" s="11"/>
      <c r="Q24" s="11"/>
      <c r="R24" s="11" t="s">
        <v>23</v>
      </c>
      <c r="S24" s="6">
        <v>4</v>
      </c>
    </row>
    <row r="25">
      <c r="A25" s="12">
        <v>46307</v>
      </c>
      <c r="B25" s="13"/>
      <c r="C25" s="13"/>
      <c r="D25" s="13">
        <f>SUM(D24)</f>
      </c>
      <c r="E25" s="13">
        <f>SUM(E24)</f>
      </c>
      <c r="F25" s="13">
        <f>SUM(F24)</f>
      </c>
      <c r="G25" s="13">
        <f>SUM(G24)</f>
      </c>
      <c r="H25" s="13">
        <f>SUM(H24)</f>
      </c>
      <c r="I25" s="14">
        <f>SUM(I24)</f>
      </c>
      <c r="J25" s="13">
        <f>SUM(J24)</f>
      </c>
      <c r="K25" s="19">
        <f t="shared" si="0"/>
      </c>
      <c r="L25" s="15">
        <f t="shared" si="1"/>
      </c>
      <c r="M25" s="20">
        <f t="shared" si="2"/>
      </c>
      <c r="N25" s="13"/>
      <c r="O25" s="13">
        <f>SUM(O24)</f>
      </c>
      <c r="P25" s="13"/>
      <c r="Q25" s="13">
        <f>SUM(Q24)</f>
      </c>
      <c r="R25" s="13">
        <f>SUM(R24)</f>
      </c>
      <c r="S25" s="13">
        <f>SUM(S24)</f>
      </c>
    </row>
    <row r="26">
      <c r="A26" s="17">
        <v>46308</v>
      </c>
      <c r="B26" s="6" t="s">
        <v>24</v>
      </c>
      <c r="C26" s="6" t="s">
        <v>20</v>
      </c>
      <c r="D26" s="6">
        <v>4</v>
      </c>
      <c r="E26" s="6">
        <v>9</v>
      </c>
      <c r="F26" s="6">
        <v>6</v>
      </c>
      <c r="G26" s="6">
        <v>6</v>
      </c>
      <c r="H26" s="6">
        <v>0</v>
      </c>
      <c r="I26" s="7">
        <v>3592.7999999999997</v>
      </c>
      <c r="J26" s="8">
        <v>4512.17</v>
      </c>
      <c r="K26" s="9">
        <f t="shared" si="0"/>
      </c>
      <c r="L26" s="18">
        <f t="shared" si="1"/>
      </c>
      <c r="M26" s="9">
        <f t="shared" si="2"/>
      </c>
      <c r="N26" s="6" t="s">
        <v>27</v>
      </c>
      <c r="O26" s="6">
        <v>4</v>
      </c>
      <c r="P26" s="11"/>
      <c r="Q26" s="11"/>
      <c r="R26" s="11" t="s">
        <v>23</v>
      </c>
      <c r="S26" s="6">
        <v>4</v>
      </c>
    </row>
    <row r="27">
      <c r="A27" s="12">
        <v>46308</v>
      </c>
      <c r="B27" s="13"/>
      <c r="C27" s="13"/>
      <c r="D27" s="13">
        <f>SUM(D26)</f>
      </c>
      <c r="E27" s="13">
        <f>SUM(E26)</f>
      </c>
      <c r="F27" s="13">
        <f>SUM(F26)</f>
      </c>
      <c r="G27" s="13">
        <f>SUM(G26)</f>
      </c>
      <c r="H27" s="13">
        <f>SUM(H26)</f>
      </c>
      <c r="I27" s="14">
        <f>SUM(I26)</f>
      </c>
      <c r="J27" s="13">
        <f>SUM(J26)</f>
      </c>
      <c r="K27" s="19">
        <f t="shared" si="0"/>
      </c>
      <c r="L27" s="15">
        <f t="shared" si="1"/>
      </c>
      <c r="M27" s="20">
        <f t="shared" si="2"/>
      </c>
      <c r="N27" s="13"/>
      <c r="O27" s="13">
        <f>SUM(O26)</f>
      </c>
      <c r="P27" s="13"/>
      <c r="Q27" s="13">
        <f>SUM(Q26)</f>
      </c>
      <c r="R27" s="13">
        <f>SUM(R26)</f>
      </c>
      <c r="S27" s="13">
        <f>SUM(S26)</f>
      </c>
    </row>
    <row r="28">
      <c r="A28" s="17">
        <v>46309</v>
      </c>
      <c r="B28" s="6" t="s">
        <v>24</v>
      </c>
      <c r="C28" s="6" t="s">
        <v>20</v>
      </c>
      <c r="D28" s="6">
        <v>4</v>
      </c>
      <c r="E28" s="6">
        <v>9</v>
      </c>
      <c r="F28" s="6">
        <v>8</v>
      </c>
      <c r="G28" s="6">
        <v>8</v>
      </c>
      <c r="H28" s="6">
        <v>0</v>
      </c>
      <c r="I28" s="7">
        <v>4790.4</v>
      </c>
      <c r="J28" s="8">
        <v>5740.96</v>
      </c>
      <c r="K28" s="9">
        <f t="shared" si="0"/>
      </c>
      <c r="L28" s="18">
        <f t="shared" si="1"/>
      </c>
      <c r="M28" s="9">
        <f t="shared" si="2"/>
      </c>
      <c r="N28" s="6" t="s">
        <v>27</v>
      </c>
      <c r="O28" s="6">
        <v>4</v>
      </c>
      <c r="P28" s="11"/>
      <c r="Q28" s="11"/>
      <c r="R28" s="11" t="s">
        <v>23</v>
      </c>
      <c r="S28" s="6">
        <v>4</v>
      </c>
    </row>
    <row r="29">
      <c r="A29" s="12">
        <v>46309</v>
      </c>
      <c r="B29" s="13"/>
      <c r="C29" s="13"/>
      <c r="D29" s="13">
        <f>SUM(D28)</f>
      </c>
      <c r="E29" s="13">
        <f>SUM(E28)</f>
      </c>
      <c r="F29" s="13">
        <f>SUM(F28)</f>
      </c>
      <c r="G29" s="13">
        <f>SUM(G28)</f>
      </c>
      <c r="H29" s="13">
        <f>SUM(H28)</f>
      </c>
      <c r="I29" s="14">
        <f>SUM(I28)</f>
      </c>
      <c r="J29" s="13">
        <f>SUM(J28)</f>
      </c>
      <c r="K29" s="19">
        <f t="shared" si="0"/>
      </c>
      <c r="L29" s="15">
        <f t="shared" si="1"/>
      </c>
      <c r="M29" s="20">
        <f t="shared" si="2"/>
      </c>
      <c r="N29" s="13"/>
      <c r="O29" s="13">
        <f>SUM(O28)</f>
      </c>
      <c r="P29" s="13"/>
      <c r="Q29" s="13">
        <f>SUM(Q28)</f>
      </c>
      <c r="R29" s="13">
        <f>SUM(R28)</f>
      </c>
      <c r="S29" s="13">
        <f>SUM(S28)</f>
      </c>
    </row>
    <row r="30">
      <c r="A30" s="17">
        <v>46310</v>
      </c>
      <c r="B30" s="6" t="s">
        <v>24</v>
      </c>
      <c r="C30" s="6" t="s">
        <v>20</v>
      </c>
      <c r="D30" s="6">
        <v>4</v>
      </c>
      <c r="E30" s="6">
        <v>7</v>
      </c>
      <c r="F30" s="6">
        <v>5</v>
      </c>
      <c r="G30" s="6">
        <v>6</v>
      </c>
      <c r="H30" s="6">
        <v>0</v>
      </c>
      <c r="I30" s="7">
        <v>3592.7999999999997</v>
      </c>
      <c r="J30" s="8">
        <v>7730.6</v>
      </c>
      <c r="K30" s="9">
        <f t="shared" si="0"/>
      </c>
      <c r="L30" s="18">
        <f t="shared" si="1"/>
      </c>
      <c r="M30" s="9">
        <f t="shared" si="2"/>
      </c>
      <c r="N30" s="6" t="s">
        <v>27</v>
      </c>
      <c r="O30" s="6">
        <v>4</v>
      </c>
      <c r="P30" s="11"/>
      <c r="Q30" s="11"/>
      <c r="R30" s="11" t="s">
        <v>23</v>
      </c>
      <c r="S30" s="6">
        <v>4</v>
      </c>
    </row>
    <row r="31">
      <c r="A31" s="12">
        <v>46310</v>
      </c>
      <c r="B31" s="13"/>
      <c r="C31" s="13"/>
      <c r="D31" s="13">
        <f>SUM(D30)</f>
      </c>
      <c r="E31" s="13">
        <f>SUM(E30)</f>
      </c>
      <c r="F31" s="13">
        <f>SUM(F30)</f>
      </c>
      <c r="G31" s="13">
        <f>SUM(G30)</f>
      </c>
      <c r="H31" s="13">
        <f>SUM(H30)</f>
      </c>
      <c r="I31" s="14">
        <f>SUM(I30)</f>
      </c>
      <c r="J31" s="13">
        <f>SUM(J30)</f>
      </c>
      <c r="K31" s="19">
        <f t="shared" si="0"/>
      </c>
      <c r="L31" s="15">
        <f t="shared" si="1"/>
      </c>
      <c r="M31" s="20">
        <f t="shared" si="2"/>
      </c>
      <c r="N31" s="13"/>
      <c r="O31" s="13">
        <f>SUM(O30)</f>
      </c>
      <c r="P31" s="13"/>
      <c r="Q31" s="13">
        <f>SUM(Q30)</f>
      </c>
      <c r="R31" s="13">
        <f>SUM(R30)</f>
      </c>
      <c r="S31" s="13">
        <f>SUM(S30)</f>
      </c>
    </row>
    <row r="32">
      <c r="A32" s="17">
        <v>46311</v>
      </c>
      <c r="B32" s="6" t="s">
        <v>24</v>
      </c>
      <c r="C32" s="6" t="s">
        <v>20</v>
      </c>
      <c r="D32" s="6">
        <v>4</v>
      </c>
      <c r="E32" s="6">
        <v>3</v>
      </c>
      <c r="F32" s="6">
        <v>1</v>
      </c>
      <c r="G32" s="6">
        <v>1</v>
      </c>
      <c r="H32" s="6">
        <v>0</v>
      </c>
      <c r="I32" s="7">
        <v>598.8</v>
      </c>
      <c r="J32" s="8">
        <v>5446.29</v>
      </c>
      <c r="K32" s="9">
        <f t="shared" si="0"/>
      </c>
      <c r="L32" s="18">
        <f t="shared" si="1"/>
      </c>
      <c r="M32" s="9">
        <f t="shared" si="2"/>
      </c>
      <c r="N32" s="6" t="s">
        <v>27</v>
      </c>
      <c r="O32" s="6">
        <v>4</v>
      </c>
      <c r="P32" s="11"/>
      <c r="Q32" s="11"/>
      <c r="R32" s="11" t="s">
        <v>23</v>
      </c>
      <c r="S32" s="6">
        <v>4</v>
      </c>
    </row>
    <row r="33">
      <c r="A33" s="12">
        <v>46311</v>
      </c>
      <c r="B33" s="13"/>
      <c r="C33" s="13"/>
      <c r="D33" s="13">
        <f>SUM(D32)</f>
      </c>
      <c r="E33" s="13">
        <f>SUM(E32)</f>
      </c>
      <c r="F33" s="13">
        <f>SUM(F32)</f>
      </c>
      <c r="G33" s="13">
        <f>SUM(G32)</f>
      </c>
      <c r="H33" s="13">
        <f>SUM(H32)</f>
      </c>
      <c r="I33" s="14">
        <f>SUM(I32)</f>
      </c>
      <c r="J33" s="13">
        <f>SUM(J32)</f>
      </c>
      <c r="K33" s="19">
        <f t="shared" si="0"/>
      </c>
      <c r="L33" s="15">
        <f t="shared" si="1"/>
      </c>
      <c r="M33" s="20">
        <f t="shared" si="2"/>
      </c>
      <c r="N33" s="13"/>
      <c r="O33" s="13">
        <f>SUM(O32)</f>
      </c>
      <c r="P33" s="13"/>
      <c r="Q33" s="13">
        <f>SUM(Q32)</f>
      </c>
      <c r="R33" s="13">
        <f>SUM(R32)</f>
      </c>
      <c r="S33" s="13">
        <f>SUM(S32)</f>
      </c>
    </row>
    <row r="34">
      <c r="A34" s="17">
        <v>46312</v>
      </c>
      <c r="B34" s="6" t="s">
        <v>28</v>
      </c>
      <c r="C34" s="6" t="s">
        <v>20</v>
      </c>
      <c r="D34" s="6">
        <v>4</v>
      </c>
      <c r="E34" s="6">
        <v>6</v>
      </c>
      <c r="F34" s="6">
        <v>3</v>
      </c>
      <c r="G34" s="6">
        <v>4</v>
      </c>
      <c r="H34" s="6">
        <v>1</v>
      </c>
      <c r="I34" s="7">
        <v>2395.2</v>
      </c>
      <c r="J34" s="8">
        <v>4078.9700000000003</v>
      </c>
      <c r="K34" s="9">
        <f t="shared" si="0"/>
      </c>
      <c r="L34" s="18">
        <f t="shared" si="1"/>
      </c>
      <c r="M34" s="9">
        <f t="shared" si="2"/>
      </c>
      <c r="N34" s="6" t="s">
        <v>27</v>
      </c>
      <c r="O34" s="6">
        <v>4</v>
      </c>
      <c r="P34" s="11"/>
      <c r="Q34" s="11"/>
      <c r="R34" s="11" t="s">
        <v>23</v>
      </c>
      <c r="S34" s="6">
        <v>4</v>
      </c>
    </row>
    <row r="35">
      <c r="A35" s="12">
        <v>46312</v>
      </c>
      <c r="B35" s="13"/>
      <c r="C35" s="13"/>
      <c r="D35" s="13">
        <f>SUM(D34)</f>
      </c>
      <c r="E35" s="13">
        <f>SUM(E34)</f>
      </c>
      <c r="F35" s="13">
        <f>SUM(F34)</f>
      </c>
      <c r="G35" s="13">
        <f>SUM(G34)</f>
      </c>
      <c r="H35" s="13">
        <f>SUM(H34)</f>
      </c>
      <c r="I35" s="14">
        <f>SUM(I34)</f>
      </c>
      <c r="J35" s="13">
        <f>SUM(J34)</f>
      </c>
      <c r="K35" s="19">
        <f t="shared" si="0"/>
      </c>
      <c r="L35" s="15">
        <f t="shared" si="1"/>
      </c>
      <c r="M35" s="20">
        <f t="shared" si="2"/>
      </c>
      <c r="N35" s="13"/>
      <c r="O35" s="13">
        <f>SUM(O34)</f>
      </c>
      <c r="P35" s="13"/>
      <c r="Q35" s="13">
        <f>SUM(Q34)</f>
      </c>
      <c r="R35" s="13">
        <f>SUM(R34)</f>
      </c>
      <c r="S35" s="13">
        <f>SUM(S34)</f>
      </c>
    </row>
    <row r="36">
      <c r="A36" s="17">
        <v>46313</v>
      </c>
      <c r="B36" s="6" t="s">
        <v>24</v>
      </c>
      <c r="C36" s="6" t="s">
        <v>29</v>
      </c>
      <c r="D36" s="6">
        <v>4</v>
      </c>
      <c r="E36" s="6">
        <v>10</v>
      </c>
      <c r="F36" s="6">
        <v>3</v>
      </c>
      <c r="G36" s="6">
        <v>8</v>
      </c>
      <c r="H36" s="6">
        <v>0</v>
      </c>
      <c r="I36" s="7">
        <v>4191.6</v>
      </c>
      <c r="J36" s="8">
        <v>4457.9</v>
      </c>
      <c r="K36" s="9">
        <f t="shared" si="0"/>
      </c>
      <c r="L36" s="18">
        <f t="shared" si="1"/>
      </c>
      <c r="M36" s="9">
        <f t="shared" si="2"/>
      </c>
      <c r="N36" s="6" t="s">
        <v>30</v>
      </c>
      <c r="O36" s="6">
        <v>4</v>
      </c>
      <c r="P36" s="11"/>
      <c r="Q36" s="11"/>
      <c r="R36" s="11" t="s">
        <v>23</v>
      </c>
      <c r="S36" s="6">
        <v>4</v>
      </c>
    </row>
    <row r="37">
      <c r="A37" s="12">
        <v>46313</v>
      </c>
      <c r="B37" s="13"/>
      <c r="C37" s="13"/>
      <c r="D37" s="13">
        <f>SUM(D36)</f>
      </c>
      <c r="E37" s="13">
        <f>SUM(E36)</f>
      </c>
      <c r="F37" s="13">
        <f>SUM(F36)</f>
      </c>
      <c r="G37" s="13">
        <f>SUM(G36)</f>
      </c>
      <c r="H37" s="13">
        <f>SUM(H36)</f>
      </c>
      <c r="I37" s="14">
        <f>SUM(I36)</f>
      </c>
      <c r="J37" s="13">
        <f>SUM(J36)</f>
      </c>
      <c r="K37" s="19">
        <f t="shared" si="0"/>
      </c>
      <c r="L37" s="15">
        <f t="shared" si="1"/>
      </c>
      <c r="M37" s="20">
        <f t="shared" si="2"/>
      </c>
      <c r="N37" s="13"/>
      <c r="O37" s="13">
        <f>SUM(O36)</f>
      </c>
      <c r="P37" s="13"/>
      <c r="Q37" s="13">
        <f>SUM(Q36)</f>
      </c>
      <c r="R37" s="13">
        <f>SUM(R36)</f>
      </c>
      <c r="S37" s="13">
        <f>SUM(S36)</f>
      </c>
    </row>
    <row r="38">
      <c r="A38" s="17">
        <v>46314</v>
      </c>
      <c r="B38" s="6" t="s">
        <v>24</v>
      </c>
      <c r="C38" s="6" t="s">
        <v>29</v>
      </c>
      <c r="D38" s="6">
        <v>4</v>
      </c>
      <c r="E38" s="21">
        <v>9</v>
      </c>
      <c r="F38" s="6">
        <v>7</v>
      </c>
      <c r="G38" s="21">
        <v>7</v>
      </c>
      <c r="H38" s="21">
        <v>0</v>
      </c>
      <c r="I38" s="22">
        <v>4191.6</v>
      </c>
      <c r="J38" s="8">
        <v>7510.66</v>
      </c>
      <c r="K38" s="23">
        <f t="shared" si="0"/>
      </c>
      <c r="L38" s="9">
        <f t="shared" si="1"/>
      </c>
      <c r="M38" s="24">
        <f t="shared" si="2"/>
      </c>
      <c r="N38" s="6" t="s">
        <v>30</v>
      </c>
      <c r="O38" s="6">
        <v>4</v>
      </c>
      <c r="P38" s="11"/>
      <c r="Q38" s="11"/>
      <c r="R38" s="11" t="s">
        <v>23</v>
      </c>
      <c r="S38" s="6">
        <v>4</v>
      </c>
    </row>
    <row r="39">
      <c r="A39" s="12">
        <v>46313</v>
      </c>
      <c r="B39" s="13"/>
      <c r="C39" s="13"/>
      <c r="D39" s="13">
        <f>SUM(D38)</f>
      </c>
      <c r="E39" s="13">
        <f>SUM(E38)</f>
      </c>
      <c r="F39" s="13">
        <f>SUM(F38)</f>
      </c>
      <c r="G39" s="13">
        <f>SUM(G38)</f>
      </c>
      <c r="H39" s="13">
        <f>SUM(H38)</f>
      </c>
      <c r="I39" s="14">
        <f>SUM(I38)</f>
      </c>
      <c r="J39" s="13">
        <f>SUM(J38)</f>
      </c>
      <c r="K39" s="19">
        <f t="shared" si="0"/>
      </c>
      <c r="L39" s="15">
        <f t="shared" si="1"/>
      </c>
      <c r="M39" s="20">
        <f t="shared" si="2"/>
      </c>
      <c r="N39" s="13"/>
      <c r="O39" s="13">
        <f>SUM(O38)</f>
      </c>
      <c r="P39" s="13"/>
      <c r="Q39" s="13">
        <f>SUM(Q38)</f>
      </c>
      <c r="R39" s="13">
        <f>SUM(R38)</f>
      </c>
      <c r="S39" s="13">
        <f>SUM(S38)</f>
      </c>
    </row>
  </sheetData>
  <autoFilter ref="A1:S200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5" min="5" style="0" width="11.211267605633802"/>
    <col collapsed="false" customWidth="true" hidden="false" max="9" min="9" style="0" width="12.64480633802817"/>
    <col collapsed="false" customWidth="true" hidden="false" max="13" min="13" style="0" width="11.211267605633802"/>
    <col collapsed="false" customWidth="true" hidden="false" max="18" min="18" style="0" width="11.211267605633802"/>
    <col collapsed="false" customWidth="true" hidden="false" max="21" min="21" style="0" width="11.211267605633802"/>
  </cols>
  <sheetData>
    <row r="1">
      <c r="A1" s="25" t="s">
        <v>31</v>
      </c>
      <c r="B1" s="26" t="s">
        <v>32</v>
      </c>
      <c r="C1" s="26" t="s">
        <v>33</v>
      </c>
      <c r="D1" s="25" t="s">
        <v>34</v>
      </c>
      <c r="E1" s="25" t="s">
        <v>35</v>
      </c>
      <c r="F1" s="25" t="s">
        <v>36</v>
      </c>
      <c r="G1" s="27" t="s">
        <v>37</v>
      </c>
      <c r="H1" s="25" t="s">
        <v>38</v>
      </c>
      <c r="I1" s="25" t="s">
        <v>39</v>
      </c>
      <c r="J1" s="28" t="s">
        <v>40</v>
      </c>
      <c r="K1" s="29" t="s">
        <v>41</v>
      </c>
      <c r="L1" s="29" t="s">
        <v>42</v>
      </c>
      <c r="M1" s="29" t="s">
        <v>43</v>
      </c>
      <c r="N1" s="29" t="s">
        <v>44</v>
      </c>
      <c r="O1" s="25" t="s">
        <v>45</v>
      </c>
      <c r="P1" s="25" t="s">
        <v>46</v>
      </c>
      <c r="Q1" s="25" t="s">
        <v>45</v>
      </c>
      <c r="R1" s="25" t="s">
        <v>47</v>
      </c>
      <c r="S1" s="25" t="s">
        <v>48</v>
      </c>
      <c r="T1" s="30"/>
      <c r="U1" s="30"/>
      <c r="V1" s="31"/>
      <c r="W1" s="31"/>
    </row>
    <row hidden="true" r="2">
      <c r="A2" s="32" t="s">
        <v>49</v>
      </c>
      <c r="B2" s="32" t="s">
        <v>50</v>
      </c>
      <c r="C2" s="32" t="s">
        <v>51</v>
      </c>
      <c r="D2" s="32">
        <v>5</v>
      </c>
      <c r="E2" s="32">
        <v>14</v>
      </c>
      <c r="F2" s="32">
        <v>3</v>
      </c>
      <c r="G2" s="32">
        <v>5</v>
      </c>
      <c r="H2" s="32">
        <v>0</v>
      </c>
      <c r="I2" s="33">
        <v>2994</v>
      </c>
      <c r="J2" s="34">
        <v>1728.11</v>
      </c>
      <c r="K2" s="35">
        <f t="shared" ref="K2:K31" si="0">I2/J2</f>
      </c>
      <c r="L2" s="36">
        <f t="shared" ref="L2:L31" si="2">I2/G2</f>
      </c>
      <c r="M2" s="35">
        <f t="shared" ref="M2:M31" si="4">J2/(G2)</f>
      </c>
      <c r="N2" s="32" t="s">
        <v>52</v>
      </c>
      <c r="O2" s="32">
        <v>5</v>
      </c>
      <c r="P2" s="37"/>
      <c r="Q2" s="37"/>
      <c r="R2" s="37" t="s">
        <v>53</v>
      </c>
      <c r="S2" s="32">
        <v>5</v>
      </c>
      <c r="T2" s="38"/>
      <c r="U2" s="38"/>
    </row>
    <row hidden="true" r="3">
      <c r="A3" s="39" t="s">
        <v>49</v>
      </c>
      <c r="B3" s="40"/>
      <c r="C3" s="40"/>
      <c r="D3" s="40">
        <f>SUM(D2)</f>
      </c>
      <c r="E3" s="40">
        <f>SUM(E2)</f>
      </c>
      <c r="F3" s="40">
        <f>SUM(F2)</f>
      </c>
      <c r="G3" s="40">
        <f>SUM(G2)</f>
      </c>
      <c r="H3" s="40">
        <f>SUM(H2)</f>
      </c>
      <c r="I3" s="41">
        <f>SUM(I2)</f>
      </c>
      <c r="J3" s="40">
        <f>SUM(J2)</f>
      </c>
      <c r="K3" s="42">
        <f t="shared" si="0"/>
      </c>
      <c r="L3" s="43">
        <f t="shared" si="2"/>
      </c>
      <c r="M3" s="42">
        <f t="shared" si="4"/>
      </c>
      <c r="N3" s="40"/>
      <c r="O3" s="40">
        <f>SUM(O2)</f>
      </c>
      <c r="P3" s="40"/>
      <c r="Q3" s="40">
        <f>SUM(Q2)</f>
      </c>
      <c r="R3" s="40">
        <f>SUM(R2)</f>
      </c>
      <c r="S3" s="40">
        <f>SUM(S2)</f>
      </c>
      <c r="T3" s="38"/>
      <c r="U3" s="44"/>
    </row>
    <row hidden="true" r="4">
      <c r="A4" s="32" t="s">
        <v>54</v>
      </c>
      <c r="B4" s="32" t="s">
        <v>50</v>
      </c>
      <c r="C4" s="32" t="s">
        <v>51</v>
      </c>
      <c r="D4" s="32">
        <v>5</v>
      </c>
      <c r="E4" s="32">
        <v>11</v>
      </c>
      <c r="F4" s="32">
        <v>4</v>
      </c>
      <c r="G4" s="32">
        <v>8</v>
      </c>
      <c r="H4" s="32">
        <v>1</v>
      </c>
      <c r="I4" s="33">
        <v>4790.4</v>
      </c>
      <c r="J4" s="34">
        <v>4808.99</v>
      </c>
      <c r="K4" s="35">
        <f t="shared" si="0"/>
      </c>
      <c r="L4" s="36">
        <f t="shared" si="2"/>
      </c>
      <c r="M4" s="35">
        <f t="shared" si="4"/>
      </c>
      <c r="N4" s="32" t="s">
        <v>52</v>
      </c>
      <c r="O4" s="32">
        <v>5</v>
      </c>
      <c r="P4" s="37"/>
      <c r="Q4" s="37"/>
      <c r="R4" s="37" t="s">
        <v>53</v>
      </c>
      <c r="S4" s="32">
        <v>5</v>
      </c>
      <c r="T4" s="38"/>
      <c r="U4" s="38"/>
    </row>
    <row hidden="true" r="5">
      <c r="A5" s="39" t="s">
        <v>54</v>
      </c>
      <c r="B5" s="40"/>
      <c r="C5" s="40"/>
      <c r="D5" s="40">
        <f>SUM(D4)</f>
      </c>
      <c r="E5" s="40">
        <f>SUM(E4)</f>
      </c>
      <c r="F5" s="40">
        <f>SUM(F4)</f>
      </c>
      <c r="G5" s="40">
        <f>SUM(G4)</f>
      </c>
      <c r="H5" s="40">
        <f>SUM(H4)</f>
      </c>
      <c r="I5" s="41">
        <f>SUM(I4)</f>
      </c>
      <c r="J5" s="40">
        <f>SUM(J4)</f>
      </c>
      <c r="K5" s="42">
        <f t="shared" si="0"/>
      </c>
      <c r="L5" s="43">
        <f t="shared" si="2"/>
      </c>
      <c r="M5" s="42">
        <f t="shared" si="4"/>
      </c>
      <c r="N5" s="40"/>
      <c r="O5" s="40">
        <f>SUM(O4)</f>
      </c>
      <c r="P5" s="40"/>
      <c r="Q5" s="40">
        <f>SUM(Q4)</f>
      </c>
      <c r="R5" s="40">
        <f>SUM(R4)</f>
      </c>
      <c r="S5" s="40">
        <f>SUM(S4)</f>
      </c>
      <c r="T5" s="38"/>
      <c r="U5" s="44"/>
    </row>
    <row hidden="true" r="6">
      <c r="A6" s="32" t="s">
        <v>55</v>
      </c>
      <c r="B6" s="32" t="s">
        <v>50</v>
      </c>
      <c r="C6" s="32" t="s">
        <v>51</v>
      </c>
      <c r="D6" s="32">
        <v>5</v>
      </c>
      <c r="E6" s="32">
        <v>17</v>
      </c>
      <c r="F6" s="32">
        <v>4</v>
      </c>
      <c r="G6" s="32">
        <v>8</v>
      </c>
      <c r="H6" s="32">
        <v>1</v>
      </c>
      <c r="I6" s="33">
        <v>4790.4</v>
      </c>
      <c r="J6" s="34">
        <v>3575.85</v>
      </c>
      <c r="K6" s="35">
        <f t="shared" si="0"/>
      </c>
      <c r="L6" s="36">
        <f t="shared" si="2"/>
      </c>
      <c r="M6" s="35">
        <f t="shared" si="4"/>
      </c>
      <c r="N6" s="32" t="s">
        <v>52</v>
      </c>
      <c r="O6" s="32">
        <v>5</v>
      </c>
      <c r="P6" s="37"/>
      <c r="Q6" s="37"/>
      <c r="R6" s="37" t="s">
        <v>53</v>
      </c>
      <c r="S6" s="32">
        <v>5</v>
      </c>
      <c r="T6" s="38"/>
      <c r="U6" s="38"/>
    </row>
    <row hidden="true" r="7">
      <c r="A7" s="39" t="s">
        <v>55</v>
      </c>
      <c r="B7" s="40"/>
      <c r="C7" s="40"/>
      <c r="D7" s="40">
        <f>SUM(D6)</f>
      </c>
      <c r="E7" s="40">
        <f>SUM(E6)</f>
      </c>
      <c r="F7" s="40">
        <f>SUM(F6)</f>
      </c>
      <c r="G7" s="40">
        <f>SUM(G6)</f>
      </c>
      <c r="H7" s="40">
        <f>SUM(H6)</f>
      </c>
      <c r="I7" s="41">
        <f>SUM(I6)</f>
      </c>
      <c r="J7" s="40">
        <f>SUM(J6)</f>
      </c>
      <c r="K7" s="42">
        <f t="shared" si="0"/>
      </c>
      <c r="L7" s="43">
        <f t="shared" si="2"/>
      </c>
      <c r="M7" s="42">
        <f t="shared" si="4"/>
      </c>
      <c r="N7" s="40"/>
      <c r="O7" s="40">
        <f>SUM(O6)</f>
      </c>
      <c r="P7" s="40"/>
      <c r="Q7" s="40">
        <f>SUM(Q6)</f>
      </c>
      <c r="R7" s="40">
        <f>SUM(R6)</f>
      </c>
      <c r="S7" s="40">
        <f>SUM(S6)</f>
      </c>
      <c r="T7" s="38"/>
      <c r="U7" s="44"/>
    </row>
    <row hidden="true" r="8">
      <c r="A8" s="32" t="s">
        <v>56</v>
      </c>
      <c r="B8" s="32" t="s">
        <v>50</v>
      </c>
      <c r="C8" s="32" t="s">
        <v>51</v>
      </c>
      <c r="D8" s="32">
        <v>5</v>
      </c>
      <c r="E8" s="32">
        <v>11</v>
      </c>
      <c r="F8" s="32">
        <v>4</v>
      </c>
      <c r="G8" s="32">
        <v>4</v>
      </c>
      <c r="H8" s="32">
        <v>0</v>
      </c>
      <c r="I8" s="33">
        <v>2395.2</v>
      </c>
      <c r="J8" s="34">
        <v>3363.63</v>
      </c>
      <c r="K8" s="35">
        <f t="shared" si="0"/>
      </c>
      <c r="L8" s="36">
        <f t="shared" si="2"/>
      </c>
      <c r="M8" s="35">
        <f t="shared" si="4"/>
      </c>
      <c r="N8" s="32" t="s">
        <v>52</v>
      </c>
      <c r="O8" s="32">
        <v>5</v>
      </c>
      <c r="P8" s="37"/>
      <c r="Q8" s="37"/>
      <c r="R8" s="37" t="s">
        <v>53</v>
      </c>
      <c r="S8" s="32">
        <v>5</v>
      </c>
      <c r="T8" s="38"/>
      <c r="U8" s="38"/>
    </row>
    <row hidden="true" r="9">
      <c r="A9" s="39" t="s">
        <v>56</v>
      </c>
      <c r="B9" s="40"/>
      <c r="C9" s="40"/>
      <c r="D9" s="40">
        <f>SUM(D8)</f>
      </c>
      <c r="E9" s="40">
        <f>SUM(E8)</f>
      </c>
      <c r="F9" s="40">
        <f>SUM(F8)</f>
      </c>
      <c r="G9" s="40">
        <f>SUM(G8)</f>
      </c>
      <c r="H9" s="40">
        <f>SUM(H8)</f>
      </c>
      <c r="I9" s="41">
        <f>SUM(I8)</f>
      </c>
      <c r="J9" s="40">
        <f>SUM(J8)</f>
      </c>
      <c r="K9" s="42">
        <f t="shared" si="0"/>
      </c>
      <c r="L9" s="43">
        <f t="shared" si="2"/>
      </c>
      <c r="M9" s="42">
        <f t="shared" si="4"/>
      </c>
      <c r="N9" s="40"/>
      <c r="O9" s="40">
        <f>SUM(O8)</f>
      </c>
      <c r="P9" s="40"/>
      <c r="Q9" s="40">
        <f>SUM(Q8)</f>
      </c>
      <c r="R9" s="40">
        <f>SUM(R8)</f>
      </c>
      <c r="S9" s="40">
        <f>SUM(S8)</f>
      </c>
      <c r="T9" s="38"/>
      <c r="U9" s="44"/>
    </row>
    <row hidden="true" r="10">
      <c r="A10" s="32" t="s">
        <v>57</v>
      </c>
      <c r="B10" s="32" t="s">
        <v>50</v>
      </c>
      <c r="C10" s="32" t="s">
        <v>58</v>
      </c>
      <c r="D10" s="32">
        <v>4</v>
      </c>
      <c r="E10" s="32">
        <v>10</v>
      </c>
      <c r="F10" s="32">
        <v>6</v>
      </c>
      <c r="G10" s="32">
        <v>8</v>
      </c>
      <c r="H10" s="32">
        <v>1</v>
      </c>
      <c r="I10" s="33">
        <v>4790.4</v>
      </c>
      <c r="J10" s="34">
        <v>5174.37</v>
      </c>
      <c r="K10" s="35">
        <f t="shared" si="0"/>
      </c>
      <c r="L10" s="36">
        <f t="shared" si="2"/>
      </c>
      <c r="M10" s="35">
        <f t="shared" si="4"/>
      </c>
      <c r="N10" s="32" t="s">
        <v>59</v>
      </c>
      <c r="O10" s="32">
        <v>4</v>
      </c>
      <c r="P10" s="37"/>
      <c r="Q10" s="37"/>
      <c r="R10" s="37" t="s">
        <v>53</v>
      </c>
      <c r="S10" s="32">
        <v>4</v>
      </c>
      <c r="T10" s="38"/>
      <c r="U10" s="38"/>
    </row>
    <row hidden="true" r="11">
      <c r="A11" s="39" t="s">
        <v>57</v>
      </c>
      <c r="B11" s="40"/>
      <c r="C11" s="40"/>
      <c r="D11" s="40">
        <f>SUM(D10)</f>
      </c>
      <c r="E11" s="40">
        <f>SUM(E10)</f>
      </c>
      <c r="F11" s="40">
        <f>SUM(F10)</f>
      </c>
      <c r="G11" s="40">
        <f>SUM(G10)</f>
      </c>
      <c r="H11" s="40">
        <f>SUM(H10)</f>
      </c>
      <c r="I11" s="41">
        <f>SUM(I10)</f>
      </c>
      <c r="J11" s="40">
        <f>SUM(J10)</f>
      </c>
      <c r="K11" s="42">
        <f t="shared" si="0"/>
      </c>
      <c r="L11" s="43">
        <f t="shared" si="2"/>
      </c>
      <c r="M11" s="42">
        <f t="shared" si="4"/>
      </c>
      <c r="N11" s="40"/>
      <c r="O11" s="40">
        <f>SUM(O10)</f>
      </c>
      <c r="P11" s="40"/>
      <c r="Q11" s="40">
        <f>SUM(Q10)</f>
      </c>
      <c r="R11" s="40">
        <f>SUM(R10)</f>
      </c>
      <c r="S11" s="40">
        <f>SUM(S10)</f>
      </c>
      <c r="T11" s="38"/>
      <c r="U11" s="44"/>
    </row>
    <row hidden="true" r="12">
      <c r="A12" s="32" t="s">
        <v>60</v>
      </c>
      <c r="B12" s="32" t="s">
        <v>50</v>
      </c>
      <c r="C12" s="32" t="s">
        <v>51</v>
      </c>
      <c r="D12" s="32">
        <v>5</v>
      </c>
      <c r="E12" s="32">
        <v>13</v>
      </c>
      <c r="F12" s="32">
        <v>4</v>
      </c>
      <c r="G12" s="32">
        <v>6</v>
      </c>
      <c r="H12" s="32">
        <v>2</v>
      </c>
      <c r="I12" s="33">
        <v>3592.8</v>
      </c>
      <c r="J12" s="34">
        <v>4558.52</v>
      </c>
      <c r="K12" s="35">
        <f t="shared" si="0"/>
      </c>
      <c r="L12" s="36">
        <f t="shared" si="2"/>
      </c>
      <c r="M12" s="35">
        <f t="shared" si="4"/>
      </c>
      <c r="N12" s="32" t="s">
        <v>59</v>
      </c>
      <c r="O12" s="32">
        <v>5</v>
      </c>
      <c r="P12" s="37"/>
      <c r="Q12" s="37"/>
      <c r="R12" s="37" t="s">
        <v>53</v>
      </c>
      <c r="S12" s="32">
        <v>5</v>
      </c>
      <c r="T12" s="38"/>
      <c r="U12" s="38"/>
    </row>
    <row hidden="true" r="13">
      <c r="A13" s="39" t="s">
        <v>60</v>
      </c>
      <c r="B13" s="40"/>
      <c r="C13" s="40"/>
      <c r="D13" s="40">
        <f>SUM(D12)</f>
      </c>
      <c r="E13" s="40">
        <f>SUM(E12)</f>
      </c>
      <c r="F13" s="40">
        <f>SUM(F12)</f>
      </c>
      <c r="G13" s="40">
        <f>SUM(G12)</f>
      </c>
      <c r="H13" s="40">
        <f>SUM(H12)</f>
      </c>
      <c r="I13" s="41">
        <f>SUM(I12)</f>
      </c>
      <c r="J13" s="40">
        <f>SUM(J12)</f>
      </c>
      <c r="K13" s="42">
        <f t="shared" si="0"/>
      </c>
      <c r="L13" s="43">
        <f t="shared" si="2"/>
      </c>
      <c r="M13" s="42">
        <f t="shared" si="4"/>
      </c>
      <c r="N13" s="40"/>
      <c r="O13" s="40">
        <f>SUM(O12)</f>
      </c>
      <c r="P13" s="40"/>
      <c r="Q13" s="40">
        <f>SUM(Q12)</f>
      </c>
      <c r="R13" s="40">
        <f>SUM(R12)</f>
      </c>
      <c r="S13" s="40">
        <f>SUM(S12)</f>
      </c>
      <c r="T13" s="38"/>
      <c r="U13" s="44"/>
    </row>
    <row hidden="true" r="14">
      <c r="A14" s="32" t="s">
        <v>61</v>
      </c>
      <c r="B14" s="32" t="s">
        <v>50</v>
      </c>
      <c r="C14" s="32" t="s">
        <v>58</v>
      </c>
      <c r="D14" s="32">
        <v>4</v>
      </c>
      <c r="E14" s="32">
        <v>10</v>
      </c>
      <c r="F14" s="32">
        <v>3</v>
      </c>
      <c r="G14" s="32">
        <v>3</v>
      </c>
      <c r="H14" s="32">
        <v>0</v>
      </c>
      <c r="I14" s="33">
        <v>1796.3999999999999</v>
      </c>
      <c r="J14" s="34">
        <v>2951.98</v>
      </c>
      <c r="K14" s="35">
        <f t="shared" si="0"/>
      </c>
      <c r="L14" s="36">
        <f t="shared" si="2"/>
      </c>
      <c r="M14" s="35">
        <f t="shared" si="4"/>
      </c>
      <c r="N14" s="32" t="s">
        <v>62</v>
      </c>
      <c r="O14" s="32">
        <v>4</v>
      </c>
      <c r="P14" s="37"/>
      <c r="Q14" s="37"/>
      <c r="R14" s="37" t="s">
        <v>53</v>
      </c>
      <c r="S14" s="32">
        <v>4</v>
      </c>
      <c r="T14" s="38"/>
      <c r="U14" s="38"/>
    </row>
    <row hidden="true" r="15">
      <c r="A15" s="39" t="s">
        <v>61</v>
      </c>
      <c r="B15" s="40"/>
      <c r="C15" s="40"/>
      <c r="D15" s="40">
        <f>SUM(D14)</f>
      </c>
      <c r="E15" s="40">
        <f>SUM(E14)</f>
      </c>
      <c r="F15" s="40">
        <f>SUM(F14)</f>
      </c>
      <c r="G15" s="40">
        <f>SUM(G14)</f>
      </c>
      <c r="H15" s="40">
        <f>SUM(H14)</f>
      </c>
      <c r="I15" s="41">
        <f>SUM(I14)</f>
      </c>
      <c r="J15" s="40">
        <f>SUM(J14)</f>
      </c>
      <c r="K15" s="42">
        <f t="shared" si="0"/>
      </c>
      <c r="L15" s="43">
        <f t="shared" si="2"/>
      </c>
      <c r="M15" s="42">
        <f t="shared" si="4"/>
      </c>
      <c r="N15" s="40"/>
      <c r="O15" s="40">
        <f>SUM(O14)</f>
      </c>
      <c r="P15" s="40"/>
      <c r="Q15" s="40">
        <f>SUM(Q14)</f>
      </c>
      <c r="R15" s="40">
        <f>SUM(R14)</f>
      </c>
      <c r="S15" s="40">
        <f>SUM(S14)</f>
      </c>
      <c r="T15" s="38"/>
      <c r="U15" s="44"/>
    </row>
    <row hidden="true" r="16">
      <c r="A16" s="32" t="s">
        <v>63</v>
      </c>
      <c r="B16" s="32" t="s">
        <v>50</v>
      </c>
      <c r="C16" s="32" t="s">
        <v>58</v>
      </c>
      <c r="D16" s="32">
        <v>4</v>
      </c>
      <c r="E16" s="32">
        <v>3</v>
      </c>
      <c r="F16" s="32">
        <v>1</v>
      </c>
      <c r="G16" s="32">
        <v>1</v>
      </c>
      <c r="H16" s="32">
        <v>0</v>
      </c>
      <c r="I16" s="33">
        <v>598.8</v>
      </c>
      <c r="J16" s="34">
        <v>2433.43</v>
      </c>
      <c r="K16" s="35">
        <f t="shared" si="0"/>
      </c>
      <c r="L16" s="36">
        <f t="shared" si="2"/>
      </c>
      <c r="M16" s="35">
        <f t="shared" si="4"/>
      </c>
      <c r="N16" s="32" t="s">
        <v>62</v>
      </c>
      <c r="O16" s="32">
        <v>4</v>
      </c>
      <c r="P16" s="37"/>
      <c r="Q16" s="37"/>
      <c r="R16" s="37" t="s">
        <v>53</v>
      </c>
      <c r="S16" s="32">
        <v>4</v>
      </c>
      <c r="T16" s="38"/>
      <c r="U16" s="38"/>
    </row>
    <row hidden="true" r="17">
      <c r="A17" s="39" t="s">
        <v>63</v>
      </c>
      <c r="B17" s="40"/>
      <c r="C17" s="40"/>
      <c r="D17" s="40">
        <f>SUM(D16)</f>
      </c>
      <c r="E17" s="40">
        <f>SUM(E16)</f>
      </c>
      <c r="F17" s="40">
        <f>SUM(F16)</f>
      </c>
      <c r="G17" s="40">
        <f>SUM(G16)</f>
      </c>
      <c r="H17" s="40">
        <f>SUM(H16)</f>
      </c>
      <c r="I17" s="41">
        <f>SUM(I16)</f>
      </c>
      <c r="J17" s="40">
        <f>SUM(J16)</f>
      </c>
      <c r="K17" s="42">
        <f t="shared" si="0"/>
      </c>
      <c r="L17" s="43">
        <f t="shared" si="2"/>
      </c>
      <c r="M17" s="42">
        <f t="shared" si="4"/>
      </c>
      <c r="N17" s="40"/>
      <c r="O17" s="40">
        <f>SUM(O16)</f>
      </c>
      <c r="P17" s="40"/>
      <c r="Q17" s="40">
        <f>SUM(Q16)</f>
      </c>
      <c r="R17" s="40">
        <f>SUM(R16)</f>
      </c>
      <c r="S17" s="40">
        <f>SUM(S16)</f>
      </c>
      <c r="T17" s="38"/>
      <c r="U17" s="44"/>
    </row>
    <row hidden="true" r="18">
      <c r="A18" s="32" t="s">
        <v>64</v>
      </c>
      <c r="B18" s="32" t="s">
        <v>50</v>
      </c>
      <c r="C18" s="32" t="s">
        <v>58</v>
      </c>
      <c r="D18" s="32">
        <v>4</v>
      </c>
      <c r="E18" s="32">
        <v>7</v>
      </c>
      <c r="F18" s="32">
        <v>1</v>
      </c>
      <c r="G18" s="32">
        <v>3</v>
      </c>
      <c r="H18" s="32">
        <v>0</v>
      </c>
      <c r="I18" s="33">
        <v>1796.3999999999999</v>
      </c>
      <c r="J18" s="34">
        <v>2736.54</v>
      </c>
      <c r="K18" s="35">
        <f t="shared" si="0"/>
      </c>
      <c r="L18" s="36">
        <f t="shared" si="2"/>
      </c>
      <c r="M18" s="35">
        <f t="shared" si="4"/>
      </c>
      <c r="N18" s="32" t="s">
        <v>65</v>
      </c>
      <c r="O18" s="32">
        <v>4</v>
      </c>
      <c r="P18" s="37"/>
      <c r="Q18" s="37"/>
      <c r="R18" s="37" t="s">
        <v>53</v>
      </c>
      <c r="S18" s="32">
        <v>4</v>
      </c>
      <c r="T18" s="38"/>
      <c r="U18" s="38"/>
    </row>
    <row hidden="true" r="19">
      <c r="A19" s="39" t="s">
        <v>64</v>
      </c>
      <c r="B19" s="40"/>
      <c r="C19" s="40"/>
      <c r="D19" s="40">
        <f>SUM(D18)</f>
      </c>
      <c r="E19" s="40">
        <f>SUM(E18)</f>
      </c>
      <c r="F19" s="40">
        <f>SUM(F18)</f>
      </c>
      <c r="G19" s="40">
        <f>SUM(G18)</f>
      </c>
      <c r="H19" s="40">
        <f>SUM(H18)</f>
      </c>
      <c r="I19" s="41">
        <f>SUM(I18)</f>
      </c>
      <c r="J19" s="40">
        <f>SUM(J18)</f>
      </c>
      <c r="K19" s="42">
        <f t="shared" si="0"/>
      </c>
      <c r="L19" s="43">
        <f t="shared" si="2"/>
      </c>
      <c r="M19" s="42">
        <f t="shared" si="4"/>
      </c>
      <c r="N19" s="40"/>
      <c r="O19" s="40">
        <f>SUM(O18)</f>
      </c>
      <c r="P19" s="40"/>
      <c r="Q19" s="40">
        <f>SUM(Q18)</f>
      </c>
      <c r="R19" s="40">
        <f>SUM(R18)</f>
      </c>
      <c r="S19" s="40">
        <f>SUM(S18)</f>
      </c>
      <c r="T19" s="38"/>
      <c r="U19" s="44"/>
    </row>
    <row hidden="true" r="20">
      <c r="A20" s="32" t="s">
        <v>66</v>
      </c>
      <c r="B20" s="32" t="s">
        <v>50</v>
      </c>
      <c r="C20" s="32" t="s">
        <v>58</v>
      </c>
      <c r="D20" s="32">
        <v>4</v>
      </c>
      <c r="E20" s="32">
        <v>9</v>
      </c>
      <c r="F20" s="32">
        <v>2</v>
      </c>
      <c r="G20" s="32">
        <v>4</v>
      </c>
      <c r="H20" s="32">
        <v>0</v>
      </c>
      <c r="I20" s="33">
        <v>2395.2</v>
      </c>
      <c r="J20" s="34">
        <v>3834.85</v>
      </c>
      <c r="K20" s="35">
        <f t="shared" si="0"/>
      </c>
      <c r="L20" s="36">
        <f t="shared" si="2"/>
      </c>
      <c r="M20" s="35">
        <f t="shared" si="4"/>
      </c>
      <c r="N20" s="32" t="s">
        <v>65</v>
      </c>
      <c r="O20" s="32">
        <v>4</v>
      </c>
      <c r="P20" s="37"/>
      <c r="Q20" s="37"/>
      <c r="R20" s="37" t="s">
        <v>53</v>
      </c>
      <c r="S20" s="32">
        <v>4</v>
      </c>
      <c r="T20" s="38"/>
      <c r="U20" s="38"/>
    </row>
    <row hidden="true" r="21">
      <c r="A21" s="39" t="s">
        <v>66</v>
      </c>
      <c r="B21" s="40"/>
      <c r="C21" s="40"/>
      <c r="D21" s="40">
        <f>SUM(D20)</f>
      </c>
      <c r="E21" s="40">
        <f>SUM(E20)</f>
      </c>
      <c r="F21" s="40">
        <f>SUM(F20)</f>
      </c>
      <c r="G21" s="40">
        <f>SUM(G20)</f>
      </c>
      <c r="H21" s="40">
        <f>SUM(H20)</f>
      </c>
      <c r="I21" s="41">
        <f>SUM(I20)</f>
      </c>
      <c r="J21" s="40">
        <f>SUM(J20)</f>
      </c>
      <c r="K21" s="42">
        <f t="shared" si="0"/>
      </c>
      <c r="L21" s="43">
        <f t="shared" si="2"/>
      </c>
      <c r="M21" s="42">
        <f t="shared" si="4"/>
      </c>
      <c r="N21" s="40"/>
      <c r="O21" s="40">
        <f>SUM(O20)</f>
      </c>
      <c r="P21" s="40"/>
      <c r="Q21" s="40">
        <f>SUM(Q20)</f>
      </c>
      <c r="R21" s="40">
        <f>SUM(R20)</f>
      </c>
      <c r="S21" s="40">
        <f>SUM(S20)</f>
      </c>
      <c r="T21" s="38"/>
      <c r="U21" s="44"/>
    </row>
    <row hidden="true" r="22">
      <c r="A22" s="32" t="s">
        <v>67</v>
      </c>
      <c r="B22" s="32" t="s">
        <v>50</v>
      </c>
      <c r="C22" s="32" t="s">
        <v>58</v>
      </c>
      <c r="D22" s="32">
        <v>4</v>
      </c>
      <c r="E22" s="32">
        <v>10</v>
      </c>
      <c r="F22" s="32">
        <v>2</v>
      </c>
      <c r="G22" s="32">
        <v>2</v>
      </c>
      <c r="H22" s="32">
        <v>0</v>
      </c>
      <c r="I22" s="33">
        <v>1197.6</v>
      </c>
      <c r="J22" s="34">
        <v>3702.83</v>
      </c>
      <c r="K22" s="35">
        <f t="shared" si="0"/>
      </c>
      <c r="L22" s="36">
        <f t="shared" si="2"/>
      </c>
      <c r="M22" s="35">
        <f t="shared" si="4"/>
      </c>
      <c r="N22" s="32" t="s">
        <v>65</v>
      </c>
      <c r="O22" s="32">
        <v>4</v>
      </c>
      <c r="P22" s="37"/>
      <c r="Q22" s="37"/>
      <c r="R22" s="37" t="s">
        <v>53</v>
      </c>
      <c r="S22" s="32">
        <v>4</v>
      </c>
      <c r="T22" s="38"/>
      <c r="U22" s="38"/>
    </row>
    <row hidden="true" r="23">
      <c r="A23" s="39" t="s">
        <v>67</v>
      </c>
      <c r="B23" s="40"/>
      <c r="C23" s="40"/>
      <c r="D23" s="40">
        <f>SUM(D22)</f>
      </c>
      <c r="E23" s="40">
        <f>SUM(E22)</f>
      </c>
      <c r="F23" s="40">
        <f>SUM(F22)</f>
      </c>
      <c r="G23" s="40">
        <f>SUM(G22)</f>
      </c>
      <c r="H23" s="40">
        <f>SUM(H22)</f>
      </c>
      <c r="I23" s="41">
        <f>SUM(I22)</f>
      </c>
      <c r="J23" s="40">
        <f>SUM(J22)</f>
      </c>
      <c r="K23" s="42">
        <f t="shared" si="0"/>
      </c>
      <c r="L23" s="43">
        <f t="shared" si="2"/>
      </c>
      <c r="M23" s="42">
        <f t="shared" si="4"/>
      </c>
      <c r="N23" s="40"/>
      <c r="O23" s="40">
        <f>SUM(O22)</f>
      </c>
      <c r="P23" s="40"/>
      <c r="Q23" s="40">
        <f>SUM(Q22)</f>
      </c>
      <c r="R23" s="40">
        <f>SUM(R22)</f>
      </c>
      <c r="S23" s="40">
        <f>SUM(S22)</f>
      </c>
      <c r="T23" s="38"/>
      <c r="U23" s="44"/>
    </row>
    <row hidden="true" r="24">
      <c r="A24" s="32" t="s">
        <v>68</v>
      </c>
      <c r="B24" s="32" t="s">
        <v>69</v>
      </c>
      <c r="C24" s="32" t="s">
        <v>70</v>
      </c>
      <c r="D24" s="32">
        <v>4</v>
      </c>
      <c r="E24" s="32">
        <v>11</v>
      </c>
      <c r="F24" s="32">
        <v>3</v>
      </c>
      <c r="G24" s="32">
        <v>5</v>
      </c>
      <c r="H24" s="32">
        <v>0</v>
      </c>
      <c r="I24" s="33">
        <v>2994</v>
      </c>
      <c r="J24" s="34">
        <v>6509.689999999999</v>
      </c>
      <c r="K24" s="35">
        <f t="shared" si="0"/>
      </c>
      <c r="L24" s="36">
        <f t="shared" si="2"/>
      </c>
      <c r="M24" s="35">
        <f t="shared" si="4"/>
      </c>
      <c r="N24" s="32" t="s">
        <v>62</v>
      </c>
      <c r="O24" s="32">
        <v>4</v>
      </c>
      <c r="P24" s="37"/>
      <c r="Q24" s="37"/>
      <c r="R24" s="32" t="s">
        <v>71</v>
      </c>
      <c r="S24" s="32">
        <v>4</v>
      </c>
      <c r="T24" s="38"/>
      <c r="U24" s="38"/>
    </row>
    <row hidden="true" r="25">
      <c r="A25" s="39" t="s">
        <v>68</v>
      </c>
      <c r="B25" s="40"/>
      <c r="C25" s="40"/>
      <c r="D25" s="40">
        <f>SUM(D24)</f>
      </c>
      <c r="E25" s="40">
        <f>SUM(E24)</f>
      </c>
      <c r="F25" s="40">
        <f>SUM(F24)</f>
      </c>
      <c r="G25" s="40">
        <f>SUM(G24)</f>
      </c>
      <c r="H25" s="40">
        <f>SUM(H24)</f>
      </c>
      <c r="I25" s="41">
        <f>SUM(I24)</f>
      </c>
      <c r="J25" s="40">
        <f>SUM(J24)</f>
      </c>
      <c r="K25" s="42">
        <f t="shared" si="0"/>
      </c>
      <c r="L25" s="43">
        <f t="shared" si="2"/>
      </c>
      <c r="M25" s="42">
        <f t="shared" si="4"/>
      </c>
      <c r="N25" s="40"/>
      <c r="O25" s="40">
        <f>SUM(O24)</f>
      </c>
      <c r="P25" s="40"/>
      <c r="Q25" s="40">
        <f>SUM(Q24)</f>
      </c>
      <c r="R25" s="40">
        <f>SUM(R24)</f>
      </c>
      <c r="S25" s="40">
        <f>SUM(S24)</f>
      </c>
      <c r="T25" s="38"/>
      <c r="U25" s="44"/>
    </row>
    <row hidden="true" r="26">
      <c r="A26" s="32" t="s">
        <v>72</v>
      </c>
      <c r="B26" s="32" t="s">
        <v>50</v>
      </c>
      <c r="C26" s="32" t="s">
        <v>70</v>
      </c>
      <c r="D26" s="32">
        <v>4</v>
      </c>
      <c r="E26" s="32">
        <v>13</v>
      </c>
      <c r="F26" s="32">
        <v>4</v>
      </c>
      <c r="G26" s="32">
        <v>4</v>
      </c>
      <c r="H26" s="32">
        <v>0</v>
      </c>
      <c r="I26" s="33">
        <v>2395.2</v>
      </c>
      <c r="J26" s="34">
        <v>6378.32</v>
      </c>
      <c r="K26" s="35">
        <f t="shared" si="0"/>
      </c>
      <c r="L26" s="36">
        <f t="shared" si="2"/>
      </c>
      <c r="M26" s="35">
        <f t="shared" si="4"/>
      </c>
      <c r="N26" s="32" t="s">
        <v>52</v>
      </c>
      <c r="O26" s="32">
        <v>4</v>
      </c>
      <c r="P26" s="37"/>
      <c r="Q26" s="37"/>
      <c r="R26" s="32" t="s">
        <v>71</v>
      </c>
      <c r="S26" s="32">
        <v>4</v>
      </c>
      <c r="T26" s="38"/>
      <c r="U26" s="38"/>
    </row>
    <row hidden="true" r="27">
      <c r="A27" s="39" t="s">
        <v>72</v>
      </c>
      <c r="B27" s="40"/>
      <c r="C27" s="40"/>
      <c r="D27" s="40">
        <f>SUM(D26)</f>
      </c>
      <c r="E27" s="40">
        <f>SUM(E26)</f>
      </c>
      <c r="F27" s="40">
        <f>SUM(F26)</f>
      </c>
      <c r="G27" s="40">
        <f>SUM(G26)</f>
      </c>
      <c r="H27" s="40">
        <f>SUM(H26)</f>
      </c>
      <c r="I27" s="41">
        <f>SUM(I26)</f>
      </c>
      <c r="J27" s="40">
        <f>SUM(J26)</f>
      </c>
      <c r="K27" s="42">
        <f t="shared" si="0"/>
      </c>
      <c r="L27" s="43">
        <f t="shared" si="2"/>
      </c>
      <c r="M27" s="42">
        <f t="shared" si="4"/>
      </c>
      <c r="N27" s="40"/>
      <c r="O27" s="40">
        <f>SUM(O26)</f>
      </c>
      <c r="P27" s="40"/>
      <c r="Q27" s="40">
        <f>SUM(Q26)</f>
      </c>
      <c r="R27" s="40">
        <f>SUM(R26)</f>
      </c>
      <c r="S27" s="40">
        <f>SUM(S26)</f>
      </c>
      <c r="T27" s="38"/>
      <c r="U27" s="45"/>
    </row>
    <row hidden="true" r="28">
      <c r="A28" s="32" t="s">
        <v>73</v>
      </c>
      <c r="B28" s="32" t="s">
        <v>74</v>
      </c>
      <c r="C28" s="32" t="s">
        <v>75</v>
      </c>
      <c r="D28" s="32">
        <v>4</v>
      </c>
      <c r="E28" s="32">
        <v>7</v>
      </c>
      <c r="F28" s="32">
        <v>0</v>
      </c>
      <c r="G28" s="32">
        <v>0</v>
      </c>
      <c r="H28" s="32">
        <v>0</v>
      </c>
      <c r="I28" s="33">
        <v>0</v>
      </c>
      <c r="J28" s="34">
        <v>2446.44</v>
      </c>
      <c r="K28" s="35">
        <f t="shared" si="0"/>
      </c>
      <c r="L28" s="36">
        <f t="shared" si="2"/>
      </c>
      <c r="M28" s="35">
        <f t="shared" si="4"/>
      </c>
      <c r="N28" s="32" t="s">
        <v>76</v>
      </c>
      <c r="O28" s="32">
        <v>4</v>
      </c>
      <c r="P28" s="37"/>
      <c r="Q28" s="37"/>
      <c r="R28" s="32" t="s">
        <v>71</v>
      </c>
      <c r="S28" s="32">
        <v>4</v>
      </c>
      <c r="T28" s="38"/>
      <c r="U28" s="38"/>
    </row>
    <row hidden="true" r="29">
      <c r="A29" s="39" t="s">
        <v>73</v>
      </c>
      <c r="B29" s="40"/>
      <c r="C29" s="40"/>
      <c r="D29" s="40">
        <f>SUM(D28)</f>
      </c>
      <c r="E29" s="40">
        <f>SUM(E28)</f>
      </c>
      <c r="F29" s="40">
        <f>SUM(F28)</f>
      </c>
      <c r="G29" s="40">
        <f>SUM(G28)</f>
      </c>
      <c r="H29" s="40">
        <f>SUM(H28)</f>
      </c>
      <c r="I29" s="41">
        <f>SUM(I28)</f>
      </c>
      <c r="J29" s="40">
        <f>SUM(J28)</f>
      </c>
      <c r="K29" s="42">
        <f t="shared" si="0"/>
      </c>
      <c r="L29" s="43">
        <f t="shared" si="2"/>
      </c>
      <c r="M29" s="42">
        <f t="shared" si="4"/>
      </c>
      <c r="N29" s="40"/>
      <c r="O29" s="40">
        <f>SUM(O28)</f>
      </c>
      <c r="P29" s="40"/>
      <c r="Q29" s="40">
        <f>SUM(Q28)</f>
      </c>
      <c r="R29" s="40">
        <f>SUM(R28)</f>
      </c>
      <c r="S29" s="40">
        <f>SUM(S28)</f>
      </c>
      <c r="T29" s="38"/>
      <c r="U29" s="38"/>
    </row>
    <row r="30">
      <c r="A30" s="32" t="s">
        <v>77</v>
      </c>
      <c r="B30" s="32" t="s">
        <v>78</v>
      </c>
      <c r="C30" s="32" t="s">
        <v>70</v>
      </c>
      <c r="D30" s="32">
        <v>4</v>
      </c>
      <c r="E30" s="32">
        <v>15</v>
      </c>
      <c r="F30" s="32">
        <v>4</v>
      </c>
      <c r="G30" s="32">
        <v>8</v>
      </c>
      <c r="H30" s="32">
        <v>2</v>
      </c>
      <c r="I30" s="33">
        <v>4790.4</v>
      </c>
      <c r="J30" s="34">
        <v>5827.63</v>
      </c>
      <c r="K30" s="35">
        <f t="shared" si="0"/>
      </c>
      <c r="L30" s="36">
        <f t="shared" si="2"/>
      </c>
      <c r="M30" s="35">
        <f t="shared" si="4"/>
      </c>
      <c r="N30" s="32" t="s">
        <v>79</v>
      </c>
      <c r="O30" s="32">
        <v>4</v>
      </c>
      <c r="P30" s="37"/>
      <c r="Q30" s="37"/>
      <c r="R30" s="37" t="s">
        <v>53</v>
      </c>
      <c r="S30" s="32">
        <v>4</v>
      </c>
      <c r="T30" s="38"/>
      <c r="U30" s="38"/>
    </row>
    <row r="31">
      <c r="A31" s="39" t="s">
        <v>77</v>
      </c>
      <c r="B31" s="40"/>
      <c r="C31" s="40"/>
      <c r="D31" s="40">
        <f>SUM(D30)</f>
      </c>
      <c r="E31" s="40">
        <f>SUM(E30)</f>
      </c>
      <c r="F31" s="40">
        <f>SUM(F30)</f>
      </c>
      <c r="G31" s="40">
        <f>SUM(G30)</f>
      </c>
      <c r="H31" s="40">
        <f>SUM(H30)</f>
      </c>
      <c r="I31" s="41">
        <f>SUM(I30)</f>
      </c>
      <c r="J31" s="40">
        <f>SUM(J30)</f>
      </c>
      <c r="K31" s="42">
        <f t="shared" si="0"/>
      </c>
      <c r="L31" s="43">
        <f t="shared" si="2"/>
      </c>
      <c r="M31" s="42">
        <f t="shared" si="4"/>
      </c>
      <c r="N31" s="40"/>
      <c r="O31" s="40">
        <f>SUM(O30)</f>
      </c>
      <c r="P31" s="40"/>
      <c r="Q31" s="40">
        <f>SUM(Q30)</f>
      </c>
      <c r="R31" s="40">
        <f>SUM(R30)</f>
      </c>
      <c r="S31" s="40">
        <f>SUM(S30)</f>
      </c>
      <c r="T31" s="38"/>
      <c r="U31" s="38"/>
    </row>
    <row hidden="true" r="32">
      <c r="T32" s="38"/>
      <c r="U32" s="38"/>
    </row>
    <row hidden="true" r="33">
      <c r="T33" s="38"/>
      <c r="U33" s="38"/>
    </row>
    <row hidden="true" r="34">
      <c r="T34" s="38"/>
      <c r="U34" s="38"/>
    </row>
    <row hidden="true" r="35">
      <c r="T35" s="38"/>
      <c r="U35" s="38"/>
    </row>
    <row hidden="true" r="36">
      <c r="T36" s="38"/>
      <c r="U36" s="38"/>
    </row>
    <row hidden="true" r="37">
      <c r="T37" s="38"/>
      <c r="U37" s="38"/>
    </row>
    <row hidden="true" r="38">
      <c r="L38" t="s">
        <v>44</v>
      </c>
      <c r="M38" t="s">
        <v>80</v>
      </c>
      <c r="T38" s="38"/>
      <c r="U38" s="38"/>
    </row>
    <row hidden="true" r="39">
      <c r="L39" t="s">
        <v>65</v>
      </c>
      <c r="M39">
        <v>12</v>
      </c>
      <c r="T39" s="38"/>
      <c r="U39" s="38"/>
    </row>
    <row hidden="true" r="40">
      <c r="L40" t="s">
        <v>62</v>
      </c>
      <c r="M40">
        <v>12</v>
      </c>
      <c r="T40" s="38"/>
      <c r="U40" s="38"/>
    </row>
    <row hidden="true" r="41">
      <c r="L41" t="s">
        <v>79</v>
      </c>
      <c r="M41">
        <v>4</v>
      </c>
      <c r="T41" s="38"/>
      <c r="U41" s="38"/>
    </row>
    <row hidden="true" r="42">
      <c r="L42" t="s">
        <v>59</v>
      </c>
      <c r="M42">
        <v>9</v>
      </c>
      <c r="T42" s="38"/>
      <c r="U42" s="38"/>
    </row>
    <row hidden="true" r="43">
      <c r="L43" t="s">
        <v>52</v>
      </c>
      <c r="M43">
        <v>24</v>
      </c>
      <c r="T43" s="38"/>
      <c r="U43" s="38"/>
    </row>
    <row hidden="true" r="44">
      <c r="L44" t="s">
        <v>76</v>
      </c>
      <c r="M44">
        <v>4</v>
      </c>
      <c r="T44" s="38"/>
      <c r="U44" s="38"/>
    </row>
    <row hidden="true" r="45">
      <c r="L45" t="s">
        <v>81</v>
      </c>
      <c r="M45">
        <v>65</v>
      </c>
      <c r="T45" s="38"/>
      <c r="U45" s="38"/>
    </row>
    <row hidden="true" r="46">
      <c r="T46" s="38"/>
      <c r="U46" s="38"/>
    </row>
    <row hidden="true" r="47">
      <c r="T47" s="38"/>
      <c r="U47" s="38"/>
    </row>
    <row hidden="true" r="48">
      <c r="T48" s="38"/>
      <c r="U48" s="38"/>
    </row>
    <row hidden="true" r="49">
      <c r="T49" s="38"/>
      <c r="U49" s="38"/>
    </row>
    <row hidden="true" r="50">
      <c r="T50" s="38"/>
      <c r="U50" s="38"/>
    </row>
    <row hidden="true" r="51">
      <c r="T51" s="38"/>
      <c r="U51" s="38"/>
    </row>
    <row hidden="true" r="52">
      <c r="T52" s="38"/>
      <c r="U52" s="38"/>
    </row>
    <row hidden="true" r="53">
      <c r="A53" s="46" t="s">
        <v>31</v>
      </c>
      <c r="B53" s="47" t="s">
        <v>32</v>
      </c>
      <c r="C53" s="47" t="s">
        <v>33</v>
      </c>
      <c r="D53" s="46" t="s">
        <v>34</v>
      </c>
      <c r="E53" s="46" t="s">
        <v>35</v>
      </c>
      <c r="F53" s="46" t="s">
        <v>36</v>
      </c>
      <c r="G53" s="48" t="s">
        <v>37</v>
      </c>
      <c r="H53" s="46" t="s">
        <v>38</v>
      </c>
      <c r="I53" s="46" t="s">
        <v>39</v>
      </c>
      <c r="J53" s="49" t="s">
        <v>40</v>
      </c>
      <c r="K53" s="50" t="s">
        <v>41</v>
      </c>
      <c r="L53" s="50" t="s">
        <v>42</v>
      </c>
      <c r="M53" s="50" t="s">
        <v>43</v>
      </c>
      <c r="N53" s="50" t="s">
        <v>44</v>
      </c>
      <c r="O53" s="46" t="s">
        <v>45</v>
      </c>
      <c r="P53" s="46" t="s">
        <v>46</v>
      </c>
      <c r="Q53" s="46" t="s">
        <v>45</v>
      </c>
      <c r="R53" s="46" t="s">
        <v>47</v>
      </c>
      <c r="S53" s="46" t="s">
        <v>48</v>
      </c>
      <c r="T53" s="51"/>
      <c r="U53" s="51"/>
      <c r="V53" s="52"/>
      <c r="W53" s="52"/>
    </row>
    <row hidden="true" r="54">
      <c r="A54" s="53" t="s">
        <v>49</v>
      </c>
      <c r="B54" s="53" t="s">
        <v>50</v>
      </c>
      <c r="C54" s="53" t="s">
        <v>51</v>
      </c>
      <c r="D54" s="53">
        <v>5</v>
      </c>
      <c r="E54" s="53">
        <v>14</v>
      </c>
      <c r="F54" s="53">
        <v>3</v>
      </c>
      <c r="G54" s="53">
        <v>5</v>
      </c>
      <c r="H54" s="53">
        <v>0</v>
      </c>
      <c r="I54" s="54">
        <v>2994</v>
      </c>
      <c r="J54" s="55">
        <v>1728.11</v>
      </c>
      <c r="K54" s="56">
        <f t="shared" ref="K54:K81" si="1">I54/J54</f>
      </c>
      <c r="L54" s="57">
        <f t="shared" ref="L54:L81" si="3">I54/G54</f>
      </c>
      <c r="M54" s="56">
        <f t="shared" ref="M54:M81" si="5">J54/(G54)</f>
      </c>
      <c r="N54" s="53" t="s">
        <v>52</v>
      </c>
      <c r="O54" s="53">
        <v>5</v>
      </c>
      <c r="P54" s="58"/>
      <c r="Q54" s="58"/>
      <c r="R54" s="58" t="s">
        <v>53</v>
      </c>
      <c r="S54" s="53">
        <v>5</v>
      </c>
      <c r="T54" s="59"/>
      <c r="U54" s="59"/>
    </row>
    <row hidden="true" r="55">
      <c r="A55" s="60" t="s">
        <v>49</v>
      </c>
      <c r="B55" s="61"/>
      <c r="C55" s="61"/>
      <c r="D55" s="61">
        <f>SUM(D54)</f>
      </c>
      <c r="E55" s="61">
        <f>SUM(E54)</f>
      </c>
      <c r="F55" s="61">
        <f>SUM(F54)</f>
      </c>
      <c r="G55" s="61">
        <f>SUM(G54)</f>
      </c>
      <c r="H55" s="61">
        <f>SUM(H54)</f>
      </c>
      <c r="I55" s="62">
        <f>SUM(I54)</f>
      </c>
      <c r="J55" s="61">
        <f>SUM(J54)</f>
      </c>
      <c r="K55" s="63">
        <f t="shared" si="1"/>
      </c>
      <c r="L55" s="64">
        <f t="shared" si="3"/>
      </c>
      <c r="M55" s="63">
        <f t="shared" si="5"/>
      </c>
      <c r="N55" s="61"/>
      <c r="O55" s="61">
        <f>SUM(O54)</f>
      </c>
      <c r="P55" s="61"/>
      <c r="Q55" s="61">
        <f>SUM(Q54)</f>
      </c>
      <c r="R55" s="61">
        <f>SUM(R54)</f>
      </c>
      <c r="S55" s="61">
        <f>SUM(S54)</f>
      </c>
      <c r="T55" s="59"/>
      <c r="U55" s="65"/>
    </row>
    <row hidden="true" r="56">
      <c r="A56" s="53" t="s">
        <v>54</v>
      </c>
      <c r="B56" s="53" t="s">
        <v>50</v>
      </c>
      <c r="C56" s="53" t="s">
        <v>51</v>
      </c>
      <c r="D56" s="53">
        <v>5</v>
      </c>
      <c r="E56" s="53">
        <v>11</v>
      </c>
      <c r="F56" s="53">
        <v>4</v>
      </c>
      <c r="G56" s="53">
        <v>8</v>
      </c>
      <c r="H56" s="53">
        <v>1</v>
      </c>
      <c r="I56" s="54">
        <v>4790.4</v>
      </c>
      <c r="J56" s="55">
        <v>4808.99</v>
      </c>
      <c r="K56" s="56">
        <f t="shared" si="1"/>
      </c>
      <c r="L56" s="57">
        <f t="shared" si="3"/>
      </c>
      <c r="M56" s="56">
        <f t="shared" si="5"/>
      </c>
      <c r="N56" s="53" t="s">
        <v>52</v>
      </c>
      <c r="O56" s="53">
        <v>5</v>
      </c>
      <c r="P56" s="58"/>
      <c r="Q56" s="58"/>
      <c r="R56" s="58" t="s">
        <v>53</v>
      </c>
      <c r="S56" s="53">
        <v>5</v>
      </c>
      <c r="T56" s="59"/>
      <c r="U56" s="59"/>
    </row>
    <row hidden="true" r="57">
      <c r="A57" s="60" t="s">
        <v>54</v>
      </c>
      <c r="B57" s="61"/>
      <c r="C57" s="61"/>
      <c r="D57" s="61">
        <f>SUM(D56)</f>
      </c>
      <c r="E57" s="61">
        <f>SUM(E56)</f>
      </c>
      <c r="F57" s="61">
        <f>SUM(F56)</f>
      </c>
      <c r="G57" s="61">
        <f>SUM(G56)</f>
      </c>
      <c r="H57" s="61">
        <f>SUM(H56)</f>
      </c>
      <c r="I57" s="62">
        <f>SUM(I56)</f>
      </c>
      <c r="J57" s="61">
        <f>SUM(J56)</f>
      </c>
      <c r="K57" s="63">
        <f t="shared" si="1"/>
      </c>
      <c r="L57" s="64">
        <f t="shared" si="3"/>
      </c>
      <c r="M57" s="63">
        <f t="shared" si="5"/>
      </c>
      <c r="N57" s="61"/>
      <c r="O57" s="61">
        <f>SUM(O56)</f>
      </c>
      <c r="P57" s="61"/>
      <c r="Q57" s="61">
        <f>SUM(Q56)</f>
      </c>
      <c r="R57" s="61">
        <f>SUM(R56)</f>
      </c>
      <c r="S57" s="61">
        <f>SUM(S56)</f>
      </c>
      <c r="T57" s="59"/>
      <c r="U57" s="65"/>
    </row>
    <row hidden="true" r="58">
      <c r="A58" s="53" t="s">
        <v>55</v>
      </c>
      <c r="B58" s="53" t="s">
        <v>50</v>
      </c>
      <c r="C58" s="53" t="s">
        <v>51</v>
      </c>
      <c r="D58" s="53">
        <v>5</v>
      </c>
      <c r="E58" s="53">
        <v>17</v>
      </c>
      <c r="F58" s="53">
        <v>4</v>
      </c>
      <c r="G58" s="53">
        <v>8</v>
      </c>
      <c r="H58" s="53">
        <v>1</v>
      </c>
      <c r="I58" s="54">
        <v>4790.4</v>
      </c>
      <c r="J58" s="55">
        <v>3575.85</v>
      </c>
      <c r="K58" s="56">
        <f t="shared" si="1"/>
      </c>
      <c r="L58" s="57">
        <f t="shared" si="3"/>
      </c>
      <c r="M58" s="56">
        <f t="shared" si="5"/>
      </c>
      <c r="N58" s="53" t="s">
        <v>52</v>
      </c>
      <c r="O58" s="53">
        <v>5</v>
      </c>
      <c r="P58" s="58"/>
      <c r="Q58" s="58"/>
      <c r="R58" s="58" t="s">
        <v>53</v>
      </c>
      <c r="S58" s="53">
        <v>5</v>
      </c>
      <c r="T58" s="59"/>
      <c r="U58" s="59"/>
    </row>
    <row hidden="true" r="59">
      <c r="A59" s="60" t="s">
        <v>55</v>
      </c>
      <c r="B59" s="61"/>
      <c r="C59" s="61"/>
      <c r="D59" s="61">
        <f>SUM(D58)</f>
      </c>
      <c r="E59" s="61">
        <f>SUM(E58)</f>
      </c>
      <c r="F59" s="61">
        <f>SUM(F58)</f>
      </c>
      <c r="G59" s="61">
        <f>SUM(G58)</f>
      </c>
      <c r="H59" s="61">
        <f>SUM(H58)</f>
      </c>
      <c r="I59" s="62">
        <f>SUM(I58)</f>
      </c>
      <c r="J59" s="61">
        <f>SUM(J58)</f>
      </c>
      <c r="K59" s="63">
        <f t="shared" si="1"/>
      </c>
      <c r="L59" s="64">
        <f t="shared" si="3"/>
      </c>
      <c r="M59" s="63">
        <f t="shared" si="5"/>
      </c>
      <c r="N59" s="61"/>
      <c r="O59" s="61">
        <f>SUM(O58)</f>
      </c>
      <c r="P59" s="61"/>
      <c r="Q59" s="61">
        <f>SUM(Q58)</f>
      </c>
      <c r="R59" s="61">
        <f>SUM(R58)</f>
      </c>
      <c r="S59" s="61">
        <f>SUM(S58)</f>
      </c>
      <c r="T59" s="59"/>
      <c r="U59" s="65"/>
    </row>
    <row hidden="true" r="60">
      <c r="A60" s="53" t="s">
        <v>56</v>
      </c>
      <c r="B60" s="53" t="s">
        <v>50</v>
      </c>
      <c r="C60" s="53" t="s">
        <v>51</v>
      </c>
      <c r="D60" s="53">
        <v>5</v>
      </c>
      <c r="E60" s="53">
        <v>11</v>
      </c>
      <c r="F60" s="53">
        <v>4</v>
      </c>
      <c r="G60" s="53">
        <v>4</v>
      </c>
      <c r="H60" s="53">
        <v>0</v>
      </c>
      <c r="I60" s="54">
        <v>2395.2</v>
      </c>
      <c r="J60" s="55">
        <v>3363.63</v>
      </c>
      <c r="K60" s="56">
        <f t="shared" si="1"/>
      </c>
      <c r="L60" s="57">
        <f t="shared" si="3"/>
      </c>
      <c r="M60" s="56">
        <f t="shared" si="5"/>
      </c>
      <c r="N60" s="53" t="s">
        <v>52</v>
      </c>
      <c r="O60" s="53">
        <v>5</v>
      </c>
      <c r="P60" s="58"/>
      <c r="Q60" s="58"/>
      <c r="R60" s="58" t="s">
        <v>53</v>
      </c>
      <c r="S60" s="53">
        <v>5</v>
      </c>
      <c r="T60" s="59"/>
      <c r="U60" s="59"/>
    </row>
    <row hidden="true" r="61">
      <c r="A61" s="60" t="s">
        <v>56</v>
      </c>
      <c r="B61" s="61"/>
      <c r="C61" s="61"/>
      <c r="D61" s="61">
        <f>SUM(D60)</f>
      </c>
      <c r="E61" s="61">
        <f>SUM(E60)</f>
      </c>
      <c r="F61" s="61">
        <f>SUM(F60)</f>
      </c>
      <c r="G61" s="61">
        <f>SUM(G60)</f>
      </c>
      <c r="H61" s="61">
        <f>SUM(H60)</f>
      </c>
      <c r="I61" s="62">
        <f>SUM(I60)</f>
      </c>
      <c r="J61" s="61">
        <f>SUM(J60)</f>
      </c>
      <c r="K61" s="63">
        <f t="shared" si="1"/>
      </c>
      <c r="L61" s="64">
        <f t="shared" si="3"/>
      </c>
      <c r="M61" s="63">
        <f t="shared" si="5"/>
      </c>
      <c r="N61" s="61"/>
      <c r="O61" s="61">
        <f>SUM(O60)</f>
      </c>
      <c r="P61" s="61"/>
      <c r="Q61" s="61">
        <f>SUM(Q60)</f>
      </c>
      <c r="R61" s="61">
        <f>SUM(R60)</f>
      </c>
      <c r="S61" s="61">
        <f>SUM(S60)</f>
      </c>
      <c r="T61" s="59"/>
      <c r="U61" s="65"/>
    </row>
    <row hidden="true" r="62">
      <c r="A62" s="53" t="s">
        <v>57</v>
      </c>
      <c r="B62" s="53" t="s">
        <v>50</v>
      </c>
      <c r="C62" s="53" t="s">
        <v>58</v>
      </c>
      <c r="D62" s="53">
        <v>4</v>
      </c>
      <c r="E62" s="53">
        <v>10</v>
      </c>
      <c r="F62" s="53">
        <v>6</v>
      </c>
      <c r="G62" s="53">
        <v>8</v>
      </c>
      <c r="H62" s="53">
        <v>1</v>
      </c>
      <c r="I62" s="54">
        <v>4790.4</v>
      </c>
      <c r="J62" s="55">
        <v>5174.37</v>
      </c>
      <c r="K62" s="56">
        <f t="shared" si="1"/>
      </c>
      <c r="L62" s="57">
        <f t="shared" si="3"/>
      </c>
      <c r="M62" s="56">
        <f t="shared" si="5"/>
      </c>
      <c r="N62" s="53" t="s">
        <v>59</v>
      </c>
      <c r="O62" s="53">
        <v>4</v>
      </c>
      <c r="P62" s="58"/>
      <c r="Q62" s="58"/>
      <c r="R62" s="58" t="s">
        <v>53</v>
      </c>
      <c r="S62" s="53">
        <v>4</v>
      </c>
      <c r="T62" s="59"/>
      <c r="U62" s="59"/>
    </row>
    <row hidden="true" r="63">
      <c r="A63" s="60" t="s">
        <v>57</v>
      </c>
      <c r="B63" s="61"/>
      <c r="C63" s="61"/>
      <c r="D63" s="61">
        <f>SUM(D62)</f>
      </c>
      <c r="E63" s="61">
        <f>SUM(E62)</f>
      </c>
      <c r="F63" s="61">
        <f>SUM(F62)</f>
      </c>
      <c r="G63" s="61">
        <f>SUM(G62)</f>
      </c>
      <c r="H63" s="61">
        <f>SUM(H62)</f>
      </c>
      <c r="I63" s="62">
        <f>SUM(I62)</f>
      </c>
      <c r="J63" s="61">
        <f>SUM(J62)</f>
      </c>
      <c r="K63" s="63">
        <f t="shared" si="1"/>
      </c>
      <c r="L63" s="64">
        <f t="shared" si="3"/>
      </c>
      <c r="M63" s="63">
        <f t="shared" si="5"/>
      </c>
      <c r="N63" s="61"/>
      <c r="O63" s="61">
        <f>SUM(O62)</f>
      </c>
      <c r="P63" s="61"/>
      <c r="Q63" s="61">
        <f>SUM(Q62)</f>
      </c>
      <c r="R63" s="61">
        <f>SUM(R62)</f>
      </c>
      <c r="S63" s="61">
        <f>SUM(S62)</f>
      </c>
      <c r="T63" s="59"/>
      <c r="U63" s="65"/>
    </row>
    <row hidden="true" r="64">
      <c r="A64" s="53" t="s">
        <v>60</v>
      </c>
      <c r="B64" s="53" t="s">
        <v>50</v>
      </c>
      <c r="C64" s="53" t="s">
        <v>51</v>
      </c>
      <c r="D64" s="53">
        <v>5</v>
      </c>
      <c r="E64" s="53">
        <v>13</v>
      </c>
      <c r="F64" s="53">
        <v>4</v>
      </c>
      <c r="G64" s="53">
        <v>6</v>
      </c>
      <c r="H64" s="53">
        <v>2</v>
      </c>
      <c r="I64" s="54">
        <v>3592.8</v>
      </c>
      <c r="J64" s="55">
        <v>4558.52</v>
      </c>
      <c r="K64" s="56">
        <f t="shared" si="1"/>
      </c>
      <c r="L64" s="57">
        <f t="shared" si="3"/>
      </c>
      <c r="M64" s="56">
        <f t="shared" si="5"/>
      </c>
      <c r="N64" s="53" t="s">
        <v>59</v>
      </c>
      <c r="O64" s="53">
        <v>5</v>
      </c>
      <c r="P64" s="58"/>
      <c r="Q64" s="58"/>
      <c r="R64" s="58" t="s">
        <v>53</v>
      </c>
      <c r="S64" s="53">
        <v>5</v>
      </c>
      <c r="T64" s="59"/>
      <c r="U64" s="59"/>
    </row>
    <row hidden="true" r="65">
      <c r="A65" s="60" t="s">
        <v>60</v>
      </c>
      <c r="B65" s="61"/>
      <c r="C65" s="61"/>
      <c r="D65" s="61">
        <f>SUM(D64)</f>
      </c>
      <c r="E65" s="61">
        <f>SUM(E64)</f>
      </c>
      <c r="F65" s="61">
        <f>SUM(F64)</f>
      </c>
      <c r="G65" s="61">
        <f>SUM(G64)</f>
      </c>
      <c r="H65" s="61">
        <f>SUM(H64)</f>
      </c>
      <c r="I65" s="62">
        <f>SUM(I64)</f>
      </c>
      <c r="J65" s="61">
        <f>SUM(J64)</f>
      </c>
      <c r="K65" s="63">
        <f t="shared" si="1"/>
      </c>
      <c r="L65" s="64">
        <f t="shared" si="3"/>
      </c>
      <c r="M65" s="63">
        <f t="shared" si="5"/>
      </c>
      <c r="N65" s="61"/>
      <c r="O65" s="61">
        <f>SUM(O64)</f>
      </c>
      <c r="P65" s="61"/>
      <c r="Q65" s="61">
        <f>SUM(Q64)</f>
      </c>
      <c r="R65" s="61">
        <f>SUM(R64)</f>
      </c>
      <c r="S65" s="61">
        <f>SUM(S64)</f>
      </c>
      <c r="T65" s="59"/>
      <c r="U65" s="65"/>
    </row>
    <row hidden="true" r="66">
      <c r="A66" s="53" t="s">
        <v>61</v>
      </c>
      <c r="B66" s="53" t="s">
        <v>50</v>
      </c>
      <c r="C66" s="53" t="s">
        <v>58</v>
      </c>
      <c r="D66" s="53">
        <v>4</v>
      </c>
      <c r="E66" s="53">
        <v>10</v>
      </c>
      <c r="F66" s="53">
        <v>3</v>
      </c>
      <c r="G66" s="53">
        <v>3</v>
      </c>
      <c r="H66" s="53">
        <v>0</v>
      </c>
      <c r="I66" s="54">
        <v>1796.3999999999999</v>
      </c>
      <c r="J66" s="55">
        <v>2951.98</v>
      </c>
      <c r="K66" s="56">
        <f t="shared" si="1"/>
      </c>
      <c r="L66" s="57">
        <f t="shared" si="3"/>
      </c>
      <c r="M66" s="56">
        <f t="shared" si="5"/>
      </c>
      <c r="N66" s="53" t="s">
        <v>62</v>
      </c>
      <c r="O66" s="53">
        <v>4</v>
      </c>
      <c r="P66" s="58"/>
      <c r="Q66" s="58"/>
      <c r="R66" s="58" t="s">
        <v>53</v>
      </c>
      <c r="S66" s="53">
        <v>4</v>
      </c>
      <c r="T66" s="59"/>
      <c r="U66" s="59"/>
    </row>
    <row hidden="true" r="67">
      <c r="A67" s="60" t="s">
        <v>61</v>
      </c>
      <c r="B67" s="61"/>
      <c r="C67" s="61"/>
      <c r="D67" s="61">
        <f>SUM(D66)</f>
      </c>
      <c r="E67" s="61">
        <f>SUM(E66)</f>
      </c>
      <c r="F67" s="61">
        <f>SUM(F66)</f>
      </c>
      <c r="G67" s="61">
        <f>SUM(G66)</f>
      </c>
      <c r="H67" s="61">
        <f>SUM(H66)</f>
      </c>
      <c r="I67" s="62">
        <f>SUM(I66)</f>
      </c>
      <c r="J67" s="61">
        <f>SUM(J66)</f>
      </c>
      <c r="K67" s="63">
        <f t="shared" si="1"/>
      </c>
      <c r="L67" s="64">
        <f t="shared" si="3"/>
      </c>
      <c r="M67" s="63">
        <f t="shared" si="5"/>
      </c>
      <c r="N67" s="61"/>
      <c r="O67" s="61">
        <f>SUM(O66)</f>
      </c>
      <c r="P67" s="61"/>
      <c r="Q67" s="61">
        <f>SUM(Q66)</f>
      </c>
      <c r="R67" s="61">
        <f>SUM(R66)</f>
      </c>
      <c r="S67" s="61">
        <f>SUM(S66)</f>
      </c>
      <c r="T67" s="59"/>
      <c r="U67" s="65"/>
    </row>
    <row hidden="true" r="68">
      <c r="A68" s="53" t="s">
        <v>63</v>
      </c>
      <c r="B68" s="53" t="s">
        <v>50</v>
      </c>
      <c r="C68" s="53" t="s">
        <v>58</v>
      </c>
      <c r="D68" s="53">
        <v>4</v>
      </c>
      <c r="E68" s="53">
        <v>3</v>
      </c>
      <c r="F68" s="53">
        <v>1</v>
      </c>
      <c r="G68" s="53">
        <v>1</v>
      </c>
      <c r="H68" s="53">
        <v>0</v>
      </c>
      <c r="I68" s="54">
        <v>598.8</v>
      </c>
      <c r="J68" s="55">
        <v>2433.43</v>
      </c>
      <c r="K68" s="56">
        <f t="shared" si="1"/>
      </c>
      <c r="L68" s="57">
        <f t="shared" si="3"/>
      </c>
      <c r="M68" s="56">
        <f t="shared" si="5"/>
      </c>
      <c r="N68" s="53" t="s">
        <v>62</v>
      </c>
      <c r="O68" s="53">
        <v>4</v>
      </c>
      <c r="P68" s="58"/>
      <c r="Q68" s="58"/>
      <c r="R68" s="58" t="s">
        <v>53</v>
      </c>
      <c r="S68" s="53">
        <v>4</v>
      </c>
      <c r="T68" s="59"/>
      <c r="U68" s="59"/>
    </row>
    <row hidden="true" r="69">
      <c r="A69" s="60" t="s">
        <v>63</v>
      </c>
      <c r="B69" s="61"/>
      <c r="C69" s="61"/>
      <c r="D69" s="61">
        <f>SUM(D68)</f>
      </c>
      <c r="E69" s="61">
        <f>SUM(E68)</f>
      </c>
      <c r="F69" s="61">
        <f>SUM(F68)</f>
      </c>
      <c r="G69" s="61">
        <f>SUM(G68)</f>
      </c>
      <c r="H69" s="61">
        <f>SUM(H68)</f>
      </c>
      <c r="I69" s="62">
        <f>SUM(I68)</f>
      </c>
      <c r="J69" s="61">
        <f>SUM(J68)</f>
      </c>
      <c r="K69" s="63">
        <f t="shared" si="1"/>
      </c>
      <c r="L69" s="64">
        <f t="shared" si="3"/>
      </c>
      <c r="M69" s="63">
        <f t="shared" si="5"/>
      </c>
      <c r="N69" s="61"/>
      <c r="O69" s="61">
        <f>SUM(O68)</f>
      </c>
      <c r="P69" s="61"/>
      <c r="Q69" s="61">
        <f>SUM(Q68)</f>
      </c>
      <c r="R69" s="61">
        <f>SUM(R68)</f>
      </c>
      <c r="S69" s="61">
        <f>SUM(S68)</f>
      </c>
      <c r="T69" s="59"/>
      <c r="U69" s="65"/>
    </row>
    <row hidden="true" r="70">
      <c r="A70" s="53" t="s">
        <v>64</v>
      </c>
      <c r="B70" s="53" t="s">
        <v>50</v>
      </c>
      <c r="C70" s="53" t="s">
        <v>58</v>
      </c>
      <c r="D70" s="53">
        <v>4</v>
      </c>
      <c r="E70" s="53">
        <v>7</v>
      </c>
      <c r="F70" s="53">
        <v>1</v>
      </c>
      <c r="G70" s="53">
        <v>3</v>
      </c>
      <c r="H70" s="53">
        <v>0</v>
      </c>
      <c r="I70" s="54">
        <v>1796.3999999999999</v>
      </c>
      <c r="J70" s="55">
        <v>2736.54</v>
      </c>
      <c r="K70" s="56">
        <f t="shared" si="1"/>
      </c>
      <c r="L70" s="57">
        <f t="shared" si="3"/>
      </c>
      <c r="M70" s="56">
        <f t="shared" si="5"/>
      </c>
      <c r="N70" s="53" t="s">
        <v>65</v>
      </c>
      <c r="O70" s="53">
        <v>4</v>
      </c>
      <c r="P70" s="58"/>
      <c r="Q70" s="58"/>
      <c r="R70" s="58" t="s">
        <v>53</v>
      </c>
      <c r="S70" s="53">
        <v>4</v>
      </c>
      <c r="T70" s="59"/>
      <c r="U70" s="59"/>
    </row>
    <row hidden="true" r="71">
      <c r="A71" s="60" t="s">
        <v>64</v>
      </c>
      <c r="B71" s="61"/>
      <c r="C71" s="61"/>
      <c r="D71" s="61">
        <f>SUM(D70)</f>
      </c>
      <c r="E71" s="61">
        <f>SUM(E70)</f>
      </c>
      <c r="F71" s="61">
        <f>SUM(F70)</f>
      </c>
      <c r="G71" s="61">
        <f>SUM(G70)</f>
      </c>
      <c r="H71" s="61">
        <f>SUM(H70)</f>
      </c>
      <c r="I71" s="62">
        <f>SUM(I70)</f>
      </c>
      <c r="J71" s="61">
        <f>SUM(J70)</f>
      </c>
      <c r="K71" s="63">
        <f t="shared" si="1"/>
      </c>
      <c r="L71" s="64">
        <f t="shared" si="3"/>
      </c>
      <c r="M71" s="63">
        <f t="shared" si="5"/>
      </c>
      <c r="N71" s="61"/>
      <c r="O71" s="61">
        <f>SUM(O70)</f>
      </c>
      <c r="P71" s="61"/>
      <c r="Q71" s="61">
        <f>SUM(Q70)</f>
      </c>
      <c r="R71" s="61">
        <f>SUM(R70)</f>
      </c>
      <c r="S71" s="61">
        <f>SUM(S70)</f>
      </c>
      <c r="T71" s="59"/>
      <c r="U71" s="65"/>
    </row>
    <row hidden="true" r="72">
      <c r="A72" s="53" t="s">
        <v>66</v>
      </c>
      <c r="B72" s="53" t="s">
        <v>50</v>
      </c>
      <c r="C72" s="53" t="s">
        <v>58</v>
      </c>
      <c r="D72" s="53">
        <v>4</v>
      </c>
      <c r="E72" s="53">
        <v>9</v>
      </c>
      <c r="F72" s="53">
        <v>2</v>
      </c>
      <c r="G72" s="53">
        <v>4</v>
      </c>
      <c r="H72" s="53">
        <v>0</v>
      </c>
      <c r="I72" s="54">
        <v>2395.2</v>
      </c>
      <c r="J72" s="55">
        <v>3834.85</v>
      </c>
      <c r="K72" s="56">
        <f t="shared" si="1"/>
      </c>
      <c r="L72" s="57">
        <f t="shared" si="3"/>
      </c>
      <c r="M72" s="56">
        <f t="shared" si="5"/>
      </c>
      <c r="N72" s="53" t="s">
        <v>65</v>
      </c>
      <c r="O72" s="53">
        <v>4</v>
      </c>
      <c r="P72" s="58"/>
      <c r="Q72" s="58"/>
      <c r="R72" s="58" t="s">
        <v>53</v>
      </c>
      <c r="S72" s="53">
        <v>4</v>
      </c>
      <c r="T72" s="59"/>
      <c r="U72" s="59"/>
    </row>
    <row hidden="true" r="73">
      <c r="A73" s="60" t="s">
        <v>66</v>
      </c>
      <c r="B73" s="61"/>
      <c r="C73" s="61"/>
      <c r="D73" s="61">
        <f>SUM(D72)</f>
      </c>
      <c r="E73" s="61">
        <f>SUM(E72)</f>
      </c>
      <c r="F73" s="61">
        <f>SUM(F72)</f>
      </c>
      <c r="G73" s="61">
        <f>SUM(G72)</f>
      </c>
      <c r="H73" s="61">
        <f>SUM(H72)</f>
      </c>
      <c r="I73" s="62">
        <f>SUM(I72)</f>
      </c>
      <c r="J73" s="61">
        <f>SUM(J72)</f>
      </c>
      <c r="K73" s="63">
        <f t="shared" si="1"/>
      </c>
      <c r="L73" s="64">
        <f t="shared" si="3"/>
      </c>
      <c r="M73" s="63">
        <f t="shared" si="5"/>
      </c>
      <c r="N73" s="61"/>
      <c r="O73" s="61">
        <f>SUM(O72)</f>
      </c>
      <c r="P73" s="61"/>
      <c r="Q73" s="61">
        <f>SUM(Q72)</f>
      </c>
      <c r="R73" s="61">
        <f>SUM(R72)</f>
      </c>
      <c r="S73" s="61">
        <f>SUM(S72)</f>
      </c>
      <c r="T73" s="59"/>
      <c r="U73" s="65"/>
    </row>
    <row hidden="true" r="74">
      <c r="A74" s="53" t="s">
        <v>67</v>
      </c>
      <c r="B74" s="53" t="s">
        <v>50</v>
      </c>
      <c r="C74" s="53" t="s">
        <v>58</v>
      </c>
      <c r="D74" s="53">
        <v>4</v>
      </c>
      <c r="E74" s="53">
        <v>10</v>
      </c>
      <c r="F74" s="53">
        <v>2</v>
      </c>
      <c r="G74" s="53">
        <v>2</v>
      </c>
      <c r="H74" s="53">
        <v>0</v>
      </c>
      <c r="I74" s="54">
        <v>1197.6</v>
      </c>
      <c r="J74" s="55">
        <v>3702.83</v>
      </c>
      <c r="K74" s="56">
        <f t="shared" si="1"/>
      </c>
      <c r="L74" s="57">
        <f t="shared" si="3"/>
      </c>
      <c r="M74" s="56">
        <f t="shared" si="5"/>
      </c>
      <c r="N74" s="53" t="s">
        <v>65</v>
      </c>
      <c r="O74" s="53">
        <v>4</v>
      </c>
      <c r="P74" s="58"/>
      <c r="Q74" s="58"/>
      <c r="R74" s="58" t="s">
        <v>53</v>
      </c>
      <c r="S74" s="53">
        <v>4</v>
      </c>
      <c r="T74" s="59"/>
      <c r="U74" s="59"/>
    </row>
    <row hidden="true" r="75">
      <c r="A75" s="60" t="s">
        <v>67</v>
      </c>
      <c r="B75" s="61"/>
      <c r="C75" s="61"/>
      <c r="D75" s="61">
        <f>SUM(D74)</f>
      </c>
      <c r="E75" s="61">
        <f>SUM(E74)</f>
      </c>
      <c r="F75" s="61">
        <f>SUM(F74)</f>
      </c>
      <c r="G75" s="61">
        <f>SUM(G74)</f>
      </c>
      <c r="H75" s="61">
        <f>SUM(H74)</f>
      </c>
      <c r="I75" s="62">
        <f>SUM(I74)</f>
      </c>
      <c r="J75" s="61">
        <f>SUM(J74)</f>
      </c>
      <c r="K75" s="63">
        <f t="shared" si="1"/>
      </c>
      <c r="L75" s="64">
        <f t="shared" si="3"/>
      </c>
      <c r="M75" s="63">
        <f t="shared" si="5"/>
      </c>
      <c r="N75" s="61"/>
      <c r="O75" s="61">
        <f>SUM(O74)</f>
      </c>
      <c r="P75" s="61"/>
      <c r="Q75" s="61">
        <f>SUM(Q74)</f>
      </c>
      <c r="R75" s="61">
        <f>SUM(R74)</f>
      </c>
      <c r="S75" s="61">
        <f>SUM(S74)</f>
      </c>
      <c r="T75" s="59"/>
      <c r="U75" s="65"/>
    </row>
    <row hidden="true" r="76">
      <c r="A76" s="53" t="s">
        <v>68</v>
      </c>
      <c r="B76" s="53" t="s">
        <v>69</v>
      </c>
      <c r="C76" s="53" t="s">
        <v>70</v>
      </c>
      <c r="D76" s="53">
        <v>4</v>
      </c>
      <c r="E76" s="53">
        <v>11</v>
      </c>
      <c r="F76" s="53">
        <v>3</v>
      </c>
      <c r="G76" s="53">
        <v>5</v>
      </c>
      <c r="H76" s="53">
        <v>0</v>
      </c>
      <c r="I76" s="54">
        <v>2994</v>
      </c>
      <c r="J76" s="55">
        <v>6509.689999999999</v>
      </c>
      <c r="K76" s="56">
        <f t="shared" si="1"/>
      </c>
      <c r="L76" s="57">
        <f t="shared" si="3"/>
      </c>
      <c r="M76" s="56">
        <f t="shared" si="5"/>
      </c>
      <c r="N76" s="53" t="s">
        <v>62</v>
      </c>
      <c r="O76" s="53">
        <v>4</v>
      </c>
      <c r="P76" s="58"/>
      <c r="Q76" s="58"/>
      <c r="R76" s="53" t="s">
        <v>71</v>
      </c>
      <c r="S76" s="53">
        <v>4</v>
      </c>
      <c r="T76" s="59"/>
      <c r="U76" s="59"/>
    </row>
    <row hidden="true" r="77">
      <c r="A77" s="60" t="s">
        <v>68</v>
      </c>
      <c r="B77" s="61"/>
      <c r="C77" s="61"/>
      <c r="D77" s="61">
        <f>SUM(D76)</f>
      </c>
      <c r="E77" s="61">
        <f>SUM(E76)</f>
      </c>
      <c r="F77" s="61">
        <f>SUM(F76)</f>
      </c>
      <c r="G77" s="61">
        <f>SUM(G76)</f>
      </c>
      <c r="H77" s="61">
        <f>SUM(H76)</f>
      </c>
      <c r="I77" s="62">
        <f>SUM(I76)</f>
      </c>
      <c r="J77" s="61">
        <f>SUM(J76)</f>
      </c>
      <c r="K77" s="63">
        <f t="shared" si="1"/>
      </c>
      <c r="L77" s="64">
        <f t="shared" si="3"/>
      </c>
      <c r="M77" s="63">
        <f t="shared" si="5"/>
      </c>
      <c r="N77" s="61"/>
      <c r="O77" s="61">
        <f>SUM(O76)</f>
      </c>
      <c r="P77" s="61"/>
      <c r="Q77" s="61">
        <f>SUM(Q76)</f>
      </c>
      <c r="R77" s="61">
        <f>SUM(R76)</f>
      </c>
      <c r="S77" s="61">
        <f>SUM(S76)</f>
      </c>
      <c r="T77" s="59"/>
      <c r="U77" s="65"/>
    </row>
    <row hidden="true" r="78">
      <c r="A78" s="53" t="s">
        <v>72</v>
      </c>
      <c r="B78" s="53" t="s">
        <v>50</v>
      </c>
      <c r="C78" s="53" t="s">
        <v>70</v>
      </c>
      <c r="D78" s="53">
        <v>4</v>
      </c>
      <c r="E78" s="53">
        <v>13</v>
      </c>
      <c r="F78" s="53">
        <v>4</v>
      </c>
      <c r="G78" s="53">
        <v>4</v>
      </c>
      <c r="H78" s="53">
        <v>0</v>
      </c>
      <c r="I78" s="54">
        <v>2395.2</v>
      </c>
      <c r="J78" s="55">
        <v>6378.32</v>
      </c>
      <c r="K78" s="56">
        <f t="shared" si="1"/>
      </c>
      <c r="L78" s="57">
        <f t="shared" si="3"/>
      </c>
      <c r="M78" s="56">
        <f t="shared" si="5"/>
      </c>
      <c r="N78" s="53" t="s">
        <v>52</v>
      </c>
      <c r="O78" s="53">
        <v>4</v>
      </c>
      <c r="P78" s="58"/>
      <c r="Q78" s="58"/>
      <c r="R78" s="53" t="s">
        <v>71</v>
      </c>
      <c r="S78" s="53">
        <v>4</v>
      </c>
      <c r="T78" s="59"/>
      <c r="U78" s="59"/>
    </row>
    <row hidden="true" r="79">
      <c r="A79" s="60" t="s">
        <v>72</v>
      </c>
      <c r="B79" s="61"/>
      <c r="C79" s="61"/>
      <c r="D79" s="61">
        <f>SUM(D78)</f>
      </c>
      <c r="E79" s="61">
        <f>SUM(E78)</f>
      </c>
      <c r="F79" s="61">
        <f>SUM(F78)</f>
      </c>
      <c r="G79" s="61">
        <f>SUM(G78)</f>
      </c>
      <c r="H79" s="61">
        <f>SUM(H78)</f>
      </c>
      <c r="I79" s="62">
        <f>SUM(I78)</f>
      </c>
      <c r="J79" s="61">
        <f>SUM(J78)</f>
      </c>
      <c r="K79" s="63">
        <f t="shared" si="1"/>
      </c>
      <c r="L79" s="64">
        <f t="shared" si="3"/>
      </c>
      <c r="M79" s="63">
        <f t="shared" si="5"/>
      </c>
      <c r="N79" s="61"/>
      <c r="O79" s="61">
        <f>SUM(O78)</f>
      </c>
      <c r="P79" s="61"/>
      <c r="Q79" s="61">
        <f>SUM(Q78)</f>
      </c>
      <c r="R79" s="61">
        <f>SUM(R78)</f>
      </c>
      <c r="S79" s="61">
        <f>SUM(S78)</f>
      </c>
      <c r="T79" s="59"/>
      <c r="U79" s="66"/>
    </row>
    <row hidden="true" r="80">
      <c r="A80" s="53" t="s">
        <v>73</v>
      </c>
      <c r="B80" s="53" t="s">
        <v>74</v>
      </c>
      <c r="C80" s="53" t="s">
        <v>75</v>
      </c>
      <c r="D80" s="53">
        <v>4</v>
      </c>
      <c r="E80" s="53">
        <v>7</v>
      </c>
      <c r="F80" s="53">
        <v>0</v>
      </c>
      <c r="G80" s="53">
        <v>0</v>
      </c>
      <c r="H80" s="53">
        <v>0</v>
      </c>
      <c r="I80" s="54">
        <v>0</v>
      </c>
      <c r="J80" s="55">
        <v>2446.44</v>
      </c>
      <c r="K80" s="56">
        <f t="shared" si="1"/>
      </c>
      <c r="L80" s="57">
        <f t="shared" si="3"/>
      </c>
      <c r="M80" s="56">
        <f t="shared" si="5"/>
      </c>
      <c r="N80" s="53" t="s">
        <v>76</v>
      </c>
      <c r="O80" s="53">
        <v>4</v>
      </c>
      <c r="P80" s="58"/>
      <c r="Q80" s="58"/>
      <c r="R80" s="53" t="s">
        <v>71</v>
      </c>
      <c r="S80" s="53">
        <v>4</v>
      </c>
      <c r="T80" s="59"/>
      <c r="U80" s="59"/>
    </row>
    <row hidden="true" r="81">
      <c r="A81" s="60" t="s">
        <v>73</v>
      </c>
      <c r="B81" s="61"/>
      <c r="C81" s="61"/>
      <c r="D81" s="61">
        <f>SUM(D80)</f>
      </c>
      <c r="E81" s="61">
        <f>SUM(E80)</f>
      </c>
      <c r="F81" s="61">
        <f>SUM(F80)</f>
      </c>
      <c r="G81" s="61">
        <f>SUM(G80)</f>
      </c>
      <c r="H81" s="61">
        <f>SUM(H80)</f>
      </c>
      <c r="I81" s="62">
        <f>SUM(I80)</f>
      </c>
      <c r="J81" s="61">
        <f>SUM(J80)</f>
      </c>
      <c r="K81" s="63">
        <f t="shared" si="1"/>
      </c>
      <c r="L81" s="64">
        <f t="shared" si="3"/>
      </c>
      <c r="M81" s="63">
        <f t="shared" si="5"/>
      </c>
      <c r="N81" s="61"/>
      <c r="O81" s="61">
        <f>SUM(O80)</f>
      </c>
      <c r="P81" s="61"/>
      <c r="Q81" s="61">
        <f>SUM(Q80)</f>
      </c>
      <c r="R81" s="61">
        <f>SUM(R80)</f>
      </c>
      <c r="S81" s="61">
        <f>SUM(S80)</f>
      </c>
      <c r="T81" s="59"/>
      <c r="U81" s="59"/>
    </row>
    <row hidden="true" r="82">
      <c r="T82" s="38"/>
      <c r="U82" s="38"/>
    </row>
    <row hidden="true" r="83">
      <c r="T83" s="38"/>
      <c r="U83" s="38"/>
    </row>
    <row hidden="true" r="84">
      <c r="T84" s="38"/>
      <c r="U84" s="38"/>
    </row>
    <row hidden="true" r="85">
      <c r="T85" s="38"/>
      <c r="U85" s="38"/>
    </row>
    <row hidden="true" r="86">
      <c r="T86" s="38"/>
      <c r="U86" s="38"/>
    </row>
    <row hidden="true" r="87">
      <c r="T87" s="38"/>
      <c r="U87" s="38"/>
    </row>
    <row hidden="true" r="88">
      <c r="T88" s="38"/>
      <c r="U88" s="38"/>
    </row>
    <row hidden="true" r="89">
      <c r="T89" s="38"/>
      <c r="U89" s="38"/>
    </row>
    <row hidden="true" r="90">
      <c r="T90" s="38"/>
      <c r="U90" s="38"/>
    </row>
    <row hidden="true" r="91">
      <c r="T91" s="38"/>
      <c r="U91" s="38"/>
    </row>
    <row hidden="true" r="92">
      <c r="T92" s="38"/>
      <c r="U92" s="38"/>
    </row>
    <row hidden="true" r="93">
      <c r="T93" s="38"/>
      <c r="U93" s="38"/>
    </row>
    <row hidden="true" r="94">
      <c r="T94" s="38"/>
      <c r="U94" s="38"/>
    </row>
    <row hidden="true" r="95">
      <c r="T95" s="38"/>
      <c r="U95" s="38"/>
    </row>
    <row hidden="true" r="96">
      <c r="T96" s="38"/>
      <c r="U96" s="38"/>
    </row>
    <row hidden="true" r="97">
      <c r="T97" s="38"/>
      <c r="U97" s="38"/>
    </row>
    <row hidden="true" r="98">
      <c r="T98" s="38"/>
      <c r="U98" s="38"/>
    </row>
    <row hidden="true" r="99">
      <c r="T99" s="38"/>
      <c r="U99" s="38"/>
    </row>
    <row hidden="true" r="100">
      <c r="T100" s="38"/>
      <c r="U100" s="38"/>
    </row>
    <row hidden="true" r="101">
      <c r="T101" s="38"/>
      <c r="U101" s="38"/>
    </row>
    <row hidden="true" r="102">
      <c r="T102" s="38"/>
      <c r="U102" s="38"/>
    </row>
    <row hidden="true" r="103">
      <c r="T103" s="38"/>
      <c r="U103" s="38"/>
    </row>
    <row hidden="true" r="104">
      <c r="T104" s="38"/>
      <c r="U104" s="38"/>
    </row>
    <row hidden="true" r="105">
      <c r="T105" s="38"/>
      <c r="U105" s="38"/>
    </row>
    <row hidden="true" r="106">
      <c r="T106" s="38"/>
      <c r="U106" s="38"/>
    </row>
    <row hidden="true" r="107">
      <c r="T107" s="38"/>
      <c r="U107" s="38"/>
    </row>
    <row hidden="true" r="108">
      <c r="T108" s="38"/>
      <c r="U108" s="38"/>
    </row>
    <row hidden="true" r="109">
      <c r="T109" s="38"/>
      <c r="U109" s="38"/>
    </row>
    <row hidden="true" r="110">
      <c r="T110" s="38"/>
      <c r="U110" s="38"/>
    </row>
    <row hidden="true" r="111">
      <c r="T111" s="38"/>
      <c r="U111" s="38"/>
    </row>
    <row hidden="true" r="112">
      <c r="T112" s="38"/>
      <c r="U112" s="38"/>
    </row>
    <row hidden="true" r="113">
      <c r="T113" s="38"/>
      <c r="U113" s="38"/>
    </row>
    <row hidden="true" r="114">
      <c r="T114" s="38"/>
      <c r="U114" s="38"/>
    </row>
    <row hidden="true" r="115">
      <c r="T115" s="38"/>
      <c r="U115" s="38"/>
    </row>
    <row hidden="true" r="116">
      <c r="T116" s="38"/>
      <c r="U116" s="38"/>
    </row>
    <row hidden="true" r="117">
      <c r="T117" s="38"/>
      <c r="U117" s="38"/>
    </row>
    <row hidden="true" r="118">
      <c r="T118" s="38"/>
      <c r="U118" s="38"/>
    </row>
    <row hidden="true" r="119">
      <c r="T119" s="38"/>
      <c r="U119" s="38"/>
    </row>
    <row hidden="true" r="120">
      <c r="T120" s="38"/>
      <c r="U120" s="38"/>
    </row>
    <row hidden="true" r="121">
      <c r="T121" s="38"/>
      <c r="U121" s="38"/>
    </row>
    <row hidden="true" r="122">
      <c r="T122" s="38"/>
      <c r="U122" s="38"/>
    </row>
    <row hidden="true" r="123">
      <c r="T123" s="38"/>
      <c r="U123" s="38"/>
    </row>
    <row hidden="true" r="124">
      <c r="T124" s="38"/>
      <c r="U124" s="38"/>
    </row>
    <row hidden="true" r="125">
      <c r="T125" s="38"/>
      <c r="U125" s="38"/>
    </row>
    <row hidden="true" r="126">
      <c r="T126" s="38"/>
      <c r="U126" s="38"/>
    </row>
    <row hidden="true" r="127">
      <c r="T127" s="38"/>
      <c r="U127" s="38"/>
    </row>
    <row hidden="true" r="128">
      <c r="T128" s="38"/>
      <c r="U128" s="38"/>
    </row>
    <row hidden="true" r="129">
      <c r="T129" s="38"/>
      <c r="U129" s="38"/>
    </row>
    <row hidden="true" r="130">
      <c r="T130" s="38"/>
      <c r="U130" s="38"/>
    </row>
    <row hidden="true" r="131">
      <c r="T131" s="38"/>
      <c r="U131" s="38"/>
    </row>
    <row hidden="true" r="132">
      <c r="T132" s="38"/>
      <c r="U132" s="38"/>
    </row>
    <row hidden="true" r="133">
      <c r="T133" s="38"/>
      <c r="U133" s="38"/>
    </row>
    <row hidden="true" r="134">
      <c r="T134" s="38"/>
      <c r="U134" s="38"/>
    </row>
    <row hidden="true" r="135">
      <c r="T135" s="38"/>
      <c r="U135" s="38"/>
    </row>
    <row hidden="true" r="136">
      <c r="T136" s="38"/>
      <c r="U136" s="38"/>
    </row>
    <row hidden="true" r="137">
      <c r="T137" s="38"/>
      <c r="U137" s="38"/>
    </row>
    <row hidden="true" r="138">
      <c r="T138" s="38"/>
      <c r="U138" s="38"/>
    </row>
    <row hidden="true" r="139">
      <c r="T139" s="38"/>
      <c r="U139" s="38"/>
    </row>
    <row hidden="true" r="140">
      <c r="T140" s="38"/>
      <c r="U140" s="38"/>
    </row>
    <row hidden="true" r="141">
      <c r="T141" s="38"/>
      <c r="U141" s="38"/>
    </row>
    <row hidden="true" r="142">
      <c r="T142" s="38"/>
      <c r="U142" s="38"/>
    </row>
    <row hidden="true" r="143">
      <c r="T143" s="38"/>
      <c r="U143" s="38"/>
    </row>
    <row hidden="true" r="144">
      <c r="T144" s="38"/>
      <c r="U144" s="38"/>
    </row>
    <row hidden="true" r="145">
      <c r="T145" s="38"/>
      <c r="U145" s="38"/>
    </row>
    <row hidden="true" r="146">
      <c r="T146" s="38"/>
      <c r="U146" s="38"/>
    </row>
    <row hidden="true" r="147">
      <c r="T147" s="38"/>
      <c r="U147" s="38"/>
    </row>
    <row hidden="true" r="148">
      <c r="T148" s="38"/>
      <c r="U148" s="38"/>
    </row>
    <row hidden="true" r="149">
      <c r="T149" s="38"/>
      <c r="U149" s="38"/>
    </row>
    <row hidden="true" r="150">
      <c r="T150" s="38"/>
      <c r="U150" s="38"/>
    </row>
    <row hidden="true" r="151">
      <c r="T151" s="38"/>
      <c r="U151" s="38"/>
    </row>
    <row hidden="true" r="152">
      <c r="T152" s="38"/>
      <c r="U152" s="38"/>
    </row>
    <row hidden="true" r="153">
      <c r="T153" s="38"/>
      <c r="U153" s="38"/>
    </row>
    <row hidden="true" r="154">
      <c r="T154" s="38"/>
      <c r="U154" s="38"/>
    </row>
    <row hidden="true" r="155">
      <c r="T155" s="38"/>
      <c r="U155" s="38"/>
    </row>
    <row hidden="true" r="156">
      <c r="T156" s="38"/>
      <c r="U156" s="38"/>
    </row>
    <row hidden="true" r="157">
      <c r="T157" s="38"/>
      <c r="U157" s="38"/>
    </row>
    <row hidden="true" r="158">
      <c r="T158" s="38"/>
      <c r="U158" s="38"/>
    </row>
    <row hidden="true" r="159">
      <c r="T159" s="38"/>
      <c r="U159" s="38"/>
    </row>
    <row hidden="true" r="160">
      <c r="T160" s="38"/>
      <c r="U160" s="38"/>
    </row>
    <row hidden="true" r="161">
      <c r="T161" s="38"/>
      <c r="U161" s="38"/>
    </row>
    <row hidden="true" r="162">
      <c r="T162" s="38"/>
      <c r="U162" s="38"/>
    </row>
    <row hidden="true" r="163">
      <c r="T163" s="38"/>
      <c r="U163" s="38"/>
    </row>
    <row hidden="true" r="164">
      <c r="T164" s="38"/>
      <c r="U164" s="38"/>
    </row>
    <row hidden="true" r="165">
      <c r="T165" s="38"/>
      <c r="U165" s="38"/>
    </row>
    <row hidden="true" r="166">
      <c r="T166" s="38"/>
      <c r="U166" s="38"/>
    </row>
    <row hidden="true" r="167">
      <c r="T167" s="38"/>
      <c r="U167" s="38"/>
    </row>
    <row hidden="true" r="168">
      <c r="T168" s="38"/>
      <c r="U168" s="38"/>
    </row>
    <row hidden="true" r="169">
      <c r="T169" s="38"/>
      <c r="U169" s="38"/>
    </row>
    <row hidden="true" r="170">
      <c r="T170" s="38"/>
      <c r="U170" s="38"/>
    </row>
    <row hidden="true" r="171">
      <c r="T171" s="38"/>
      <c r="U171" s="38"/>
    </row>
    <row hidden="true" r="172">
      <c r="T172" s="38"/>
      <c r="U172" s="38"/>
    </row>
    <row hidden="true" r="173">
      <c r="T173" s="38"/>
      <c r="U173" s="38"/>
    </row>
    <row hidden="true" r="174">
      <c r="T174" s="38"/>
      <c r="U174" s="38"/>
    </row>
    <row hidden="true" r="175">
      <c r="T175" s="38"/>
      <c r="U175" s="38"/>
    </row>
    <row hidden="true" r="176">
      <c r="T176" s="38"/>
      <c r="U176" s="38"/>
    </row>
    <row hidden="true" r="177">
      <c r="T177" s="38"/>
      <c r="U177" s="38"/>
    </row>
    <row hidden="true" r="178">
      <c r="T178" s="38"/>
      <c r="U178" s="38"/>
    </row>
    <row hidden="true" r="179">
      <c r="T179" s="38"/>
      <c r="U179" s="38"/>
    </row>
    <row hidden="true" r="180">
      <c r="T180" s="38"/>
      <c r="U180" s="38"/>
    </row>
    <row hidden="true" r="181">
      <c r="T181" s="38"/>
      <c r="U181" s="38"/>
    </row>
    <row hidden="true" r="182">
      <c r="T182" s="38"/>
      <c r="U182" s="38"/>
    </row>
    <row hidden="true" r="183">
      <c r="T183" s="38"/>
      <c r="U183" s="38"/>
    </row>
    <row hidden="true" r="184">
      <c r="T184" s="38"/>
      <c r="U184" s="38"/>
    </row>
    <row hidden="true" r="185">
      <c r="T185" s="38"/>
      <c r="U185" s="38"/>
    </row>
    <row hidden="true" r="186">
      <c r="T186" s="38"/>
      <c r="U186" s="38"/>
    </row>
    <row hidden="true" r="187">
      <c r="T187" s="38"/>
      <c r="U187" s="38"/>
    </row>
    <row hidden="true" r="188">
      <c r="T188" s="38"/>
      <c r="U188" s="38"/>
    </row>
    <row hidden="true" r="189">
      <c r="T189" s="38"/>
      <c r="U189" s="38"/>
    </row>
    <row hidden="true" r="190">
      <c r="T190" s="38"/>
      <c r="U190" s="38"/>
    </row>
    <row hidden="true" r="191">
      <c r="T191" s="38"/>
      <c r="U191" s="38"/>
    </row>
    <row hidden="true" r="192">
      <c r="T192" s="38"/>
      <c r="U192" s="38"/>
    </row>
    <row hidden="true" r="193">
      <c r="T193" s="38"/>
      <c r="U193" s="38"/>
    </row>
    <row hidden="true" r="194">
      <c r="T194" s="38"/>
      <c r="U194" s="38"/>
    </row>
    <row hidden="true" r="195">
      <c r="T195" s="38"/>
      <c r="U195" s="38"/>
    </row>
    <row hidden="true" r="196">
      <c r="T196" s="38"/>
      <c r="U196" s="38"/>
    </row>
    <row hidden="true" r="197">
      <c r="T197" s="38"/>
      <c r="U197" s="38"/>
    </row>
    <row hidden="true" r="198">
      <c r="T198" s="38"/>
      <c r="U198" s="38"/>
    </row>
    <row hidden="true" r="199">
      <c r="T199" s="38"/>
      <c r="U199" s="38"/>
    </row>
    <row hidden="true" r="200">
      <c r="T200" s="38"/>
      <c r="U200" s="38"/>
    </row>
    <row r="201"/>
    <row r="202"/>
    <row r="203"/>
    <row r="204"/>
    <row r="205"/>
    <row r="206">
      <c r="T206" s="38"/>
      <c r="U206" s="38"/>
    </row>
    <row r="207">
      <c r="T207" s="38"/>
      <c r="U207" s="38"/>
    </row>
    <row r="208">
      <c r="T208" s="38"/>
      <c r="U208" s="38"/>
    </row>
    <row r="209">
      <c r="T209" s="38"/>
      <c r="U209" s="38"/>
    </row>
    <row r="210">
      <c r="T210" s="38"/>
      <c r="U210" s="38"/>
    </row>
    <row r="211">
      <c r="T211" s="38"/>
      <c r="U211" s="38"/>
    </row>
    <row r="212">
      <c r="T212" s="38"/>
      <c r="U212" s="38"/>
    </row>
    <row r="213">
      <c r="T213" s="38"/>
      <c r="U213" s="38"/>
    </row>
    <row r="214">
      <c r="T214" s="38"/>
      <c r="U214" s="38"/>
    </row>
    <row r="215">
      <c r="T215" s="38"/>
      <c r="U215" s="38"/>
    </row>
    <row r="216">
      <c r="T216" s="38"/>
      <c r="U216" s="38"/>
    </row>
    <row r="217">
      <c r="T217" s="38"/>
      <c r="U217" s="38"/>
    </row>
    <row r="218">
      <c r="T218" s="38"/>
      <c r="U218" s="38"/>
    </row>
    <row r="219">
      <c r="T219" s="38"/>
      <c r="U219" s="38"/>
    </row>
    <row r="220">
      <c r="T220" s="38"/>
      <c r="U220" s="38"/>
    </row>
    <row r="221">
      <c r="T221" s="38"/>
      <c r="U221" s="38"/>
    </row>
    <row r="222">
      <c r="T222" s="38"/>
      <c r="U222" s="38"/>
    </row>
    <row r="223">
      <c r="T223" s="38"/>
      <c r="U223" s="38"/>
    </row>
    <row r="224">
      <c r="T224" s="38"/>
      <c r="U224" s="38"/>
    </row>
    <row r="225">
      <c r="T225" s="38"/>
      <c r="U225" s="38"/>
    </row>
    <row r="226">
      <c r="T226" s="38"/>
      <c r="U226" s="38"/>
    </row>
    <row r="227">
      <c r="T227" s="38"/>
      <c r="U227" s="38"/>
    </row>
    <row r="228">
      <c r="T228" s="38"/>
      <c r="U228" s="38"/>
    </row>
    <row r="229">
      <c r="T229" s="38"/>
      <c r="U229" s="38"/>
    </row>
    <row r="230">
      <c r="T230" s="38"/>
      <c r="U230" s="38"/>
    </row>
    <row r="231">
      <c r="T231" s="38"/>
      <c r="U231" s="38"/>
    </row>
    <row r="232">
      <c r="T232" s="38"/>
      <c r="U232" s="38"/>
    </row>
    <row r="233">
      <c r="T233" s="38"/>
      <c r="U233" s="38"/>
    </row>
    <row r="234">
      <c r="T234" s="38"/>
      <c r="U234" s="38"/>
    </row>
    <row r="235">
      <c r="T235" s="38"/>
      <c r="U235" s="38"/>
    </row>
    <row r="236">
      <c r="T236" s="38"/>
      <c r="U236" s="38"/>
    </row>
    <row r="237">
      <c r="T237" s="38"/>
      <c r="U237" s="38"/>
    </row>
    <row r="238">
      <c r="T238" s="38"/>
      <c r="U238" s="38"/>
    </row>
    <row r="239">
      <c r="T239" s="38"/>
      <c r="U239" s="38"/>
    </row>
    <row r="240">
      <c r="T240" s="38"/>
      <c r="U240" s="38"/>
    </row>
    <row r="241">
      <c r="T241" s="38"/>
      <c r="U241" s="38"/>
    </row>
    <row r="242">
      <c r="T242" s="38"/>
      <c r="U242" s="38"/>
    </row>
    <row r="243">
      <c r="T243" s="38"/>
      <c r="U243" s="38"/>
    </row>
    <row r="244">
      <c r="T244" s="38"/>
      <c r="U244" s="38"/>
    </row>
    <row r="245">
      <c r="T245" s="38"/>
      <c r="U245" s="38"/>
    </row>
    <row r="246">
      <c r="T246" s="38"/>
      <c r="U246" s="38"/>
    </row>
    <row r="247">
      <c r="T247" s="38"/>
      <c r="U247" s="38"/>
    </row>
    <row r="248">
      <c r="T248" s="38"/>
      <c r="U248" s="38"/>
    </row>
    <row r="249">
      <c r="T249" s="38"/>
      <c r="U249" s="38"/>
    </row>
    <row r="250">
      <c r="T250" s="38"/>
      <c r="U250" s="38"/>
    </row>
    <row r="251">
      <c r="T251" s="38"/>
      <c r="U251" s="38"/>
    </row>
    <row r="252">
      <c r="T252" s="38"/>
      <c r="U252" s="38"/>
    </row>
    <row r="253">
      <c r="T253" s="38"/>
      <c r="U253" s="38"/>
    </row>
    <row r="254">
      <c r="T254" s="38"/>
      <c r="U254" s="38"/>
    </row>
    <row r="255">
      <c r="T255" s="38"/>
      <c r="U255" s="38"/>
    </row>
    <row r="256">
      <c r="T256" s="38"/>
      <c r="U256" s="38"/>
    </row>
    <row r="257">
      <c r="T257" s="38"/>
      <c r="U257" s="38"/>
    </row>
    <row r="258">
      <c r="T258" s="38"/>
      <c r="U258" s="38"/>
    </row>
    <row r="259">
      <c r="T259" s="38"/>
      <c r="U259" s="38"/>
    </row>
    <row r="260">
      <c r="T260" s="38"/>
      <c r="U260" s="38"/>
    </row>
    <row r="261">
      <c r="T261" s="38"/>
      <c r="U261" s="38"/>
    </row>
    <row r="262">
      <c r="T262" s="38"/>
      <c r="U262" s="38"/>
    </row>
    <row r="263">
      <c r="T263" s="38"/>
      <c r="U263" s="38"/>
    </row>
    <row r="264">
      <c r="T264" s="38"/>
      <c r="U264" s="38"/>
    </row>
    <row r="265">
      <c r="T265" s="38"/>
      <c r="U265" s="38"/>
    </row>
    <row r="266">
      <c r="T266" s="38"/>
      <c r="U266" s="38"/>
    </row>
    <row r="267">
      <c r="T267" s="38"/>
      <c r="U267" s="38"/>
    </row>
    <row r="268">
      <c r="T268" s="38"/>
      <c r="U268" s="38"/>
    </row>
    <row r="269">
      <c r="T269" s="38"/>
      <c r="U269" s="38"/>
    </row>
    <row r="270">
      <c r="T270" s="38"/>
      <c r="U270" s="38"/>
    </row>
    <row r="271">
      <c r="T271" s="38"/>
      <c r="U271" s="38"/>
    </row>
    <row r="272">
      <c r="T272" s="38"/>
      <c r="U272" s="38"/>
    </row>
    <row r="273">
      <c r="T273" s="38"/>
      <c r="U273" s="38"/>
    </row>
    <row r="274">
      <c r="T274" s="38"/>
      <c r="U274" s="38"/>
    </row>
    <row r="275">
      <c r="T275" s="38"/>
      <c r="U275" s="38"/>
    </row>
    <row r="276">
      <c r="T276" s="38"/>
      <c r="U276" s="38"/>
    </row>
    <row r="277">
      <c r="T277" s="38"/>
      <c r="U277" s="38"/>
    </row>
    <row r="278">
      <c r="T278" s="38"/>
      <c r="U278" s="38"/>
    </row>
    <row r="279">
      <c r="T279" s="38"/>
      <c r="U279" s="38"/>
    </row>
    <row r="280">
      <c r="T280" s="38"/>
      <c r="U280" s="38"/>
    </row>
    <row r="281">
      <c r="T281" s="38"/>
      <c r="U281" s="38"/>
    </row>
    <row r="282">
      <c r="T282" s="38"/>
      <c r="U282" s="38"/>
    </row>
    <row r="283">
      <c r="T283" s="38"/>
      <c r="U283" s="38"/>
    </row>
    <row r="284">
      <c r="T284" s="38"/>
      <c r="U284" s="38"/>
    </row>
    <row r="285">
      <c r="T285" s="38"/>
      <c r="U285" s="38"/>
    </row>
    <row r="286">
      <c r="T286" s="38"/>
      <c r="U286" s="38"/>
    </row>
    <row r="287">
      <c r="T287" s="38"/>
      <c r="U287" s="38"/>
    </row>
    <row r="288">
      <c r="T288" s="38"/>
      <c r="U288" s="38"/>
    </row>
    <row r="289">
      <c r="T289" s="38"/>
      <c r="U289" s="38"/>
    </row>
    <row r="290">
      <c r="T290" s="38"/>
      <c r="U290" s="38"/>
    </row>
    <row r="291">
      <c r="T291" s="38"/>
      <c r="U291" s="38"/>
    </row>
    <row r="292">
      <c r="T292" s="38"/>
      <c r="U292" s="38"/>
    </row>
    <row r="293">
      <c r="T293" s="38"/>
      <c r="U293" s="38"/>
    </row>
    <row r="294">
      <c r="T294" s="38"/>
      <c r="U294" s="38"/>
    </row>
    <row r="295">
      <c r="T295" s="38"/>
      <c r="U295" s="38"/>
    </row>
    <row r="296">
      <c r="T296" s="38"/>
      <c r="U296" s="38"/>
    </row>
    <row r="297">
      <c r="T297" s="38"/>
      <c r="U297" s="38"/>
    </row>
    <row r="298">
      <c r="T298" s="38"/>
      <c r="U298" s="38"/>
    </row>
    <row r="299">
      <c r="T299" s="38"/>
      <c r="U299" s="38"/>
    </row>
    <row r="300">
      <c r="T300" s="38"/>
      <c r="U300" s="38"/>
    </row>
    <row r="301">
      <c r="T301" s="38"/>
      <c r="U301" s="38"/>
    </row>
    <row r="302">
      <c r="T302" s="38"/>
      <c r="U302" s="38"/>
    </row>
    <row r="303">
      <c r="T303" s="38"/>
      <c r="U303" s="38"/>
    </row>
    <row r="304">
      <c r="T304" s="38"/>
      <c r="U304" s="38"/>
    </row>
    <row r="305">
      <c r="T305" s="38"/>
      <c r="U305" s="38"/>
    </row>
    <row r="306">
      <c r="T306" s="38"/>
      <c r="U306" s="38"/>
    </row>
    <row r="307">
      <c r="T307" s="38"/>
      <c r="U307" s="38"/>
    </row>
    <row r="308">
      <c r="T308" s="38"/>
      <c r="U308" s="38"/>
    </row>
    <row r="309">
      <c r="T309" s="38"/>
      <c r="U309" s="38"/>
    </row>
    <row r="310">
      <c r="T310" s="38"/>
      <c r="U310" s="38"/>
    </row>
    <row r="311">
      <c r="T311" s="38"/>
      <c r="U311" s="38"/>
    </row>
    <row r="312">
      <c r="T312" s="38"/>
      <c r="U312" s="38"/>
    </row>
    <row r="313">
      <c r="T313" s="38"/>
      <c r="U313" s="38"/>
    </row>
    <row r="314">
      <c r="T314" s="38"/>
      <c r="U314" s="38"/>
    </row>
    <row r="315">
      <c r="T315" s="38"/>
      <c r="U315" s="38"/>
    </row>
    <row r="316">
      <c r="T316" s="38"/>
      <c r="U316" s="38"/>
    </row>
    <row r="317">
      <c r="T317" s="38"/>
      <c r="U317" s="38"/>
    </row>
    <row r="318">
      <c r="T318" s="38"/>
      <c r="U318" s="38"/>
    </row>
    <row r="319">
      <c r="T319" s="38"/>
      <c r="U319" s="38"/>
    </row>
    <row r="320">
      <c r="T320" s="38"/>
      <c r="U320" s="38"/>
    </row>
    <row r="321">
      <c r="T321" s="38"/>
      <c r="U321" s="38"/>
    </row>
    <row r="322">
      <c r="T322" s="38"/>
      <c r="U322" s="38"/>
    </row>
    <row r="323">
      <c r="T323" s="38"/>
      <c r="U323" s="38"/>
    </row>
    <row r="324">
      <c r="T324" s="38"/>
      <c r="U324" s="38"/>
    </row>
    <row r="325">
      <c r="T325" s="38"/>
      <c r="U325" s="38"/>
    </row>
    <row r="326">
      <c r="T326" s="38"/>
      <c r="U326" s="38"/>
    </row>
    <row r="327">
      <c r="T327" s="38"/>
      <c r="U327" s="38"/>
    </row>
    <row r="328">
      <c r="T328" s="38"/>
      <c r="U328" s="38"/>
    </row>
    <row r="329">
      <c r="T329" s="38"/>
      <c r="U329" s="38"/>
    </row>
    <row r="330">
      <c r="T330" s="38"/>
      <c r="U330" s="38"/>
    </row>
    <row r="331">
      <c r="T331" s="38"/>
      <c r="U331" s="38"/>
    </row>
    <row r="332">
      <c r="T332" s="38"/>
      <c r="U332" s="38"/>
    </row>
    <row r="333">
      <c r="T333" s="38"/>
      <c r="U333" s="38"/>
    </row>
    <row r="334">
      <c r="T334" s="38"/>
      <c r="U334" s="38"/>
    </row>
    <row r="335">
      <c r="T335" s="38"/>
      <c r="U335" s="38"/>
    </row>
    <row r="336">
      <c r="T336" s="38"/>
      <c r="U336" s="38"/>
    </row>
    <row r="337">
      <c r="T337" s="38"/>
      <c r="U337" s="38"/>
    </row>
    <row r="338">
      <c r="T338" s="38"/>
      <c r="U338" s="38"/>
    </row>
    <row r="339">
      <c r="T339" s="38"/>
      <c r="U339" s="38"/>
    </row>
    <row r="340">
      <c r="T340" s="38"/>
      <c r="U340" s="38"/>
    </row>
    <row r="341">
      <c r="T341" s="38"/>
      <c r="U341" s="38"/>
    </row>
    <row r="342">
      <c r="T342" s="38"/>
      <c r="U342" s="38"/>
    </row>
    <row r="343">
      <c r="T343" s="38"/>
      <c r="U343" s="38"/>
    </row>
    <row r="344">
      <c r="T344" s="38"/>
      <c r="U344" s="38"/>
    </row>
    <row r="345">
      <c r="T345" s="38"/>
      <c r="U345" s="38"/>
    </row>
    <row r="346">
      <c r="T346" s="38"/>
      <c r="U346" s="38"/>
    </row>
    <row r="347">
      <c r="T347" s="38"/>
      <c r="U347" s="38"/>
    </row>
    <row r="348">
      <c r="T348" s="38"/>
      <c r="U348" s="38"/>
    </row>
    <row r="349">
      <c r="T349" s="38"/>
      <c r="U349" s="38"/>
    </row>
    <row r="350">
      <c r="T350" s="38"/>
      <c r="U350" s="38"/>
    </row>
    <row r="351">
      <c r="T351" s="38"/>
      <c r="U351" s="38"/>
    </row>
    <row r="352">
      <c r="T352" s="38"/>
      <c r="U352" s="38"/>
    </row>
    <row r="353">
      <c r="T353" s="38"/>
      <c r="U353" s="38"/>
    </row>
    <row r="354">
      <c r="T354" s="38"/>
      <c r="U354" s="38"/>
    </row>
    <row r="355">
      <c r="T355" s="38"/>
      <c r="U355" s="38"/>
    </row>
    <row r="356">
      <c r="T356" s="38"/>
      <c r="U356" s="38"/>
    </row>
    <row r="357">
      <c r="T357" s="38"/>
      <c r="U357" s="38"/>
    </row>
    <row r="358">
      <c r="T358" s="38"/>
      <c r="U358" s="38"/>
    </row>
    <row r="359">
      <c r="T359" s="38"/>
      <c r="U359" s="38"/>
    </row>
    <row r="360">
      <c r="T360" s="38"/>
      <c r="U360" s="38"/>
    </row>
    <row r="361">
      <c r="T361" s="38"/>
      <c r="U361" s="38"/>
    </row>
    <row r="362">
      <c r="T362" s="38"/>
      <c r="U362" s="38"/>
    </row>
    <row r="363">
      <c r="T363" s="38"/>
      <c r="U363" s="38"/>
    </row>
    <row r="364">
      <c r="T364" s="38"/>
      <c r="U364" s="38"/>
    </row>
    <row r="365">
      <c r="T365" s="38"/>
      <c r="U365" s="38"/>
    </row>
    <row r="366">
      <c r="T366" s="38"/>
      <c r="U366" s="38"/>
    </row>
    <row r="367">
      <c r="T367" s="38"/>
      <c r="U367" s="38"/>
    </row>
    <row r="368">
      <c r="T368" s="38"/>
      <c r="U368" s="38"/>
    </row>
    <row r="369">
      <c r="T369" s="38"/>
      <c r="U369" s="38"/>
    </row>
    <row r="370">
      <c r="T370" s="38"/>
      <c r="U370" s="38"/>
    </row>
    <row r="371">
      <c r="T371" s="38"/>
      <c r="U371" s="38"/>
    </row>
    <row r="372">
      <c r="T372" s="38"/>
      <c r="U372" s="38"/>
    </row>
    <row r="373">
      <c r="T373" s="38"/>
      <c r="U373" s="38"/>
    </row>
    <row r="374">
      <c r="T374" s="38"/>
      <c r="U374" s="38"/>
    </row>
    <row r="375">
      <c r="T375" s="38"/>
      <c r="U375" s="38"/>
    </row>
    <row r="376">
      <c r="T376" s="38"/>
      <c r="U376" s="38"/>
    </row>
    <row r="377">
      <c r="T377" s="38"/>
      <c r="U377" s="38"/>
    </row>
    <row r="378">
      <c r="T378" s="38"/>
      <c r="U378" s="38"/>
    </row>
    <row r="379">
      <c r="T379" s="38"/>
      <c r="U379" s="38"/>
    </row>
    <row r="380">
      <c r="T380" s="38"/>
      <c r="U380" s="38"/>
    </row>
    <row r="381">
      <c r="T381" s="38"/>
      <c r="U381" s="38"/>
    </row>
    <row r="382">
      <c r="T382" s="38"/>
      <c r="U382" s="38"/>
    </row>
    <row r="383">
      <c r="T383" s="38"/>
      <c r="U383" s="38"/>
    </row>
    <row r="384">
      <c r="T384" s="38"/>
      <c r="U384" s="38"/>
    </row>
    <row r="385">
      <c r="T385" s="38"/>
      <c r="U385" s="38"/>
    </row>
    <row r="386">
      <c r="T386" s="38"/>
      <c r="U386" s="38"/>
    </row>
    <row r="387">
      <c r="T387" s="38"/>
      <c r="U387" s="38"/>
    </row>
    <row r="388">
      <c r="T388" s="38"/>
      <c r="U388" s="38"/>
    </row>
    <row r="389">
      <c r="T389" s="38"/>
      <c r="U389" s="38"/>
    </row>
    <row r="390">
      <c r="T390" s="38"/>
      <c r="U390" s="38"/>
    </row>
    <row r="391">
      <c r="T391" s="38"/>
      <c r="U391" s="38"/>
    </row>
    <row r="392">
      <c r="T392" s="38"/>
      <c r="U392" s="38"/>
    </row>
    <row r="393">
      <c r="T393" s="38"/>
      <c r="U393" s="38"/>
    </row>
    <row r="394">
      <c r="T394" s="38"/>
      <c r="U394" s="38"/>
    </row>
    <row r="395">
      <c r="T395" s="38"/>
      <c r="U395" s="38"/>
    </row>
    <row r="396">
      <c r="T396" s="38"/>
      <c r="U396" s="38"/>
    </row>
    <row r="397">
      <c r="T397" s="38"/>
      <c r="U397" s="38"/>
    </row>
    <row r="398">
      <c r="T398" s="38"/>
      <c r="U398" s="38"/>
    </row>
    <row r="399">
      <c r="T399" s="38"/>
      <c r="U399" s="38"/>
    </row>
    <row r="400">
      <c r="T400" s="38"/>
      <c r="U400" s="38"/>
    </row>
  </sheetData>
  <autoFilter ref="A1:T200">
    <filterColumn colId="0">
      <filters>
        <filter val="2026/9.30"/>
      </filters>
    </filterColumn>
  </autoFilter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67" t="s">
        <v>82</v>
      </c>
      <c r="B1" s="68" t="s">
        <v>83</v>
      </c>
      <c r="C1" s="68" t="s">
        <v>84</v>
      </c>
      <c r="D1" s="67" t="s">
        <v>85</v>
      </c>
      <c r="E1" s="67" t="s">
        <v>86</v>
      </c>
      <c r="F1" s="67" t="s">
        <v>87</v>
      </c>
      <c r="G1" s="69" t="s">
        <v>88</v>
      </c>
      <c r="H1" s="69" t="s">
        <v>89</v>
      </c>
      <c r="I1" s="67" t="s">
        <v>90</v>
      </c>
      <c r="J1" s="67" t="s">
        <v>91</v>
      </c>
      <c r="K1" s="70" t="s">
        <v>92</v>
      </c>
      <c r="L1" s="71" t="s">
        <v>93</v>
      </c>
      <c r="M1" s="71" t="s">
        <v>94</v>
      </c>
      <c r="N1" s="71" t="s">
        <v>95</v>
      </c>
      <c r="O1" s="71" t="s">
        <v>96</v>
      </c>
      <c r="P1" s="67" t="s">
        <v>97</v>
      </c>
      <c r="Q1" s="67" t="s">
        <v>98</v>
      </c>
      <c r="R1" s="67" t="s">
        <v>97</v>
      </c>
      <c r="S1" s="67" t="s">
        <v>99</v>
      </c>
      <c r="T1" s="67" t="s">
        <v>100</v>
      </c>
      <c r="U1" s="72"/>
    </row>
    <row hidden="true" r="2">
      <c r="A2" s="73" t="s">
        <v>101</v>
      </c>
      <c r="B2" s="74" t="s">
        <v>102</v>
      </c>
      <c r="C2" s="74" t="s">
        <v>103</v>
      </c>
      <c r="D2" s="75">
        <v>4</v>
      </c>
      <c r="E2" s="76">
        <v>89</v>
      </c>
      <c r="F2" s="76">
        <v>24</v>
      </c>
      <c r="G2" s="76">
        <v>25</v>
      </c>
      <c r="H2" s="76">
        <v>9</v>
      </c>
      <c r="I2" s="73">
        <v>1</v>
      </c>
      <c r="J2" s="77">
        <v>8359.2</v>
      </c>
      <c r="K2" s="78">
        <v>9374.08</v>
      </c>
      <c r="L2" s="79">
        <f t="shared" ref="L2:L6" si="18">J2/K2</f>
      </c>
      <c r="M2" s="80">
        <f t="shared" ref="M2:M6" si="0">J2/G2</f>
      </c>
      <c r="N2" s="80">
        <f t="shared" ref="N2:N6" si="9">K2/(G2+H2)</f>
      </c>
      <c r="O2" s="76" t="s">
        <v>104</v>
      </c>
      <c r="P2" s="76">
        <v>4</v>
      </c>
      <c r="Q2" s="81"/>
      <c r="R2" s="81"/>
      <c r="S2" s="81" t="s">
        <v>105</v>
      </c>
      <c r="T2" s="76">
        <v>4</v>
      </c>
    </row>
    <row hidden="true" r="3">
      <c r="A3" s="82" t="s">
        <v>101</v>
      </c>
      <c r="B3" s="83"/>
      <c r="C3" s="83"/>
      <c r="D3" s="84">
        <f>SUM(D2)</f>
      </c>
      <c r="E3" s="85">
        <f>SUM(E2)</f>
      </c>
      <c r="F3" s="85">
        <f>SUM(F2)</f>
      </c>
      <c r="G3" s="85">
        <f>SUM(G2)</f>
      </c>
      <c r="H3" s="85">
        <f>SUM(H2)</f>
      </c>
      <c r="I3" s="85">
        <f>SUM(I2)</f>
      </c>
      <c r="J3" s="86">
        <f>SUM(J2)</f>
      </c>
      <c r="K3" s="83">
        <f>SUM(K2)</f>
      </c>
      <c r="L3" s="87">
        <f t="shared" si="18"/>
      </c>
      <c r="M3" s="88">
        <f t="shared" si="0"/>
      </c>
      <c r="N3" s="88">
        <f t="shared" si="9"/>
      </c>
      <c r="O3" s="85"/>
      <c r="P3" s="85">
        <f>SUM(P2)</f>
      </c>
      <c r="Q3" s="85"/>
      <c r="R3" s="85">
        <f>SUM(R2)</f>
      </c>
      <c r="S3" s="85">
        <f>SUM(S2)</f>
      </c>
      <c r="T3" s="85">
        <f>SUM(T2)</f>
      </c>
    </row>
    <row hidden="true" r="4">
      <c r="A4" s="89" t="s">
        <v>106</v>
      </c>
      <c r="B4" s="74" t="s">
        <v>102</v>
      </c>
      <c r="C4" s="74" t="s">
        <v>103</v>
      </c>
      <c r="D4" s="75">
        <v>4</v>
      </c>
      <c r="E4" s="76">
        <v>95</v>
      </c>
      <c r="F4" s="76">
        <v>29</v>
      </c>
      <c r="G4" s="76">
        <v>29</v>
      </c>
      <c r="H4" s="76">
        <v>15</v>
      </c>
      <c r="I4" s="73">
        <v>1</v>
      </c>
      <c r="J4" s="77">
        <v>12427.199999999997</v>
      </c>
      <c r="K4" s="90">
        <v>10377.679999999998</v>
      </c>
      <c r="L4" s="79">
        <f t="shared" si="18"/>
      </c>
      <c r="M4" s="80">
        <f t="shared" si="0"/>
      </c>
      <c r="N4" s="80">
        <f t="shared" si="9"/>
      </c>
      <c r="O4" s="76" t="s">
        <v>104</v>
      </c>
      <c r="P4" s="76">
        <v>4</v>
      </c>
      <c r="Q4" s="81"/>
      <c r="R4" s="81"/>
      <c r="S4" s="81" t="s">
        <v>105</v>
      </c>
      <c r="T4" s="76">
        <v>4</v>
      </c>
    </row>
    <row hidden="true" r="5">
      <c r="A5" s="91" t="s">
        <v>106</v>
      </c>
      <c r="B5" s="83"/>
      <c r="C5" s="83"/>
      <c r="D5" s="84">
        <f>SUM(D4)</f>
      </c>
      <c r="E5" s="85">
        <f>SUM(E4)</f>
      </c>
      <c r="F5" s="85">
        <f>SUM(F4)</f>
      </c>
      <c r="G5" s="85">
        <f>SUM(G4)</f>
      </c>
      <c r="H5" s="85">
        <f>SUM(H4)</f>
      </c>
      <c r="I5" s="85">
        <f>SUM(I4)</f>
      </c>
      <c r="J5" s="92">
        <f>SUM(J4)</f>
      </c>
      <c r="K5" s="92">
        <f>SUM(K4)</f>
      </c>
      <c r="L5" s="88">
        <f t="shared" si="18"/>
      </c>
      <c r="M5" s="88">
        <f t="shared" si="0"/>
      </c>
      <c r="N5" s="88">
        <f t="shared" si="9"/>
      </c>
      <c r="O5" s="85"/>
      <c r="P5" s="85">
        <f>SUM(P4)</f>
      </c>
      <c r="Q5" s="85"/>
      <c r="R5" s="85">
        <f>SUM(R4)</f>
      </c>
      <c r="S5" s="85">
        <f>SUM(S4)</f>
      </c>
      <c r="T5" s="85">
        <f>SUM(T4)</f>
      </c>
    </row>
    <row hidden="true" r="6">
      <c r="A6" s="89" t="s">
        <v>107</v>
      </c>
      <c r="B6" s="74" t="s">
        <v>102</v>
      </c>
      <c r="C6" s="74" t="s">
        <v>103</v>
      </c>
      <c r="D6" s="75">
        <v>4</v>
      </c>
      <c r="E6" s="76">
        <v>64</v>
      </c>
      <c r="F6" s="76">
        <v>18</v>
      </c>
      <c r="G6" s="76">
        <v>26</v>
      </c>
      <c r="H6" s="76">
        <v>12</v>
      </c>
      <c r="I6" s="73">
        <v>0</v>
      </c>
      <c r="J6" s="77">
        <v>10274.4</v>
      </c>
      <c r="K6" s="90">
        <v>5766.33</v>
      </c>
      <c r="L6" s="79">
        <f t="shared" si="18"/>
      </c>
      <c r="M6" s="80">
        <f t="shared" si="0"/>
      </c>
      <c r="N6" s="80">
        <f t="shared" si="9"/>
      </c>
      <c r="O6" s="76" t="s">
        <v>108</v>
      </c>
      <c r="P6" s="76">
        <v>1</v>
      </c>
      <c r="Q6" s="76"/>
      <c r="R6" s="76"/>
      <c r="S6" s="81" t="s">
        <v>105</v>
      </c>
      <c r="T6" s="76">
        <v>4</v>
      </c>
    </row>
    <row customHeight="true" hidden="true" ht="16.071428571428573" r="7">
      <c r="A7" s="89" t="s">
        <v>107</v>
      </c>
      <c r="B7" s="74"/>
      <c r="C7" s="74"/>
      <c r="D7" s="93"/>
      <c r="E7" s="94"/>
      <c r="F7" s="94"/>
      <c r="G7" s="94"/>
      <c r="H7" s="94"/>
      <c r="I7" s="95"/>
      <c r="J7" s="96"/>
      <c r="K7" s="97"/>
      <c r="L7" s="98"/>
      <c r="M7" s="80"/>
      <c r="N7" s="80"/>
      <c r="O7" s="76" t="s">
        <v>104</v>
      </c>
      <c r="P7" s="76">
        <v>3</v>
      </c>
      <c r="Q7" s="76"/>
      <c r="R7" s="76"/>
      <c r="S7" s="81"/>
      <c r="T7" s="76"/>
    </row>
    <row hidden="true" r="8">
      <c r="A8" s="91" t="s">
        <v>107</v>
      </c>
      <c r="B8" s="83"/>
      <c r="C8" s="83"/>
      <c r="D8" s="99">
        <f>SUM(D6:D7)</f>
      </c>
      <c r="E8" s="83">
        <f>SUM(E6:E7)</f>
      </c>
      <c r="F8" s="83">
        <f>SUM(F6:F7)</f>
      </c>
      <c r="G8" s="83">
        <f>SUM(G6:G7)</f>
      </c>
      <c r="H8" s="83">
        <f>SUM(H6:H7)</f>
      </c>
      <c r="I8" s="83">
        <f>SUM(I6:I7)</f>
      </c>
      <c r="J8" s="100">
        <f>SUM(J6:J7)</f>
      </c>
      <c r="K8" s="100">
        <f>SUM(K6:K7)</f>
      </c>
      <c r="L8" s="101">
        <f t="shared" ref="L8:L9" si="19">J8/K8</f>
      </c>
      <c r="M8" s="88">
        <f t="shared" ref="M8:M9" si="1">J8/G8</f>
      </c>
      <c r="N8" s="88">
        <f t="shared" ref="N8:N9" si="10">K8/(G8+H8)</f>
      </c>
      <c r="O8" s="85"/>
      <c r="P8" s="83">
        <f>SUM(P6:P7)</f>
      </c>
      <c r="Q8" s="83">
        <f>SUM(Q6:Q7)</f>
      </c>
      <c r="R8" s="83">
        <f>SUM(R6:R7)</f>
      </c>
      <c r="S8" s="83">
        <f>SUM(S6:S7)</f>
      </c>
      <c r="T8" s="83">
        <f>SUM(T6:T7)</f>
      </c>
    </row>
    <row hidden="true" r="9">
      <c r="A9" s="89" t="s">
        <v>109</v>
      </c>
      <c r="B9" s="74" t="s">
        <v>110</v>
      </c>
      <c r="C9" s="74" t="s">
        <v>103</v>
      </c>
      <c r="D9" s="75">
        <v>4</v>
      </c>
      <c r="E9" s="76">
        <v>55</v>
      </c>
      <c r="F9" s="76">
        <v>23</v>
      </c>
      <c r="G9" s="76">
        <v>23</v>
      </c>
      <c r="H9" s="76">
        <v>12</v>
      </c>
      <c r="I9" s="73">
        <v>7</v>
      </c>
      <c r="J9" s="102">
        <v>9918</v>
      </c>
      <c r="K9" s="90">
        <f>0.45+5893.08</f>
      </c>
      <c r="L9" s="79">
        <f t="shared" si="19"/>
      </c>
      <c r="M9" s="80">
        <f t="shared" si="1"/>
      </c>
      <c r="N9" s="80">
        <f t="shared" si="10"/>
      </c>
      <c r="O9" s="76" t="s">
        <v>111</v>
      </c>
      <c r="P9" s="76">
        <v>3</v>
      </c>
      <c r="Q9" s="76"/>
      <c r="R9" s="76"/>
      <c r="S9" s="81" t="s">
        <v>105</v>
      </c>
      <c r="T9" s="76">
        <v>4</v>
      </c>
    </row>
    <row hidden="true" r="10">
      <c r="A10" s="89" t="s">
        <v>109</v>
      </c>
      <c r="B10" s="74"/>
      <c r="C10" s="74"/>
      <c r="D10" s="93"/>
      <c r="E10" s="94"/>
      <c r="F10" s="94"/>
      <c r="G10" s="94"/>
      <c r="H10" s="94"/>
      <c r="I10" s="95"/>
      <c r="J10" s="103"/>
      <c r="K10" s="104"/>
      <c r="L10" s="98"/>
      <c r="M10" s="80"/>
      <c r="N10" s="80"/>
      <c r="O10" s="76" t="s">
        <v>112</v>
      </c>
      <c r="P10" s="76">
        <v>1</v>
      </c>
      <c r="Q10" s="76"/>
      <c r="R10" s="76"/>
      <c r="S10" s="81"/>
      <c r="T10" s="76"/>
    </row>
    <row hidden="true" r="11">
      <c r="A11" s="91" t="s">
        <v>109</v>
      </c>
      <c r="B11" s="83"/>
      <c r="C11" s="83"/>
      <c r="D11" s="99">
        <f>SUM(D9:D10)</f>
      </c>
      <c r="E11" s="83">
        <f>SUM(E9:E10)</f>
      </c>
      <c r="F11" s="83">
        <f>SUM(F9:F10)</f>
      </c>
      <c r="G11" s="83">
        <f>SUM(G9:G10)</f>
      </c>
      <c r="H11" s="83">
        <f>SUM(H9:H10)</f>
      </c>
      <c r="I11" s="83">
        <f>SUM(I9:I10)</f>
      </c>
      <c r="J11" s="100">
        <f>SUM(J9:J10)</f>
      </c>
      <c r="K11" s="100">
        <f>SUM(K9:K10)</f>
      </c>
      <c r="L11" s="101">
        <f t="shared" ref="L11:L16" si="20">J11/K11</f>
      </c>
      <c r="M11" s="88">
        <f t="shared" ref="M11:M16" si="2">J11/G11</f>
      </c>
      <c r="N11" s="88">
        <f t="shared" ref="N11:N16" si="11">K11/(G11+H11)</f>
      </c>
      <c r="O11" s="85"/>
      <c r="P11" s="83">
        <f>SUM(P9:P10)</f>
      </c>
      <c r="Q11" s="83">
        <f>SUM(Q9:Q10)</f>
      </c>
      <c r="R11" s="83">
        <f>SUM(R9:R10)</f>
      </c>
      <c r="S11" s="83">
        <f>SUM(S9:S10)</f>
      </c>
      <c r="T11" s="83">
        <f>SUM(T9:T10)</f>
      </c>
    </row>
    <row hidden="true" r="12">
      <c r="A12" s="89" t="s">
        <v>113</v>
      </c>
      <c r="B12" s="74" t="s">
        <v>102</v>
      </c>
      <c r="C12" s="74" t="s">
        <v>103</v>
      </c>
      <c r="D12" s="75">
        <v>4</v>
      </c>
      <c r="E12" s="76">
        <v>65</v>
      </c>
      <c r="F12" s="76">
        <v>16</v>
      </c>
      <c r="G12" s="76">
        <v>24</v>
      </c>
      <c r="H12" s="76">
        <v>7</v>
      </c>
      <c r="I12" s="73">
        <v>1</v>
      </c>
      <c r="J12" s="77">
        <v>7042.8</v>
      </c>
      <c r="K12" s="90">
        <v>4495.38</v>
      </c>
      <c r="L12" s="79">
        <f t="shared" si="20"/>
      </c>
      <c r="M12" s="80">
        <f t="shared" si="2"/>
      </c>
      <c r="N12" s="80">
        <f t="shared" si="11"/>
      </c>
      <c r="O12" s="76" t="s">
        <v>104</v>
      </c>
      <c r="P12" s="76">
        <v>4</v>
      </c>
      <c r="Q12" s="81"/>
      <c r="R12" s="81"/>
      <c r="S12" s="81" t="s">
        <v>105</v>
      </c>
      <c r="T12" s="76">
        <v>4</v>
      </c>
    </row>
    <row hidden="true" r="13">
      <c r="A13" s="91" t="s">
        <v>113</v>
      </c>
      <c r="B13" s="83"/>
      <c r="C13" s="83"/>
      <c r="D13" s="84">
        <f>SUM(D12)</f>
      </c>
      <c r="E13" s="85">
        <f>SUM(E12)</f>
      </c>
      <c r="F13" s="85">
        <f>SUM(F12)</f>
      </c>
      <c r="G13" s="85">
        <f>SUM(G12)</f>
      </c>
      <c r="H13" s="85">
        <f>SUM(H12)</f>
      </c>
      <c r="I13" s="85">
        <f>SUM(I12)</f>
      </c>
      <c r="J13" s="92">
        <f>SUM(J12)</f>
      </c>
      <c r="K13" s="92">
        <f>SUM(K12)</f>
      </c>
      <c r="L13" s="88">
        <f t="shared" si="20"/>
      </c>
      <c r="M13" s="88">
        <f t="shared" si="2"/>
      </c>
      <c r="N13" s="88">
        <f t="shared" si="11"/>
      </c>
      <c r="O13" s="85"/>
      <c r="P13" s="85">
        <f>SUM(P12)</f>
      </c>
      <c r="Q13" s="85"/>
      <c r="R13" s="85">
        <f>SUM(R12)</f>
      </c>
      <c r="S13" s="85">
        <f>SUM(S12)</f>
      </c>
      <c r="T13" s="85">
        <f>SUM(T12)</f>
      </c>
    </row>
    <row hidden="true" r="14">
      <c r="A14" s="89" t="s">
        <v>114</v>
      </c>
      <c r="B14" s="74" t="s">
        <v>102</v>
      </c>
      <c r="C14" s="74" t="s">
        <v>103</v>
      </c>
      <c r="D14" s="75">
        <v>4</v>
      </c>
      <c r="E14" s="76">
        <v>70</v>
      </c>
      <c r="F14" s="76">
        <v>17</v>
      </c>
      <c r="G14" s="76">
        <v>28</v>
      </c>
      <c r="H14" s="76">
        <v>12</v>
      </c>
      <c r="I14" s="73">
        <v>0</v>
      </c>
      <c r="J14" s="77">
        <v>10512</v>
      </c>
      <c r="K14" s="90">
        <v>6828.4</v>
      </c>
      <c r="L14" s="79">
        <f t="shared" si="20"/>
      </c>
      <c r="M14" s="80">
        <f t="shared" si="2"/>
      </c>
      <c r="N14" s="80">
        <f t="shared" si="11"/>
      </c>
      <c r="O14" s="76" t="s">
        <v>104</v>
      </c>
      <c r="P14" s="76">
        <v>4</v>
      </c>
      <c r="Q14" s="81"/>
      <c r="R14" s="81"/>
      <c r="S14" s="81" t="s">
        <v>105</v>
      </c>
      <c r="T14" s="76">
        <v>4</v>
      </c>
    </row>
    <row hidden="true" r="15">
      <c r="A15" s="91" t="s">
        <v>114</v>
      </c>
      <c r="B15" s="83"/>
      <c r="C15" s="83"/>
      <c r="D15" s="84">
        <f>SUM(D14)</f>
      </c>
      <c r="E15" s="85">
        <f>SUM(E14)</f>
      </c>
      <c r="F15" s="85">
        <f>SUM(F14)</f>
      </c>
      <c r="G15" s="85">
        <f>SUM(G14)</f>
      </c>
      <c r="H15" s="85">
        <f>SUM(H14)</f>
      </c>
      <c r="I15" s="85">
        <f>SUM(I14)</f>
      </c>
      <c r="J15" s="92">
        <f>SUM(J14)</f>
      </c>
      <c r="K15" s="92">
        <f>SUM(K14)</f>
      </c>
      <c r="L15" s="88">
        <f t="shared" si="20"/>
      </c>
      <c r="M15" s="88">
        <f t="shared" si="2"/>
      </c>
      <c r="N15" s="88">
        <f t="shared" si="11"/>
      </c>
      <c r="O15" s="85"/>
      <c r="P15" s="85">
        <f>SUM(P14)</f>
      </c>
      <c r="Q15" s="85"/>
      <c r="R15" s="85">
        <f>SUM(R14)</f>
      </c>
      <c r="S15" s="85">
        <f>SUM(S14)</f>
      </c>
      <c r="T15" s="85">
        <f>SUM(T14)</f>
      </c>
    </row>
    <row hidden="true" r="16">
      <c r="A16" s="89" t="s">
        <v>115</v>
      </c>
      <c r="B16" s="74" t="s">
        <v>102</v>
      </c>
      <c r="C16" s="74" t="s">
        <v>103</v>
      </c>
      <c r="D16" s="75">
        <v>4</v>
      </c>
      <c r="E16" s="76">
        <v>53</v>
      </c>
      <c r="F16" s="76">
        <v>13</v>
      </c>
      <c r="G16" s="76">
        <v>14</v>
      </c>
      <c r="H16" s="76">
        <v>9</v>
      </c>
      <c r="I16" s="95">
        <v>0</v>
      </c>
      <c r="J16" s="105">
        <v>7052.4</v>
      </c>
      <c r="K16" s="104">
        <v>5106.84</v>
      </c>
      <c r="L16" s="98">
        <f t="shared" si="20"/>
      </c>
      <c r="M16" s="80">
        <f t="shared" si="2"/>
      </c>
      <c r="N16" s="106">
        <f t="shared" si="11"/>
      </c>
      <c r="O16" s="94" t="s">
        <v>108</v>
      </c>
      <c r="P16" s="94">
        <v>1</v>
      </c>
      <c r="Q16" s="76"/>
      <c r="R16" s="76"/>
      <c r="S16" s="81" t="s">
        <v>105</v>
      </c>
      <c r="T16" s="76">
        <v>4</v>
      </c>
    </row>
    <row hidden="true" r="17">
      <c r="A17" s="89" t="s">
        <v>115</v>
      </c>
      <c r="B17" s="74"/>
      <c r="C17" s="74"/>
      <c r="D17" s="93"/>
      <c r="E17" s="94"/>
      <c r="F17" s="94"/>
      <c r="G17" s="94"/>
      <c r="H17" s="95"/>
      <c r="I17" s="74"/>
      <c r="J17" s="107"/>
      <c r="K17" s="97"/>
      <c r="L17" s="108"/>
      <c r="M17" s="80"/>
      <c r="N17" s="108"/>
      <c r="O17" s="74" t="s">
        <v>104</v>
      </c>
      <c r="P17" s="74">
        <v>3</v>
      </c>
      <c r="Q17" s="75"/>
      <c r="R17" s="76"/>
      <c r="S17" s="81"/>
      <c r="T17" s="76"/>
    </row>
    <row hidden="true" r="18">
      <c r="A18" s="91" t="s">
        <v>115</v>
      </c>
      <c r="B18" s="83"/>
      <c r="C18" s="83"/>
      <c r="D18" s="99">
        <f>SUM(D16:D17)</f>
      </c>
      <c r="E18" s="83">
        <f>SUM(E16:E17)</f>
      </c>
      <c r="F18" s="83">
        <f>SUM(F16:F17)</f>
      </c>
      <c r="G18" s="83">
        <f>SUM(G16:G17)</f>
      </c>
      <c r="H18" s="109">
        <f>SUM(H16:H17)</f>
      </c>
      <c r="I18" s="83">
        <f>SUM(I16:I17)</f>
      </c>
      <c r="J18" s="100">
        <f>SUM(J16:J17)</f>
      </c>
      <c r="K18" s="100">
        <f>SUM(K16:K17)</f>
      </c>
      <c r="L18" s="101">
        <f t="shared" ref="L18:L19" si="21">J18/K18</f>
      </c>
      <c r="M18" s="88">
        <f t="shared" ref="M18:M19" si="3">J18/G18</f>
      </c>
      <c r="N18" s="101">
        <f t="shared" ref="N18:N19" si="12">K18/(G18+H18)</f>
      </c>
      <c r="O18" s="83"/>
      <c r="P18" s="83">
        <f>SUM(P16:P17)</f>
      </c>
      <c r="Q18" s="99">
        <f>SUM(Q16:Q17)</f>
      </c>
      <c r="R18" s="83">
        <f>SUM(R16:R17)</f>
      </c>
      <c r="S18" s="83">
        <f>SUM(S16:S17)</f>
      </c>
      <c r="T18" s="83">
        <f>SUM(T16:T17)</f>
      </c>
    </row>
    <row hidden="true" r="19">
      <c r="A19" s="89" t="s">
        <v>116</v>
      </c>
      <c r="B19" s="74" t="s">
        <v>102</v>
      </c>
      <c r="C19" s="74" t="s">
        <v>103</v>
      </c>
      <c r="D19" s="75">
        <v>4</v>
      </c>
      <c r="E19" s="76">
        <v>68</v>
      </c>
      <c r="F19" s="76">
        <v>16</v>
      </c>
      <c r="G19" s="76">
        <v>29</v>
      </c>
      <c r="H19" s="76">
        <v>13</v>
      </c>
      <c r="I19" s="95">
        <v>0</v>
      </c>
      <c r="J19" s="105">
        <v>11229.599999999999</v>
      </c>
      <c r="K19" s="104">
        <v>6284.72</v>
      </c>
      <c r="L19" s="98">
        <f t="shared" si="21"/>
      </c>
      <c r="M19" s="80">
        <f t="shared" si="3"/>
      </c>
      <c r="N19" s="106">
        <f t="shared" si="12"/>
      </c>
      <c r="O19" s="94" t="s">
        <v>108</v>
      </c>
      <c r="P19" s="94">
        <v>3</v>
      </c>
      <c r="Q19" s="76"/>
      <c r="R19" s="76"/>
      <c r="S19" s="81" t="s">
        <v>105</v>
      </c>
      <c r="T19" s="76">
        <v>4</v>
      </c>
    </row>
    <row hidden="true" r="20">
      <c r="A20" s="89" t="s">
        <v>116</v>
      </c>
      <c r="B20" s="74"/>
      <c r="C20" s="74"/>
      <c r="D20" s="93"/>
      <c r="E20" s="94"/>
      <c r="F20" s="94"/>
      <c r="G20" s="94"/>
      <c r="H20" s="95"/>
      <c r="I20" s="74"/>
      <c r="J20" s="107"/>
      <c r="K20" s="97"/>
      <c r="L20" s="108"/>
      <c r="M20" s="80"/>
      <c r="N20" s="108"/>
      <c r="O20" s="74" t="s">
        <v>104</v>
      </c>
      <c r="P20" s="74">
        <v>1</v>
      </c>
      <c r="Q20" s="75"/>
      <c r="R20" s="76"/>
      <c r="S20" s="81"/>
      <c r="T20" s="76"/>
    </row>
    <row hidden="true" r="21">
      <c r="A21" s="91" t="s">
        <v>116</v>
      </c>
      <c r="B21" s="83"/>
      <c r="C21" s="83"/>
      <c r="D21" s="99">
        <f>SUM(D19:D20)</f>
      </c>
      <c r="E21" s="83">
        <f>SUM(E19:E20)</f>
      </c>
      <c r="F21" s="83">
        <f>SUM(F19:F20)</f>
      </c>
      <c r="G21" s="83">
        <f>SUM(G19:G20)</f>
      </c>
      <c r="H21" s="109">
        <f>SUM(H19:H20)</f>
      </c>
      <c r="I21" s="83">
        <f>SUM(I19:I20)</f>
      </c>
      <c r="J21" s="100">
        <f>SUM(J19:J20)</f>
      </c>
      <c r="K21" s="100">
        <f>SUM(K19:K20)</f>
      </c>
      <c r="L21" s="101">
        <f t="shared" ref="L21:L22" si="22">J21/K21</f>
      </c>
      <c r="M21" s="88">
        <f t="shared" ref="M21:M22" si="4">J21/G21</f>
      </c>
      <c r="N21" s="101">
        <f t="shared" ref="N21:N22" si="13">K21/(G21+H21)</f>
      </c>
      <c r="O21" s="83"/>
      <c r="P21" s="83">
        <f>SUM(P19:P20)</f>
      </c>
      <c r="Q21" s="99">
        <f>SUM(Q19:Q20)</f>
      </c>
      <c r="R21" s="83">
        <f>SUM(R19:R20)</f>
      </c>
      <c r="S21" s="83">
        <f>SUM(S19:S20)</f>
      </c>
      <c r="T21" s="83">
        <f>SUM(T19:T20)</f>
      </c>
    </row>
    <row hidden="true" r="22">
      <c r="A22" s="89" t="s">
        <v>117</v>
      </c>
      <c r="B22" s="74" t="s">
        <v>102</v>
      </c>
      <c r="C22" s="74" t="s">
        <v>103</v>
      </c>
      <c r="D22" s="75">
        <v>4</v>
      </c>
      <c r="E22" s="76">
        <v>71</v>
      </c>
      <c r="F22" s="76">
        <v>10</v>
      </c>
      <c r="G22" s="76">
        <v>28</v>
      </c>
      <c r="H22" s="76">
        <v>14</v>
      </c>
      <c r="I22" s="95">
        <v>0</v>
      </c>
      <c r="J22" s="105">
        <v>11709.6</v>
      </c>
      <c r="K22" s="104">
        <v>6959.39</v>
      </c>
      <c r="L22" s="98">
        <f t="shared" si="22"/>
      </c>
      <c r="M22" s="80">
        <f t="shared" si="4"/>
      </c>
      <c r="N22" s="106">
        <f t="shared" si="13"/>
      </c>
      <c r="O22" s="94" t="s">
        <v>118</v>
      </c>
      <c r="P22" s="94">
        <v>4</v>
      </c>
      <c r="Q22" s="76"/>
      <c r="R22" s="76"/>
      <c r="S22" s="81" t="s">
        <v>105</v>
      </c>
      <c r="T22" s="76">
        <v>4</v>
      </c>
    </row>
    <row hidden="true" r="23">
      <c r="A23" s="89" t="s">
        <v>117</v>
      </c>
      <c r="B23" s="74"/>
      <c r="C23" s="74"/>
      <c r="D23" s="93"/>
      <c r="E23" s="94"/>
      <c r="F23" s="94"/>
      <c r="G23" s="94"/>
      <c r="H23" s="95"/>
      <c r="I23" s="74"/>
      <c r="J23" s="107"/>
      <c r="K23" s="97"/>
      <c r="L23" s="108"/>
      <c r="M23" s="80"/>
      <c r="N23" s="108"/>
      <c r="O23" s="74"/>
      <c r="P23" s="74"/>
      <c r="Q23" s="75"/>
      <c r="R23" s="76"/>
      <c r="S23" s="81"/>
      <c r="T23" s="76"/>
    </row>
    <row hidden="true" r="24">
      <c r="A24" s="91" t="s">
        <v>117</v>
      </c>
      <c r="B24" s="83"/>
      <c r="C24" s="83"/>
      <c r="D24" s="99">
        <f>SUM(D22:D23)</f>
      </c>
      <c r="E24" s="83">
        <f>SUM(E22:E23)</f>
      </c>
      <c r="F24" s="83">
        <f>SUM(F22:F23)</f>
      </c>
      <c r="G24" s="83">
        <f>SUM(G22:G23)</f>
      </c>
      <c r="H24" s="109">
        <f>SUM(H22:H23)</f>
      </c>
      <c r="I24" s="83">
        <f>SUM(I22:I23)</f>
      </c>
      <c r="J24" s="100">
        <f>SUM(J22:J23)</f>
      </c>
      <c r="K24" s="100">
        <f>SUM(K22:K23)</f>
      </c>
      <c r="L24" s="101">
        <f t="shared" ref="L24:L25" si="23">J24/K24</f>
      </c>
      <c r="M24" s="88">
        <f t="shared" ref="M24:M25" si="5">J24/G24</f>
      </c>
      <c r="N24" s="101">
        <f t="shared" ref="N24:N25" si="14">K24/(G24+H24)</f>
      </c>
      <c r="O24" s="83"/>
      <c r="P24" s="83">
        <f>SUM(P22:P23)</f>
      </c>
      <c r="Q24" s="99">
        <f>SUM(Q22:Q23)</f>
      </c>
      <c r="R24" s="83">
        <f>SUM(R22:R23)</f>
      </c>
      <c r="S24" s="83">
        <f>SUM(S22:S23)</f>
      </c>
      <c r="T24" s="83">
        <f>SUM(T22:T23)</f>
      </c>
    </row>
    <row hidden="true" r="25">
      <c r="A25" s="89" t="s">
        <v>119</v>
      </c>
      <c r="B25" s="74" t="s">
        <v>102</v>
      </c>
      <c r="C25" s="74" t="s">
        <v>103</v>
      </c>
      <c r="D25" s="75">
        <v>4</v>
      </c>
      <c r="E25" s="76">
        <v>60</v>
      </c>
      <c r="F25" s="76">
        <v>15</v>
      </c>
      <c r="G25" s="76">
        <v>27</v>
      </c>
      <c r="H25" s="76">
        <v>4</v>
      </c>
      <c r="I25" s="95">
        <v>5</v>
      </c>
      <c r="J25" s="105">
        <v>5602.800000000001</v>
      </c>
      <c r="K25" s="104">
        <v>6507.63</v>
      </c>
      <c r="L25" s="98">
        <f t="shared" si="23"/>
      </c>
      <c r="M25" s="80">
        <f t="shared" si="5"/>
      </c>
      <c r="N25" s="106">
        <f t="shared" si="14"/>
      </c>
      <c r="O25" s="94" t="s">
        <v>120</v>
      </c>
      <c r="P25" s="94">
        <v>4</v>
      </c>
      <c r="Q25" s="76"/>
      <c r="R25" s="76"/>
      <c r="S25" s="81" t="s">
        <v>105</v>
      </c>
      <c r="T25" s="76">
        <v>4</v>
      </c>
    </row>
    <row hidden="true" r="26">
      <c r="A26" s="89" t="s">
        <v>119</v>
      </c>
      <c r="B26" s="74"/>
      <c r="C26" s="74"/>
      <c r="D26" s="93"/>
      <c r="E26" s="94"/>
      <c r="F26" s="94"/>
      <c r="G26" s="94"/>
      <c r="H26" s="95"/>
      <c r="I26" s="74"/>
      <c r="J26" s="107"/>
      <c r="K26" s="97"/>
      <c r="L26" s="108"/>
      <c r="M26" s="80"/>
      <c r="N26" s="108"/>
      <c r="O26" s="74"/>
      <c r="P26" s="74"/>
      <c r="Q26" s="75"/>
      <c r="R26" s="76"/>
      <c r="S26" s="81"/>
      <c r="T26" s="76"/>
    </row>
    <row hidden="true" r="27">
      <c r="A27" s="91" t="s">
        <v>119</v>
      </c>
      <c r="B27" s="83"/>
      <c r="C27" s="83"/>
      <c r="D27" s="99">
        <f>SUM(D25:D26)</f>
      </c>
      <c r="E27" s="83">
        <f>SUM(E25:E26)</f>
      </c>
      <c r="F27" s="83">
        <f>SUM(F25:F26)</f>
      </c>
      <c r="G27" s="83">
        <f>SUM(G25:G26)</f>
      </c>
      <c r="H27" s="109">
        <f>SUM(H25:H26)</f>
      </c>
      <c r="I27" s="83">
        <f>SUM(I25:I26)</f>
      </c>
      <c r="J27" s="100">
        <f>SUM(J25:J26)</f>
      </c>
      <c r="K27" s="100">
        <f>SUM(K25:K26)</f>
      </c>
      <c r="L27" s="101">
        <f t="shared" ref="L27:L28" si="24">J27/K27</f>
      </c>
      <c r="M27" s="88">
        <f t="shared" ref="M27:M28" si="6">J27/G27</f>
      </c>
      <c r="N27" s="101">
        <f t="shared" ref="N27:N28" si="15">K27/(G27+H27)</f>
      </c>
      <c r="O27" s="83"/>
      <c r="P27" s="83">
        <f>SUM(P25:P26)</f>
      </c>
      <c r="Q27" s="99">
        <f>SUM(Q25:Q26)</f>
      </c>
      <c r="R27" s="83">
        <f>SUM(R25:R26)</f>
      </c>
      <c r="S27" s="83">
        <f>SUM(S25:S26)</f>
      </c>
      <c r="T27" s="83">
        <f>SUM(T25:T26)</f>
      </c>
    </row>
    <row hidden="true" r="28">
      <c r="A28" s="89" t="s">
        <v>121</v>
      </c>
      <c r="B28" s="74" t="s">
        <v>102</v>
      </c>
      <c r="C28" s="74" t="s">
        <v>103</v>
      </c>
      <c r="D28" s="75">
        <v>4</v>
      </c>
      <c r="E28" s="76">
        <v>44</v>
      </c>
      <c r="F28" s="76">
        <v>5</v>
      </c>
      <c r="G28" s="76">
        <v>17</v>
      </c>
      <c r="H28" s="76">
        <v>9</v>
      </c>
      <c r="I28" s="95">
        <v>0</v>
      </c>
      <c r="J28" s="105">
        <v>7408.8</v>
      </c>
      <c r="K28" s="104">
        <v>5163</v>
      </c>
      <c r="L28" s="98">
        <f t="shared" si="24"/>
      </c>
      <c r="M28" s="80">
        <f t="shared" si="6"/>
      </c>
      <c r="N28" s="106">
        <f t="shared" si="15"/>
      </c>
      <c r="O28" s="94" t="s">
        <v>120</v>
      </c>
      <c r="P28" s="94">
        <v>1</v>
      </c>
      <c r="Q28" s="76"/>
      <c r="R28" s="76"/>
      <c r="S28" s="81" t="s">
        <v>105</v>
      </c>
      <c r="T28" s="76">
        <v>4</v>
      </c>
    </row>
    <row hidden="true" r="29">
      <c r="A29" s="89" t="s">
        <v>121</v>
      </c>
      <c r="B29" s="74"/>
      <c r="C29" s="74"/>
      <c r="D29" s="93"/>
      <c r="E29" s="94"/>
      <c r="F29" s="94"/>
      <c r="G29" s="94"/>
      <c r="H29" s="95"/>
      <c r="I29" s="74"/>
      <c r="J29" s="107"/>
      <c r="K29" s="97"/>
      <c r="L29" s="108"/>
      <c r="M29" s="80"/>
      <c r="N29" s="108"/>
      <c r="O29" s="74" t="s">
        <v>122</v>
      </c>
      <c r="P29" s="74">
        <v>3</v>
      </c>
      <c r="Q29" s="75"/>
      <c r="R29" s="76"/>
      <c r="S29" s="81"/>
      <c r="T29" s="76"/>
    </row>
    <row hidden="true" r="30">
      <c r="A30" s="91" t="s">
        <v>121</v>
      </c>
      <c r="B30" s="83"/>
      <c r="C30" s="83"/>
      <c r="D30" s="99">
        <f>SUM(D28:D29)</f>
      </c>
      <c r="E30" s="83">
        <f>SUM(E28:E29)</f>
      </c>
      <c r="F30" s="83">
        <f>SUM(F28:F29)</f>
      </c>
      <c r="G30" s="83">
        <f>SUM(G28:G29)</f>
      </c>
      <c r="H30" s="109">
        <f>SUM(H28:H29)</f>
      </c>
      <c r="I30" s="83">
        <f>SUM(I28:I29)</f>
      </c>
      <c r="J30" s="100">
        <f>SUM(J28:J29)</f>
      </c>
      <c r="K30" s="100">
        <f>SUM(K28:K29)</f>
      </c>
      <c r="L30" s="101">
        <f t="shared" ref="L30:L31" si="25">J30/K30</f>
      </c>
      <c r="M30" s="88">
        <f t="shared" ref="M30:M31" si="7">J30/G30</f>
      </c>
      <c r="N30" s="101">
        <f t="shared" ref="N30:N31" si="16">K30/(G30+H30)</f>
      </c>
      <c r="O30" s="83"/>
      <c r="P30" s="83">
        <f>SUM(P28:P29)</f>
      </c>
      <c r="Q30" s="99">
        <f>SUM(Q28:Q29)</f>
      </c>
      <c r="R30" s="83">
        <f>SUM(R28:R29)</f>
      </c>
      <c r="S30" s="83">
        <f>SUM(S28:S29)</f>
      </c>
      <c r="T30" s="83">
        <f>SUM(T28:T29)</f>
      </c>
    </row>
    <row hidden="true" r="31">
      <c r="A31" s="74" t="s">
        <v>123</v>
      </c>
      <c r="B31" s="110" t="s">
        <v>110</v>
      </c>
      <c r="C31" s="110" t="s">
        <v>103</v>
      </c>
      <c r="D31" s="75">
        <v>4</v>
      </c>
      <c r="E31" s="76">
        <v>54</v>
      </c>
      <c r="F31" s="76">
        <v>22</v>
      </c>
      <c r="G31" s="76">
        <v>35</v>
      </c>
      <c r="H31" s="76">
        <v>11</v>
      </c>
      <c r="I31" s="95">
        <v>16</v>
      </c>
      <c r="J31" s="105">
        <v>10744.8</v>
      </c>
      <c r="K31" s="104">
        <v>6011.57</v>
      </c>
      <c r="L31" s="98">
        <f t="shared" si="25"/>
      </c>
      <c r="M31" s="80">
        <f t="shared" si="7"/>
      </c>
      <c r="N31" s="106">
        <f t="shared" si="16"/>
      </c>
      <c r="O31" s="94" t="s">
        <v>120</v>
      </c>
      <c r="P31" s="94">
        <v>4</v>
      </c>
      <c r="Q31" s="76"/>
      <c r="R31" s="76"/>
      <c r="S31" s="81" t="s">
        <v>105</v>
      </c>
      <c r="T31" s="76">
        <v>4</v>
      </c>
    </row>
    <row hidden="true" r="32">
      <c r="A32" s="74" t="s">
        <v>123</v>
      </c>
      <c r="B32" s="74"/>
      <c r="C32" s="74"/>
      <c r="D32" s="93"/>
      <c r="E32" s="94"/>
      <c r="F32" s="94"/>
      <c r="G32" s="94"/>
      <c r="H32" s="95"/>
      <c r="I32" s="74"/>
      <c r="J32" s="111"/>
      <c r="K32" s="97"/>
      <c r="L32" s="108"/>
      <c r="M32" s="80"/>
      <c r="N32" s="108"/>
      <c r="O32" s="74"/>
      <c r="P32" s="74"/>
      <c r="Q32" s="75"/>
      <c r="R32" s="76"/>
      <c r="S32" s="81"/>
      <c r="T32" s="76"/>
    </row>
    <row hidden="true" r="33">
      <c r="A33" s="112" t="s">
        <v>123</v>
      </c>
      <c r="B33" s="83"/>
      <c r="C33" s="109"/>
      <c r="D33" s="83">
        <f>SUM(D31:D32)</f>
      </c>
      <c r="E33" s="83">
        <f>SUM(E31:E32)</f>
      </c>
      <c r="F33" s="83">
        <f>SUM(F31:F32)</f>
      </c>
      <c r="G33" s="83">
        <f>SUM(G31:G32)</f>
      </c>
      <c r="H33" s="109">
        <f>SUM(H31:H32)</f>
      </c>
      <c r="I33" s="83">
        <f>SUM(I31:I32)</f>
      </c>
      <c r="J33" s="100">
        <f>SUM(J31:J32)</f>
      </c>
      <c r="K33" s="100">
        <f>SUM(K31:K32)</f>
      </c>
      <c r="L33" s="101">
        <f t="shared" ref="L33:L61" si="26">J33/K33</f>
      </c>
      <c r="M33" s="88">
        <f t="shared" ref="M33:M61" si="8">J33/G33</f>
      </c>
      <c r="N33" s="101">
        <f t="shared" ref="N33:N61" si="17">K33/(G33+H33)</f>
      </c>
      <c r="O33" s="83"/>
      <c r="P33" s="83">
        <f>SUM(P31:P32)</f>
      </c>
      <c r="Q33" s="99">
        <f>SUM(Q31:Q32)</f>
      </c>
      <c r="R33" s="83">
        <f>SUM(R31:R32)</f>
      </c>
      <c r="S33" s="83">
        <f>SUM(S31:S32)</f>
      </c>
      <c r="T33" s="83">
        <f>SUM(T31:T32)</f>
      </c>
    </row>
    <row hidden="true" r="34">
      <c r="A34" s="73" t="s">
        <v>124</v>
      </c>
      <c r="B34" s="95" t="s">
        <v>102</v>
      </c>
      <c r="C34" s="94" t="s">
        <v>103</v>
      </c>
      <c r="D34" s="75">
        <v>4</v>
      </c>
      <c r="E34" s="76">
        <v>47</v>
      </c>
      <c r="F34" s="76">
        <v>10</v>
      </c>
      <c r="G34" s="76">
        <v>18</v>
      </c>
      <c r="H34" s="76">
        <v>4</v>
      </c>
      <c r="I34" s="73">
        <v>0</v>
      </c>
      <c r="J34" s="77">
        <v>4533.6</v>
      </c>
      <c r="K34" s="104">
        <v>4305.67</v>
      </c>
      <c r="L34" s="79">
        <f t="shared" si="26"/>
      </c>
      <c r="M34" s="80">
        <f t="shared" si="8"/>
      </c>
      <c r="N34" s="80">
        <f t="shared" si="17"/>
      </c>
      <c r="O34" s="76" t="s">
        <v>125</v>
      </c>
      <c r="P34" s="76">
        <v>4</v>
      </c>
      <c r="Q34" s="81"/>
      <c r="R34" s="81"/>
      <c r="S34" s="81" t="s">
        <v>105</v>
      </c>
      <c r="T34" s="76">
        <v>4</v>
      </c>
    </row>
    <row hidden="true" r="35">
      <c r="A35" s="113" t="s">
        <v>124</v>
      </c>
      <c r="B35" s="114"/>
      <c r="C35" s="114"/>
      <c r="D35" s="85">
        <f>SUM(D34)</f>
      </c>
      <c r="E35" s="85">
        <f>SUM(E34)</f>
      </c>
      <c r="F35" s="85">
        <f>SUM(F34)</f>
      </c>
      <c r="G35" s="85">
        <f>SUM(G34)</f>
      </c>
      <c r="H35" s="85">
        <f>SUM(H34)</f>
      </c>
      <c r="I35" s="85">
        <f>SUM(I34)</f>
      </c>
      <c r="J35" s="86">
        <f>SUM(J34)</f>
      </c>
      <c r="K35" s="83">
        <f>SUM(K34)</f>
      </c>
      <c r="L35" s="87">
        <f t="shared" si="26"/>
      </c>
      <c r="M35" s="88">
        <f t="shared" si="8"/>
      </c>
      <c r="N35" s="88">
        <f t="shared" si="17"/>
      </c>
      <c r="O35" s="85"/>
      <c r="P35" s="85">
        <f>SUM(P34)</f>
      </c>
      <c r="Q35" s="85"/>
      <c r="R35" s="85">
        <f>SUM(R34)</f>
      </c>
      <c r="S35" s="85">
        <f>SUM(S34)</f>
      </c>
      <c r="T35" s="85">
        <f>SUM(T34)</f>
      </c>
    </row>
    <row hidden="true" r="36">
      <c r="A36" s="73" t="s">
        <v>126</v>
      </c>
      <c r="B36" s="74" t="s">
        <v>102</v>
      </c>
      <c r="C36" s="74" t="s">
        <v>127</v>
      </c>
      <c r="D36" s="75">
        <v>4</v>
      </c>
      <c r="E36" s="76">
        <v>48</v>
      </c>
      <c r="F36" s="76">
        <v>16</v>
      </c>
      <c r="G36" s="76">
        <v>18</v>
      </c>
      <c r="H36" s="76">
        <v>7</v>
      </c>
      <c r="I36" s="73">
        <v>0</v>
      </c>
      <c r="J36" s="77">
        <v>6330</v>
      </c>
      <c r="K36" s="104">
        <v>4340.57</v>
      </c>
      <c r="L36" s="79">
        <f t="shared" si="26"/>
      </c>
      <c r="M36" s="80">
        <f t="shared" si="8"/>
      </c>
      <c r="N36" s="80">
        <f t="shared" si="17"/>
      </c>
      <c r="O36" s="76" t="s">
        <v>125</v>
      </c>
      <c r="P36" s="76">
        <v>4</v>
      </c>
      <c r="Q36" s="81"/>
      <c r="R36" s="81"/>
      <c r="S36" s="81" t="s">
        <v>105</v>
      </c>
      <c r="T36" s="76">
        <v>4</v>
      </c>
    </row>
    <row hidden="true" r="37">
      <c r="A37" s="113" t="s">
        <v>126</v>
      </c>
      <c r="B37" s="114"/>
      <c r="C37" s="114"/>
      <c r="D37" s="85">
        <f>SUM(D36)</f>
      </c>
      <c r="E37" s="85">
        <f>SUM(E36)</f>
      </c>
      <c r="F37" s="85">
        <f>SUM(F36)</f>
      </c>
      <c r="G37" s="85">
        <f>SUM(G36)</f>
      </c>
      <c r="H37" s="85">
        <f>SUM(H36)</f>
      </c>
      <c r="I37" s="85">
        <f>SUM(I36)</f>
      </c>
      <c r="J37" s="86">
        <f>SUM(J36)</f>
      </c>
      <c r="K37" s="115">
        <f>SUM(K36)</f>
      </c>
      <c r="L37" s="87">
        <f t="shared" si="26"/>
      </c>
      <c r="M37" s="88">
        <f t="shared" si="8"/>
      </c>
      <c r="N37" s="88">
        <f t="shared" si="17"/>
      </c>
      <c r="O37" s="85"/>
      <c r="P37" s="85">
        <f>SUM(P36)</f>
      </c>
      <c r="Q37" s="85"/>
      <c r="R37" s="85">
        <f>SUM(R36)</f>
      </c>
      <c r="S37" s="85">
        <f>SUM(S36)</f>
      </c>
      <c r="T37" s="85">
        <f>SUM(T36)</f>
      </c>
      <c r="U37" s="116"/>
    </row>
    <row hidden="true" r="38">
      <c r="A38" s="74" t="s">
        <v>128</v>
      </c>
      <c r="B38" s="74" t="s">
        <v>102</v>
      </c>
      <c r="C38" s="74" t="s">
        <v>129</v>
      </c>
      <c r="D38" s="74">
        <v>4</v>
      </c>
      <c r="E38" s="74">
        <v>40</v>
      </c>
      <c r="F38" s="74">
        <v>10</v>
      </c>
      <c r="G38" s="74">
        <v>19</v>
      </c>
      <c r="H38" s="74">
        <v>5</v>
      </c>
      <c r="I38" s="74">
        <v>0</v>
      </c>
      <c r="J38" s="107">
        <v>5251.200000000001</v>
      </c>
      <c r="K38" s="117">
        <v>3716.91</v>
      </c>
      <c r="L38" s="108">
        <f t="shared" si="26"/>
      </c>
      <c r="M38" s="80">
        <f t="shared" si="8"/>
      </c>
      <c r="N38" s="108">
        <f t="shared" si="17"/>
      </c>
      <c r="O38" s="74" t="s">
        <v>108</v>
      </c>
      <c r="P38" s="74">
        <v>4</v>
      </c>
      <c r="Q38" s="118"/>
      <c r="R38" s="118"/>
      <c r="S38" s="118" t="s">
        <v>105</v>
      </c>
      <c r="T38" s="74">
        <v>4</v>
      </c>
      <c r="U38" s="119"/>
    </row>
    <row hidden="true" r="39">
      <c r="A39" s="112" t="s">
        <v>128</v>
      </c>
      <c r="B39" s="83"/>
      <c r="C39" s="83"/>
      <c r="D39" s="83">
        <f>SUM(D38)</f>
      </c>
      <c r="E39" s="83">
        <f>SUM(E38)</f>
      </c>
      <c r="F39" s="83">
        <f>SUM(F38)</f>
      </c>
      <c r="G39" s="83">
        <f>SUM(G38)</f>
      </c>
      <c r="H39" s="83">
        <f>SUM(H38)</f>
      </c>
      <c r="I39" s="83">
        <f>SUM(I38)</f>
      </c>
      <c r="J39" s="120">
        <f>SUM(J38)</f>
      </c>
      <c r="K39" s="83">
        <f>SUM(K38)</f>
      </c>
      <c r="L39" s="101">
        <f t="shared" si="26"/>
      </c>
      <c r="M39" s="88">
        <f t="shared" si="8"/>
      </c>
      <c r="N39" s="101">
        <f t="shared" si="17"/>
      </c>
      <c r="O39" s="83"/>
      <c r="P39" s="83">
        <f>SUM(P38)</f>
      </c>
      <c r="Q39" s="83"/>
      <c r="R39" s="83">
        <f>SUM(R38)</f>
      </c>
      <c r="S39" s="83">
        <f>SUM(S38)</f>
      </c>
      <c r="T39" s="83">
        <f>SUM(T38)</f>
      </c>
      <c r="U39" s="119"/>
    </row>
    <row hidden="true" r="40">
      <c r="A40" s="74" t="s">
        <v>130</v>
      </c>
      <c r="B40" s="74" t="s">
        <v>102</v>
      </c>
      <c r="C40" s="74" t="s">
        <v>129</v>
      </c>
      <c r="D40" s="74">
        <v>4</v>
      </c>
      <c r="E40" s="74">
        <v>39</v>
      </c>
      <c r="F40" s="74">
        <v>10</v>
      </c>
      <c r="G40" s="74">
        <v>18</v>
      </c>
      <c r="H40" s="74">
        <v>12</v>
      </c>
      <c r="I40" s="74">
        <v>0</v>
      </c>
      <c r="J40" s="121">
        <v>9324</v>
      </c>
      <c r="K40" s="97">
        <v>3168.65</v>
      </c>
      <c r="L40" s="108">
        <f t="shared" si="26"/>
      </c>
      <c r="M40" s="80">
        <f t="shared" si="8"/>
      </c>
      <c r="N40" s="108">
        <f t="shared" si="17"/>
      </c>
      <c r="O40" s="74" t="s">
        <v>111</v>
      </c>
      <c r="P40" s="74">
        <v>4</v>
      </c>
      <c r="Q40" s="118"/>
      <c r="R40" s="118"/>
      <c r="S40" s="118" t="s">
        <v>105</v>
      </c>
      <c r="T40" s="74">
        <v>4</v>
      </c>
    </row>
    <row hidden="true" r="41">
      <c r="A41" s="112" t="s">
        <v>130</v>
      </c>
      <c r="B41" s="83"/>
      <c r="C41" s="83"/>
      <c r="D41" s="83">
        <f>SUM(D40)</f>
      </c>
      <c r="E41" s="83">
        <f>SUM(E40)</f>
      </c>
      <c r="F41" s="83">
        <f>SUM(F40)</f>
      </c>
      <c r="G41" s="83">
        <f>SUM(G40)</f>
      </c>
      <c r="H41" s="83">
        <f>SUM(H40)</f>
      </c>
      <c r="I41" s="83">
        <f>SUM(I40)</f>
      </c>
      <c r="J41" s="120">
        <f>SUM(J40)</f>
      </c>
      <c r="K41" s="83">
        <f>SUM(K40)</f>
      </c>
      <c r="L41" s="101">
        <f t="shared" si="26"/>
      </c>
      <c r="M41" s="88">
        <f t="shared" si="8"/>
      </c>
      <c r="N41" s="101">
        <f t="shared" si="17"/>
      </c>
      <c r="O41" s="83"/>
      <c r="P41" s="83">
        <f>SUM(P40)</f>
      </c>
      <c r="Q41" s="83"/>
      <c r="R41" s="83">
        <f>SUM(R40)</f>
      </c>
      <c r="S41" s="83">
        <f>SUM(S40)</f>
      </c>
      <c r="T41" s="83">
        <f>SUM(T40)</f>
      </c>
    </row>
    <row hidden="true" r="42">
      <c r="A42" s="74" t="s">
        <v>131</v>
      </c>
      <c r="B42" s="74" t="s">
        <v>102</v>
      </c>
      <c r="C42" s="74" t="s">
        <v>129</v>
      </c>
      <c r="D42" s="74">
        <v>4</v>
      </c>
      <c r="E42" s="74">
        <v>47</v>
      </c>
      <c r="F42" s="74">
        <v>12</v>
      </c>
      <c r="G42" s="74">
        <v>17</v>
      </c>
      <c r="H42" s="74">
        <v>5</v>
      </c>
      <c r="I42" s="74">
        <v>1</v>
      </c>
      <c r="J42" s="121">
        <v>5013.6</v>
      </c>
      <c r="K42" s="97">
        <v>5364.2</v>
      </c>
      <c r="L42" s="108">
        <f t="shared" si="26"/>
      </c>
      <c r="M42" s="80">
        <f t="shared" si="8"/>
      </c>
      <c r="N42" s="108">
        <f t="shared" si="17"/>
      </c>
      <c r="O42" s="74" t="s">
        <v>111</v>
      </c>
      <c r="P42" s="74">
        <v>4</v>
      </c>
      <c r="Q42" s="118"/>
      <c r="R42" s="118"/>
      <c r="S42" s="118" t="s">
        <v>105</v>
      </c>
      <c r="T42" s="74">
        <v>4</v>
      </c>
    </row>
    <row hidden="true" r="43">
      <c r="A43" s="112" t="s">
        <v>131</v>
      </c>
      <c r="B43" s="83"/>
      <c r="C43" s="83"/>
      <c r="D43" s="83">
        <f>SUM(D42)</f>
      </c>
      <c r="E43" s="83">
        <f>SUM(E42)</f>
      </c>
      <c r="F43" s="83">
        <f>SUM(F42)</f>
      </c>
      <c r="G43" s="83">
        <f>SUM(G42)</f>
      </c>
      <c r="H43" s="83">
        <f>SUM(H42)</f>
      </c>
      <c r="I43" s="83">
        <f>SUM(I42)</f>
      </c>
      <c r="J43" s="120">
        <f>SUM(J42)</f>
      </c>
      <c r="K43" s="83">
        <f>SUM(K42)</f>
      </c>
      <c r="L43" s="101">
        <f t="shared" si="26"/>
      </c>
      <c r="M43" s="88">
        <f t="shared" si="8"/>
      </c>
      <c r="N43" s="101">
        <f t="shared" si="17"/>
      </c>
      <c r="O43" s="83"/>
      <c r="P43" s="83">
        <f>SUM(P42)</f>
      </c>
      <c r="Q43" s="83"/>
      <c r="R43" s="83">
        <f>SUM(R42)</f>
      </c>
      <c r="S43" s="83">
        <f>SUM(S42)</f>
      </c>
      <c r="T43" s="83">
        <f>SUM(T42)</f>
      </c>
    </row>
    <row hidden="true" r="44">
      <c r="A44" s="74" t="s">
        <v>132</v>
      </c>
      <c r="B44" s="74" t="s">
        <v>102</v>
      </c>
      <c r="C44" s="74" t="s">
        <v>129</v>
      </c>
      <c r="D44" s="74">
        <v>4</v>
      </c>
      <c r="E44" s="74">
        <v>29</v>
      </c>
      <c r="F44" s="74">
        <v>8</v>
      </c>
      <c r="G44" s="74">
        <v>13</v>
      </c>
      <c r="H44" s="74">
        <v>5</v>
      </c>
      <c r="I44" s="74">
        <v>0</v>
      </c>
      <c r="J44" s="121">
        <v>4538.4</v>
      </c>
      <c r="K44" s="97">
        <v>4485.05</v>
      </c>
      <c r="L44" s="108">
        <f t="shared" si="26"/>
      </c>
      <c r="M44" s="80">
        <f t="shared" si="8"/>
      </c>
      <c r="N44" s="108">
        <f t="shared" si="17"/>
      </c>
      <c r="O44" s="74" t="s">
        <v>111</v>
      </c>
      <c r="P44" s="74">
        <v>4</v>
      </c>
      <c r="Q44" s="118"/>
      <c r="R44" s="118"/>
      <c r="S44" s="118" t="s">
        <v>105</v>
      </c>
      <c r="T44" s="74">
        <v>4</v>
      </c>
    </row>
    <row hidden="true" r="45">
      <c r="A45" s="112" t="s">
        <v>132</v>
      </c>
      <c r="B45" s="83"/>
      <c r="C45" s="83"/>
      <c r="D45" s="83">
        <f>SUM(D44)</f>
      </c>
      <c r="E45" s="83">
        <f>SUM(E44)</f>
      </c>
      <c r="F45" s="83">
        <f>SUM(F44)</f>
      </c>
      <c r="G45" s="83">
        <f>SUM(G44)</f>
      </c>
      <c r="H45" s="83">
        <f>SUM(H44)</f>
      </c>
      <c r="I45" s="83">
        <f>SUM(I44)</f>
      </c>
      <c r="J45" s="120">
        <f>SUM(J44)</f>
      </c>
      <c r="K45" s="83">
        <f>SUM(K44)</f>
      </c>
      <c r="L45" s="101">
        <f t="shared" si="26"/>
      </c>
      <c r="M45" s="88">
        <f t="shared" si="8"/>
      </c>
      <c r="N45" s="101">
        <f t="shared" si="17"/>
      </c>
      <c r="O45" s="83"/>
      <c r="P45" s="83">
        <f>SUM(P44)</f>
      </c>
      <c r="Q45" s="83"/>
      <c r="R45" s="83">
        <f>SUM(R44)</f>
      </c>
      <c r="S45" s="83">
        <f>SUM(S44)</f>
      </c>
      <c r="T45" s="83">
        <f>SUM(T44)</f>
      </c>
    </row>
    <row hidden="true" r="46">
      <c r="A46" s="74" t="s">
        <v>133</v>
      </c>
      <c r="B46" s="74" t="s">
        <v>102</v>
      </c>
      <c r="C46" s="74" t="s">
        <v>129</v>
      </c>
      <c r="D46" s="74">
        <v>4</v>
      </c>
      <c r="E46" s="74">
        <v>39</v>
      </c>
      <c r="F46" s="74">
        <v>8</v>
      </c>
      <c r="G46" s="74">
        <v>17</v>
      </c>
      <c r="H46" s="74">
        <v>7</v>
      </c>
      <c r="I46" s="74">
        <v>2</v>
      </c>
      <c r="J46" s="121">
        <v>6211.2</v>
      </c>
      <c r="K46" s="97">
        <v>3604.03</v>
      </c>
      <c r="L46" s="108">
        <f t="shared" si="26"/>
      </c>
      <c r="M46" s="80">
        <f t="shared" si="8"/>
      </c>
      <c r="N46" s="108">
        <f t="shared" si="17"/>
      </c>
      <c r="O46" s="74" t="s">
        <v>111</v>
      </c>
      <c r="P46" s="74">
        <v>4</v>
      </c>
      <c r="Q46" s="118"/>
      <c r="R46" s="118"/>
      <c r="S46" s="118" t="s">
        <v>105</v>
      </c>
      <c r="T46" s="74">
        <v>4</v>
      </c>
    </row>
    <row hidden="true" r="47">
      <c r="A47" s="112" t="s">
        <v>133</v>
      </c>
      <c r="B47" s="83"/>
      <c r="C47" s="83"/>
      <c r="D47" s="83">
        <f>SUM(D46)</f>
      </c>
      <c r="E47" s="83">
        <f>SUM(E46)</f>
      </c>
      <c r="F47" s="83">
        <f>SUM(F46)</f>
      </c>
      <c r="G47" s="83">
        <f>SUM(G46)</f>
      </c>
      <c r="H47" s="83">
        <f>SUM(H46)</f>
      </c>
      <c r="I47" s="83">
        <f>SUM(I46)</f>
      </c>
      <c r="J47" s="120">
        <f>SUM(J46)</f>
      </c>
      <c r="K47" s="83">
        <f>SUM(K46)</f>
      </c>
      <c r="L47" s="101">
        <f t="shared" si="26"/>
      </c>
      <c r="M47" s="88">
        <f t="shared" si="8"/>
      </c>
      <c r="N47" s="101">
        <f t="shared" si="17"/>
      </c>
      <c r="O47" s="83"/>
      <c r="P47" s="83">
        <f>SUM(P46)</f>
      </c>
      <c r="Q47" s="83"/>
      <c r="R47" s="83">
        <f>SUM(R46)</f>
      </c>
      <c r="S47" s="83">
        <f>SUM(S46)</f>
      </c>
      <c r="T47" s="83">
        <f>SUM(T46)</f>
      </c>
    </row>
    <row hidden="true" r="48">
      <c r="A48" s="74" t="s">
        <v>134</v>
      </c>
      <c r="B48" s="74" t="s">
        <v>102</v>
      </c>
      <c r="C48" s="74" t="s">
        <v>129</v>
      </c>
      <c r="D48" s="74">
        <v>4</v>
      </c>
      <c r="E48" s="74">
        <v>37</v>
      </c>
      <c r="F48" s="74">
        <v>6</v>
      </c>
      <c r="G48" s="74">
        <v>12</v>
      </c>
      <c r="H48" s="74">
        <v>6</v>
      </c>
      <c r="I48" s="74">
        <v>0</v>
      </c>
      <c r="J48" s="121">
        <v>5018.4</v>
      </c>
      <c r="K48" s="97">
        <v>3356.79</v>
      </c>
      <c r="L48" s="108">
        <f t="shared" si="26"/>
      </c>
      <c r="M48" s="80">
        <f t="shared" si="8"/>
      </c>
      <c r="N48" s="108">
        <f t="shared" si="17"/>
      </c>
      <c r="O48" s="74" t="s">
        <v>111</v>
      </c>
      <c r="P48" s="74">
        <v>4</v>
      </c>
      <c r="Q48" s="118"/>
      <c r="R48" s="118"/>
      <c r="S48" s="118" t="s">
        <v>105</v>
      </c>
      <c r="T48" s="74">
        <v>4</v>
      </c>
    </row>
    <row hidden="true" r="49">
      <c r="A49" s="112" t="s">
        <v>134</v>
      </c>
      <c r="B49" s="83"/>
      <c r="C49" s="83"/>
      <c r="D49" s="83">
        <f>SUM(D48)</f>
      </c>
      <c r="E49" s="83">
        <f>SUM(E48)</f>
      </c>
      <c r="F49" s="83">
        <f>SUM(F48)</f>
      </c>
      <c r="G49" s="83">
        <f>SUM(G48)</f>
      </c>
      <c r="H49" s="83">
        <f>SUM(H48)</f>
      </c>
      <c r="I49" s="83">
        <f>SUM(I48)</f>
      </c>
      <c r="J49" s="120">
        <f>SUM(J48)</f>
      </c>
      <c r="K49" s="83">
        <f>SUM(K48)</f>
      </c>
      <c r="L49" s="101">
        <f t="shared" si="26"/>
      </c>
      <c r="M49" s="88">
        <f t="shared" si="8"/>
      </c>
      <c r="N49" s="101">
        <f t="shared" si="17"/>
      </c>
      <c r="O49" s="83"/>
      <c r="P49" s="83">
        <f>SUM(P48)</f>
      </c>
      <c r="Q49" s="83"/>
      <c r="R49" s="83">
        <f>SUM(R48)</f>
      </c>
      <c r="S49" s="83">
        <f>SUM(S48)</f>
      </c>
      <c r="T49" s="83">
        <f>SUM(T48)</f>
      </c>
    </row>
    <row r="50">
      <c r="A50" s="74" t="s">
        <v>135</v>
      </c>
      <c r="B50" s="74" t="s">
        <v>102</v>
      </c>
      <c r="C50" s="74" t="s">
        <v>129</v>
      </c>
      <c r="D50" s="74">
        <v>4</v>
      </c>
      <c r="E50" s="74">
        <v>27</v>
      </c>
      <c r="F50" s="74">
        <v>14</v>
      </c>
      <c r="G50" s="74">
        <v>17</v>
      </c>
      <c r="H50" s="74">
        <v>1</v>
      </c>
      <c r="I50" s="74">
        <v>1</v>
      </c>
      <c r="J50" s="121">
        <v>2618.4</v>
      </c>
      <c r="K50" s="97">
        <v>3275.91</v>
      </c>
      <c r="L50" s="108">
        <f t="shared" si="26"/>
      </c>
      <c r="M50" s="80">
        <f t="shared" si="8"/>
      </c>
      <c r="N50" s="108">
        <f t="shared" si="17"/>
      </c>
      <c r="O50" s="74" t="s">
        <v>111</v>
      </c>
      <c r="P50" s="74">
        <v>4</v>
      </c>
      <c r="Q50" s="118"/>
      <c r="R50" s="118"/>
      <c r="S50" s="118" t="s">
        <v>105</v>
      </c>
      <c r="T50" s="74">
        <v>4</v>
      </c>
    </row>
    <row r="51">
      <c r="A51" s="112" t="s">
        <v>135</v>
      </c>
      <c r="B51" s="83"/>
      <c r="C51" s="83"/>
      <c r="D51" s="83">
        <f>SUM(D50)</f>
      </c>
      <c r="E51" s="83">
        <f>SUM(E50)</f>
      </c>
      <c r="F51" s="83">
        <f>SUM(F50)</f>
      </c>
      <c r="G51" s="83">
        <f>SUM(G50)</f>
      </c>
      <c r="H51" s="83">
        <f>SUM(H50)</f>
      </c>
      <c r="I51" s="83">
        <f>SUM(I50)</f>
      </c>
      <c r="J51" s="120">
        <f>SUM(J50)</f>
      </c>
      <c r="K51" s="83">
        <f>SUM(K50)</f>
      </c>
      <c r="L51" s="101">
        <f t="shared" si="26"/>
      </c>
      <c r="M51" s="88">
        <f t="shared" si="8"/>
      </c>
      <c r="N51" s="101">
        <f t="shared" si="17"/>
      </c>
      <c r="O51" s="83"/>
      <c r="P51" s="83">
        <f>SUM(P50)</f>
      </c>
      <c r="Q51" s="83"/>
      <c r="R51" s="83">
        <f>SUM(R50)</f>
      </c>
      <c r="S51" s="83">
        <f>SUM(S50)</f>
      </c>
      <c r="T51" s="83">
        <f>SUM(T50)</f>
      </c>
    </row>
    <row r="52">
      <c r="A52" s="74" t="s">
        <v>136</v>
      </c>
      <c r="B52" s="74" t="s">
        <v>102</v>
      </c>
      <c r="C52" s="74" t="s">
        <v>129</v>
      </c>
      <c r="D52" s="74">
        <v>4</v>
      </c>
      <c r="E52" s="74">
        <v>31</v>
      </c>
      <c r="F52" s="74">
        <v>16</v>
      </c>
      <c r="G52" s="74">
        <v>21</v>
      </c>
      <c r="H52" s="74">
        <v>3</v>
      </c>
      <c r="I52" s="74">
        <v>2</v>
      </c>
      <c r="J52" s="121">
        <v>4291.2</v>
      </c>
      <c r="K52" s="97">
        <v>4489.48</v>
      </c>
      <c r="L52" s="108">
        <f t="shared" si="26"/>
      </c>
      <c r="M52" s="80">
        <f t="shared" si="8"/>
      </c>
      <c r="N52" s="108">
        <f t="shared" si="17"/>
      </c>
      <c r="O52" s="74" t="s">
        <v>111</v>
      </c>
      <c r="P52" s="74">
        <v>4</v>
      </c>
      <c r="Q52" s="118"/>
      <c r="R52" s="118"/>
      <c r="S52" s="118" t="s">
        <v>105</v>
      </c>
      <c r="T52" s="74">
        <v>4</v>
      </c>
    </row>
    <row r="53">
      <c r="A53" s="112" t="s">
        <v>136</v>
      </c>
      <c r="B53" s="83"/>
      <c r="C53" s="83"/>
      <c r="D53" s="83">
        <f>SUM(D52)</f>
      </c>
      <c r="E53" s="83">
        <f>SUM(E52)</f>
      </c>
      <c r="F53" s="83">
        <f>SUM(F52)</f>
      </c>
      <c r="G53" s="83">
        <f>SUM(G52)</f>
      </c>
      <c r="H53" s="83">
        <f>SUM(H52)</f>
      </c>
      <c r="I53" s="83">
        <f>SUM(I52)</f>
      </c>
      <c r="J53" s="120">
        <f>SUM(J52)</f>
      </c>
      <c r="K53" s="83">
        <f>SUM(K52)</f>
      </c>
      <c r="L53" s="101">
        <f t="shared" si="26"/>
      </c>
      <c r="M53" s="88">
        <f t="shared" si="8"/>
      </c>
      <c r="N53" s="101">
        <f t="shared" si="17"/>
      </c>
      <c r="O53" s="83"/>
      <c r="P53" s="83">
        <f>SUM(P52)</f>
      </c>
      <c r="Q53" s="83"/>
      <c r="R53" s="83">
        <f>SUM(R52)</f>
      </c>
      <c r="S53" s="83">
        <f>SUM(S52)</f>
      </c>
      <c r="T53" s="83">
        <f>SUM(T52)</f>
      </c>
    </row>
    <row r="54">
      <c r="A54" s="74" t="s">
        <v>137</v>
      </c>
      <c r="B54" s="74" t="s">
        <v>102</v>
      </c>
      <c r="C54" s="74" t="s">
        <v>129</v>
      </c>
      <c r="D54" s="74">
        <v>4</v>
      </c>
      <c r="E54" s="74">
        <v>30</v>
      </c>
      <c r="F54" s="74">
        <v>14</v>
      </c>
      <c r="G54" s="74">
        <v>17</v>
      </c>
      <c r="H54" s="74">
        <v>6</v>
      </c>
      <c r="I54" s="74">
        <v>1</v>
      </c>
      <c r="J54" s="121">
        <v>5612.4</v>
      </c>
      <c r="K54" s="97">
        <v>4670.58</v>
      </c>
      <c r="L54" s="108">
        <f t="shared" si="26"/>
      </c>
      <c r="M54" s="80">
        <f t="shared" si="8"/>
      </c>
      <c r="N54" s="108">
        <f t="shared" si="17"/>
      </c>
      <c r="O54" s="74" t="s">
        <v>111</v>
      </c>
      <c r="P54" s="74">
        <v>4</v>
      </c>
      <c r="Q54" s="118"/>
      <c r="R54" s="118"/>
      <c r="S54" s="118" t="s">
        <v>105</v>
      </c>
      <c r="T54" s="74">
        <v>4</v>
      </c>
    </row>
    <row r="55">
      <c r="A55" s="112" t="s">
        <v>137</v>
      </c>
      <c r="B55" s="83"/>
      <c r="C55" s="83"/>
      <c r="D55" s="83">
        <f>SUM(D54)</f>
      </c>
      <c r="E55" s="83">
        <f>SUM(E54)</f>
      </c>
      <c r="F55" s="83">
        <f>SUM(F54)</f>
      </c>
      <c r="G55" s="83">
        <f>SUM(G54)</f>
      </c>
      <c r="H55" s="83">
        <f>SUM(H54)</f>
      </c>
      <c r="I55" s="83">
        <f>SUM(I54)</f>
      </c>
      <c r="J55" s="120">
        <f>SUM(J54)</f>
      </c>
      <c r="K55" s="83">
        <f>SUM(K54)</f>
      </c>
      <c r="L55" s="101">
        <f t="shared" si="26"/>
      </c>
      <c r="M55" s="88">
        <f t="shared" si="8"/>
      </c>
      <c r="N55" s="101">
        <f t="shared" si="17"/>
      </c>
      <c r="O55" s="83"/>
      <c r="P55" s="83">
        <f>SUM(P54)</f>
      </c>
      <c r="Q55" s="83"/>
      <c r="R55" s="83">
        <f>SUM(R54)</f>
      </c>
      <c r="S55" s="83">
        <f>SUM(S54)</f>
      </c>
      <c r="T55" s="83">
        <f>SUM(T54)</f>
      </c>
    </row>
    <row r="56">
      <c r="A56" s="74" t="s">
        <v>138</v>
      </c>
      <c r="B56" s="74" t="s">
        <v>102</v>
      </c>
      <c r="C56" s="74" t="s">
        <v>129</v>
      </c>
      <c r="D56" s="74">
        <v>4</v>
      </c>
      <c r="E56" s="74">
        <v>29</v>
      </c>
      <c r="F56" s="74">
        <v>6</v>
      </c>
      <c r="G56" s="74">
        <v>10</v>
      </c>
      <c r="H56" s="74">
        <v>3</v>
      </c>
      <c r="I56" s="74">
        <v>1</v>
      </c>
      <c r="J56" s="121">
        <v>2984.4</v>
      </c>
      <c r="K56" s="97">
        <v>3823.75</v>
      </c>
      <c r="L56" s="108">
        <f t="shared" si="26"/>
      </c>
      <c r="M56" s="80">
        <f t="shared" si="8"/>
      </c>
      <c r="N56" s="108">
        <f t="shared" si="17"/>
      </c>
      <c r="O56" s="74" t="s">
        <v>111</v>
      </c>
      <c r="P56" s="74">
        <v>4</v>
      </c>
      <c r="Q56" s="118"/>
      <c r="R56" s="118"/>
      <c r="S56" s="118" t="s">
        <v>105</v>
      </c>
      <c r="T56" s="74">
        <v>4</v>
      </c>
    </row>
    <row r="57">
      <c r="A57" s="112" t="s">
        <v>138</v>
      </c>
      <c r="B57" s="83"/>
      <c r="C57" s="83"/>
      <c r="D57" s="83">
        <f>SUM(D56)</f>
      </c>
      <c r="E57" s="83">
        <f>SUM(E56)</f>
      </c>
      <c r="F57" s="83">
        <f>SUM(F56)</f>
      </c>
      <c r="G57" s="83">
        <f>SUM(G56)</f>
      </c>
      <c r="H57" s="83">
        <f>SUM(H56)</f>
      </c>
      <c r="I57" s="83">
        <f>SUM(I56)</f>
      </c>
      <c r="J57" s="120">
        <f>SUM(J56)</f>
      </c>
      <c r="K57" s="83">
        <f>SUM(K56)</f>
      </c>
      <c r="L57" s="101">
        <f t="shared" si="26"/>
      </c>
      <c r="M57" s="88">
        <f t="shared" si="8"/>
      </c>
      <c r="N57" s="101">
        <f t="shared" si="17"/>
      </c>
      <c r="O57" s="83"/>
      <c r="P57" s="83">
        <f>SUM(P56)</f>
      </c>
      <c r="Q57" s="83"/>
      <c r="R57" s="83">
        <f>SUM(R56)</f>
      </c>
      <c r="S57" s="83">
        <f>SUM(S56)</f>
      </c>
      <c r="T57" s="83">
        <f>SUM(T56)</f>
      </c>
    </row>
    <row r="58">
      <c r="A58" s="74" t="s">
        <v>139</v>
      </c>
      <c r="B58" s="74" t="s">
        <v>102</v>
      </c>
      <c r="C58" s="74" t="s">
        <v>129</v>
      </c>
      <c r="D58" s="74">
        <v>4</v>
      </c>
      <c r="E58" s="74">
        <v>64</v>
      </c>
      <c r="F58" s="74">
        <v>18</v>
      </c>
      <c r="G58" s="74">
        <v>24</v>
      </c>
      <c r="H58" s="74">
        <v>10</v>
      </c>
      <c r="I58" s="74">
        <v>0</v>
      </c>
      <c r="J58" s="121">
        <v>8839.2</v>
      </c>
      <c r="K58" s="97">
        <v>5773.44</v>
      </c>
      <c r="L58" s="108">
        <f t="shared" si="26"/>
      </c>
      <c r="M58" s="80">
        <f t="shared" si="8"/>
      </c>
      <c r="N58" s="108">
        <f t="shared" si="17"/>
      </c>
      <c r="O58" s="74" t="s">
        <v>140</v>
      </c>
      <c r="P58" s="74">
        <v>4</v>
      </c>
      <c r="Q58" s="118"/>
      <c r="R58" s="118"/>
      <c r="S58" s="118" t="s">
        <v>105</v>
      </c>
      <c r="T58" s="74">
        <v>4</v>
      </c>
    </row>
    <row r="59">
      <c r="A59" s="112" t="s">
        <v>139</v>
      </c>
      <c r="B59" s="83"/>
      <c r="C59" s="83"/>
      <c r="D59" s="83">
        <f>SUM(D58)</f>
      </c>
      <c r="E59" s="83">
        <f>SUM(E58)</f>
      </c>
      <c r="F59" s="83">
        <f>SUM(F58)</f>
      </c>
      <c r="G59" s="83">
        <f>SUM(G58)</f>
      </c>
      <c r="H59" s="83">
        <f>SUM(H58)</f>
      </c>
      <c r="I59" s="83">
        <f>SUM(I58)</f>
      </c>
      <c r="J59" s="120">
        <f>SUM(J58)</f>
      </c>
      <c r="K59" s="83">
        <f>SUM(K58)</f>
      </c>
      <c r="L59" s="101">
        <f t="shared" si="26"/>
      </c>
      <c r="M59" s="88">
        <f t="shared" si="8"/>
      </c>
      <c r="N59" s="101">
        <f t="shared" si="17"/>
      </c>
      <c r="O59" s="83"/>
      <c r="P59" s="83">
        <f>SUM(P58)</f>
      </c>
      <c r="Q59" s="83"/>
      <c r="R59" s="83">
        <f>SUM(R58)</f>
      </c>
      <c r="S59" s="83">
        <f>SUM(S58)</f>
      </c>
      <c r="T59" s="83">
        <f>SUM(T58)</f>
      </c>
    </row>
    <row r="60">
      <c r="A60" s="74" t="s">
        <v>141</v>
      </c>
      <c r="B60" s="74" t="s">
        <v>102</v>
      </c>
      <c r="C60" s="74" t="s">
        <v>129</v>
      </c>
      <c r="D60" s="74">
        <v>4</v>
      </c>
      <c r="E60" s="74">
        <v>36</v>
      </c>
      <c r="F60" s="74">
        <v>4</v>
      </c>
      <c r="G60" s="74">
        <v>16</v>
      </c>
      <c r="H60" s="74">
        <v>5</v>
      </c>
      <c r="I60" s="74">
        <v>1</v>
      </c>
      <c r="J60" s="121">
        <v>4894.8</v>
      </c>
      <c r="K60" s="97">
        <v>4693.94</v>
      </c>
      <c r="L60" s="108">
        <f t="shared" si="26"/>
      </c>
      <c r="M60" s="80">
        <f t="shared" si="8"/>
      </c>
      <c r="N60" s="108">
        <f t="shared" si="17"/>
      </c>
      <c r="O60" s="74" t="s">
        <v>140</v>
      </c>
      <c r="P60" s="74">
        <v>4</v>
      </c>
      <c r="Q60" s="118"/>
      <c r="R60" s="118"/>
      <c r="S60" s="118" t="s">
        <v>105</v>
      </c>
      <c r="T60" s="74">
        <v>4</v>
      </c>
    </row>
    <row r="61">
      <c r="A61" s="112" t="s">
        <v>141</v>
      </c>
      <c r="B61" s="83"/>
      <c r="C61" s="83"/>
      <c r="D61" s="83">
        <f>SUM(D60)</f>
      </c>
      <c r="E61" s="83">
        <f>SUM(E60)</f>
      </c>
      <c r="F61" s="83">
        <f>SUM(F60)</f>
      </c>
      <c r="G61" s="83">
        <f>SUM(G60)</f>
      </c>
      <c r="H61" s="83">
        <f>SUM(H60)</f>
      </c>
      <c r="I61" s="83">
        <f>SUM(I60)</f>
      </c>
      <c r="J61" s="120">
        <f>SUM(J60)</f>
      </c>
      <c r="K61" s="83">
        <f>SUM(K60)</f>
      </c>
      <c r="L61" s="101">
        <f t="shared" si="26"/>
      </c>
      <c r="M61" s="88">
        <f t="shared" si="8"/>
      </c>
      <c r="N61" s="101">
        <f t="shared" si="17"/>
      </c>
      <c r="O61" s="83"/>
      <c r="P61" s="83">
        <f>SUM(P60)</f>
      </c>
      <c r="Q61" s="83"/>
      <c r="R61" s="83">
        <f>SUM(R60)</f>
      </c>
      <c r="S61" s="83">
        <f>SUM(S60)</f>
      </c>
      <c r="T61" s="83">
        <f>SUM(T60)</f>
      </c>
    </row>
    <row hidden="true" r="62"/>
    <row hidden="true" r="63"/>
    <row hidden="true" r="64"/>
    <row hidden="true" r="65">
      <c r="E65" s="122"/>
    </row>
    <row hidden="true" r="66">
      <c r="E66" s="122"/>
    </row>
    <row hidden="true" r="67">
      <c r="L67" s="122"/>
    </row>
    <row hidden="true" r="68">
      <c r="L68" s="122"/>
    </row>
    <row hidden="true" r="69"/>
    <row hidden="true" r="70"/>
    <row hidden="true" r="71"/>
    <row hidden="true" r="72"/>
    <row hidden="true" r="73"/>
    <row hidden="true" r="74"/>
    <row hidden="true" r="75"/>
    <row hidden="true" r="76"/>
    <row hidden="true" r="77"/>
    <row hidden="true" r="78"/>
    <row hidden="true" r="79"/>
    <row hidden="true" r="80"/>
    <row hidden="true" r="81"/>
    <row hidden="true" r="82"/>
    <row hidden="true" r="83"/>
    <row hidden="true" r="84"/>
    <row hidden="true" r="85"/>
    <row hidden="true" r="86"/>
    <row hidden="true" r="87"/>
    <row hidden="true" r="88"/>
    <row hidden="true" r="89"/>
    <row hidden="true" r="90"/>
    <row hidden="true" r="91"/>
    <row hidden="true" r="92"/>
    <row hidden="true" r="93"/>
    <row hidden="true" r="94"/>
    <row hidden="true" r="95"/>
    <row hidden="true" r="96"/>
    <row hidden="true" r="97"/>
    <row hidden="true" r="98"/>
    <row hidden="true" r="99"/>
    <row hidden="true" r="100"/>
    <row hidden="true" r="101"/>
    <row hidden="true" r="102"/>
    <row hidden="true" r="103"/>
    <row hidden="true" r="104"/>
    <row hidden="true" r="105"/>
    <row hidden="true" r="106"/>
    <row hidden="true" r="107"/>
    <row hidden="true" r="108"/>
    <row hidden="true" r="109"/>
    <row hidden="true" r="110"/>
    <row hidden="true" r="111"/>
    <row hidden="true" r="112"/>
    <row hidden="true" r="113"/>
    <row hidden="true" r="114"/>
    <row hidden="true" r="115"/>
    <row hidden="true" r="116"/>
    <row hidden="true" r="117"/>
    <row hidden="true" r="118"/>
    <row hidden="true" r="119"/>
    <row hidden="true" r="120"/>
    <row hidden="true" r="121"/>
    <row hidden="true" r="122"/>
    <row hidden="true" r="123"/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hidden="true" r="200"/>
  </sheetData>
  <autoFilter ref="A1:U200">
    <filterColumn colId="0">
      <filters>
        <filter val="2026/8.21"/>
        <filter val="2026/8.22"/>
        <filter val="2026/8.23"/>
        <filter val="2026/8.24"/>
        <filter val="2026/8.25"/>
        <filter val="2026/8.26"/>
      </filters>
    </filterColumn>
  </autoFilter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</cols>
  <sheetData>
    <row r="1">
      <c r="A1" s="123" t="s">
        <v>142</v>
      </c>
      <c r="B1" s="123" t="s">
        <v>143</v>
      </c>
      <c r="C1" s="123" t="s">
        <v>144</v>
      </c>
      <c r="D1" s="123" t="s">
        <v>145</v>
      </c>
      <c r="E1" s="123" t="s">
        <v>146</v>
      </c>
      <c r="F1" s="123" t="s">
        <v>147</v>
      </c>
      <c r="G1" s="123" t="s">
        <v>148</v>
      </c>
      <c r="H1" s="123" t="s">
        <v>149</v>
      </c>
      <c r="I1" s="123" t="s">
        <v>150</v>
      </c>
      <c r="J1" s="124" t="s">
        <v>151</v>
      </c>
      <c r="K1" s="125" t="s">
        <v>152</v>
      </c>
      <c r="L1" s="125" t="s">
        <v>153</v>
      </c>
      <c r="M1" s="125" t="s">
        <v>154</v>
      </c>
      <c r="N1" s="125" t="s">
        <v>155</v>
      </c>
      <c r="O1" s="123" t="s">
        <v>156</v>
      </c>
      <c r="P1" s="123" t="s">
        <v>157</v>
      </c>
      <c r="Q1" s="123" t="s">
        <v>156</v>
      </c>
      <c r="R1" s="123" t="s">
        <v>158</v>
      </c>
      <c r="S1" s="123" t="s">
        <v>159</v>
      </c>
      <c r="T1" s="126"/>
    </row>
    <row r="2">
      <c r="A2" s="127" t="s">
        <v>160</v>
      </c>
      <c r="B2" s="128" t="s">
        <v>161</v>
      </c>
      <c r="C2" s="129" t="s">
        <v>162</v>
      </c>
      <c r="D2" s="130">
        <v>4</v>
      </c>
      <c r="E2" s="131">
        <v>2</v>
      </c>
      <c r="F2" s="131">
        <v>2</v>
      </c>
      <c r="G2" s="131">
        <v>2</v>
      </c>
      <c r="H2" s="127">
        <v>0</v>
      </c>
      <c r="I2" s="132">
        <v>237.60000000000002</v>
      </c>
      <c r="J2" s="133">
        <v>1281.21</v>
      </c>
      <c r="K2" s="134">
        <f t="shared" ref="K2:K10" si="0">I2/J2</f>
      </c>
      <c r="L2" s="135">
        <f t="shared" ref="L2:L10" si="2">I2/G2</f>
      </c>
      <c r="M2" s="135">
        <f t="shared" ref="M2:M10" si="4">J2/G2</f>
      </c>
      <c r="N2" s="131" t="s">
        <v>163</v>
      </c>
      <c r="O2" s="131">
        <v>4</v>
      </c>
      <c r="P2" s="136"/>
      <c r="Q2" s="136"/>
      <c r="R2" s="136" t="s">
        <v>164</v>
      </c>
      <c r="S2" s="131">
        <v>4</v>
      </c>
      <c r="T2" s="126"/>
    </row>
    <row r="3">
      <c r="A3" s="137" t="s">
        <v>160</v>
      </c>
      <c r="B3" s="138"/>
      <c r="C3" s="138"/>
      <c r="D3" s="139">
        <f>SUM(D2)</f>
      </c>
      <c r="E3" s="139">
        <f>SUM(E2)</f>
      </c>
      <c r="F3" s="139">
        <f>SUM(F2)</f>
      </c>
      <c r="G3" s="139">
        <f>SUM(G2)</f>
      </c>
      <c r="H3" s="139">
        <f>SUM(H2)</f>
      </c>
      <c r="I3" s="140">
        <f>SUM(I2)</f>
      </c>
      <c r="J3" s="139">
        <f>SUM(J2)</f>
      </c>
      <c r="K3" s="141">
        <f t="shared" si="0"/>
      </c>
      <c r="L3" s="141">
        <f t="shared" si="2"/>
      </c>
      <c r="M3" s="141">
        <f t="shared" si="4"/>
      </c>
      <c r="N3" s="139"/>
      <c r="O3" s="139">
        <f>SUM(O2)</f>
      </c>
      <c r="P3" s="139"/>
      <c r="Q3" s="139">
        <f>SUM(Q2)</f>
      </c>
      <c r="R3" s="139">
        <f>SUM(R2)</f>
      </c>
      <c r="S3" s="139">
        <f>SUM(S2)</f>
      </c>
      <c r="T3" s="126"/>
    </row>
    <row r="4">
      <c r="A4" s="127" t="s">
        <v>165</v>
      </c>
      <c r="B4" s="128" t="s">
        <v>161</v>
      </c>
      <c r="C4" s="129" t="s">
        <v>162</v>
      </c>
      <c r="D4" s="130">
        <v>4</v>
      </c>
      <c r="E4" s="131">
        <v>15</v>
      </c>
      <c r="F4" s="131">
        <v>15</v>
      </c>
      <c r="G4" s="131">
        <v>15</v>
      </c>
      <c r="H4" s="127">
        <v>0</v>
      </c>
      <c r="I4" s="132">
        <v>1782</v>
      </c>
      <c r="J4" s="133">
        <v>5722.91</v>
      </c>
      <c r="K4" s="134">
        <f t="shared" si="0"/>
      </c>
      <c r="L4" s="135">
        <f t="shared" si="2"/>
      </c>
      <c r="M4" s="135">
        <f t="shared" si="4"/>
      </c>
      <c r="N4" s="131" t="s">
        <v>163</v>
      </c>
      <c r="O4" s="131">
        <v>4</v>
      </c>
      <c r="P4" s="136"/>
      <c r="Q4" s="136"/>
      <c r="R4" s="136" t="s">
        <v>164</v>
      </c>
      <c r="S4" s="131">
        <v>4</v>
      </c>
    </row>
    <row r="5">
      <c r="A5" s="137" t="s">
        <v>165</v>
      </c>
      <c r="B5" s="138"/>
      <c r="C5" s="138"/>
      <c r="D5" s="139">
        <f>SUM(D4)</f>
      </c>
      <c r="E5" s="139">
        <f>SUM(E4)</f>
      </c>
      <c r="F5" s="139">
        <f>SUM(F4)</f>
      </c>
      <c r="G5" s="139">
        <f>SUM(G4)</f>
      </c>
      <c r="H5" s="139">
        <f>SUM(H4)</f>
      </c>
      <c r="I5" s="140">
        <f>SUM(I4)</f>
      </c>
      <c r="J5" s="139">
        <f>SUM(J4)</f>
      </c>
      <c r="K5" s="141">
        <f t="shared" si="0"/>
      </c>
      <c r="L5" s="141">
        <f t="shared" si="2"/>
      </c>
      <c r="M5" s="141">
        <f t="shared" si="4"/>
      </c>
      <c r="N5" s="139"/>
      <c r="O5" s="139">
        <f>SUM(O4)</f>
      </c>
      <c r="P5" s="139"/>
      <c r="Q5" s="139">
        <f>SUM(Q4)</f>
      </c>
      <c r="R5" s="139">
        <f>SUM(R4)</f>
      </c>
      <c r="S5" s="139">
        <f>SUM(S4)</f>
      </c>
    </row>
    <row r="6">
      <c r="A6" s="127" t="s">
        <v>166</v>
      </c>
      <c r="B6" s="128" t="s">
        <v>161</v>
      </c>
      <c r="C6" s="129" t="s">
        <v>162</v>
      </c>
      <c r="D6" s="130">
        <v>4</v>
      </c>
      <c r="E6" s="131">
        <v>22</v>
      </c>
      <c r="F6" s="131">
        <v>22</v>
      </c>
      <c r="G6" s="131">
        <v>22</v>
      </c>
      <c r="H6" s="127">
        <v>0</v>
      </c>
      <c r="I6" s="132">
        <v>2613.6000000000004</v>
      </c>
      <c r="J6" s="133">
        <v>8150.41</v>
      </c>
      <c r="K6" s="134">
        <f t="shared" si="0"/>
      </c>
      <c r="L6" s="135">
        <f t="shared" si="2"/>
      </c>
      <c r="M6" s="135">
        <f t="shared" si="4"/>
      </c>
      <c r="N6" s="131" t="s">
        <v>163</v>
      </c>
      <c r="O6" s="131">
        <v>4</v>
      </c>
      <c r="P6" s="136"/>
      <c r="Q6" s="136"/>
      <c r="R6" s="136" t="s">
        <v>164</v>
      </c>
      <c r="S6" s="131">
        <v>4</v>
      </c>
    </row>
    <row r="7">
      <c r="A7" s="137" t="s">
        <v>166</v>
      </c>
      <c r="B7" s="138"/>
      <c r="C7" s="138"/>
      <c r="D7" s="139">
        <f>SUM(D6)</f>
      </c>
      <c r="E7" s="139">
        <f>SUM(E6)</f>
      </c>
      <c r="F7" s="139">
        <f>SUM(F6)</f>
      </c>
      <c r="G7" s="139">
        <f>SUM(G6)</f>
      </c>
      <c r="H7" s="139">
        <f>SUM(H6)</f>
      </c>
      <c r="I7" s="140">
        <f>SUM(I6)</f>
      </c>
      <c r="J7" s="139">
        <f>SUM(J6)</f>
      </c>
      <c r="K7" s="141">
        <f t="shared" si="0"/>
      </c>
      <c r="L7" s="141">
        <f t="shared" si="2"/>
      </c>
      <c r="M7" s="141">
        <f t="shared" si="4"/>
      </c>
      <c r="N7" s="139"/>
      <c r="O7" s="139">
        <f>SUM(O6)</f>
      </c>
      <c r="P7" s="139"/>
      <c r="Q7" s="139">
        <f>SUM(Q6)</f>
      </c>
      <c r="R7" s="139">
        <f>SUM(R6)</f>
      </c>
      <c r="S7" s="139">
        <f>SUM(S6)</f>
      </c>
    </row>
    <row r="8">
      <c r="A8" s="127" t="s">
        <v>167</v>
      </c>
      <c r="B8" s="128" t="s">
        <v>161</v>
      </c>
      <c r="C8" s="129" t="s">
        <v>162</v>
      </c>
      <c r="D8" s="130">
        <v>4</v>
      </c>
      <c r="E8" s="131">
        <v>76</v>
      </c>
      <c r="F8" s="131">
        <v>29</v>
      </c>
      <c r="G8" s="131">
        <v>29</v>
      </c>
      <c r="H8" s="127">
        <v>2</v>
      </c>
      <c r="I8" s="132">
        <v>3445.2</v>
      </c>
      <c r="J8" s="133">
        <v>10242.48</v>
      </c>
      <c r="K8" s="134">
        <f t="shared" si="0"/>
      </c>
      <c r="L8" s="135">
        <f t="shared" si="2"/>
      </c>
      <c r="M8" s="135">
        <f t="shared" si="4"/>
      </c>
      <c r="N8" s="131" t="s">
        <v>168</v>
      </c>
      <c r="O8" s="131">
        <v>4</v>
      </c>
      <c r="P8" s="136"/>
      <c r="Q8" s="136"/>
      <c r="R8" s="136" t="s">
        <v>164</v>
      </c>
      <c r="S8" s="131">
        <v>4</v>
      </c>
    </row>
    <row r="9">
      <c r="A9" s="137" t="s">
        <v>167</v>
      </c>
      <c r="B9" s="138"/>
      <c r="C9" s="138"/>
      <c r="D9" s="139">
        <f>SUM(D8)</f>
      </c>
      <c r="E9" s="139">
        <f>SUM(E8)</f>
      </c>
      <c r="F9" s="139">
        <f>SUM(F8)</f>
      </c>
      <c r="G9" s="139">
        <f>SUM(G8)</f>
      </c>
      <c r="H9" s="139">
        <f>SUM(H8)</f>
      </c>
      <c r="I9" s="140">
        <f>SUM(I8)</f>
      </c>
      <c r="J9" s="139">
        <f>SUM(J8)</f>
      </c>
      <c r="K9" s="141">
        <f t="shared" si="0"/>
      </c>
      <c r="L9" s="141">
        <f t="shared" si="2"/>
      </c>
      <c r="M9" s="141">
        <f t="shared" si="4"/>
      </c>
      <c r="N9" s="139"/>
      <c r="O9" s="139">
        <f>SUM(O8)</f>
      </c>
      <c r="P9" s="139"/>
      <c r="Q9" s="139">
        <f>SUM(Q8)</f>
      </c>
      <c r="R9" s="139">
        <f>SUM(R8)</f>
      </c>
      <c r="S9" s="139">
        <f>SUM(S8)</f>
      </c>
    </row>
    <row r="10">
      <c r="A10" s="127" t="s">
        <v>169</v>
      </c>
      <c r="B10" s="128" t="s">
        <v>161</v>
      </c>
      <c r="C10" s="129" t="s">
        <v>162</v>
      </c>
      <c r="D10" s="130">
        <v>4</v>
      </c>
      <c r="E10" s="131">
        <v>43</v>
      </c>
      <c r="F10" s="131">
        <v>15</v>
      </c>
      <c r="G10" s="131">
        <v>15</v>
      </c>
      <c r="H10" s="127">
        <v>1</v>
      </c>
      <c r="I10" s="132">
        <v>5374.799999999999</v>
      </c>
      <c r="J10" s="133">
        <v>7108.4400000000005</v>
      </c>
      <c r="K10" s="134">
        <f t="shared" si="0"/>
      </c>
      <c r="L10" s="135">
        <f t="shared" si="2"/>
      </c>
      <c r="M10" s="135">
        <f t="shared" si="4"/>
      </c>
      <c r="N10" s="131" t="s">
        <v>163</v>
      </c>
      <c r="O10" s="131">
        <v>3</v>
      </c>
      <c r="P10" s="136"/>
      <c r="Q10" s="136"/>
      <c r="R10" s="136" t="s">
        <v>164</v>
      </c>
      <c r="S10" s="131">
        <v>4</v>
      </c>
    </row>
    <row customHeight="true" ht="16.071428571428573" r="11">
      <c r="A11" s="127"/>
      <c r="B11" s="128"/>
      <c r="C11" s="129"/>
      <c r="D11" s="130"/>
      <c r="E11" s="131"/>
      <c r="F11" s="131"/>
      <c r="G11" s="131"/>
      <c r="H11" s="127"/>
      <c r="I11" s="132"/>
      <c r="J11" s="133"/>
      <c r="K11" s="134"/>
      <c r="L11" s="135"/>
      <c r="M11" s="135"/>
      <c r="N11" s="131" t="s">
        <v>168</v>
      </c>
      <c r="O11" s="131">
        <v>1</v>
      </c>
      <c r="P11" s="136"/>
      <c r="Q11" s="136"/>
      <c r="R11" s="136"/>
      <c r="S11" s="131"/>
    </row>
    <row r="12">
      <c r="A12" s="137" t="s">
        <v>169</v>
      </c>
      <c r="B12" s="138"/>
      <c r="C12" s="138"/>
      <c r="D12" s="139">
        <f>SUM(D10)</f>
      </c>
      <c r="E12" s="139">
        <f>SUM(E10)</f>
      </c>
      <c r="F12" s="139">
        <f>SUM(F10)</f>
      </c>
      <c r="G12" s="139">
        <f>SUM(G10)</f>
      </c>
      <c r="H12" s="139">
        <f>SUM(H10)</f>
      </c>
      <c r="I12" s="140">
        <f>SUM(I10)</f>
      </c>
      <c r="J12" s="139">
        <f>SUM(J10)</f>
      </c>
      <c r="K12" s="141">
        <f t="shared" ref="K12:K18" si="1">I12/J12</f>
      </c>
      <c r="L12" s="141">
        <f t="shared" ref="L12:L18" si="3">I12/G12</f>
      </c>
      <c r="M12" s="141">
        <f t="shared" ref="M12:M18" si="5">J12/G12</f>
      </c>
      <c r="N12" s="139"/>
      <c r="O12" s="139">
        <f>O11+O10</f>
      </c>
      <c r="P12" s="139"/>
      <c r="Q12" s="139">
        <f>SUM(Q10)</f>
      </c>
      <c r="R12" s="139">
        <f>SUM(R10)</f>
      </c>
      <c r="S12" s="139">
        <f>SUM(S10)</f>
      </c>
    </row>
    <row r="13">
      <c r="A13" s="127" t="s">
        <v>170</v>
      </c>
      <c r="B13" s="128" t="s">
        <v>171</v>
      </c>
      <c r="C13" s="129" t="s">
        <v>162</v>
      </c>
      <c r="D13" s="130">
        <v>4</v>
      </c>
      <c r="E13" s="131">
        <v>76</v>
      </c>
      <c r="F13" s="131">
        <v>24</v>
      </c>
      <c r="G13" s="131">
        <v>31</v>
      </c>
      <c r="H13" s="127">
        <v>0</v>
      </c>
      <c r="I13" s="132">
        <v>6082.800000000001</v>
      </c>
      <c r="J13" s="133">
        <v>6385.700000000001</v>
      </c>
      <c r="K13" s="134">
        <f t="shared" si="1"/>
      </c>
      <c r="L13" s="135">
        <f t="shared" si="3"/>
      </c>
      <c r="M13" s="135">
        <f t="shared" si="5"/>
      </c>
      <c r="N13" s="131" t="s">
        <v>172</v>
      </c>
      <c r="O13" s="131">
        <v>4</v>
      </c>
      <c r="P13" s="136"/>
      <c r="Q13" s="136"/>
      <c r="R13" s="136" t="s">
        <v>164</v>
      </c>
      <c r="S13" s="131">
        <v>4</v>
      </c>
    </row>
    <row r="14">
      <c r="A14" s="137" t="s">
        <v>170</v>
      </c>
      <c r="B14" s="138"/>
      <c r="C14" s="138"/>
      <c r="D14" s="139">
        <f>SUM(D13)</f>
      </c>
      <c r="E14" s="139">
        <f>SUM(E13)</f>
      </c>
      <c r="F14" s="139">
        <f>SUM(F13)</f>
      </c>
      <c r="G14" s="139">
        <f>SUM(G13)</f>
      </c>
      <c r="H14" s="139">
        <f>SUM(H13)</f>
      </c>
      <c r="I14" s="140">
        <f>SUM(I13)</f>
      </c>
      <c r="J14" s="139">
        <f>SUM(J13)</f>
      </c>
      <c r="K14" s="141">
        <f t="shared" si="1"/>
      </c>
      <c r="L14" s="141">
        <f t="shared" si="3"/>
      </c>
      <c r="M14" s="141">
        <f t="shared" si="5"/>
      </c>
      <c r="N14" s="139"/>
      <c r="O14" s="139">
        <f>SUM(O13)</f>
      </c>
      <c r="P14" s="139"/>
      <c r="Q14" s="139">
        <f>SUM(Q13)</f>
      </c>
      <c r="R14" s="139">
        <f>SUM(R13)</f>
      </c>
      <c r="S14" s="139">
        <f>SUM(S13)</f>
      </c>
    </row>
    <row r="15">
      <c r="A15" s="127" t="s">
        <v>173</v>
      </c>
      <c r="B15" s="128" t="s">
        <v>171</v>
      </c>
      <c r="C15" s="129" t="s">
        <v>162</v>
      </c>
      <c r="D15" s="130">
        <v>4</v>
      </c>
      <c r="E15" s="131">
        <v>92</v>
      </c>
      <c r="F15" s="131">
        <v>34</v>
      </c>
      <c r="G15" s="131">
        <v>40</v>
      </c>
      <c r="H15" s="127">
        <v>3</v>
      </c>
      <c r="I15" s="132">
        <v>5231.999999999997</v>
      </c>
      <c r="J15" s="133">
        <v>11661.310000000001</v>
      </c>
      <c r="K15" s="134">
        <f t="shared" si="1"/>
      </c>
      <c r="L15" s="135">
        <f t="shared" si="3"/>
      </c>
      <c r="M15" s="135">
        <f t="shared" si="5"/>
      </c>
      <c r="N15" s="131" t="s">
        <v>172</v>
      </c>
      <c r="O15" s="131">
        <v>4</v>
      </c>
      <c r="P15" s="136"/>
      <c r="Q15" s="136"/>
      <c r="R15" s="136" t="s">
        <v>164</v>
      </c>
      <c r="S15" s="131">
        <v>4</v>
      </c>
    </row>
    <row r="16">
      <c r="A16" s="137" t="s">
        <v>173</v>
      </c>
      <c r="B16" s="138"/>
      <c r="C16" s="138"/>
      <c r="D16" s="139">
        <f>SUM(D15)</f>
      </c>
      <c r="E16" s="139">
        <f>SUM(E15)</f>
      </c>
      <c r="F16" s="139">
        <f>SUM(F15)</f>
      </c>
      <c r="G16" s="139">
        <f>SUM(G15)</f>
      </c>
      <c r="H16" s="139">
        <f>SUM(H15)</f>
      </c>
      <c r="I16" s="140">
        <f>SUM(I15)</f>
      </c>
      <c r="J16" s="139">
        <f>SUM(J15)</f>
      </c>
      <c r="K16" s="141">
        <f t="shared" si="1"/>
      </c>
      <c r="L16" s="141">
        <f t="shared" si="3"/>
      </c>
      <c r="M16" s="141">
        <f t="shared" si="5"/>
      </c>
      <c r="N16" s="139"/>
      <c r="O16" s="139">
        <f>SUM(O15)</f>
      </c>
      <c r="P16" s="139"/>
      <c r="Q16" s="139">
        <f>SUM(Q15)</f>
      </c>
      <c r="R16" s="139">
        <f>SUM(R15)</f>
      </c>
      <c r="S16" s="139">
        <f>SUM(S15)</f>
      </c>
    </row>
    <row r="17">
      <c r="A17" s="127" t="s">
        <v>174</v>
      </c>
      <c r="B17" s="128" t="s">
        <v>171</v>
      </c>
      <c r="C17" s="129" t="s">
        <v>162</v>
      </c>
      <c r="D17" s="130">
        <v>4</v>
      </c>
      <c r="E17" s="131">
        <v>58</v>
      </c>
      <c r="F17" s="131">
        <v>26</v>
      </c>
      <c r="G17" s="131">
        <v>31</v>
      </c>
      <c r="H17" s="127">
        <v>26</v>
      </c>
      <c r="I17" s="132">
        <v>3682.8000000000006</v>
      </c>
      <c r="J17" s="133">
        <v>7912.2699999999995</v>
      </c>
      <c r="K17" s="134">
        <f t="shared" si="1"/>
      </c>
      <c r="L17" s="135">
        <f t="shared" si="3"/>
      </c>
      <c r="M17" s="135">
        <f t="shared" si="5"/>
      </c>
      <c r="N17" s="131" t="s">
        <v>172</v>
      </c>
      <c r="O17" s="131">
        <v>4</v>
      </c>
      <c r="P17" s="136"/>
      <c r="Q17" s="136"/>
      <c r="R17" s="136" t="s">
        <v>164</v>
      </c>
      <c r="S17" s="131">
        <v>4</v>
      </c>
    </row>
    <row r="18">
      <c r="A18" s="137" t="s">
        <v>174</v>
      </c>
      <c r="B18" s="138"/>
      <c r="C18" s="138"/>
      <c r="D18" s="139">
        <f>SUM(D17)</f>
      </c>
      <c r="E18" s="139">
        <f>SUM(E17)</f>
      </c>
      <c r="F18" s="139">
        <f>SUM(F17)</f>
      </c>
      <c r="G18" s="139">
        <f>SUM(G17)</f>
      </c>
      <c r="H18" s="139">
        <f>SUM(H17)</f>
      </c>
      <c r="I18" s="140">
        <f>SUM(I17)</f>
      </c>
      <c r="J18" s="139">
        <f>SUM(J17)</f>
      </c>
      <c r="K18" s="141">
        <f t="shared" si="1"/>
      </c>
      <c r="L18" s="141">
        <f t="shared" si="3"/>
      </c>
      <c r="M18" s="141">
        <f t="shared" si="5"/>
      </c>
      <c r="N18" s="139"/>
      <c r="O18" s="139">
        <f>SUM(O17)</f>
      </c>
      <c r="P18" s="139"/>
      <c r="Q18" s="139">
        <f>SUM(Q17)</f>
      </c>
      <c r="R18" s="139">
        <f>SUM(R17)</f>
      </c>
      <c r="S18" s="139">
        <f>SUM(S17)</f>
      </c>
    </row>
  </sheetData>
  <autoFilter ref="A1:S4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