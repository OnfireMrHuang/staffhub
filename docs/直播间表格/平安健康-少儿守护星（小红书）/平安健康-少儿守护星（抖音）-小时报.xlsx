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勿删便捷表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<sst xmlns="http://schemas.openxmlformats.org/spreadsheetml/2006/main" count="92" uniqueCount="92">
  <si>
    <t xml:space="preserve">  </t>
  </si>
  <si>
    <t xml:space="preserve">基础信息</t>
  </si>
  <si>
    <t/>
    <r>
      <rPr>
        <b val="true"/>
        <i val="false"/>
        <strike val="false"/>
        <sz val="12"/>
        <color rgb="FF000000"/>
      </rPr>
      <t>业务数据</t>
    </r>
  </si>
  <si>
    <t xml:space="preserve">过程指标</t>
  </si>
  <si>
    <t xml:space="preserve">互动数</t>
  </si>
  <si>
    <t xml:space="preserve">日期</t>
  </si>
  <si>
    <t xml:space="preserve">时间</t>
  </si>
  <si>
    <t xml:space="preserve">主播</t>
  </si>
  <si>
    <t xml:space="preserve">总消耗</t>
  </si>
  <si>
    <t xml:space="preserve">短视频投放消耗</t>
  </si>
  <si>
    <t xml:space="preserve">直投消耗</t>
  </si>
  <si>
    <t xml:space="preserve">保单量</t>
  </si>
  <si>
    <t xml:space="preserve">年化保费</t>
  </si>
  <si>
    <t xml:space="preserve">ROI</t>
  </si>
  <si>
    <t xml:space="preserve">外层点击率</t>
  </si>
  <si>
    <t xml:space="preserve">观看成本</t>
  </si>
  <si>
    <t xml:space="preserve">超1分钟观看率</t>
  </si>
  <si>
    <t xml:space="preserve">组建点击率</t>
  </si>
  <si>
    <t xml:space="preserve">组件点击成本</t>
  </si>
  <si>
    <t xml:space="preserve">订单提交率</t>
  </si>
  <si>
    <t xml:space="preserve">保单转化率</t>
  </si>
  <si>
    <t xml:space="preserve">保单成本</t>
  </si>
  <si>
    <t xml:space="preserve">单均</t>
  </si>
  <si>
    <t xml:space="preserve">AD成本</t>
  </si>
  <si>
    <t xml:space="preserve">千元互动率</t>
  </si>
  <si>
    <t xml:space="preserve">投手</t>
  </si>
  <si>
    <t xml:space="preserve">场控</t>
  </si>
  <si>
    <t xml:space="preserve">回传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</si>
  <si>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</si>
  <si>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</si>
  <si>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</si>
  <si>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</si>
  <si>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组件点击数</t>
  </si>
  <si>
    <t xml:space="preserve">后台订单提交数</t>
  </si>
  <si>
    <t xml:space="preserve">2026.10.15</t>
  </si>
  <si>
    <t xml:space="preserve">18:00-19:00</t>
  </si>
  <si>
    <t xml:space="preserve">闫雨萌</t>
  </si>
  <si>
    <t xml:space="preserve">赖法彬</t>
  </si>
  <si>
    <t xml:space="preserve">曹颖慧</t>
  </si>
  <si>
    <t xml:space="preserve">19:00-20:00</t>
  </si>
  <si>
    <t xml:space="preserve">20:00-21:00</t>
  </si>
  <si>
    <t xml:space="preserve">21:00-22:00</t>
  </si>
  <si>
    <t xml:space="preserve">分主播汇总</t>
  </si>
  <si>
    <t xml:space="preserve">合计</t>
  </si>
  <si>
    <t xml:space="preserve">2026.10.16</t>
  </si>
  <si>
    <t xml:space="preserve">2026.10.17</t>
  </si>
  <si>
    <t xml:space="preserve">杨博</t>
  </si>
  <si>
    <t xml:space="preserve">家庭单</t>
  </si>
  <si>
    <t xml:space="preserve">2026.10.18</t>
  </si>
  <si>
    <t xml:space="preserve">基础信息</t>
  </si>
  <si>
    <t/>
    <r>
      <rPr>
        <b val="true"/>
        <i val="false"/>
        <strike val="false"/>
        <sz val="12"/>
        <color rgb="FF000000"/>
      </rPr>
      <t>业务数据</t>
    </r>
  </si>
  <si>
    <t xml:space="preserve">过程指标</t>
  </si>
  <si>
    <t xml:space="preserve">互动数</t>
  </si>
  <si>
    <t xml:space="preserve">日期</t>
  </si>
  <si>
    <t xml:space="preserve">时间</t>
  </si>
  <si>
    <t xml:space="preserve">主播</t>
  </si>
  <si>
    <t xml:space="preserve">总消耗</t>
  </si>
  <si>
    <t xml:space="preserve">短视频投放消耗</t>
  </si>
  <si>
    <t xml:space="preserve">直投消耗</t>
  </si>
  <si>
    <t xml:space="preserve">保单量</t>
  </si>
  <si>
    <t xml:space="preserve">年化保费</t>
  </si>
  <si>
    <t xml:space="preserve">ROI</t>
  </si>
  <si>
    <t xml:space="preserve">外层点击率</t>
  </si>
  <si>
    <t xml:space="preserve">观看成本</t>
  </si>
  <si>
    <t xml:space="preserve">超1分钟观看率</t>
  </si>
  <si>
    <t xml:space="preserve">组建点击率</t>
  </si>
  <si>
    <t xml:space="preserve">组件点击成本</t>
  </si>
  <si>
    <t xml:space="preserve">订单提交率</t>
  </si>
  <si>
    <t xml:space="preserve">保单转化率</t>
  </si>
  <si>
    <t xml:space="preserve">保单成本</t>
  </si>
  <si>
    <t xml:space="preserve">单均</t>
  </si>
  <si>
    <t xml:space="preserve">AD成本</t>
  </si>
  <si>
    <t xml:space="preserve">千元互动率</t>
  </si>
  <si>
    <t xml:space="preserve">投手</t>
  </si>
  <si>
    <t xml:space="preserve">场控</t>
  </si>
  <si>
    <t xml:space="preserve">回传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</si>
  <si>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</si>
  <si>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</si>
  <si>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</si>
  <si>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</si>
  <si>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组件点击数</t>
  </si>
  <si>
    <t xml:space="preserve">后台订单提交数</t>
  </si>
  <si>
    <t xml:space="preserve">2026.10.15</t>
  </si>
  <si>
    <t xml:space="preserve">18:00-19:00</t>
  </si>
  <si>
    <t xml:space="preserve">闫雨萌</t>
  </si>
  <si>
    <t xml:space="preserve">赖法彬</t>
  </si>
  <si>
    <t xml:space="preserve">曹颖慧</t>
  </si>
  <si>
    <t xml:space="preserve">19:00-20:00</t>
  </si>
  <si>
    <t xml:space="preserve">20:00-21:00</t>
  </si>
  <si>
    <t xml:space="preserve">21:00-22:00</t>
  </si>
  <si>
    <t xml:space="preserve">分主播汇总</t>
  </si>
  <si>
    <t xml:space="preserve"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</si>
</sst>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164" formatCode="0.00_);[Red]\(0.00\)"/>
    <numFmt numFmtId="165" formatCode="0.00_ ;[Red]\-0.00\ "/>
    <numFmt numFmtId="166" formatCode="0_ ;[Red]\-0\ "/>
    <numFmt numFmtId="167" formatCode="0_);[Red]\(0\)"/>
    <numFmt numFmtId="168" formatCode="0.00%"/>
    <numFmt numFmtId="169" formatCode="h:mm;@"/>
    <numFmt numFmtId="170" formatCode="General"/>
    <numFmt numFmtId="171" formatCode="0.00_);[Red](0.00)"/>
    <numFmt numFmtId="172" formatCode="0_);[Red](0)"/>
    <numFmt numFmtId="173" formatCode="0.00_);[Red]\(0.00\)"/>
    <numFmt numFmtId="174" formatCode="0.00_ ;[Red]\-0.00\ "/>
    <numFmt numFmtId="175" formatCode="0_ ;[Red]\-0\ "/>
    <numFmt numFmtId="176" formatCode="0_);[Red]\(0\)"/>
    <numFmt numFmtId="177" formatCode="0.00%"/>
    <numFmt numFmtId="178" formatCode="h:mm;@"/>
    <numFmt numFmtId="179" formatCode="General"/>
    <numFmt numFmtId="180" formatCode="0.00_);[Red](0.00)"/>
    <numFmt numFmtId="181" formatCode="0_);[Red](0)"/>
  </numFmts>
  <fonts count="9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 val="true"/>
      <sz val="12"/>
      <color rgb="FFFF0000"/>
      <name val="Calibri"/>
      <family val="2"/>
      <scheme val="minor"/>
    </font>
    <font>
      <b val="true"/>
      <sz val="12"/>
      <color rgb="FF1F2329"/>
      <name val="Calibri"/>
      <family val="2"/>
      <scheme val="minor"/>
    </font>
    <font>
      <sz val="10"/>
      <color rgb="FF000000"/>
      <name val="Calibri"/>
      <family val="2"/>
      <scheme val="minor"/>
    </font>
  </fonts>
  <fills count="2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00B0F0"/>
        <bgColor/>
      </patternFill>
    </fill>
    <fill>
      <patternFill patternType="solid">
        <fgColor rgb="FF7EDAFB"/>
        <bgColor/>
      </patternFill>
    </fill>
    <fill>
      <patternFill patternType="solid">
        <fgColor rgb="FFF8F9FA"/>
        <bgColor/>
      </patternFill>
    </fill>
    <fill>
      <patternFill patternType="solid">
        <fgColor rgb="FFFFF9E3"/>
        <bgColor/>
      </patternFill>
    </fill>
    <fill>
      <patternFill patternType="solid">
        <fgColor rgb="FFFDEBFF"/>
        <bgColor/>
      </patternFill>
    </fill>
    <fill>
      <patternFill patternType="solid">
        <fgColor rgb="FFFFFF00"/>
        <bgColor/>
      </patternFill>
    </fill>
    <fill>
      <patternFill patternType="solid">
        <fgColor rgb="FFD5F6F2"/>
        <bgColor/>
      </patternFill>
    </fill>
    <fill>
      <patternFill patternType="solid">
        <fgColor rgb="FF64E8D6"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00B0F0"/>
        <bgColor/>
      </patternFill>
    </fill>
    <fill>
      <patternFill patternType="solid">
        <fgColor rgb="FF7EDAFB"/>
        <bgColor/>
      </patternFill>
    </fill>
    <fill>
      <patternFill patternType="solid">
        <fgColor rgb="FFF8F9FA"/>
        <bgColor/>
      </patternFill>
    </fill>
    <fill>
      <patternFill patternType="solid">
        <fgColor rgb="FFFFF9E3"/>
        <bgColor/>
      </patternFill>
    </fill>
    <fill>
      <patternFill patternType="solid">
        <fgColor rgb="FFFDEBFF"/>
        <bgColor/>
      </patternFill>
    </fill>
    <fill>
      <patternFill patternType="solid">
        <fgColor rgb="FFFFFF00"/>
        <bgColor/>
      </patternFill>
    </fill>
    <fill>
      <patternFill patternType="solid">
        <fgColor rgb="FFD5F6F2"/>
        <bgColor/>
      </patternFill>
    </fill>
    <fill>
      <patternFill patternType="solid">
        <fgColor rgb="FF64E8D6"/>
        <bgColor/>
      </patternFill>
    </fill>
  </fills>
  <borders count="2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1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" fillId="3" fontId="1" numFmtId="164" xfId="0">
      <alignment horizontal="center" vertical="center"/>
    </xf>
    <xf applyAlignment="true" applyBorder="false" applyFill="true" applyFont="true" applyNumberFormat="true" applyProtection="false" borderId="1" fillId="3" fontId="1" numFmtId="164" xfId="0">
      <alignment horizontal="center" vertical="center"/>
    </xf>
    <xf applyAlignment="true" applyBorder="false" applyFill="true" applyFont="true" applyNumberFormat="true" applyProtection="false" borderId="1" fillId="4" fontId="1" numFmtId="164" xfId="0">
      <alignment horizontal="center" vertical="center"/>
    </xf>
    <xf applyAlignment="true" applyBorder="false" applyFill="true" applyFont="true" applyNumberFormat="true" applyProtection="false" borderId="1" fillId="3" fontId="2" numFmtId="165" xfId="0">
      <alignment horizontal="center" vertical="center"/>
    </xf>
    <xf applyAlignment="true" applyBorder="false" applyFill="true" applyFont="true" applyNumberFormat="true" applyProtection="false" borderId="1" fillId="3" fontId="2" numFmtId="166" xfId="0">
      <alignment horizontal="center" vertical="center"/>
    </xf>
    <xf applyAlignment="true" applyBorder="false" applyFill="true" applyFont="true" applyNumberFormat="true" applyProtection="false" borderId="1" fillId="5" fontId="3" numFmtId="167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true" applyFont="true" applyNumberFormat="true" applyProtection="false" borderId="1" fillId="3" fontId="1" numFmtId="167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true" applyFont="true" applyNumberFormat="true" applyProtection="false" borderId="1" fillId="4" fontId="1" numFmtId="168" xfId="0">
      <alignment horizontal="center" vertical="center"/>
    </xf>
    <xf applyAlignment="true" applyBorder="false" applyFill="false" applyFont="true" applyNumberFormat="true" applyProtection="false" borderId="1" fillId="0" fontId="4" numFmtId="165" xfId="0">
      <alignment horizontal="center" vertical="center"/>
    </xf>
    <xf applyAlignment="true" applyBorder="false" applyFill="true" applyFont="true" applyNumberFormat="true" applyProtection="false" borderId="1" fillId="6" fontId="4" numFmtId="166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horizontal="center" vertical="center"/>
    </xf>
    <xf applyAlignment="true" applyBorder="false" applyFill="true" applyFont="true" applyNumberFormat="true" applyProtection="false" borderId="2" fillId="7" fontId="4" numFmtId="169" xfId="0">
      <alignment horizontal="center" vertical="center"/>
    </xf>
    <xf applyAlignment="true" applyBorder="false" applyFill="false" applyFont="true" applyNumberFormat="true" applyProtection="false" borderId="1" fillId="0" fontId="4" numFmtId="170" xfId="0">
      <alignment horizontal="center" vertical="center"/>
    </xf>
    <xf applyAlignment="true" applyBorder="false" applyFill="false" applyFont="true" applyNumberFormat="true" applyProtection="false" borderId="1" fillId="0" fontId="4" numFmtId="170" xfId="0">
      <alignment horizontal="center" vertical="center"/>
    </xf>
    <xf applyAlignment="true" applyBorder="false" applyFill="true" applyFont="true" applyNumberFormat="true" applyProtection="false" borderId="1" fillId="8" fontId="6" numFmtId="171" xfId="0">
      <alignment horizontal="center" vertical="center"/>
    </xf>
    <xf applyAlignment="true" applyBorder="false" applyFill="true" applyFont="true" applyNumberFormat="true" applyProtection="false" borderId="1" fillId="8" fontId="6" numFmtId="171" xfId="0">
      <alignment horizontal="center" vertical="center"/>
    </xf>
    <xf applyAlignment="true" applyBorder="false" applyFill="false" applyFont="true" applyNumberFormat="true" applyProtection="false" borderId="1" fillId="0" fontId="4" numFmtId="168" xfId="0">
      <alignment horizontal="center" vertical="center"/>
    </xf>
    <xf applyAlignment="true" applyBorder="false" applyFill="false" applyFont="true" applyNumberFormat="true" applyProtection="false" borderId="1" fillId="0" fontId="4" numFmtId="164" xfId="0">
      <alignment horizontal="center" vertical="center"/>
    </xf>
    <xf applyAlignment="true" applyBorder="false" applyFill="false" applyFont="true" applyNumberFormat="true" applyProtection="false" borderId="2" fillId="0" fontId="4" numFmtId="168" xfId="0">
      <alignment horizontal="center" vertical="center"/>
    </xf>
    <xf applyAlignment="true" applyBorder="false" applyFill="false" applyFont="true" applyNumberFormat="true" applyProtection="false" borderId="1" fillId="0" fontId="4" numFmtId="164" xfId="0">
      <alignment horizontal="center" vertical="bottom"/>
    </xf>
    <xf applyAlignment="true" applyBorder="false" applyFill="false" applyFont="true" applyNumberFormat="true" applyProtection="false" borderId="1" fillId="0" fontId="6" numFmtId="165" xfId="0">
      <alignment horizontal="center" vertical="center"/>
    </xf>
    <xf applyAlignment="true" applyBorder="false" applyFill="false" applyFont="true" applyNumberFormat="true" applyProtection="false" borderId="1" fillId="0" fontId="4" numFmtId="165" xfId="0">
      <alignment horizontal="center" vertical="bottom"/>
    </xf>
    <xf applyAlignment="true" applyBorder="false" applyFill="false" applyFont="true" applyNumberFormat="false" applyProtection="false" borderId="1" fillId="0" fontId="4" numFmtId="0" xfId="0">
      <alignment horizontal="center" vertical="bottom"/>
    </xf>
    <xf applyAlignment="true" applyBorder="false" applyFill="false" applyFont="true" applyNumberFormat="true" applyProtection="false" borderId="3" fillId="0" fontId="4" numFmtId="170" xfId="0">
      <alignment horizontal="center" vertical="center"/>
    </xf>
    <xf applyAlignment="true" applyBorder="false" applyFill="false" applyFont="true" applyNumberFormat="true" applyProtection="false" borderId="4" fillId="0" fontId="4" numFmtId="170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horizontal="center" vertical="center"/>
    </xf>
    <xf applyAlignment="true" applyBorder="false" applyFill="false" applyFont="true" applyNumberFormat="true" applyProtection="false" borderId="2" fillId="0" fontId="4" numFmtId="170" xfId="0">
      <alignment horizontal="center" vertical="center"/>
    </xf>
    <xf applyAlignment="true" applyBorder="false" applyFill="false" applyFont="true" applyNumberFormat="true" applyProtection="false" borderId="1" fillId="0" fontId="4" numFmtId="170" xfId="0">
      <alignment horizontal="center" vertical="bottom"/>
    </xf>
    <xf applyAlignment="true" applyBorder="false" applyFill="false" applyFont="true" applyNumberFormat="true" applyProtection="false" borderId="5" fillId="0" fontId="4" numFmtId="170" xfId="0">
      <alignment horizontal="center" vertical="center"/>
    </xf>
    <xf applyAlignment="true" applyBorder="false" applyFill="false" applyFont="true" applyNumberFormat="true" applyProtection="false" borderId="1" fillId="0" fontId="4" numFmtId="170" xfId="0">
      <alignment horizontal="center" vertical="bottom"/>
    </xf>
    <xf applyAlignment="true" applyBorder="false" applyFill="true" applyFont="true" applyNumberFormat="true" applyProtection="false" borderId="2" fillId="9" fontId="1" numFmtId="170" xfId="0">
      <alignment horizontal="center" vertical="center"/>
    </xf>
    <xf applyAlignment="true" applyBorder="false" applyFill="true" applyFont="true" applyNumberFormat="true" applyProtection="false" borderId="1" fillId="9" fontId="1" numFmtId="170" xfId="0">
      <alignment horizontal="center" vertical="center"/>
    </xf>
    <xf applyAlignment="true" applyBorder="false" applyFill="true" applyFont="true" applyNumberFormat="true" applyProtection="false" borderId="1" fillId="9" fontId="6" numFmtId="171" xfId="0">
      <alignment horizontal="center" vertical="center"/>
    </xf>
    <xf applyAlignment="true" applyBorder="false" applyFill="true" applyFont="true" applyNumberFormat="true" applyProtection="false" borderId="1" fillId="9" fontId="6" numFmtId="171" xfId="0">
      <alignment horizontal="center" vertical="center"/>
    </xf>
    <xf applyAlignment="true" applyBorder="false" applyFill="true" applyFont="true" applyNumberFormat="true" applyProtection="false" borderId="1" fillId="9" fontId="1" numFmtId="168" xfId="0">
      <alignment horizontal="center" vertical="center"/>
    </xf>
    <xf applyAlignment="true" applyBorder="false" applyFill="true" applyFont="true" applyNumberFormat="true" applyProtection="false" borderId="1" fillId="9" fontId="1" numFmtId="164" xfId="0">
      <alignment horizontal="center" vertical="center"/>
    </xf>
    <xf applyAlignment="true" applyBorder="false" applyFill="true" applyFont="true" applyNumberFormat="true" applyProtection="false" borderId="2" fillId="9" fontId="1" numFmtId="168" xfId="0">
      <alignment horizontal="center" vertical="center"/>
    </xf>
    <xf applyAlignment="true" applyBorder="false" applyFill="true" applyFont="true" applyNumberFormat="true" applyProtection="false" borderId="1" fillId="9" fontId="1" numFmtId="164" xfId="0">
      <alignment horizontal="center" vertical="bottom"/>
    </xf>
    <xf applyAlignment="true" applyBorder="false" applyFill="true" applyFont="true" applyNumberFormat="true" applyProtection="false" borderId="1" fillId="9" fontId="6" numFmtId="165" xfId="0">
      <alignment horizontal="center" vertical="center"/>
    </xf>
    <xf applyAlignment="true" applyBorder="false" applyFill="true" applyFont="true" applyNumberFormat="true" applyProtection="false" borderId="1" fillId="9" fontId="6" numFmtId="170" xfId="0">
      <alignment horizontal="center" vertical="center"/>
    </xf>
    <xf applyAlignment="true" applyBorder="false" applyFill="true" applyFont="true" applyNumberFormat="true" applyProtection="false" borderId="1" fillId="9" fontId="7" numFmtId="170" xfId="0">
      <alignment horizontal="center" vertical="center"/>
    </xf>
    <xf applyAlignment="true" applyBorder="false" applyFill="true" applyFont="true" applyNumberFormat="true" applyProtection="false" borderId="6" fillId="10" fontId="6" numFmtId="170" xfId="0">
      <alignment horizontal="center" vertical="center"/>
    </xf>
    <xf applyAlignment="true" applyBorder="false" applyFill="true" applyFont="true" applyNumberFormat="true" applyProtection="false" borderId="6" fillId="10" fontId="6" numFmtId="171" xfId="0">
      <alignment horizontal="center" vertical="center"/>
    </xf>
    <xf applyAlignment="true" applyBorder="false" applyFill="true" applyFont="true" applyNumberFormat="true" applyProtection="false" borderId="6" fillId="10" fontId="6" numFmtId="172" xfId="0">
      <alignment horizontal="center" vertical="center"/>
    </xf>
    <xf applyAlignment="true" applyBorder="false" applyFill="true" applyFont="true" applyNumberFormat="true" applyProtection="false" borderId="7" fillId="10" fontId="6" numFmtId="171" xfId="0">
      <alignment horizontal="center" vertical="center"/>
    </xf>
    <xf applyAlignment="true" applyBorder="false" applyFill="true" applyFont="true" applyNumberFormat="true" applyProtection="false" borderId="7" fillId="10" fontId="6" numFmtId="171" xfId="0">
      <alignment horizontal="center" vertical="center"/>
    </xf>
    <xf applyAlignment="true" applyBorder="false" applyFill="true" applyFont="true" applyNumberFormat="true" applyProtection="false" borderId="8" fillId="10" fontId="6" numFmtId="168" xfId="0">
      <alignment horizontal="center" vertical="center"/>
    </xf>
    <xf applyAlignment="true" applyBorder="false" applyFill="true" applyFont="true" applyNumberFormat="true" applyProtection="false" borderId="5" fillId="10" fontId="6" numFmtId="171" xfId="0">
      <alignment horizontal="center" vertical="center"/>
    </xf>
    <xf applyAlignment="true" applyBorder="false" applyFill="true" applyFont="true" applyNumberFormat="true" applyProtection="false" borderId="5" fillId="10" fontId="6" numFmtId="168" xfId="0">
      <alignment horizontal="center" vertical="center"/>
    </xf>
    <xf applyAlignment="true" applyBorder="false" applyFill="true" applyFont="true" applyNumberFormat="true" applyProtection="false" borderId="9" fillId="10" fontId="6" numFmtId="164" xfId="0">
      <alignment horizontal="center" vertical="center"/>
    </xf>
    <xf applyAlignment="true" applyBorder="false" applyFill="true" applyFont="true" applyNumberFormat="true" applyProtection="false" borderId="10" fillId="10" fontId="6" numFmtId="165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true" applyFont="true" applyNumberFormat="false" applyProtection="false" borderId="0" fillId="11" fontId="8" numFmtId="0" xfId="0">
      <alignment vertical="center"/>
    </xf>
    <xf applyAlignment="true" applyBorder="false" applyFill="true" applyFont="true" applyNumberFormat="false" applyProtection="false" borderId="0" fillId="12" fontId="8" numFmtId="0" xfId="0">
      <alignment vertical="center"/>
    </xf>
    <xf applyAlignment="true" applyBorder="false" applyFill="true" applyFont="true" applyNumberFormat="false" applyProtection="false" borderId="0" fillId="12" fontId="8" numFmtId="0" xfId="0">
      <alignment vertical="center"/>
    </xf>
    <xf applyAlignment="true" applyBorder="false" applyFill="true" applyFont="true" applyNumberFormat="false" applyProtection="false" borderId="11" fillId="13" fontId="1" numFmtId="0" xfId="0">
      <alignment horizontal="center" vertical="center"/>
    </xf>
    <xf applyAlignment="true" applyBorder="false" applyFill="true" applyFont="true" applyNumberFormat="true" applyProtection="false" borderId="11" fillId="14" fontId="1" numFmtId="173" xfId="0">
      <alignment horizontal="center" vertical="center"/>
    </xf>
    <xf applyAlignment="true" applyBorder="false" applyFill="true" applyFont="true" applyNumberFormat="true" applyProtection="false" borderId="11" fillId="15" fontId="1" numFmtId="173" xfId="0">
      <alignment horizontal="center" vertical="center"/>
    </xf>
    <xf applyAlignment="true" applyBorder="false" applyFill="true" applyFont="true" applyNumberFormat="true" applyProtection="false" borderId="11" fillId="14" fontId="2" numFmtId="174" xfId="0">
      <alignment horizontal="center" vertical="center"/>
    </xf>
    <xf applyAlignment="true" applyBorder="false" applyFill="true" applyFont="true" applyNumberFormat="true" applyProtection="false" borderId="11" fillId="14" fontId="2" numFmtId="175" xfId="0">
      <alignment horizontal="center" vertical="center"/>
    </xf>
    <xf applyAlignment="true" applyBorder="false" applyFill="true" applyFont="true" applyNumberFormat="true" applyProtection="false" borderId="11" fillId="16" fontId="3" numFmtId="176" xfId="0">
      <alignment horizontal="center" vertical="center"/>
    </xf>
    <xf applyAlignment="true" applyBorder="false" applyFill="true" applyFont="true" applyNumberFormat="false" applyProtection="false" borderId="11" fillId="14" fontId="1" numFmtId="0" xfId="0">
      <alignment horizontal="center" vertical="center"/>
    </xf>
    <xf applyAlignment="true" applyBorder="false" applyFill="true" applyFont="true" applyNumberFormat="true" applyProtection="false" borderId="11" fillId="14" fontId="1" numFmtId="176" xfId="0">
      <alignment horizontal="center" vertical="center"/>
    </xf>
    <xf applyAlignment="true" applyBorder="false" applyFill="true" applyFont="true" applyNumberFormat="true" applyProtection="false" borderId="11" fillId="15" fontId="1" numFmtId="177" xfId="0">
      <alignment horizontal="center" vertical="center"/>
    </xf>
    <xf applyAlignment="true" applyBorder="false" applyFill="false" applyFont="true" applyNumberFormat="true" applyProtection="false" borderId="11" fillId="0" fontId="4" numFmtId="174" xfId="0">
      <alignment horizontal="center" vertical="center"/>
    </xf>
    <xf applyAlignment="true" applyBorder="false" applyFill="true" applyFont="true" applyNumberFormat="true" applyProtection="false" borderId="11" fillId="17" fontId="4" numFmtId="175" xfId="0">
      <alignment horizontal="center" vertical="center"/>
    </xf>
    <xf applyAlignment="true" applyBorder="false" applyFill="false" applyFont="true" applyNumberFormat="false" applyProtection="false" borderId="11" fillId="0" fontId="3" numFmtId="0" xfId="0">
      <alignment horizontal="center" vertical="center"/>
    </xf>
    <xf applyAlignment="true" applyBorder="false" applyFill="false" applyFont="true" applyNumberFormat="false" applyProtection="false" borderId="11" fillId="0" fontId="5" numFmtId="0" xfId="0">
      <alignment horizontal="center" vertical="center"/>
    </xf>
    <xf applyAlignment="true" applyBorder="false" applyFill="true" applyFont="true" applyNumberFormat="true" applyProtection="false" borderId="12" fillId="18" fontId="4" numFmtId="178" xfId="0">
      <alignment horizontal="center" vertical="center"/>
    </xf>
    <xf applyAlignment="true" applyBorder="false" applyFill="false" applyFont="true" applyNumberFormat="true" applyProtection="false" borderId="11" fillId="0" fontId="4" numFmtId="179" xfId="0">
      <alignment horizontal="center" vertical="center"/>
    </xf>
    <xf applyAlignment="true" applyBorder="false" applyFill="false" applyFont="true" applyNumberFormat="true" applyProtection="false" borderId="11" fillId="0" fontId="4" numFmtId="179" xfId="0">
      <alignment horizontal="center" vertical="center"/>
    </xf>
    <xf applyAlignment="true" applyBorder="false" applyFill="true" applyFont="true" applyNumberFormat="true" applyProtection="false" borderId="11" fillId="19" fontId="6" numFmtId="180" xfId="0">
      <alignment horizontal="center" vertical="center"/>
    </xf>
    <xf applyAlignment="true" applyBorder="false" applyFill="false" applyFont="true" applyNumberFormat="true" applyProtection="false" borderId="11" fillId="0" fontId="4" numFmtId="177" xfId="0">
      <alignment horizontal="center" vertical="center"/>
    </xf>
    <xf applyAlignment="true" applyBorder="false" applyFill="false" applyFont="true" applyNumberFormat="true" applyProtection="false" borderId="11" fillId="0" fontId="4" numFmtId="173" xfId="0">
      <alignment horizontal="center" vertical="center"/>
    </xf>
    <xf applyAlignment="true" applyBorder="false" applyFill="false" applyFont="true" applyNumberFormat="true" applyProtection="false" borderId="12" fillId="0" fontId="4" numFmtId="177" xfId="0">
      <alignment horizontal="center" vertical="center"/>
    </xf>
    <xf applyAlignment="true" applyBorder="false" applyFill="false" applyFont="true" applyNumberFormat="true" applyProtection="false" borderId="11" fillId="0" fontId="4" numFmtId="173" xfId="0">
      <alignment horizontal="center" vertical="bottom"/>
    </xf>
    <xf applyAlignment="true" applyBorder="false" applyFill="false" applyFont="true" applyNumberFormat="true" applyProtection="false" borderId="11" fillId="0" fontId="6" numFmtId="174" xfId="0">
      <alignment horizontal="center" vertical="center"/>
    </xf>
    <xf applyAlignment="true" applyBorder="false" applyFill="false" applyFont="true" applyNumberFormat="true" applyProtection="false" borderId="11" fillId="0" fontId="4" numFmtId="174" xfId="0">
      <alignment horizontal="center" vertical="bottom"/>
    </xf>
    <xf applyAlignment="true" applyBorder="false" applyFill="false" applyFont="true" applyNumberFormat="false" applyProtection="false" borderId="11" fillId="0" fontId="4" numFmtId="0" xfId="0">
      <alignment horizontal="center" vertical="bottom"/>
    </xf>
    <xf applyAlignment="true" applyBorder="false" applyFill="false" applyFont="true" applyNumberFormat="true" applyProtection="false" borderId="13" fillId="0" fontId="4" numFmtId="179" xfId="0">
      <alignment horizontal="center" vertical="center"/>
    </xf>
    <xf applyAlignment="true" applyBorder="false" applyFill="false" applyFont="true" applyNumberFormat="true" applyProtection="false" borderId="14" fillId="0" fontId="4" numFmtId="179" xfId="0">
      <alignment horizontal="center" vertical="center"/>
    </xf>
    <xf applyAlignment="true" applyBorder="false" applyFill="false" applyFont="true" applyNumberFormat="true" applyProtection="false" borderId="12" fillId="0" fontId="4" numFmtId="179" xfId="0">
      <alignment horizontal="center" vertical="center"/>
    </xf>
    <xf applyAlignment="true" applyBorder="false" applyFill="false" applyFont="true" applyNumberFormat="true" applyProtection="false" borderId="11" fillId="0" fontId="4" numFmtId="179" xfId="0">
      <alignment horizontal="center" vertical="bottom"/>
    </xf>
    <xf applyAlignment="true" applyBorder="false" applyFill="false" applyFont="true" applyNumberFormat="true" applyProtection="false" borderId="15" fillId="0" fontId="4" numFmtId="179" xfId="0">
      <alignment horizontal="center" vertical="center"/>
    </xf>
    <xf applyAlignment="true" applyBorder="false" applyFill="false" applyFont="true" applyNumberFormat="true" applyProtection="false" borderId="11" fillId="0" fontId="4" numFmtId="179" xfId="0">
      <alignment horizontal="center" vertical="bottom"/>
    </xf>
    <xf applyAlignment="true" applyBorder="false" applyFill="true" applyFont="true" applyNumberFormat="true" applyProtection="false" borderId="12" fillId="20" fontId="1" numFmtId="179" xfId="0">
      <alignment horizontal="center" vertical="center"/>
    </xf>
    <xf applyAlignment="true" applyBorder="false" applyFill="true" applyFont="true" applyNumberFormat="true" applyProtection="false" borderId="11" fillId="20" fontId="1" numFmtId="179" xfId="0">
      <alignment horizontal="center" vertical="center"/>
    </xf>
    <xf applyAlignment="true" applyBorder="false" applyFill="true" applyFont="true" applyNumberFormat="true" applyProtection="false" borderId="11" fillId="20" fontId="6" numFmtId="180" xfId="0">
      <alignment horizontal="center" vertical="center"/>
    </xf>
    <xf applyAlignment="true" applyBorder="false" applyFill="true" applyFont="true" applyNumberFormat="true" applyProtection="false" borderId="11" fillId="20" fontId="1" numFmtId="177" xfId="0">
      <alignment horizontal="center" vertical="center"/>
    </xf>
    <xf applyAlignment="true" applyBorder="false" applyFill="true" applyFont="true" applyNumberFormat="true" applyProtection="false" borderId="11" fillId="20" fontId="1" numFmtId="173" xfId="0">
      <alignment horizontal="center" vertical="center"/>
    </xf>
    <xf applyAlignment="true" applyBorder="false" applyFill="true" applyFont="true" applyNumberFormat="true" applyProtection="false" borderId="12" fillId="20" fontId="1" numFmtId="177" xfId="0">
      <alignment horizontal="center" vertical="center"/>
    </xf>
    <xf applyAlignment="true" applyBorder="false" applyFill="true" applyFont="true" applyNumberFormat="true" applyProtection="false" borderId="11" fillId="20" fontId="1" numFmtId="173" xfId="0">
      <alignment horizontal="center" vertical="bottom"/>
    </xf>
    <xf applyAlignment="true" applyBorder="false" applyFill="true" applyFont="true" applyNumberFormat="true" applyProtection="false" borderId="11" fillId="20" fontId="6" numFmtId="174" xfId="0">
      <alignment horizontal="center" vertical="center"/>
    </xf>
    <xf applyAlignment="true" applyBorder="false" applyFill="true" applyFont="true" applyNumberFormat="true" applyProtection="false" borderId="11" fillId="20" fontId="6" numFmtId="179" xfId="0">
      <alignment horizontal="center" vertical="center"/>
    </xf>
    <xf applyAlignment="true" applyBorder="false" applyFill="true" applyFont="true" applyNumberFormat="true" applyProtection="false" borderId="11" fillId="20" fontId="7" numFmtId="179" xfId="0">
      <alignment horizontal="center" vertical="center"/>
    </xf>
    <xf applyAlignment="true" applyBorder="false" applyFill="true" applyFont="true" applyNumberFormat="true" applyProtection="false" borderId="16" fillId="21" fontId="6" numFmtId="179" xfId="0">
      <alignment horizontal="center" vertical="center"/>
    </xf>
    <xf applyAlignment="true" applyBorder="false" applyFill="true" applyFont="true" applyNumberFormat="true" applyProtection="false" borderId="16" fillId="21" fontId="6" numFmtId="180" xfId="0">
      <alignment horizontal="center" vertical="center"/>
    </xf>
    <xf applyAlignment="true" applyBorder="false" applyFill="true" applyFont="true" applyNumberFormat="true" applyProtection="false" borderId="16" fillId="21" fontId="6" numFmtId="181" xfId="0">
      <alignment horizontal="center" vertical="center"/>
    </xf>
    <xf applyAlignment="true" applyBorder="false" applyFill="true" applyFont="true" applyNumberFormat="true" applyProtection="false" borderId="17" fillId="21" fontId="6" numFmtId="180" xfId="0">
      <alignment horizontal="center" vertical="center"/>
    </xf>
    <xf applyAlignment="true" applyBorder="false" applyFill="true" applyFont="true" applyNumberFormat="true" applyProtection="false" borderId="18" fillId="21" fontId="6" numFmtId="177" xfId="0">
      <alignment horizontal="center" vertical="center"/>
    </xf>
    <xf applyAlignment="true" applyBorder="false" applyFill="true" applyFont="true" applyNumberFormat="true" applyProtection="false" borderId="15" fillId="21" fontId="6" numFmtId="180" xfId="0">
      <alignment horizontal="center" vertical="center"/>
    </xf>
    <xf applyAlignment="true" applyBorder="false" applyFill="true" applyFont="true" applyNumberFormat="true" applyProtection="false" borderId="15" fillId="21" fontId="6" numFmtId="177" xfId="0">
      <alignment horizontal="center" vertical="center"/>
    </xf>
    <xf applyAlignment="true" applyBorder="false" applyFill="true" applyFont="true" applyNumberFormat="true" applyProtection="false" borderId="19" fillId="21" fontId="6" numFmtId="173" xfId="0">
      <alignment horizontal="center" vertical="center"/>
    </xf>
    <xf applyAlignment="true" applyBorder="false" applyFill="true" applyFont="true" applyNumberFormat="true" applyProtection="false" borderId="20" fillId="21" fontId="6" numFmtId="174" xfId="0">
      <alignment horizontal="center" vertical="center"/>
    </xf>
    <xf applyAlignment="true" applyBorder="false" applyFill="true" applyFont="true" applyNumberFormat="false" applyProtection="false" borderId="0" fillId="22" fontId="8" numFmtId="0" xfId="0">
      <alignment vertical="center"/>
    </xf>
    <xf applyAlignment="true" applyBorder="false" applyFill="true" applyFont="true" applyNumberFormat="false" applyProtection="false" borderId="0" fillId="23" fontId="8" numFmtId="0" xfId="0">
      <alignment vertical="center"/>
    </xf>
    <xf applyAlignment="true" applyBorder="false" applyFill="true" applyFont="true" applyNumberFormat="false" applyProtection="false" borderId="0" fillId="23" fontId="8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0" min="10" style="0" width="11.211267605633802"/>
  </cols>
  <sheetData>
    <row r="1">
      <c r="A1" s="1" t="s">
        <v>1</v>
      </c>
      <c r="B1" s="1"/>
      <c r="C1" s="1"/>
      <c r="D1" s="2" t="s">
        <v>2</v>
      </c>
      <c r="E1" s="2"/>
      <c r="F1" s="2"/>
      <c r="G1" s="2"/>
      <c r="H1" s="2"/>
      <c r="I1" s="2"/>
      <c r="J1" s="3"/>
      <c r="K1" s="4" t="s">
        <v>3</v>
      </c>
      <c r="L1" s="4"/>
      <c r="M1" s="4"/>
      <c r="N1" s="4"/>
      <c r="O1" s="4"/>
      <c r="P1" s="4"/>
      <c r="Q1" s="4"/>
      <c r="R1" s="4"/>
      <c r="S1" s="4"/>
      <c r="T1" s="4"/>
      <c r="U1" s="5"/>
      <c r="V1" s="5"/>
      <c r="W1" s="5"/>
      <c r="X1" s="6"/>
      <c r="Y1" s="6"/>
      <c r="Z1" s="6"/>
      <c r="AA1" s="6"/>
      <c r="AB1" s="6"/>
      <c r="AC1" s="6"/>
      <c r="AD1" s="6"/>
      <c r="AE1" s="7" t="s">
        <v>4</v>
      </c>
    </row>
    <row r="2">
      <c r="A2" s="1" t="s">
        <v>5</v>
      </c>
      <c r="B2" s="1" t="s">
        <v>6</v>
      </c>
      <c r="C2" s="1" t="s">
        <v>7</v>
      </c>
      <c r="D2" s="2" t="s">
        <v>8</v>
      </c>
      <c r="E2" s="8" t="s">
        <v>9</v>
      </c>
      <c r="F2" s="8" t="s">
        <v>10</v>
      </c>
      <c r="G2" s="9" t="s">
        <v>11</v>
      </c>
      <c r="H2" s="2" t="s">
        <v>12</v>
      </c>
      <c r="I2" s="8" t="s">
        <v>13</v>
      </c>
      <c r="J2" s="10"/>
      <c r="K2" s="4" t="s">
        <v>14</v>
      </c>
      <c r="L2" s="4" t="s">
        <v>15</v>
      </c>
      <c r="M2" s="11" t="s">
        <v>16</v>
      </c>
      <c r="N2" s="11" t="s">
        <v>17</v>
      </c>
      <c r="O2" s="4" t="s">
        <v>18</v>
      </c>
      <c r="P2" s="11" t="s">
        <v>19</v>
      </c>
      <c r="Q2" s="11" t="s">
        <v>20</v>
      </c>
      <c r="R2" s="4" t="s">
        <v>21</v>
      </c>
      <c r="S2" s="11" t="s">
        <v>22</v>
      </c>
      <c r="T2" s="4" t="s">
        <v>23</v>
      </c>
      <c r="U2" s="12" t="s">
        <v>24</v>
      </c>
      <c r="V2" s="12" t="s">
        <v>25</v>
      </c>
      <c r="W2" s="12" t="s">
        <v>26</v>
      </c>
      <c r="X2" s="13" t="s">
        <v>27</v>
      </c>
      <c r="Y2" s="14" t="s">
        <v>28</v>
      </c>
      <c r="Z2" s="14" t="s">
        <v>29</v>
      </c>
      <c r="AA2" s="14" t="s">
        <v>30</v>
      </c>
      <c r="AB2" s="14" t="s">
        <v>31</v>
      </c>
      <c r="AC2" s="14" t="s">
        <v>32</v>
      </c>
      <c r="AD2" s="14" t="s">
        <v>33</v>
      </c>
      <c r="AE2" s="7"/>
    </row>
    <row r="3">
      <c r="A3" s="15" t="s">
        <v>34</v>
      </c>
      <c r="B3" s="16" t="s">
        <v>35</v>
      </c>
      <c r="C3" s="17" t="s">
        <v>36</v>
      </c>
      <c r="D3" s="17">
        <f t="shared" ref="D3:D6" si="16">E3+F3</f>
      </c>
      <c r="E3" s="17">
        <v>5.8</v>
      </c>
      <c r="F3" s="17">
        <v>21.54</v>
      </c>
      <c r="G3" s="18">
        <v>1</v>
      </c>
      <c r="H3" s="17">
        <v>525</v>
      </c>
      <c r="I3" s="19">
        <f t="shared" ref="I3:I8" si="4">H3/D3</f>
      </c>
      <c r="J3" s="20"/>
      <c r="K3" s="21">
        <f t="shared" ref="K3:K8" si="40">Z3/Y3</f>
      </c>
      <c r="L3" s="22">
        <f t="shared" ref="L3:L8" si="28">D3/AA3</f>
      </c>
      <c r="M3" s="23">
        <f t="shared" ref="M3:M8" si="44">AB3/AA3</f>
      </c>
      <c r="N3" s="21">
        <f t="shared" ref="N3:N8" si="20">AC3/AA3</f>
      </c>
      <c r="O3" s="22">
        <f t="shared" ref="O3:O8" si="8">D3/AC3</f>
      </c>
      <c r="P3" s="21">
        <f t="shared" ref="P3:P8" si="48">AD3/AC3</f>
      </c>
      <c r="Q3" s="21">
        <f t="shared" ref="Q3:Q8" si="32">G3/AD3</f>
      </c>
      <c r="R3" s="22">
        <f t="shared" ref="R3:R8" si="12">D3/G3</f>
      </c>
      <c r="S3" s="24">
        <f t="shared" ref="S3:S8" si="0">H3/G3</f>
      </c>
      <c r="T3" s="22">
        <f t="shared" ref="T3:T8" si="36">D3/X3</f>
      </c>
      <c r="U3" s="25">
        <f t="shared" ref="U3:U8" si="24">AE3*1000/D3</f>
      </c>
      <c r="V3" s="26" t="s">
        <v>37</v>
      </c>
      <c r="W3" s="27" t="s">
        <v>38</v>
      </c>
      <c r="X3" s="18">
        <v>0</v>
      </c>
      <c r="Y3" s="18">
        <v>109</v>
      </c>
      <c r="Z3" s="18">
        <v>9</v>
      </c>
      <c r="AA3" s="18">
        <v>35</v>
      </c>
      <c r="AB3" s="18">
        <v>5</v>
      </c>
      <c r="AC3" s="28">
        <v>0</v>
      </c>
      <c r="AD3" s="28">
        <v>1</v>
      </c>
      <c r="AE3" s="29">
        <v>1</v>
      </c>
    </row>
    <row r="4">
      <c r="A4" s="30"/>
      <c r="B4" s="31" t="s">
        <v>39</v>
      </c>
      <c r="C4" s="17" t="s">
        <v>36</v>
      </c>
      <c r="D4" s="17">
        <f t="shared" si="16"/>
      </c>
      <c r="E4" s="17">
        <v>15.71</v>
      </c>
      <c r="F4" s="17">
        <v>74.59</v>
      </c>
      <c r="G4" s="17">
        <v>1</v>
      </c>
      <c r="H4" s="17">
        <v>670</v>
      </c>
      <c r="I4" s="19">
        <f t="shared" si="4"/>
      </c>
      <c r="J4" s="20"/>
      <c r="K4" s="21">
        <f t="shared" si="40"/>
      </c>
      <c r="L4" s="22">
        <f t="shared" si="28"/>
      </c>
      <c r="M4" s="23">
        <f t="shared" si="44"/>
      </c>
      <c r="N4" s="21">
        <f t="shared" si="20"/>
      </c>
      <c r="O4" s="22">
        <f t="shared" si="8"/>
      </c>
      <c r="P4" s="21">
        <f t="shared" si="48"/>
      </c>
      <c r="Q4" s="21">
        <f t="shared" si="32"/>
      </c>
      <c r="R4" s="22">
        <f t="shared" si="12"/>
      </c>
      <c r="S4" s="24">
        <f t="shared" si="0"/>
      </c>
      <c r="T4" s="22">
        <f t="shared" si="36"/>
      </c>
      <c r="U4" s="25">
        <f t="shared" si="24"/>
      </c>
      <c r="V4" s="26" t="s">
        <v>37</v>
      </c>
      <c r="W4" s="27" t="s">
        <v>38</v>
      </c>
      <c r="X4" s="32">
        <v>0</v>
      </c>
      <c r="Y4" s="18">
        <v>331</v>
      </c>
      <c r="Z4" s="17">
        <v>66</v>
      </c>
      <c r="AA4" s="17">
        <v>89</v>
      </c>
      <c r="AB4" s="17">
        <v>38</v>
      </c>
      <c r="AC4" s="17">
        <v>6</v>
      </c>
      <c r="AD4" s="28">
        <v>1</v>
      </c>
      <c r="AE4" s="33">
        <v>3</v>
      </c>
    </row>
    <row r="5">
      <c r="A5" s="30"/>
      <c r="B5" s="31" t="s">
        <v>40</v>
      </c>
      <c r="C5" s="17" t="s">
        <v>36</v>
      </c>
      <c r="D5" s="17">
        <f t="shared" si="16"/>
      </c>
      <c r="E5" s="17">
        <v>36.94</v>
      </c>
      <c r="F5" s="17">
        <v>312.05</v>
      </c>
      <c r="G5" s="18">
        <v>0</v>
      </c>
      <c r="H5" s="18">
        <v>0</v>
      </c>
      <c r="I5" s="19">
        <f t="shared" si="4"/>
      </c>
      <c r="J5" s="20"/>
      <c r="K5" s="21">
        <f t="shared" si="40"/>
      </c>
      <c r="L5" s="22">
        <f t="shared" si="28"/>
      </c>
      <c r="M5" s="23">
        <f t="shared" si="44"/>
      </c>
      <c r="N5" s="21">
        <f t="shared" si="20"/>
      </c>
      <c r="O5" s="22">
        <f t="shared" si="8"/>
      </c>
      <c r="P5" s="21">
        <f t="shared" si="48"/>
      </c>
      <c r="Q5" s="21">
        <f t="shared" si="32"/>
      </c>
      <c r="R5" s="22">
        <f t="shared" si="12"/>
      </c>
      <c r="S5" s="24">
        <f t="shared" si="0"/>
      </c>
      <c r="T5" s="22">
        <f t="shared" si="36"/>
      </c>
      <c r="U5" s="25">
        <f t="shared" si="24"/>
      </c>
      <c r="V5" s="26" t="s">
        <v>37</v>
      </c>
      <c r="W5" s="27" t="s">
        <v>38</v>
      </c>
      <c r="X5" s="32">
        <v>0</v>
      </c>
      <c r="Y5" s="18">
        <v>1328</v>
      </c>
      <c r="Z5" s="17">
        <v>96</v>
      </c>
      <c r="AA5" s="17">
        <v>129</v>
      </c>
      <c r="AB5" s="17">
        <v>40</v>
      </c>
      <c r="AC5" s="17">
        <v>7</v>
      </c>
      <c r="AD5" s="28">
        <v>1</v>
      </c>
      <c r="AE5" s="29">
        <v>10</v>
      </c>
    </row>
    <row r="6">
      <c r="A6" s="30"/>
      <c r="B6" s="31" t="s">
        <v>41</v>
      </c>
      <c r="C6" s="17" t="s">
        <v>36</v>
      </c>
      <c r="D6" s="17">
        <f t="shared" si="16"/>
      </c>
      <c r="E6" s="17">
        <v>204.92000000000002</v>
      </c>
      <c r="F6" s="17">
        <v>341.88</v>
      </c>
      <c r="G6" s="18">
        <v>0</v>
      </c>
      <c r="H6" s="18">
        <v>0</v>
      </c>
      <c r="I6" s="19">
        <f t="shared" si="4"/>
      </c>
      <c r="J6" s="20"/>
      <c r="K6" s="21">
        <f t="shared" si="40"/>
      </c>
      <c r="L6" s="22">
        <f t="shared" si="28"/>
      </c>
      <c r="M6" s="23">
        <f t="shared" si="44"/>
      </c>
      <c r="N6" s="21">
        <f t="shared" si="20"/>
      </c>
      <c r="O6" s="22">
        <f t="shared" si="8"/>
      </c>
      <c r="P6" s="21">
        <f t="shared" si="48"/>
      </c>
      <c r="Q6" s="21">
        <f t="shared" si="32"/>
      </c>
      <c r="R6" s="22">
        <f t="shared" si="12"/>
      </c>
      <c r="S6" s="24">
        <f t="shared" si="0"/>
      </c>
      <c r="T6" s="22">
        <f t="shared" si="36"/>
      </c>
      <c r="U6" s="25">
        <f t="shared" si="24"/>
      </c>
      <c r="V6" s="26" t="s">
        <v>37</v>
      </c>
      <c r="W6" s="27" t="s">
        <v>38</v>
      </c>
      <c r="X6" s="34">
        <v>0</v>
      </c>
      <c r="Y6" s="17">
        <v>2748</v>
      </c>
      <c r="Z6" s="17">
        <v>195</v>
      </c>
      <c r="AA6" s="17">
        <v>268</v>
      </c>
      <c r="AB6" s="17">
        <v>70</v>
      </c>
      <c r="AC6" s="17">
        <v>10</v>
      </c>
      <c r="AD6" s="28">
        <v>0</v>
      </c>
      <c r="AE6" s="33">
        <v>8</v>
      </c>
    </row>
    <row r="7">
      <c r="A7" s="30"/>
      <c r="B7" s="35" t="s">
        <v>42</v>
      </c>
      <c r="C7" s="35"/>
      <c r="D7" s="36">
        <f>SUM(D3:D6)</f>
      </c>
      <c r="E7" s="36">
        <f>SUM(E3:E6)</f>
      </c>
      <c r="F7" s="36">
        <f>SUM(F3:F6)</f>
      </c>
      <c r="G7" s="36">
        <f>SUM(G3:G6)</f>
      </c>
      <c r="H7" s="36">
        <f>SUM(H3:H6)</f>
      </c>
      <c r="I7" s="37">
        <f t="shared" si="4"/>
      </c>
      <c r="J7" s="38"/>
      <c r="K7" s="39">
        <f t="shared" si="40"/>
      </c>
      <c r="L7" s="40">
        <f t="shared" si="28"/>
      </c>
      <c r="M7" s="41">
        <f t="shared" si="44"/>
      </c>
      <c r="N7" s="39">
        <f t="shared" si="20"/>
      </c>
      <c r="O7" s="40">
        <f t="shared" si="8"/>
      </c>
      <c r="P7" s="39">
        <f t="shared" si="48"/>
      </c>
      <c r="Q7" s="39">
        <f t="shared" si="32"/>
      </c>
      <c r="R7" s="40">
        <f t="shared" si="12"/>
      </c>
      <c r="S7" s="42">
        <f t="shared" si="0"/>
      </c>
      <c r="T7" s="40">
        <f t="shared" si="36"/>
      </c>
      <c r="U7" s="43">
        <f t="shared" si="24"/>
      </c>
      <c r="V7" s="43"/>
      <c r="W7" s="43"/>
      <c r="X7" s="44">
        <f>SUM(X3:X6)</f>
      </c>
      <c r="Y7" s="45">
        <f>SUM(Y3:Y6)</f>
      </c>
      <c r="Z7" s="45">
        <f>SUM(Z3:Z6)</f>
      </c>
      <c r="AA7" s="45">
        <f>SUM(AA3:AA6)</f>
      </c>
      <c r="AB7" s="45">
        <f>SUM(AB3:AB6)</f>
      </c>
      <c r="AC7" s="45">
        <f>SUM(AC3:AC6)</f>
      </c>
      <c r="AD7" s="45">
        <f>SUM(AD3:AD6)</f>
      </c>
      <c r="AE7" s="45">
        <f>SUM(AE3:AE6)</f>
      </c>
    </row>
    <row r="8">
      <c r="A8" s="30"/>
      <c r="B8" s="46" t="s">
        <v>43</v>
      </c>
      <c r="C8" s="46"/>
      <c r="D8" s="47">
        <f>D7</f>
      </c>
      <c r="E8" s="47">
        <f>E7</f>
      </c>
      <c r="F8" s="47">
        <f>F7</f>
      </c>
      <c r="G8" s="48">
        <f>G7</f>
      </c>
      <c r="H8" s="47">
        <f>H7</f>
      </c>
      <c r="I8" s="49">
        <f t="shared" si="4"/>
      </c>
      <c r="J8" s="50"/>
      <c r="K8" s="51">
        <f t="shared" si="40"/>
      </c>
      <c r="L8" s="52">
        <f t="shared" si="28"/>
      </c>
      <c r="M8" s="53">
        <f t="shared" si="44"/>
      </c>
      <c r="N8" s="53">
        <f t="shared" si="20"/>
      </c>
      <c r="O8" s="52">
        <f t="shared" si="8"/>
      </c>
      <c r="P8" s="53">
        <f t="shared" si="48"/>
      </c>
      <c r="Q8" s="53">
        <f t="shared" si="32"/>
      </c>
      <c r="R8" s="52">
        <f t="shared" si="12"/>
      </c>
      <c r="S8" s="54">
        <f t="shared" si="0"/>
      </c>
      <c r="T8" s="52">
        <f t="shared" si="36"/>
      </c>
      <c r="U8" s="55">
        <f t="shared" si="24"/>
      </c>
      <c r="V8" s="55"/>
      <c r="W8" s="55"/>
      <c r="X8" s="48">
        <f>X7</f>
      </c>
      <c r="Y8" s="48">
        <f>Y7</f>
      </c>
      <c r="Z8" s="48">
        <f>Z7</f>
      </c>
      <c r="AA8" s="48">
        <f>AA7</f>
      </c>
      <c r="AB8" s="48">
        <f>AB7</f>
      </c>
      <c r="AC8" s="48">
        <f>AC7</f>
      </c>
      <c r="AD8" s="48">
        <f>AD7</f>
      </c>
      <c r="AE8" s="48">
        <f>AE7</f>
      </c>
    </row>
    <row r="9">
      <c r="A9" s="1" t="s">
        <v>1</v>
      </c>
      <c r="B9" s="1"/>
      <c r="C9" s="1"/>
      <c r="D9" s="2" t="s">
        <v>2</v>
      </c>
      <c r="E9" s="2"/>
      <c r="F9" s="2"/>
      <c r="G9" s="2"/>
      <c r="H9" s="2"/>
      <c r="I9" s="2"/>
      <c r="J9" s="3"/>
      <c r="K9" s="4" t="s">
        <v>3</v>
      </c>
      <c r="L9" s="4"/>
      <c r="M9" s="4"/>
      <c r="N9" s="4"/>
      <c r="O9" s="4"/>
      <c r="P9" s="4"/>
      <c r="Q9" s="4"/>
      <c r="R9" s="4"/>
      <c r="S9" s="4"/>
      <c r="T9" s="4"/>
      <c r="U9" s="5"/>
      <c r="V9" s="5"/>
      <c r="W9" s="5"/>
      <c r="X9" s="6"/>
      <c r="Y9" s="6"/>
      <c r="Z9" s="6"/>
      <c r="AA9" s="6"/>
      <c r="AB9" s="6"/>
      <c r="AC9" s="6"/>
      <c r="AD9" s="6"/>
      <c r="AE9" s="7" t="s">
        <v>4</v>
      </c>
    </row>
    <row r="10">
      <c r="A10" s="1" t="s">
        <v>5</v>
      </c>
      <c r="B10" s="1" t="s">
        <v>6</v>
      </c>
      <c r="C10" s="1" t="s">
        <v>7</v>
      </c>
      <c r="D10" s="2" t="s">
        <v>8</v>
      </c>
      <c r="E10" s="8" t="s">
        <v>9</v>
      </c>
      <c r="F10" s="8" t="s">
        <v>10</v>
      </c>
      <c r="G10" s="9" t="s">
        <v>11</v>
      </c>
      <c r="H10" s="2" t="s">
        <v>12</v>
      </c>
      <c r="I10" s="8" t="s">
        <v>13</v>
      </c>
      <c r="J10" s="10"/>
      <c r="K10" s="4" t="s">
        <v>14</v>
      </c>
      <c r="L10" s="4" t="s">
        <v>15</v>
      </c>
      <c r="M10" s="11" t="s">
        <v>16</v>
      </c>
      <c r="N10" s="11" t="s">
        <v>17</v>
      </c>
      <c r="O10" s="4" t="s">
        <v>18</v>
      </c>
      <c r="P10" s="11" t="s">
        <v>19</v>
      </c>
      <c r="Q10" s="11" t="s">
        <v>20</v>
      </c>
      <c r="R10" s="4" t="s">
        <v>21</v>
      </c>
      <c r="S10" s="11" t="s">
        <v>22</v>
      </c>
      <c r="T10" s="4" t="s">
        <v>23</v>
      </c>
      <c r="U10" s="12" t="s">
        <v>24</v>
      </c>
      <c r="V10" s="12" t="s">
        <v>25</v>
      </c>
      <c r="W10" s="12" t="s">
        <v>26</v>
      </c>
      <c r="X10" s="13" t="s">
        <v>27</v>
      </c>
      <c r="Y10" s="14" t="s">
        <v>28</v>
      </c>
      <c r="Z10" s="14" t="s">
        <v>29</v>
      </c>
      <c r="AA10" s="14" t="s">
        <v>30</v>
      </c>
      <c r="AB10" s="14" t="s">
        <v>31</v>
      </c>
      <c r="AC10" s="14" t="s">
        <v>32</v>
      </c>
      <c r="AD10" s="14" t="s">
        <v>33</v>
      </c>
      <c r="AE10" s="7"/>
    </row>
    <row r="11">
      <c r="A11" s="15" t="s">
        <v>44</v>
      </c>
      <c r="B11" s="16" t="s">
        <v>35</v>
      </c>
      <c r="C11" s="17" t="s">
        <v>36</v>
      </c>
      <c r="D11" s="17">
        <f t="shared" ref="D11:D14" si="17">E11+F11</f>
      </c>
      <c r="E11" s="17">
        <v>197.81</v>
      </c>
      <c r="F11" s="17">
        <v>223.16</v>
      </c>
      <c r="G11" s="18">
        <v>0</v>
      </c>
      <c r="H11" s="18">
        <v>0</v>
      </c>
      <c r="I11" s="19">
        <f t="shared" ref="I11:I16" si="5">H11/D11</f>
      </c>
      <c r="J11" s="20"/>
      <c r="K11" s="21">
        <f t="shared" ref="K11:K16" si="41">Z11/Y11</f>
      </c>
      <c r="L11" s="22">
        <f t="shared" ref="L11:L16" si="29">D11/AA11</f>
      </c>
      <c r="M11" s="23">
        <f t="shared" ref="M11:M16" si="45">AB11/AA11</f>
      </c>
      <c r="N11" s="21">
        <f t="shared" ref="N11:N16" si="21">AC11/AA11</f>
      </c>
      <c r="O11" s="22">
        <f t="shared" ref="O11:O16" si="9">D11/AC11</f>
      </c>
      <c r="P11" s="21">
        <f t="shared" ref="P11:P16" si="49">AD11/AC11</f>
      </c>
      <c r="Q11" s="21">
        <f t="shared" ref="Q11:Q16" si="33">G11/AD11</f>
      </c>
      <c r="R11" s="22">
        <f t="shared" ref="R11:R16" si="13">D11/G11</f>
      </c>
      <c r="S11" s="24">
        <f t="shared" ref="S11:S16" si="1">H11/G11</f>
      </c>
      <c r="T11" s="22">
        <f t="shared" ref="T11:T16" si="37">D11/X11</f>
      </c>
      <c r="U11" s="25">
        <f t="shared" ref="U11:U16" si="25">AE11*1000/D11</f>
      </c>
      <c r="V11" s="26" t="s">
        <v>37</v>
      </c>
      <c r="W11" s="27" t="s">
        <v>38</v>
      </c>
      <c r="X11" s="18">
        <v>0</v>
      </c>
      <c r="Y11" s="18">
        <v>2127</v>
      </c>
      <c r="Z11" s="18">
        <v>244</v>
      </c>
      <c r="AA11" s="18">
        <v>315</v>
      </c>
      <c r="AB11" s="18">
        <v>101</v>
      </c>
      <c r="AC11" s="28">
        <v>11</v>
      </c>
      <c r="AD11" s="28">
        <v>0</v>
      </c>
      <c r="AE11" s="29">
        <v>7</v>
      </c>
    </row>
    <row r="12">
      <c r="A12" s="15"/>
      <c r="B12" s="31" t="s">
        <v>39</v>
      </c>
      <c r="C12" s="17" t="s">
        <v>36</v>
      </c>
      <c r="D12" s="17">
        <f t="shared" si="17"/>
      </c>
      <c r="E12" s="18">
        <v>303.21</v>
      </c>
      <c r="F12" s="18">
        <v>440.55</v>
      </c>
      <c r="G12" s="18">
        <v>0</v>
      </c>
      <c r="H12" s="18">
        <v>0</v>
      </c>
      <c r="I12" s="19">
        <f t="shared" si="5"/>
      </c>
      <c r="J12" s="20"/>
      <c r="K12" s="21">
        <f t="shared" si="41"/>
      </c>
      <c r="L12" s="22">
        <f t="shared" si="29"/>
      </c>
      <c r="M12" s="23">
        <f t="shared" si="45"/>
      </c>
      <c r="N12" s="21">
        <f t="shared" si="21"/>
      </c>
      <c r="O12" s="22">
        <f t="shared" si="9"/>
      </c>
      <c r="P12" s="21">
        <f t="shared" si="49"/>
      </c>
      <c r="Q12" s="21">
        <f t="shared" si="33"/>
      </c>
      <c r="R12" s="22">
        <f t="shared" si="13"/>
      </c>
      <c r="S12" s="24">
        <f t="shared" si="1"/>
      </c>
      <c r="T12" s="22">
        <f t="shared" si="37"/>
      </c>
      <c r="U12" s="25">
        <f t="shared" si="25"/>
      </c>
      <c r="V12" s="26" t="s">
        <v>37</v>
      </c>
      <c r="W12" s="27" t="s">
        <v>38</v>
      </c>
      <c r="X12" s="32">
        <v>0</v>
      </c>
      <c r="Y12" s="18">
        <v>1709</v>
      </c>
      <c r="Z12" s="17">
        <v>257</v>
      </c>
      <c r="AA12" s="17">
        <v>395</v>
      </c>
      <c r="AB12" s="17">
        <v>127</v>
      </c>
      <c r="AC12" s="17">
        <v>5</v>
      </c>
      <c r="AD12" s="28">
        <v>2</v>
      </c>
      <c r="AE12" s="33">
        <v>7</v>
      </c>
    </row>
    <row r="13">
      <c r="A13" s="15"/>
      <c r="B13" s="31" t="s">
        <v>40</v>
      </c>
      <c r="C13" s="17" t="s">
        <v>36</v>
      </c>
      <c r="D13" s="17">
        <f t="shared" si="17"/>
      </c>
      <c r="E13" s="18">
        <v>259.18</v>
      </c>
      <c r="F13" s="18">
        <v>257.57</v>
      </c>
      <c r="G13" s="18">
        <v>0</v>
      </c>
      <c r="H13" s="18">
        <v>0</v>
      </c>
      <c r="I13" s="19">
        <f t="shared" si="5"/>
      </c>
      <c r="J13" s="20"/>
      <c r="K13" s="21">
        <f t="shared" si="41"/>
      </c>
      <c r="L13" s="22">
        <f t="shared" si="29"/>
      </c>
      <c r="M13" s="23">
        <f t="shared" si="45"/>
      </c>
      <c r="N13" s="21">
        <f t="shared" si="21"/>
      </c>
      <c r="O13" s="22">
        <f t="shared" si="9"/>
      </c>
      <c r="P13" s="21">
        <f t="shared" si="49"/>
      </c>
      <c r="Q13" s="21">
        <f t="shared" si="33"/>
      </c>
      <c r="R13" s="22">
        <f t="shared" si="13"/>
      </c>
      <c r="S13" s="24">
        <f t="shared" si="1"/>
      </c>
      <c r="T13" s="22">
        <f t="shared" si="37"/>
      </c>
      <c r="U13" s="25">
        <f t="shared" si="25"/>
      </c>
      <c r="V13" s="26" t="s">
        <v>37</v>
      </c>
      <c r="W13" s="27" t="s">
        <v>38</v>
      </c>
      <c r="X13" s="32">
        <v>0</v>
      </c>
      <c r="Y13" s="18">
        <v>2493</v>
      </c>
      <c r="Z13" s="17">
        <v>200</v>
      </c>
      <c r="AA13" s="17">
        <v>292</v>
      </c>
      <c r="AB13" s="17">
        <v>88</v>
      </c>
      <c r="AC13" s="17">
        <v>12</v>
      </c>
      <c r="AD13" s="28">
        <v>0</v>
      </c>
      <c r="AE13" s="29">
        <v>8</v>
      </c>
    </row>
    <row r="14">
      <c r="A14" s="15"/>
      <c r="B14" s="31" t="s">
        <v>41</v>
      </c>
      <c r="C14" s="17" t="s">
        <v>36</v>
      </c>
      <c r="D14" s="17">
        <f t="shared" si="17"/>
      </c>
      <c r="E14" s="18">
        <v>343.71</v>
      </c>
      <c r="F14" s="18">
        <v>110.17</v>
      </c>
      <c r="G14" s="18">
        <v>1</v>
      </c>
      <c r="H14" s="18">
        <v>798</v>
      </c>
      <c r="I14" s="19">
        <f t="shared" si="5"/>
      </c>
      <c r="J14" s="20"/>
      <c r="K14" s="21">
        <f t="shared" si="41"/>
      </c>
      <c r="L14" s="22">
        <f t="shared" si="29"/>
      </c>
      <c r="M14" s="23">
        <f t="shared" si="45"/>
      </c>
      <c r="N14" s="21">
        <f t="shared" si="21"/>
      </c>
      <c r="O14" s="22">
        <f t="shared" si="9"/>
      </c>
      <c r="P14" s="21">
        <f t="shared" si="49"/>
      </c>
      <c r="Q14" s="21">
        <f t="shared" si="33"/>
      </c>
      <c r="R14" s="22">
        <f t="shared" si="13"/>
      </c>
      <c r="S14" s="24">
        <f t="shared" si="1"/>
      </c>
      <c r="T14" s="22">
        <f t="shared" si="37"/>
      </c>
      <c r="U14" s="25">
        <f t="shared" si="25"/>
      </c>
      <c r="V14" s="26" t="s">
        <v>37</v>
      </c>
      <c r="W14" s="27" t="s">
        <v>38</v>
      </c>
      <c r="X14" s="34">
        <v>1</v>
      </c>
      <c r="Y14" s="17">
        <v>3222</v>
      </c>
      <c r="Z14" s="17">
        <v>127</v>
      </c>
      <c r="AA14" s="17">
        <v>172</v>
      </c>
      <c r="AB14" s="17">
        <v>45</v>
      </c>
      <c r="AC14" s="17">
        <v>8</v>
      </c>
      <c r="AD14" s="28">
        <v>1</v>
      </c>
      <c r="AE14" s="33">
        <v>4</v>
      </c>
    </row>
    <row r="15">
      <c r="A15" s="15"/>
      <c r="B15" s="35" t="s">
        <v>42</v>
      </c>
      <c r="C15" s="35"/>
      <c r="D15" s="36">
        <f>SUM(D11:D14)</f>
      </c>
      <c r="E15" s="36">
        <f>SUM(E11:E14)</f>
      </c>
      <c r="F15" s="36">
        <f>SUM(F11:F14)</f>
      </c>
      <c r="G15" s="36">
        <f>SUM(G11:G14)</f>
      </c>
      <c r="H15" s="36">
        <f>SUM(H11:H14)</f>
      </c>
      <c r="I15" s="37">
        <f t="shared" si="5"/>
      </c>
      <c r="J15" s="38"/>
      <c r="K15" s="39">
        <f t="shared" si="41"/>
      </c>
      <c r="L15" s="40">
        <f t="shared" si="29"/>
      </c>
      <c r="M15" s="41">
        <f t="shared" si="45"/>
      </c>
      <c r="N15" s="39">
        <f t="shared" si="21"/>
      </c>
      <c r="O15" s="40">
        <f t="shared" si="9"/>
      </c>
      <c r="P15" s="39">
        <f t="shared" si="49"/>
      </c>
      <c r="Q15" s="39">
        <f t="shared" si="33"/>
      </c>
      <c r="R15" s="40">
        <f t="shared" si="13"/>
      </c>
      <c r="S15" s="42">
        <f t="shared" si="1"/>
      </c>
      <c r="T15" s="40">
        <f t="shared" si="37"/>
      </c>
      <c r="U15" s="43">
        <f t="shared" si="25"/>
      </c>
      <c r="V15" s="43"/>
      <c r="W15" s="43"/>
      <c r="X15" s="44">
        <f>SUM(X11:X14)</f>
      </c>
      <c r="Y15" s="45">
        <f>SUM(Y11:Y14)</f>
      </c>
      <c r="Z15" s="45">
        <f>SUM(Z11:Z14)</f>
      </c>
      <c r="AA15" s="45">
        <f>SUM(AA11:AA14)</f>
      </c>
      <c r="AB15" s="45">
        <f>SUM(AB11:AB14)</f>
      </c>
      <c r="AC15" s="45">
        <f>SUM(AC11:AC14)</f>
      </c>
      <c r="AD15" s="45">
        <f>SUM(AD11:AD14)</f>
      </c>
      <c r="AE15" s="45">
        <f>SUM(AE11:AE14)</f>
      </c>
    </row>
    <row r="16">
      <c r="A16" s="15"/>
      <c r="B16" s="46" t="s">
        <v>43</v>
      </c>
      <c r="C16" s="46"/>
      <c r="D16" s="47">
        <f>D15</f>
      </c>
      <c r="E16" s="47">
        <f>E15</f>
      </c>
      <c r="F16" s="47">
        <f>F15</f>
      </c>
      <c r="G16" s="48">
        <f>G15</f>
      </c>
      <c r="H16" s="47">
        <f>H15</f>
      </c>
      <c r="I16" s="49">
        <f t="shared" si="5"/>
      </c>
      <c r="J16" s="50"/>
      <c r="K16" s="51">
        <f t="shared" si="41"/>
      </c>
      <c r="L16" s="52">
        <f t="shared" si="29"/>
      </c>
      <c r="M16" s="53">
        <f t="shared" si="45"/>
      </c>
      <c r="N16" s="53">
        <f t="shared" si="21"/>
      </c>
      <c r="O16" s="52">
        <f t="shared" si="9"/>
      </c>
      <c r="P16" s="53">
        <f t="shared" si="49"/>
      </c>
      <c r="Q16" s="53">
        <f t="shared" si="33"/>
      </c>
      <c r="R16" s="52">
        <f t="shared" si="13"/>
      </c>
      <c r="S16" s="54">
        <f t="shared" si="1"/>
      </c>
      <c r="T16" s="52">
        <f t="shared" si="37"/>
      </c>
      <c r="U16" s="55">
        <f t="shared" si="25"/>
      </c>
      <c r="V16" s="55"/>
      <c r="W16" s="55"/>
      <c r="X16" s="48">
        <f>X15</f>
      </c>
      <c r="Y16" s="48">
        <f>Y15</f>
      </c>
      <c r="Z16" s="48">
        <f>Z15</f>
      </c>
      <c r="AA16" s="48">
        <f>AA15</f>
      </c>
      <c r="AB16" s="48">
        <f>AB15</f>
      </c>
      <c r="AC16" s="48">
        <f>AC15</f>
      </c>
      <c r="AD16" s="48">
        <f>AD15</f>
      </c>
      <c r="AE16" s="48">
        <f>AE15</f>
      </c>
    </row>
    <row r="17">
      <c r="A17" s="1" t="s">
        <v>1</v>
      </c>
      <c r="B17" s="1"/>
      <c r="C17" s="1"/>
      <c r="D17" s="2" t="s">
        <v>2</v>
      </c>
      <c r="E17" s="2"/>
      <c r="F17" s="2"/>
      <c r="G17" s="2"/>
      <c r="H17" s="2"/>
      <c r="I17" s="2"/>
      <c r="J17" s="3"/>
      <c r="K17" s="4" t="s">
        <v>3</v>
      </c>
      <c r="L17" s="4"/>
      <c r="M17" s="4"/>
      <c r="N17" s="4"/>
      <c r="O17" s="4"/>
      <c r="P17" s="4"/>
      <c r="Q17" s="4"/>
      <c r="R17" s="4"/>
      <c r="S17" s="4"/>
      <c r="T17" s="4"/>
      <c r="U17" s="5"/>
      <c r="V17" s="5"/>
      <c r="W17" s="5"/>
      <c r="X17" s="6"/>
      <c r="Y17" s="6"/>
      <c r="Z17" s="6"/>
      <c r="AA17" s="6"/>
      <c r="AB17" s="6"/>
      <c r="AC17" s="6"/>
      <c r="AD17" s="6"/>
      <c r="AE17" s="7" t="s">
        <v>4</v>
      </c>
    </row>
    <row r="18">
      <c r="A18" s="1" t="s">
        <v>5</v>
      </c>
      <c r="B18" s="1" t="s">
        <v>6</v>
      </c>
      <c r="C18" s="1" t="s">
        <v>7</v>
      </c>
      <c r="D18" s="2" t="s">
        <v>8</v>
      </c>
      <c r="E18" s="8" t="s">
        <v>9</v>
      </c>
      <c r="F18" s="8" t="s">
        <v>10</v>
      </c>
      <c r="G18" s="9" t="s">
        <v>11</v>
      </c>
      <c r="H18" s="2" t="s">
        <v>12</v>
      </c>
      <c r="I18" s="8" t="s">
        <v>13</v>
      </c>
      <c r="J18" s="10"/>
      <c r="K18" s="4" t="s">
        <v>14</v>
      </c>
      <c r="L18" s="4" t="s">
        <v>15</v>
      </c>
      <c r="M18" s="11" t="s">
        <v>16</v>
      </c>
      <c r="N18" s="11" t="s">
        <v>17</v>
      </c>
      <c r="O18" s="4" t="s">
        <v>18</v>
      </c>
      <c r="P18" s="11" t="s">
        <v>19</v>
      </c>
      <c r="Q18" s="11" t="s">
        <v>20</v>
      </c>
      <c r="R18" s="4" t="s">
        <v>21</v>
      </c>
      <c r="S18" s="11" t="s">
        <v>22</v>
      </c>
      <c r="T18" s="4" t="s">
        <v>23</v>
      </c>
      <c r="U18" s="12" t="s">
        <v>24</v>
      </c>
      <c r="V18" s="12" t="s">
        <v>25</v>
      </c>
      <c r="W18" s="12" t="s">
        <v>26</v>
      </c>
      <c r="X18" s="13" t="s">
        <v>27</v>
      </c>
      <c r="Y18" s="14" t="s">
        <v>28</v>
      </c>
      <c r="Z18" s="14" t="s">
        <v>29</v>
      </c>
      <c r="AA18" s="14" t="s">
        <v>30</v>
      </c>
      <c r="AB18" s="14" t="s">
        <v>31</v>
      </c>
      <c r="AC18" s="14" t="s">
        <v>32</v>
      </c>
      <c r="AD18" s="14" t="s">
        <v>33</v>
      </c>
      <c r="AE18" s="7"/>
    </row>
    <row r="19">
      <c r="A19" s="15" t="s">
        <v>45</v>
      </c>
      <c r="B19" s="16" t="s">
        <v>35</v>
      </c>
      <c r="C19" s="17" t="s">
        <v>36</v>
      </c>
      <c r="D19" s="17">
        <f t="shared" ref="D19:D22" si="18">E19+F19</f>
      </c>
      <c r="E19" s="18">
        <v>587.55</v>
      </c>
      <c r="F19" s="18">
        <v>409.41</v>
      </c>
      <c r="G19" s="18">
        <v>0</v>
      </c>
      <c r="H19" s="18">
        <v>0</v>
      </c>
      <c r="I19" s="19">
        <f t="shared" ref="I19:I24" si="6">H19/D19</f>
      </c>
      <c r="J19" s="20"/>
      <c r="K19" s="21">
        <f t="shared" ref="K19:K24" si="42">Z19/Y19</f>
      </c>
      <c r="L19" s="22">
        <f t="shared" ref="L19:L24" si="30">D19/AA19</f>
      </c>
      <c r="M19" s="23">
        <f t="shared" ref="M19:M24" si="46">AB19/AA19</f>
      </c>
      <c r="N19" s="21">
        <f t="shared" ref="N19:N24" si="22">AC19/AA19</f>
      </c>
      <c r="O19" s="22">
        <f t="shared" ref="O19:O24" si="10">D19/AC19</f>
      </c>
      <c r="P19" s="21">
        <f t="shared" ref="P19:P24" si="50">AD19/AC19</f>
      </c>
      <c r="Q19" s="21">
        <f t="shared" ref="Q19:Q24" si="34">G19/AD19</f>
      </c>
      <c r="R19" s="22">
        <f t="shared" ref="R19:R24" si="14">D19/G19</f>
      </c>
      <c r="S19" s="24">
        <f t="shared" ref="S19:S24" si="2">H19/G19</f>
      </c>
      <c r="T19" s="22">
        <f t="shared" ref="T19:T24" si="38">D19/X19</f>
      </c>
      <c r="U19" s="25">
        <f t="shared" ref="U19:U24" si="26">AE19*1000/D19</f>
      </c>
      <c r="V19" s="26" t="s">
        <v>37</v>
      </c>
      <c r="W19" s="27" t="s">
        <v>46</v>
      </c>
      <c r="X19" s="18">
        <v>0</v>
      </c>
      <c r="Y19" s="18">
        <v>4781</v>
      </c>
      <c r="Z19" s="18">
        <v>314</v>
      </c>
      <c r="AA19" s="18">
        <v>441</v>
      </c>
      <c r="AB19" s="18">
        <v>116</v>
      </c>
      <c r="AC19" s="28">
        <v>25</v>
      </c>
      <c r="AD19" s="28">
        <v>0</v>
      </c>
      <c r="AE19" s="29">
        <v>33</v>
      </c>
    </row>
    <row r="20">
      <c r="A20" s="15"/>
      <c r="B20" s="31" t="s">
        <v>39</v>
      </c>
      <c r="C20" s="17" t="s">
        <v>36</v>
      </c>
      <c r="D20" s="17">
        <f t="shared" si="18"/>
      </c>
      <c r="E20" s="18">
        <v>2759.75</v>
      </c>
      <c r="F20" s="18">
        <v>496.49</v>
      </c>
      <c r="G20" s="18">
        <v>2</v>
      </c>
      <c r="H20" s="18">
        <v>1674</v>
      </c>
      <c r="I20" s="19">
        <f t="shared" si="6"/>
      </c>
      <c r="J20" s="20"/>
      <c r="K20" s="21">
        <f t="shared" si="42"/>
      </c>
      <c r="L20" s="22">
        <f t="shared" si="30"/>
      </c>
      <c r="M20" s="23">
        <f t="shared" si="46"/>
      </c>
      <c r="N20" s="21">
        <f t="shared" si="22"/>
      </c>
      <c r="O20" s="22">
        <f t="shared" si="10"/>
      </c>
      <c r="P20" s="21">
        <f t="shared" si="50"/>
      </c>
      <c r="Q20" s="21">
        <f t="shared" si="34"/>
      </c>
      <c r="R20" s="22">
        <f t="shared" si="14"/>
      </c>
      <c r="S20" s="24">
        <f t="shared" si="2"/>
      </c>
      <c r="T20" s="22">
        <f t="shared" si="38"/>
      </c>
      <c r="U20" s="25">
        <f t="shared" si="26"/>
      </c>
      <c r="V20" s="26" t="s">
        <v>37</v>
      </c>
      <c r="W20" s="27" t="s">
        <v>46</v>
      </c>
      <c r="X20" s="32">
        <v>2</v>
      </c>
      <c r="Y20" s="18">
        <v>26090</v>
      </c>
      <c r="Z20" s="17">
        <v>397</v>
      </c>
      <c r="AA20" s="17">
        <v>387</v>
      </c>
      <c r="AB20" s="17">
        <v>113</v>
      </c>
      <c r="AC20" s="17">
        <v>152</v>
      </c>
      <c r="AD20" s="28">
        <v>2</v>
      </c>
      <c r="AE20" s="33">
        <v>70</v>
      </c>
    </row>
    <row r="21">
      <c r="A21" s="15"/>
      <c r="B21" s="31" t="s">
        <v>40</v>
      </c>
      <c r="C21" s="17" t="s">
        <v>36</v>
      </c>
      <c r="D21" s="17">
        <f t="shared" si="18"/>
      </c>
      <c r="E21" s="18">
        <v>1136.82</v>
      </c>
      <c r="F21" s="18">
        <v>932.6</v>
      </c>
      <c r="G21" s="18">
        <v>1</v>
      </c>
      <c r="H21" s="18">
        <v>837</v>
      </c>
      <c r="I21" s="19">
        <f t="shared" si="6"/>
      </c>
      <c r="J21" s="20"/>
      <c r="K21" s="21">
        <f t="shared" si="42"/>
      </c>
      <c r="L21" s="22">
        <f t="shared" si="30"/>
      </c>
      <c r="M21" s="23">
        <f t="shared" si="46"/>
      </c>
      <c r="N21" s="21">
        <f t="shared" si="22"/>
      </c>
      <c r="O21" s="22">
        <f t="shared" si="10"/>
      </c>
      <c r="P21" s="21">
        <f t="shared" si="50"/>
      </c>
      <c r="Q21" s="21">
        <f t="shared" si="34"/>
      </c>
      <c r="R21" s="22">
        <f t="shared" si="14"/>
      </c>
      <c r="S21" s="24">
        <f t="shared" si="2"/>
      </c>
      <c r="T21" s="22">
        <f t="shared" si="38"/>
      </c>
      <c r="U21" s="25">
        <f t="shared" si="26"/>
      </c>
      <c r="V21" s="26" t="s">
        <v>37</v>
      </c>
      <c r="W21" s="27" t="s">
        <v>46</v>
      </c>
      <c r="X21" s="32">
        <v>1</v>
      </c>
      <c r="Y21" s="18">
        <v>12787</v>
      </c>
      <c r="Z21" s="17">
        <v>718</v>
      </c>
      <c r="AA21" s="17">
        <v>1084</v>
      </c>
      <c r="AB21" s="17">
        <v>295</v>
      </c>
      <c r="AC21" s="17">
        <v>47</v>
      </c>
      <c r="AD21" s="28">
        <v>3</v>
      </c>
      <c r="AE21" s="29">
        <v>53</v>
      </c>
    </row>
    <row r="22">
      <c r="A22" s="15"/>
      <c r="B22" s="31" t="s">
        <v>41</v>
      </c>
      <c r="C22" s="17" t="s">
        <v>36</v>
      </c>
      <c r="D22" s="17">
        <f t="shared" si="18"/>
      </c>
      <c r="E22" s="18">
        <v>1201.52</v>
      </c>
      <c r="F22" s="18">
        <v>324.89</v>
      </c>
      <c r="G22" s="18">
        <v>0</v>
      </c>
      <c r="H22" s="18">
        <v>0</v>
      </c>
      <c r="I22" s="19">
        <f t="shared" si="6"/>
      </c>
      <c r="J22" s="20"/>
      <c r="K22" s="21">
        <f t="shared" si="42"/>
      </c>
      <c r="L22" s="22">
        <f t="shared" si="30"/>
      </c>
      <c r="M22" s="23">
        <f t="shared" si="46"/>
      </c>
      <c r="N22" s="21">
        <f t="shared" si="22"/>
      </c>
      <c r="O22" s="22">
        <f t="shared" si="10"/>
      </c>
      <c r="P22" s="21">
        <f t="shared" si="50"/>
      </c>
      <c r="Q22" s="21">
        <f t="shared" si="34"/>
      </c>
      <c r="R22" s="22">
        <f t="shared" si="14"/>
      </c>
      <c r="S22" s="24">
        <f t="shared" si="2"/>
      </c>
      <c r="T22" s="22">
        <f t="shared" si="38"/>
      </c>
      <c r="U22" s="25">
        <f t="shared" si="26"/>
      </c>
      <c r="V22" s="26" t="s">
        <v>37</v>
      </c>
      <c r="W22" s="27" t="s">
        <v>46</v>
      </c>
      <c r="X22" s="32">
        <v>0</v>
      </c>
      <c r="Y22" s="17">
        <v>13202</v>
      </c>
      <c r="Z22" s="17">
        <v>321</v>
      </c>
      <c r="AA22" s="17">
        <v>417</v>
      </c>
      <c r="AB22" s="17">
        <v>100</v>
      </c>
      <c r="AC22" s="17">
        <v>54</v>
      </c>
      <c r="AD22" s="28">
        <v>2</v>
      </c>
      <c r="AE22" s="33">
        <v>25</v>
      </c>
    </row>
    <row r="23">
      <c r="A23" s="15"/>
      <c r="B23" s="35" t="s">
        <v>42</v>
      </c>
      <c r="C23" s="35"/>
      <c r="D23" s="36">
        <f>SUM(D19:D22)</f>
      </c>
      <c r="E23" s="36">
        <f>SUM(E19:E22)</f>
      </c>
      <c r="F23" s="36">
        <f>SUM(F19:F22)</f>
      </c>
      <c r="G23" s="36">
        <f>SUM(G19:G22)</f>
      </c>
      <c r="H23" s="36">
        <f>SUM(H19:H22)</f>
      </c>
      <c r="I23" s="37">
        <f t="shared" si="6"/>
      </c>
      <c r="J23" s="38"/>
      <c r="K23" s="39">
        <f t="shared" si="42"/>
      </c>
      <c r="L23" s="40">
        <f t="shared" si="30"/>
      </c>
      <c r="M23" s="41">
        <f t="shared" si="46"/>
      </c>
      <c r="N23" s="39">
        <f t="shared" si="22"/>
      </c>
      <c r="O23" s="40">
        <f t="shared" si="10"/>
      </c>
      <c r="P23" s="39">
        <f t="shared" si="50"/>
      </c>
      <c r="Q23" s="39">
        <f t="shared" si="34"/>
      </c>
      <c r="R23" s="40">
        <f t="shared" si="14"/>
      </c>
      <c r="S23" s="42">
        <f t="shared" si="2"/>
      </c>
      <c r="T23" s="40">
        <f t="shared" si="38"/>
      </c>
      <c r="U23" s="43">
        <f t="shared" si="26"/>
      </c>
      <c r="V23" s="43"/>
      <c r="W23" s="43"/>
      <c r="X23" s="44">
        <f>SUM(X19:X22)</f>
      </c>
      <c r="Y23" s="45">
        <f>SUM(Y19:Y22)</f>
      </c>
      <c r="Z23" s="45">
        <f>SUM(Z19:Z22)</f>
      </c>
      <c r="AA23" s="45">
        <f>SUM(AA19:AA22)</f>
      </c>
      <c r="AB23" s="45">
        <f>SUM(AB19:AB22)</f>
      </c>
      <c r="AC23" s="45">
        <f>SUM(AC19:AC22)</f>
      </c>
      <c r="AD23" s="45">
        <f>SUM(AD19:AD22)</f>
      </c>
      <c r="AE23" s="45">
        <f>SUM(AE19:AE22)</f>
      </c>
    </row>
    <row r="24">
      <c r="A24" s="15"/>
      <c r="B24" s="46" t="s">
        <v>43</v>
      </c>
      <c r="C24" s="46"/>
      <c r="D24" s="47">
        <f>D23</f>
      </c>
      <c r="E24" s="47">
        <f>E23</f>
      </c>
      <c r="F24" s="47">
        <f>F23</f>
      </c>
      <c r="G24" s="48">
        <f>G23</f>
      </c>
      <c r="H24" s="47">
        <f>H23</f>
      </c>
      <c r="I24" s="49">
        <f t="shared" si="6"/>
      </c>
      <c r="J24" s="50"/>
      <c r="K24" s="51">
        <f t="shared" si="42"/>
      </c>
      <c r="L24" s="52">
        <f t="shared" si="30"/>
      </c>
      <c r="M24" s="53">
        <f t="shared" si="46"/>
      </c>
      <c r="N24" s="53">
        <f t="shared" si="22"/>
      </c>
      <c r="O24" s="52">
        <f t="shared" si="10"/>
      </c>
      <c r="P24" s="53">
        <f t="shared" si="50"/>
      </c>
      <c r="Q24" s="53">
        <f t="shared" si="34"/>
      </c>
      <c r="R24" s="52">
        <f t="shared" si="14"/>
      </c>
      <c r="S24" s="54">
        <f t="shared" si="2"/>
      </c>
      <c r="T24" s="52">
        <f t="shared" si="38"/>
      </c>
      <c r="U24" s="55">
        <f t="shared" si="26"/>
      </c>
      <c r="V24" s="55"/>
      <c r="W24" s="55"/>
      <c r="X24" s="48">
        <f>X23</f>
      </c>
      <c r="Y24" s="48">
        <f>Y23</f>
      </c>
      <c r="Z24" s="48">
        <f>Z23</f>
      </c>
      <c r="AA24" s="48">
        <f>AA23</f>
      </c>
      <c r="AB24" s="48">
        <f>AB23</f>
      </c>
      <c r="AC24" s="48">
        <f>AC23</f>
      </c>
      <c r="AD24" s="48">
        <f>AD23</f>
      </c>
      <c r="AE24" s="48">
        <f>AE23</f>
      </c>
    </row>
    <row r="25">
      <c r="A25" s="1" t="s">
        <v>1</v>
      </c>
      <c r="B25" s="1"/>
      <c r="C25" s="1"/>
      <c r="D25" s="2" t="s">
        <v>2</v>
      </c>
      <c r="E25" s="2"/>
      <c r="F25" s="2"/>
      <c r="G25" s="2"/>
      <c r="H25" s="2"/>
      <c r="I25" s="2"/>
      <c r="J25" s="3"/>
      <c r="K25" s="4" t="s">
        <v>3</v>
      </c>
      <c r="L25" s="4"/>
      <c r="M25" s="4"/>
      <c r="N25" s="4"/>
      <c r="O25" s="4"/>
      <c r="P25" s="4"/>
      <c r="Q25" s="4"/>
      <c r="R25" s="4"/>
      <c r="S25" s="4"/>
      <c r="T25" s="4"/>
      <c r="U25" s="5"/>
      <c r="V25" s="5"/>
      <c r="W25" s="5"/>
      <c r="X25" s="6"/>
      <c r="Y25" s="6"/>
      <c r="Z25" s="6"/>
      <c r="AA25" s="6"/>
      <c r="AB25" s="6"/>
      <c r="AC25" s="6"/>
      <c r="AD25" s="6"/>
      <c r="AE25" s="7" t="s">
        <v>4</v>
      </c>
    </row>
    <row r="26">
      <c r="A26" s="1" t="s">
        <v>5</v>
      </c>
      <c r="B26" s="1" t="s">
        <v>6</v>
      </c>
      <c r="C26" s="1" t="s">
        <v>7</v>
      </c>
      <c r="D26" s="2" t="s">
        <v>8</v>
      </c>
      <c r="E26" s="8" t="s">
        <v>9</v>
      </c>
      <c r="F26" s="8" t="s">
        <v>10</v>
      </c>
      <c r="G26" s="9" t="s">
        <v>11</v>
      </c>
      <c r="H26" s="2" t="s">
        <v>12</v>
      </c>
      <c r="I26" s="8" t="s">
        <v>13</v>
      </c>
      <c r="J26" s="56" t="s">
        <v>47</v>
      </c>
      <c r="K26" s="4" t="s">
        <v>14</v>
      </c>
      <c r="L26" s="4" t="s">
        <v>15</v>
      </c>
      <c r="M26" s="11" t="s">
        <v>16</v>
      </c>
      <c r="N26" s="11" t="s">
        <v>17</v>
      </c>
      <c r="O26" s="4" t="s">
        <v>18</v>
      </c>
      <c r="P26" s="11" t="s">
        <v>19</v>
      </c>
      <c r="Q26" s="11" t="s">
        <v>20</v>
      </c>
      <c r="R26" s="4" t="s">
        <v>21</v>
      </c>
      <c r="S26" s="11" t="s">
        <v>22</v>
      </c>
      <c r="T26" s="4" t="s">
        <v>23</v>
      </c>
      <c r="U26" s="12" t="s">
        <v>24</v>
      </c>
      <c r="V26" s="12" t="s">
        <v>25</v>
      </c>
      <c r="W26" s="12" t="s">
        <v>26</v>
      </c>
      <c r="X26" s="13" t="s">
        <v>27</v>
      </c>
      <c r="Y26" s="14" t="s">
        <v>28</v>
      </c>
      <c r="Z26" s="14" t="s">
        <v>29</v>
      </c>
      <c r="AA26" s="14" t="s">
        <v>30</v>
      </c>
      <c r="AB26" s="14" t="s">
        <v>31</v>
      </c>
      <c r="AC26" s="14" t="s">
        <v>32</v>
      </c>
      <c r="AD26" s="14" t="s">
        <v>33</v>
      </c>
      <c r="AE26" s="7"/>
    </row>
    <row r="27">
      <c r="A27" s="15" t="s">
        <v>48</v>
      </c>
      <c r="B27" s="16" t="s">
        <v>35</v>
      </c>
      <c r="C27" s="17" t="s">
        <v>36</v>
      </c>
      <c r="D27" s="17">
        <f t="shared" ref="D27:D30" si="19">E27+F27</f>
      </c>
      <c r="E27" s="18">
        <v>1866.93</v>
      </c>
      <c r="F27" s="18">
        <v>387.8</v>
      </c>
      <c r="G27" s="18">
        <v>0</v>
      </c>
      <c r="H27" s="18">
        <v>0</v>
      </c>
      <c r="I27" s="19">
        <f t="shared" ref="I27:I32" si="7">H27/D27</f>
      </c>
      <c r="J27" s="20"/>
      <c r="K27" s="21">
        <f t="shared" ref="K27:K32" si="43">Z27/Y27</f>
      </c>
      <c r="L27" s="22">
        <f t="shared" ref="L27:L32" si="31">D27/AA27</f>
      </c>
      <c r="M27" s="23">
        <f t="shared" ref="M27:M32" si="47">AB27/AA27</f>
      </c>
      <c r="N27" s="21">
        <f t="shared" ref="N27:N32" si="23">AC27/AA27</f>
      </c>
      <c r="O27" s="22">
        <f t="shared" ref="O27:O32" si="11">D27/AC27</f>
      </c>
      <c r="P27" s="21">
        <f t="shared" ref="P27:P32" si="51">AD27/AC27</f>
      </c>
      <c r="Q27" s="21">
        <f t="shared" ref="Q27:Q32" si="35">G27/AD27</f>
      </c>
      <c r="R27" s="22">
        <f t="shared" ref="R27:R32" si="15">D27/G27</f>
      </c>
      <c r="S27" s="24">
        <f t="shared" ref="S27:S32" si="3">H27/G27</f>
      </c>
      <c r="T27" s="22">
        <f t="shared" ref="T27:T32" si="39">D27/X27</f>
      </c>
      <c r="U27" s="25">
        <f t="shared" ref="U27:U32" si="27">AE27*1000/D27</f>
      </c>
      <c r="V27" s="26" t="s">
        <v>37</v>
      </c>
      <c r="W27" s="27" t="s">
        <v>46</v>
      </c>
      <c r="X27" s="18">
        <v>0</v>
      </c>
      <c r="Y27" s="18">
        <v>19796</v>
      </c>
      <c r="Z27" s="18">
        <v>448</v>
      </c>
      <c r="AA27" s="18">
        <v>607</v>
      </c>
      <c r="AB27" s="18">
        <v>178</v>
      </c>
      <c r="AC27" s="28">
        <v>90</v>
      </c>
      <c r="AD27" s="28">
        <v>0</v>
      </c>
      <c r="AE27" s="29">
        <v>34</v>
      </c>
    </row>
    <row r="28">
      <c r="A28" s="15"/>
      <c r="B28" s="31" t="s">
        <v>39</v>
      </c>
      <c r="C28" s="17" t="s">
        <v>36</v>
      </c>
      <c r="D28" s="17">
        <f t="shared" si="19"/>
      </c>
      <c r="E28" s="18">
        <v>1666.38</v>
      </c>
      <c r="F28" s="18">
        <v>242.44</v>
      </c>
      <c r="G28" s="18">
        <v>2</v>
      </c>
      <c r="H28" s="18">
        <v>1596</v>
      </c>
      <c r="I28" s="19">
        <f t="shared" si="7"/>
      </c>
      <c r="J28" s="20"/>
      <c r="K28" s="21">
        <f t="shared" si="43"/>
      </c>
      <c r="L28" s="22">
        <f t="shared" si="31"/>
      </c>
      <c r="M28" s="23">
        <f t="shared" si="47"/>
      </c>
      <c r="N28" s="21">
        <f t="shared" si="23"/>
      </c>
      <c r="O28" s="22">
        <f t="shared" si="11"/>
      </c>
      <c r="P28" s="21">
        <f t="shared" si="51"/>
      </c>
      <c r="Q28" s="21">
        <f t="shared" si="35"/>
      </c>
      <c r="R28" s="22">
        <f t="shared" si="15"/>
      </c>
      <c r="S28" s="24">
        <f t="shared" si="3"/>
      </c>
      <c r="T28" s="22">
        <f t="shared" si="39"/>
      </c>
      <c r="U28" s="25">
        <f t="shared" si="27"/>
      </c>
      <c r="V28" s="26" t="s">
        <v>37</v>
      </c>
      <c r="W28" s="27" t="s">
        <v>46</v>
      </c>
      <c r="X28" s="32">
        <v>2</v>
      </c>
      <c r="Y28" s="18">
        <v>15115</v>
      </c>
      <c r="Z28" s="17">
        <v>356</v>
      </c>
      <c r="AA28" s="17">
        <v>454</v>
      </c>
      <c r="AB28" s="17">
        <v>153</v>
      </c>
      <c r="AC28" s="17">
        <v>76</v>
      </c>
      <c r="AD28" s="28">
        <v>3</v>
      </c>
      <c r="AE28" s="33">
        <v>38</v>
      </c>
    </row>
    <row r="29">
      <c r="A29" s="15"/>
      <c r="B29" s="31" t="s">
        <v>40</v>
      </c>
      <c r="C29" s="17" t="s">
        <v>36</v>
      </c>
      <c r="D29" s="17">
        <f t="shared" si="19"/>
      </c>
      <c r="E29" s="18">
        <v>1852.84</v>
      </c>
      <c r="F29" s="18">
        <v>359.4</v>
      </c>
      <c r="G29" s="18">
        <v>1</v>
      </c>
      <c r="H29" s="18">
        <v>798</v>
      </c>
      <c r="I29" s="19">
        <f t="shared" si="7"/>
      </c>
      <c r="J29" s="20"/>
      <c r="K29" s="21">
        <f t="shared" si="43"/>
      </c>
      <c r="L29" s="22">
        <f t="shared" si="31"/>
      </c>
      <c r="M29" s="23">
        <f t="shared" si="47"/>
      </c>
      <c r="N29" s="21">
        <f t="shared" si="23"/>
      </c>
      <c r="O29" s="22">
        <f t="shared" si="11"/>
      </c>
      <c r="P29" s="21">
        <f t="shared" si="51"/>
      </c>
      <c r="Q29" s="21">
        <f t="shared" si="35"/>
      </c>
      <c r="R29" s="22">
        <f t="shared" si="15"/>
      </c>
      <c r="S29" s="24">
        <f t="shared" si="3"/>
      </c>
      <c r="T29" s="22">
        <f t="shared" si="39"/>
      </c>
      <c r="U29" s="25">
        <f t="shared" si="27"/>
      </c>
      <c r="V29" s="26" t="s">
        <v>37</v>
      </c>
      <c r="W29" s="27" t="s">
        <v>46</v>
      </c>
      <c r="X29" s="32">
        <v>1</v>
      </c>
      <c r="Y29" s="18">
        <v>19386</v>
      </c>
      <c r="Z29" s="17">
        <v>340</v>
      </c>
      <c r="AA29" s="17">
        <v>441</v>
      </c>
      <c r="AB29" s="17">
        <v>128</v>
      </c>
      <c r="AC29" s="17">
        <v>78</v>
      </c>
      <c r="AD29" s="28">
        <v>2</v>
      </c>
      <c r="AE29" s="29">
        <v>31</v>
      </c>
    </row>
    <row r="30">
      <c r="A30" s="15"/>
      <c r="B30" s="31" t="s">
        <v>41</v>
      </c>
      <c r="C30" s="17" t="s">
        <v>36</v>
      </c>
      <c r="D30" s="17">
        <f t="shared" si="19"/>
      </c>
      <c r="E30" s="18">
        <v>1061.35</v>
      </c>
      <c r="F30" s="18">
        <v>198.72</v>
      </c>
      <c r="G30" s="18">
        <v>3</v>
      </c>
      <c r="H30" s="18">
        <v>2394</v>
      </c>
      <c r="I30" s="19">
        <f t="shared" si="7"/>
      </c>
      <c r="J30" s="20"/>
      <c r="K30" s="21">
        <f t="shared" si="43"/>
      </c>
      <c r="L30" s="22">
        <f t="shared" si="31"/>
      </c>
      <c r="M30" s="23">
        <f t="shared" si="47"/>
      </c>
      <c r="N30" s="21">
        <f t="shared" si="23"/>
      </c>
      <c r="O30" s="22">
        <f t="shared" si="11"/>
      </c>
      <c r="P30" s="21">
        <f t="shared" si="51"/>
      </c>
      <c r="Q30" s="21">
        <f t="shared" si="35"/>
      </c>
      <c r="R30" s="22">
        <f t="shared" si="15"/>
      </c>
      <c r="S30" s="24">
        <f t="shared" si="3"/>
      </c>
      <c r="T30" s="22">
        <f t="shared" si="39"/>
      </c>
      <c r="U30" s="25">
        <f t="shared" si="27"/>
      </c>
      <c r="V30" s="26" t="s">
        <v>37</v>
      </c>
      <c r="W30" s="27" t="s">
        <v>46</v>
      </c>
      <c r="X30" s="32">
        <v>3</v>
      </c>
      <c r="Y30" s="17">
        <v>9604</v>
      </c>
      <c r="Z30" s="17">
        <v>228</v>
      </c>
      <c r="AA30" s="17">
        <v>282</v>
      </c>
      <c r="AB30" s="17">
        <v>92</v>
      </c>
      <c r="AC30" s="17">
        <v>60</v>
      </c>
      <c r="AD30" s="28">
        <v>4</v>
      </c>
      <c r="AE30" s="33">
        <v>19</v>
      </c>
    </row>
    <row r="31">
      <c r="A31" s="15"/>
      <c r="B31" s="35" t="s">
        <v>42</v>
      </c>
      <c r="C31" s="35"/>
      <c r="D31" s="36">
        <f>SUM(D27:D30)</f>
      </c>
      <c r="E31" s="36">
        <f>SUM(E27:E30)</f>
      </c>
      <c r="F31" s="36">
        <f>SUM(F27:F30)</f>
      </c>
      <c r="G31" s="36">
        <f>SUM(G27:G30)</f>
      </c>
      <c r="H31" s="36">
        <f>SUM(H27:H30)</f>
      </c>
      <c r="I31" s="37">
        <f t="shared" si="7"/>
      </c>
      <c r="J31" s="38"/>
      <c r="K31" s="39">
        <f t="shared" si="43"/>
      </c>
      <c r="L31" s="40">
        <f t="shared" si="31"/>
      </c>
      <c r="M31" s="41">
        <f t="shared" si="47"/>
      </c>
      <c r="N31" s="39">
        <f t="shared" si="23"/>
      </c>
      <c r="O31" s="40">
        <f t="shared" si="11"/>
      </c>
      <c r="P31" s="39">
        <f t="shared" si="51"/>
      </c>
      <c r="Q31" s="39">
        <f t="shared" si="35"/>
      </c>
      <c r="R31" s="40">
        <f t="shared" si="15"/>
      </c>
      <c r="S31" s="42">
        <f t="shared" si="3"/>
      </c>
      <c r="T31" s="40">
        <f t="shared" si="39"/>
      </c>
      <c r="U31" s="43">
        <f t="shared" si="27"/>
      </c>
      <c r="V31" s="43"/>
      <c r="W31" s="43"/>
      <c r="X31" s="44">
        <f>SUM(X27:X30)</f>
      </c>
      <c r="Y31" s="45">
        <f>SUM(Y27:Y30)</f>
      </c>
      <c r="Z31" s="45">
        <f>SUM(Z27:Z30)</f>
      </c>
      <c r="AA31" s="45">
        <f>SUM(AA27:AA30)</f>
      </c>
      <c r="AB31" s="45">
        <f>SUM(AB27:AB30)</f>
      </c>
      <c r="AC31" s="45">
        <f>SUM(AC27:AC30)</f>
      </c>
      <c r="AD31" s="45">
        <f>SUM(AD27:AD30)</f>
      </c>
      <c r="AE31" s="45">
        <f>SUM(AE27:AE30)</f>
      </c>
    </row>
    <row r="32">
      <c r="A32" s="15"/>
      <c r="B32" s="46" t="s">
        <v>43</v>
      </c>
      <c r="C32" s="46"/>
      <c r="D32" s="47">
        <f>D31</f>
      </c>
      <c r="E32" s="47">
        <f>E31</f>
      </c>
      <c r="F32" s="47">
        <f>F31</f>
      </c>
      <c r="G32" s="48">
        <f>G31</f>
      </c>
      <c r="H32" s="47">
        <f>H31</f>
      </c>
      <c r="I32" s="49">
        <f t="shared" si="7"/>
      </c>
      <c r="J32" s="50"/>
      <c r="K32" s="51">
        <f t="shared" si="43"/>
      </c>
      <c r="L32" s="52">
        <f t="shared" si="31"/>
      </c>
      <c r="M32" s="53">
        <f t="shared" si="47"/>
      </c>
      <c r="N32" s="53">
        <f t="shared" si="23"/>
      </c>
      <c r="O32" s="52">
        <f t="shared" si="11"/>
      </c>
      <c r="P32" s="53">
        <f t="shared" si="51"/>
      </c>
      <c r="Q32" s="53">
        <f t="shared" si="35"/>
      </c>
      <c r="R32" s="52">
        <f t="shared" si="15"/>
      </c>
      <c r="S32" s="54">
        <f t="shared" si="3"/>
      </c>
      <c r="T32" s="52">
        <f t="shared" si="39"/>
      </c>
      <c r="U32" s="55">
        <f t="shared" si="27"/>
      </c>
      <c r="V32" s="55"/>
      <c r="W32" s="55"/>
      <c r="X32" s="48">
        <f>X31</f>
      </c>
      <c r="Y32" s="48">
        <f>Y31</f>
      </c>
      <c r="Z32" s="48">
        <f>Z31</f>
      </c>
      <c r="AA32" s="48">
        <f>AA31</f>
      </c>
      <c r="AB32" s="48">
        <f>AB31</f>
      </c>
      <c r="AC32" s="48">
        <f>AC31</f>
      </c>
      <c r="AD32" s="48">
        <f>AD31</f>
      </c>
      <c r="AE32" s="48">
        <f>AE31</f>
      </c>
    </row>
    <row r="33">
      <c r="E33" s="57"/>
      <c r="F33" s="57"/>
      <c r="G33" s="57">
        <f>G34-G32</f>
      </c>
      <c r="H33" s="57">
        <f>H34-H32</f>
      </c>
      <c r="X33" s="57">
        <f>X34-X32</f>
      </c>
      <c r="Y33" s="57">
        <f>Y34-Y32</f>
      </c>
      <c r="Z33" s="57">
        <f>Z34-Z32</f>
      </c>
      <c r="AA33" s="57">
        <f>AA34-AA32</f>
      </c>
      <c r="AB33" s="57">
        <f>AB34-AB32</f>
      </c>
      <c r="AC33" s="57">
        <f>AC34-AC32</f>
      </c>
      <c r="AD33" s="57">
        <f>AD34-AD32</f>
      </c>
      <c r="AE33" s="57">
        <f>AE34-AE32</f>
      </c>
    </row>
    <row r="34">
      <c r="E34" s="57"/>
      <c r="F34" s="57"/>
      <c r="G34" s="58">
        <v>6</v>
      </c>
      <c r="H34" s="58">
        <v>4788</v>
      </c>
      <c r="X34" s="59">
        <v>1</v>
      </c>
      <c r="Y34" s="59">
        <v>9551</v>
      </c>
      <c r="Z34" s="59">
        <v>828</v>
      </c>
      <c r="AA34" s="59">
        <v>1174</v>
      </c>
      <c r="AB34" s="59">
        <v>361</v>
      </c>
      <c r="AC34" s="59">
        <v>36</v>
      </c>
      <c r="AD34" s="58"/>
      <c r="AE34" s="58">
        <v>122</v>
      </c>
    </row>
    <row r="35">
      <c r="E35" s="59">
        <f>E34+E33</f>
      </c>
      <c r="F35" s="59">
        <f>F34+F33</f>
      </c>
    </row>
  </sheetData>
  <mergeCells>
    <mergeCell ref="A1:C1"/>
    <mergeCell ref="D1:I1"/>
    <mergeCell ref="A3:A8"/>
    <mergeCell ref="B7:C7"/>
    <mergeCell ref="B8:C8"/>
    <mergeCell ref="A9:C9"/>
    <mergeCell ref="D9:I9"/>
    <mergeCell ref="A11:A16"/>
    <mergeCell ref="B15:C15"/>
    <mergeCell ref="B16:C16"/>
    <mergeCell ref="A17:C17"/>
    <mergeCell ref="D17:I17"/>
    <mergeCell ref="A19:A24"/>
    <mergeCell ref="B23:C23"/>
    <mergeCell ref="B24:C24"/>
    <mergeCell ref="A25:C25"/>
    <mergeCell ref="D25:I25"/>
    <mergeCell ref="A27:A32"/>
    <mergeCell ref="B31:C31"/>
    <mergeCell ref="B32:C32"/>
    <mergeCell ref="K1:T1"/>
    <mergeCell ref="U1:W1"/>
    <mergeCell ref="K9:T9"/>
    <mergeCell ref="U9:W9"/>
    <mergeCell ref="K17:T17"/>
    <mergeCell ref="U17:W17"/>
    <mergeCell ref="K25:T25"/>
    <mergeCell ref="U25:W25"/>
    <mergeCell ref="AE25:AE26"/>
    <mergeCell ref="AE17:AE18"/>
    <mergeCell ref="AE9:AE10"/>
    <mergeCell ref="AE1:AE2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60" t="s">
        <v>49</v>
      </c>
      <c r="B1" s="60"/>
      <c r="C1" s="60"/>
      <c r="D1" s="61" t="s">
        <v>50</v>
      </c>
      <c r="E1" s="61"/>
      <c r="F1" s="61"/>
      <c r="G1" s="61"/>
      <c r="H1" s="61"/>
      <c r="I1" s="61"/>
      <c r="J1" s="62" t="s">
        <v>51</v>
      </c>
      <c r="K1" s="62"/>
      <c r="L1" s="62"/>
      <c r="M1" s="62"/>
      <c r="N1" s="62"/>
      <c r="O1" s="62"/>
      <c r="P1" s="62"/>
      <c r="Q1" s="62"/>
      <c r="R1" s="62"/>
      <c r="S1" s="62"/>
      <c r="T1" s="63"/>
      <c r="U1" s="63"/>
      <c r="V1" s="63"/>
      <c r="W1" s="64"/>
      <c r="X1" s="64"/>
      <c r="Y1" s="64"/>
      <c r="Z1" s="64"/>
      <c r="AA1" s="64"/>
      <c r="AB1" s="64"/>
      <c r="AC1" s="64"/>
      <c r="AD1" s="65" t="s">
        <v>52</v>
      </c>
    </row>
    <row r="2">
      <c r="A2" s="60" t="s">
        <v>53</v>
      </c>
      <c r="B2" s="60" t="s">
        <v>54</v>
      </c>
      <c r="C2" s="60" t="s">
        <v>55</v>
      </c>
      <c r="D2" s="61" t="s">
        <v>56</v>
      </c>
      <c r="E2" s="66" t="s">
        <v>57</v>
      </c>
      <c r="F2" s="66" t="s">
        <v>58</v>
      </c>
      <c r="G2" s="67" t="s">
        <v>59</v>
      </c>
      <c r="H2" s="61" t="s">
        <v>60</v>
      </c>
      <c r="I2" s="66" t="s">
        <v>61</v>
      </c>
      <c r="J2" s="62" t="s">
        <v>62</v>
      </c>
      <c r="K2" s="62" t="s">
        <v>63</v>
      </c>
      <c r="L2" s="68" t="s">
        <v>64</v>
      </c>
      <c r="M2" s="68" t="s">
        <v>65</v>
      </c>
      <c r="N2" s="62" t="s">
        <v>66</v>
      </c>
      <c r="O2" s="68" t="s">
        <v>67</v>
      </c>
      <c r="P2" s="68" t="s">
        <v>68</v>
      </c>
      <c r="Q2" s="62" t="s">
        <v>69</v>
      </c>
      <c r="R2" s="68" t="s">
        <v>70</v>
      </c>
      <c r="S2" s="62" t="s">
        <v>71</v>
      </c>
      <c r="T2" s="69" t="s">
        <v>72</v>
      </c>
      <c r="U2" s="69" t="s">
        <v>73</v>
      </c>
      <c r="V2" s="69" t="s">
        <v>74</v>
      </c>
      <c r="W2" s="70" t="s">
        <v>75</v>
      </c>
      <c r="X2" s="71" t="s">
        <v>76</v>
      </c>
      <c r="Y2" s="71" t="s">
        <v>77</v>
      </c>
      <c r="Z2" s="71" t="s">
        <v>78</v>
      </c>
      <c r="AA2" s="71" t="s">
        <v>79</v>
      </c>
      <c r="AB2" s="71" t="s">
        <v>80</v>
      </c>
      <c r="AC2" s="71" t="s">
        <v>81</v>
      </c>
      <c r="AD2" s="65"/>
    </row>
    <row r="3">
      <c r="A3" s="72" t="s">
        <v>82</v>
      </c>
      <c r="B3" s="73" t="s">
        <v>83</v>
      </c>
      <c r="C3" s="74" t="s">
        <v>84</v>
      </c>
      <c r="D3" s="74">
        <f t="shared" ref="D3:D6" si="3">E3+F3</f>
      </c>
      <c r="E3" s="74"/>
      <c r="F3" s="74"/>
      <c r="G3" s="75"/>
      <c r="H3" s="74"/>
      <c r="I3" s="76">
        <f t="shared" ref="I3:I8" si="0">H3/D3</f>
      </c>
      <c r="J3" s="77">
        <f t="shared" ref="J3:J8" si="9">Y3/X3</f>
      </c>
      <c r="K3" s="78">
        <f t="shared" ref="K3:K8" si="6">D3/Z3</f>
      </c>
      <c r="L3" s="79">
        <f t="shared" ref="L3:L8" si="10">AA3/Z3</f>
      </c>
      <c r="M3" s="77">
        <f t="shared" ref="M3:M8" si="4">AB3/Z3</f>
      </c>
      <c r="N3" s="78">
        <f t="shared" ref="N3:N8" si="1">D3/AB3</f>
      </c>
      <c r="O3" s="77">
        <f t="shared" ref="O3:O8" si="11">AC3/AB3</f>
      </c>
      <c r="P3" s="77">
        <f t="shared" ref="P3:P8" si="7">G3/AC3</f>
      </c>
      <c r="Q3" s="78">
        <f t="shared" ref="Q3:Q8" si="5">D3/G3</f>
      </c>
      <c r="R3" s="80">
        <f t="shared" ref="R3:R8" si="2">H3/G3</f>
      </c>
      <c r="S3" s="78">
        <f t="shared" ref="S3:S8" si="12">D3/W3</f>
      </c>
      <c r="T3" s="81">
        <f t="shared" ref="T3:T8" si="8">AD3*1000/D3</f>
      </c>
      <c r="U3" s="82" t="s">
        <v>85</v>
      </c>
      <c r="V3" s="83" t="s">
        <v>86</v>
      </c>
      <c r="W3" s="75"/>
      <c r="X3" s="75"/>
      <c r="Y3" s="75"/>
      <c r="Z3" s="75"/>
      <c r="AA3" s="75"/>
      <c r="AB3" s="84"/>
      <c r="AC3" s="84"/>
      <c r="AD3" s="85"/>
    </row>
    <row r="4">
      <c r="A4" s="72"/>
      <c r="B4" s="86" t="s">
        <v>87</v>
      </c>
      <c r="C4" s="74" t="s">
        <v>84</v>
      </c>
      <c r="D4" s="74">
        <f t="shared" si="3"/>
      </c>
      <c r="E4" s="74"/>
      <c r="F4" s="74"/>
      <c r="G4" s="74"/>
      <c r="H4" s="74"/>
      <c r="I4" s="76">
        <f t="shared" si="0"/>
      </c>
      <c r="J4" s="77">
        <f t="shared" si="9"/>
      </c>
      <c r="K4" s="78">
        <f t="shared" si="6"/>
      </c>
      <c r="L4" s="79">
        <f t="shared" si="10"/>
      </c>
      <c r="M4" s="77">
        <f t="shared" si="4"/>
      </c>
      <c r="N4" s="78">
        <f t="shared" si="1"/>
      </c>
      <c r="O4" s="77">
        <f t="shared" si="11"/>
      </c>
      <c r="P4" s="77">
        <f t="shared" si="7"/>
      </c>
      <c r="Q4" s="78">
        <f t="shared" si="5"/>
      </c>
      <c r="R4" s="80">
        <f t="shared" si="2"/>
      </c>
      <c r="S4" s="78">
        <f t="shared" si="12"/>
      </c>
      <c r="T4" s="81">
        <f t="shared" si="8"/>
      </c>
      <c r="U4" s="82" t="s">
        <v>85</v>
      </c>
      <c r="V4" s="83" t="s">
        <v>86</v>
      </c>
      <c r="W4" s="87"/>
      <c r="X4" s="75"/>
      <c r="Y4" s="74"/>
      <c r="Z4" s="74"/>
      <c r="AA4" s="74"/>
      <c r="AB4" s="74"/>
      <c r="AC4" s="84"/>
      <c r="AD4" s="88"/>
    </row>
    <row r="5">
      <c r="A5" s="72"/>
      <c r="B5" s="86" t="s">
        <v>88</v>
      </c>
      <c r="C5" s="74" t="s">
        <v>84</v>
      </c>
      <c r="D5" s="74">
        <f t="shared" si="3"/>
      </c>
      <c r="E5" s="74"/>
      <c r="F5" s="74"/>
      <c r="G5" s="75"/>
      <c r="H5" s="75"/>
      <c r="I5" s="76">
        <f t="shared" si="0"/>
      </c>
      <c r="J5" s="77">
        <f t="shared" si="9"/>
      </c>
      <c r="K5" s="78">
        <f t="shared" si="6"/>
      </c>
      <c r="L5" s="79">
        <f t="shared" si="10"/>
      </c>
      <c r="M5" s="77">
        <f t="shared" si="4"/>
      </c>
      <c r="N5" s="78">
        <f t="shared" si="1"/>
      </c>
      <c r="O5" s="77">
        <f t="shared" si="11"/>
      </c>
      <c r="P5" s="77">
        <f t="shared" si="7"/>
      </c>
      <c r="Q5" s="78">
        <f t="shared" si="5"/>
      </c>
      <c r="R5" s="80">
        <f t="shared" si="2"/>
      </c>
      <c r="S5" s="78">
        <f t="shared" si="12"/>
      </c>
      <c r="T5" s="81">
        <f t="shared" si="8"/>
      </c>
      <c r="U5" s="82" t="s">
        <v>85</v>
      </c>
      <c r="V5" s="83" t="s">
        <v>86</v>
      </c>
      <c r="W5" s="87"/>
      <c r="X5" s="75"/>
      <c r="Y5" s="74"/>
      <c r="Z5" s="74"/>
      <c r="AA5" s="74"/>
      <c r="AB5" s="74"/>
      <c r="AC5" s="84"/>
      <c r="AD5" s="85"/>
    </row>
    <row r="6">
      <c r="A6" s="72"/>
      <c r="B6" s="86" t="s">
        <v>89</v>
      </c>
      <c r="C6" s="74" t="s">
        <v>84</v>
      </c>
      <c r="D6" s="74">
        <f t="shared" si="3"/>
      </c>
      <c r="E6" s="74"/>
      <c r="F6" s="74"/>
      <c r="G6" s="75"/>
      <c r="H6" s="75"/>
      <c r="I6" s="76">
        <f t="shared" si="0"/>
      </c>
      <c r="J6" s="77">
        <f t="shared" si="9"/>
      </c>
      <c r="K6" s="78">
        <f t="shared" si="6"/>
      </c>
      <c r="L6" s="79">
        <f t="shared" si="10"/>
      </c>
      <c r="M6" s="77">
        <f t="shared" si="4"/>
      </c>
      <c r="N6" s="78">
        <f t="shared" si="1"/>
      </c>
      <c r="O6" s="77">
        <f t="shared" si="11"/>
      </c>
      <c r="P6" s="77">
        <f t="shared" si="7"/>
      </c>
      <c r="Q6" s="78">
        <f t="shared" si="5"/>
      </c>
      <c r="R6" s="80">
        <f t="shared" si="2"/>
      </c>
      <c r="S6" s="78">
        <f t="shared" si="12"/>
      </c>
      <c r="T6" s="81">
        <f t="shared" si="8"/>
      </c>
      <c r="U6" s="82" t="s">
        <v>85</v>
      </c>
      <c r="V6" s="83" t="s">
        <v>86</v>
      </c>
      <c r="W6" s="89"/>
      <c r="X6" s="74"/>
      <c r="Y6" s="74"/>
      <c r="Z6" s="74"/>
      <c r="AA6" s="74"/>
      <c r="AB6" s="74"/>
      <c r="AC6" s="84"/>
      <c r="AD6" s="88"/>
    </row>
    <row r="7">
      <c r="A7" s="72"/>
      <c r="B7" s="90" t="s">
        <v>90</v>
      </c>
      <c r="C7" s="90"/>
      <c r="D7" s="91">
        <f>SUM(D3:D6)</f>
      </c>
      <c r="E7" s="91">
        <f>SUM(E3:E6)</f>
      </c>
      <c r="F7" s="91">
        <f>SUM(F3:F6)</f>
      </c>
      <c r="G7" s="91">
        <f>SUM(G3:G6)</f>
      </c>
      <c r="H7" s="91">
        <f>SUM(H3:H6)</f>
      </c>
      <c r="I7" s="92">
        <f t="shared" si="0"/>
      </c>
      <c r="J7" s="93">
        <f t="shared" si="9"/>
      </c>
      <c r="K7" s="94">
        <f t="shared" si="6"/>
      </c>
      <c r="L7" s="95">
        <f t="shared" si="10"/>
      </c>
      <c r="M7" s="93">
        <f t="shared" si="4"/>
      </c>
      <c r="N7" s="94">
        <f t="shared" si="1"/>
      </c>
      <c r="O7" s="93">
        <f t="shared" si="11"/>
      </c>
      <c r="P7" s="93">
        <f t="shared" si="7"/>
      </c>
      <c r="Q7" s="94">
        <f t="shared" si="5"/>
      </c>
      <c r="R7" s="96">
        <f t="shared" si="2"/>
      </c>
      <c r="S7" s="94">
        <f t="shared" si="12"/>
      </c>
      <c r="T7" s="97">
        <f t="shared" si="8"/>
      </c>
      <c r="U7" s="97"/>
      <c r="V7" s="97"/>
      <c r="W7" s="98">
        <f>SUM(W3:W6)</f>
      </c>
      <c r="X7" s="99">
        <f>SUM(X3:X6)</f>
      </c>
      <c r="Y7" s="99">
        <f>SUM(Y3:Y6)</f>
      </c>
      <c r="Z7" s="99">
        <f>SUM(Z3:Z6)</f>
      </c>
      <c r="AA7" s="99">
        <f>SUM(AA3:AA6)</f>
      </c>
      <c r="AB7" s="99">
        <f>SUM(AB3:AB6)</f>
      </c>
      <c r="AC7" s="99">
        <f>SUM(AC3:AC6)</f>
      </c>
      <c r="AD7" s="99">
        <f>SUM(AD3:AD6)</f>
      </c>
    </row>
    <row r="8">
      <c r="A8" s="72"/>
      <c r="B8" s="100" t="s">
        <v>91</v>
      </c>
      <c r="C8" s="100"/>
      <c r="D8" s="101">
        <f>D7</f>
      </c>
      <c r="E8" s="101">
        <f>E7</f>
      </c>
      <c r="F8" s="101">
        <f>F7</f>
      </c>
      <c r="G8" s="102">
        <f>G7</f>
      </c>
      <c r="H8" s="101">
        <f>H7</f>
      </c>
      <c r="I8" s="103">
        <f t="shared" si="0"/>
      </c>
      <c r="J8" s="104">
        <f t="shared" si="9"/>
      </c>
      <c r="K8" s="105">
        <f t="shared" si="6"/>
      </c>
      <c r="L8" s="106">
        <f t="shared" si="10"/>
      </c>
      <c r="M8" s="106">
        <f t="shared" si="4"/>
      </c>
      <c r="N8" s="105">
        <f t="shared" si="1"/>
      </c>
      <c r="O8" s="106">
        <f t="shared" si="11"/>
      </c>
      <c r="P8" s="106">
        <f t="shared" si="7"/>
      </c>
      <c r="Q8" s="105">
        <f t="shared" si="5"/>
      </c>
      <c r="R8" s="107">
        <f t="shared" si="2"/>
      </c>
      <c r="S8" s="105">
        <f t="shared" si="12"/>
      </c>
      <c r="T8" s="108">
        <f t="shared" si="8"/>
      </c>
      <c r="U8" s="108"/>
      <c r="V8" s="108"/>
      <c r="W8" s="102">
        <f>W7</f>
      </c>
      <c r="X8" s="102">
        <f>X7</f>
      </c>
      <c r="Y8" s="102">
        <f>Y7</f>
      </c>
      <c r="Z8" s="102">
        <f>Z7</f>
      </c>
      <c r="AA8" s="102">
        <f>AA7</f>
      </c>
      <c r="AB8" s="102">
        <f>AB7</f>
      </c>
      <c r="AC8" s="102">
        <f>AC7</f>
      </c>
      <c r="AD8" s="102">
        <f>AD7</f>
      </c>
    </row>
    <row r="9">
      <c r="E9" s="109"/>
      <c r="F9" s="109"/>
      <c r="G9" s="109">
        <f>G10-G8</f>
      </c>
      <c r="H9" s="109">
        <f>H10-H8</f>
      </c>
      <c r="W9" s="109">
        <f>W10-W8</f>
      </c>
      <c r="X9" s="109">
        <f>X10-X8</f>
      </c>
      <c r="Y9" s="109">
        <f>Y10-Y8</f>
      </c>
      <c r="Z9" s="109">
        <f>Z10-Z8</f>
      </c>
      <c r="AA9" s="109">
        <f>AA10-AA8</f>
      </c>
      <c r="AB9" s="109">
        <f>AB10-AB8</f>
      </c>
      <c r="AC9" s="109">
        <f>AC10-AC8</f>
      </c>
      <c r="AD9" s="109">
        <f>AD10-AD8</f>
      </c>
    </row>
    <row r="10">
      <c r="E10" s="109"/>
      <c r="F10" s="109"/>
      <c r="G10" s="110"/>
      <c r="H10" s="111"/>
      <c r="W10" s="111"/>
      <c r="X10" s="111"/>
      <c r="Y10" s="111"/>
      <c r="Z10" s="111"/>
      <c r="AA10" s="111"/>
      <c r="AB10" s="111"/>
      <c r="AC10" s="110"/>
      <c r="AD10" s="110"/>
    </row>
    <row r="11">
      <c r="E11" s="111">
        <f>E10+E9</f>
      </c>
      <c r="F11" s="111">
        <f>F10+F9</f>
      </c>
    </row>
  </sheetData>
  <mergeCells>
    <mergeCell ref="A1:C1"/>
    <mergeCell ref="D1:I1"/>
    <mergeCell ref="J1:S1"/>
    <mergeCell ref="T1:V1"/>
    <mergeCell ref="AD1:AD2"/>
    <mergeCell ref="A3:A8"/>
    <mergeCell ref="B7:C7"/>
    <mergeCell ref="B8:C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