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便捷表勿删" sheetId="3" r:id="rId7"/>
    <sheet name="2026.9" sheetId="4" r:id="rId8"/>
  </sheets>
  <calcPr calcMode="auto"/>
  <pivotCaches>
    <pivotCache cacheId="1" r:id="rId6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<sst xmlns="http://schemas.openxmlformats.org/spreadsheetml/2006/main" count="76" uniqueCount="76">
  <si>
    <t xml:space="preserve">  </t>
  </si>
  <si>
    <t xml:space="preserve">日期</t>
  </si>
  <si>
    <t xml:space="preserve">主播</t>
  </si>
  <si>
    <t xml:space="preserve">时间</t>
  </si>
  <si>
    <t xml:space="preserve">直播时长</t>
  </si>
  <si>
    <t xml:space="preserve">转化数（小红书）</t>
  </si>
  <si>
    <t xml:space="preserve">保单数（小红书）</t>
  </si>
  <si>
    <t xml:space="preserve">年化保费（小红书）</t>
  </si>
  <si>
    <t xml:space="preserve">消耗（小红书）</t>
  </si>
  <si>
    <t xml:space="preserve">转化数（抖音）</t>
  </si>
  <si>
    <t xml:space="preserve">保单数（抖音）</t>
  </si>
  <si>
    <t xml:space="preserve">年化保费（抖音）</t>
  </si>
  <si>
    <t xml:space="preserve">消耗（抖音）</t>
  </si>
  <si>
    <t xml:space="preserve">总保单数</t>
  </si>
  <si>
    <t xml:space="preserve">总保费</t>
  </si>
  <si>
    <t xml:space="preserve">总消耗</t>
  </si>
  <si>
    <t xml:space="preserve">ROI</t>
  </si>
  <si>
    <t xml:space="preserve">总转化数</t>
  </si>
  <si>
    <t xml:space="preserve">转化成本</t>
  </si>
  <si>
    <t xml:space="preserve">保单成本</t>
  </si>
  <si>
    <t xml:space="preserve">助播</t>
  </si>
  <si>
    <t xml:space="preserve">时长</t>
  </si>
  <si>
    <t xml:space="preserve">闫雨萌</t>
  </si>
  <si>
    <t xml:space="preserve">18:00-22:00</t>
  </si>
  <si>
    <t xml:space="preserve">杨博双</t>
  </si>
  <si>
    <t xml:space="preserve">总计</t>
  </si>
  <si>
    <t xml:space="preserve">18-22</t>
  </si>
  <si>
    <t xml:space="preserve">何嘉仪</t>
  </si>
  <si>
    <t xml:space="preserve">董柯言双</t>
  </si>
  <si>
    <t xml:space="preserve">杨博</t>
  </si>
  <si>
    <t xml:space="preserve">曹颖慧双</t>
  </si>
  <si>
    <t xml:space="preserve">日期</t>
  </si>
  <si>
    <t xml:space="preserve">主播</t>
  </si>
  <si>
    <t xml:space="preserve">时间</t>
  </si>
  <si>
    <t xml:space="preserve">直播时长</t>
  </si>
  <si>
    <t xml:space="preserve">转化数（小红书）</t>
  </si>
  <si>
    <t xml:space="preserve">保单数（小红书）</t>
  </si>
  <si>
    <t xml:space="preserve">年化保费（小红书）</t>
  </si>
  <si>
    <t xml:space="preserve">消耗（小红书）</t>
  </si>
  <si>
    <t xml:space="preserve">转化数（抖音）</t>
  </si>
  <si>
    <t xml:space="preserve">保单数（抖音）</t>
  </si>
  <si>
    <t xml:space="preserve">年化保费（抖音）</t>
  </si>
  <si>
    <t xml:space="preserve">消耗（抖音）</t>
  </si>
  <si>
    <t xml:space="preserve">总保单数</t>
  </si>
  <si>
    <t xml:space="preserve">总保费</t>
  </si>
  <si>
    <t xml:space="preserve">总消耗</t>
  </si>
  <si>
    <t xml:space="preserve">ROI</t>
  </si>
  <si>
    <t xml:space="preserve">总转化数</t>
  </si>
  <si>
    <t xml:space="preserve">转化成本</t>
  </si>
  <si>
    <t xml:space="preserve">保单成本</t>
  </si>
  <si>
    <t xml:space="preserve">助播</t>
  </si>
  <si>
    <t xml:space="preserve">时长</t>
  </si>
  <si>
    <t xml:space="preserve">闫雨萌</t>
  </si>
  <si>
    <t xml:space="preserve">18:00-22:00</t>
  </si>
  <si>
    <t xml:space="preserve">曹颖慧双</t>
  </si>
  <si>
    <t xml:space="preserve">总计</t>
  </si>
  <si>
    <t xml:space="preserve">18-22</t>
  </si>
  <si>
    <t xml:space="preserve">日期</t>
  </si>
  <si>
    <t xml:space="preserve">主播</t>
  </si>
  <si>
    <t xml:space="preserve">时间</t>
  </si>
  <si>
    <t xml:space="preserve">直播时长</t>
  </si>
  <si>
    <t xml:space="preserve">转化数</t>
  </si>
  <si>
    <t xml:space="preserve">保单数</t>
  </si>
  <si>
    <t xml:space="preserve">年化保费</t>
  </si>
  <si>
    <t xml:space="preserve">消耗</t>
  </si>
  <si>
    <t xml:space="preserve">ROI</t>
  </si>
  <si>
    <t xml:space="preserve">转化成本</t>
  </si>
  <si>
    <t xml:space="preserve">保单成本</t>
  </si>
  <si>
    <t xml:space="preserve">助播</t>
  </si>
  <si>
    <t xml:space="preserve">时长</t>
  </si>
  <si>
    <t xml:space="preserve">闫雨萌</t>
  </si>
  <si>
    <t xml:space="preserve">18:00-22:00</t>
  </si>
  <si>
    <t xml:space="preserve">闫小姗双</t>
  </si>
  <si>
    <t xml:space="preserve">总计</t>
  </si>
  <si>
    <t xml:space="preserve">李哲</t>
  </si>
  <si>
    <t xml:space="preserve">杨博双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</si>
</sst>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0"/>
    <numFmt numFmtId="165" formatCode="0.00_ "/>
    <numFmt numFmtId="166" formatCode="yyyy/m/d"/>
    <numFmt numFmtId="167" formatCode="#,##0.00"/>
    <numFmt numFmtId="168" formatCode="0.00"/>
    <numFmt numFmtId="169" formatCode="0.00_ "/>
    <numFmt numFmtId="170" formatCode="yyyy/m/d"/>
    <numFmt numFmtId="171" formatCode="#,##0.00"/>
    <numFmt numFmtId="172" formatCode="0.00"/>
    <numFmt numFmtId="173" formatCode="0.00_ "/>
    <numFmt numFmtId="174" formatCode="yyyy/m/d"/>
  </numFmts>
  <fonts count="6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DE3C36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FBBFBC"/>
        <bgColor/>
      </patternFill>
    </fill>
    <fill>
      <patternFill patternType="solid">
        <fgColor rgb="FFF57AC0"/>
        <bgColor/>
      </patternFill>
    </fill>
    <fill>
      <patternFill patternType="solid">
        <fgColor rgb="FF8CDDFA"/>
        <bgColor/>
      </patternFill>
    </fill>
    <fill>
      <patternFill patternType="solid">
        <fgColor rgb="FFC7ECFF"/>
        <bgColor/>
      </patternFill>
    </fill>
    <fill>
      <patternFill patternType="solid">
        <fgColor rgb="FF99DDFF"/>
        <bgColor/>
      </patternFill>
    </fill>
    <fill>
      <patternFill patternType="solid">
        <fgColor rgb="FFFDEBFF"/>
        <bgColor/>
      </patternFill>
    </fill>
    <fill>
      <patternFill patternType="solid">
        <fgColor rgb="FFFBBFBC"/>
        <bgColor/>
      </patternFill>
    </fill>
    <fill>
      <patternFill patternType="solid">
        <fgColor rgb="FFF57AC0"/>
        <bgColor/>
      </patternFill>
    </fill>
    <fill>
      <patternFill patternType="solid">
        <fgColor rgb="FF8CDDFA"/>
        <bgColor/>
      </patternFill>
    </fill>
    <fill>
      <patternFill patternType="solid">
        <fgColor rgb="FFC7ECFF"/>
        <bgColor/>
      </patternFill>
    </fill>
    <fill>
      <patternFill patternType="solid">
        <fgColor rgb="FF99DDFF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C7ECFF"/>
        <bgColor/>
      </patternFill>
    </fill>
    <fill>
      <patternFill patternType="solid">
        <fgColor rgb="FF99DDFF"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top"/>
    </xf>
    <xf applyAlignment="true" applyBorder="false" applyFill="true" applyFont="true" applyNumberFormat="false" applyProtection="false" borderId="1" fillId="2" fontId="1" numFmtId="0" xfId="0">
      <alignment horizontal="center" vertical="top"/>
    </xf>
    <xf applyAlignment="true" applyBorder="false" applyFill="true" applyFont="true" applyNumberFormat="true" applyProtection="false" borderId="1" fillId="2" fontId="1" numFmtId="164" xfId="0">
      <alignment horizontal="center" vertical="top"/>
    </xf>
    <xf applyAlignment="true" applyBorder="false" applyFill="true" applyFont="true" applyNumberFormat="false" applyProtection="false" borderId="1" fillId="3" fontId="1" numFmtId="0" xfId="0">
      <alignment horizontal="center" vertical="top"/>
    </xf>
    <xf applyAlignment="true" applyBorder="false" applyFill="true" applyFont="true" applyNumberFormat="true" applyProtection="false" borderId="1" fillId="3" fontId="1" numFmtId="164" xfId="0">
      <alignment horizontal="center" vertical="top"/>
    </xf>
    <xf applyAlignment="true" applyBorder="false" applyFill="true" applyFont="true" applyNumberFormat="true" applyProtection="false" borderId="1" fillId="4" fontId="2" numFmtId="164" xfId="0">
      <alignment horizontal="center" vertical="top"/>
    </xf>
    <xf applyAlignment="true" applyBorder="false" applyFill="true" applyFont="true" applyNumberFormat="true" applyProtection="false" borderId="1" fillId="4" fontId="2" numFmtId="165" xfId="0">
      <alignment horizontal="center" vertical="top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true" applyProtection="false" borderId="4" fillId="0" fontId="1" numFmtId="165" xfId="0">
      <alignment horizontal="center" vertical="center"/>
    </xf>
    <xf applyAlignment="true" applyBorder="false" applyFill="false" applyFont="true" applyNumberFormat="true" applyProtection="false" borderId="1" fillId="0" fontId="1" numFmtId="165" xfId="0">
      <alignment horizontal="center" vertical="center"/>
    </xf>
    <xf applyAlignment="true" applyBorder="false" applyFill="true" applyFont="true" applyNumberFormat="true" applyProtection="false" borderId="2" fillId="5" fontId="1" numFmtId="166" xfId="0">
      <alignment horizontal="center" vertical="center"/>
    </xf>
    <xf applyAlignment="true" applyBorder="false" applyFill="true" applyFont="true" applyNumberFormat="false" applyProtection="false" borderId="1" fillId="6" fontId="3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true" applyFont="true" applyNumberFormat="false" applyProtection="false" borderId="5" fillId="6" fontId="4" numFmtId="0" xfId="0">
      <alignment horizontal="center" vertical="center"/>
    </xf>
    <xf applyAlignment="true" applyBorder="false" applyFill="true" applyFont="true" applyNumberFormat="true" applyProtection="false" borderId="5" fillId="6" fontId="4" numFmtId="165" xfId="0">
      <alignment horizontal="center" vertical="center"/>
    </xf>
    <xf applyAlignment="true" applyBorder="false" applyFill="true" applyFont="true" applyNumberFormat="false" applyProtection="false" borderId="1" fillId="7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true" applyFont="true" applyNumberFormat="true" applyProtection="false" borderId="5" fillId="6" fontId="4" numFmtId="167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164" xfId="0">
      <alignment horizontal="center" vertical="center"/>
    </xf>
    <xf applyAlignment="true" applyBorder="false" applyFill="false" applyFont="true" applyNumberFormat="true" applyProtection="false" borderId="0" fillId="0" fontId="5" numFmtId="164" xfId="0">
      <alignment vertical="center"/>
    </xf>
    <xf applyAlignment="true" applyBorder="false" applyFill="false" applyFont="true" applyNumberFormat="true" applyProtection="false" borderId="0" fillId="0" fontId="5" numFmtId="165" xfId="0">
      <alignment vertical="center"/>
    </xf>
    <xf applyAlignment="true" applyBorder="false" applyFill="true" applyFont="true" applyNumberFormat="false" applyProtection="false" borderId="6" fillId="8" fontId="1" numFmtId="0" xfId="0">
      <alignment horizontal="center" vertical="top"/>
    </xf>
    <xf applyAlignment="true" applyBorder="false" applyFill="true" applyFont="true" applyNumberFormat="false" applyProtection="false" borderId="6" fillId="8" fontId="1" numFmtId="0" xfId="0">
      <alignment horizontal="center" vertical="top"/>
    </xf>
    <xf applyAlignment="true" applyBorder="false" applyFill="true" applyFont="true" applyNumberFormat="true" applyProtection="false" borderId="6" fillId="8" fontId="1" numFmtId="168" xfId="0">
      <alignment horizontal="center" vertical="top"/>
    </xf>
    <xf applyAlignment="true" applyBorder="false" applyFill="true" applyFont="true" applyNumberFormat="false" applyProtection="false" borderId="6" fillId="9" fontId="1" numFmtId="0" xfId="0">
      <alignment horizontal="center" vertical="top"/>
    </xf>
    <xf applyAlignment="true" applyBorder="false" applyFill="true" applyFont="true" applyNumberFormat="true" applyProtection="false" borderId="6" fillId="9" fontId="1" numFmtId="168" xfId="0">
      <alignment horizontal="center" vertical="top"/>
    </xf>
    <xf applyAlignment="true" applyBorder="false" applyFill="true" applyFont="true" applyNumberFormat="true" applyProtection="false" borderId="6" fillId="10" fontId="2" numFmtId="168" xfId="0">
      <alignment horizontal="center" vertical="top"/>
    </xf>
    <xf applyAlignment="true" applyBorder="false" applyFill="true" applyFont="true" applyNumberFormat="true" applyProtection="false" borderId="6" fillId="10" fontId="2" numFmtId="169" xfId="0">
      <alignment horizontal="center" vertical="top"/>
    </xf>
    <xf applyAlignment="true" applyBorder="false" applyFill="false" applyFont="true" applyNumberFormat="true" applyProtection="false" borderId="7" fillId="0" fontId="1" numFmtId="17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1" numFmtId="168" xfId="0">
      <alignment horizontal="center" vertical="center"/>
    </xf>
    <xf applyAlignment="true" applyBorder="false" applyFill="false" applyFont="true" applyNumberFormat="true" applyProtection="false" borderId="9" fillId="0" fontId="1" numFmtId="169" xfId="0">
      <alignment horizontal="center" vertical="center"/>
    </xf>
    <xf applyAlignment="true" applyBorder="false" applyFill="false" applyFont="true" applyNumberFormat="true" applyProtection="false" borderId="6" fillId="0" fontId="1" numFmtId="169" xfId="0">
      <alignment horizontal="center" vertical="center"/>
    </xf>
    <xf applyAlignment="true" applyBorder="false" applyFill="true" applyFont="true" applyNumberFormat="true" applyProtection="false" borderId="7" fillId="11" fontId="1" numFmtId="170" xfId="0">
      <alignment horizontal="center" vertical="center"/>
    </xf>
    <xf applyAlignment="true" applyBorder="false" applyFill="true" applyFont="true" applyNumberFormat="false" applyProtection="false" borderId="6" fillId="12" fontId="3" numFmtId="0" xfId="0">
      <alignment horizontal="center" vertical="center"/>
    </xf>
    <xf applyAlignment="true" applyBorder="false" applyFill="true" applyFont="true" applyNumberFormat="false" applyProtection="false" borderId="6" fillId="12" fontId="1" numFmtId="0" xfId="0">
      <alignment horizontal="center" vertical="center"/>
    </xf>
    <xf applyAlignment="true" applyBorder="false" applyFill="true" applyFont="true" applyNumberFormat="false" applyProtection="false" borderId="10" fillId="12" fontId="4" numFmtId="0" xfId="0">
      <alignment horizontal="center" vertical="center"/>
    </xf>
    <xf applyAlignment="true" applyBorder="false" applyFill="true" applyFont="true" applyNumberFormat="true" applyProtection="false" borderId="10" fillId="12" fontId="4" numFmtId="171" xfId="0">
      <alignment horizontal="center" vertical="center"/>
    </xf>
    <xf applyAlignment="true" applyBorder="false" applyFill="true" applyFont="true" applyNumberFormat="true" applyProtection="false" borderId="10" fillId="12" fontId="4" numFmtId="169" xfId="0">
      <alignment horizontal="center" vertical="center"/>
    </xf>
    <xf applyAlignment="true" applyBorder="false" applyFill="true" applyFont="true" applyNumberFormat="false" applyProtection="false" borderId="6" fillId="13" fontId="1" numFmtId="0" xfId="0">
      <alignment horizontal="center" vertical="center"/>
    </xf>
    <xf applyAlignment="true" applyBorder="false" applyFill="true" applyFont="true" applyNumberFormat="false" applyProtection="false" borderId="11" fillId="14" fontId="1" numFmtId="0" xfId="0">
      <alignment horizontal="center" vertical="top"/>
    </xf>
    <xf applyAlignment="true" applyBorder="false" applyFill="true" applyFont="true" applyNumberFormat="false" applyProtection="false" borderId="11" fillId="14" fontId="1" numFmtId="0" xfId="0">
      <alignment horizontal="center" vertical="top"/>
    </xf>
    <xf applyAlignment="true" applyBorder="false" applyFill="true" applyFont="true" applyNumberFormat="true" applyProtection="false" borderId="11" fillId="14" fontId="1" numFmtId="172" xfId="0">
      <alignment horizontal="center" vertical="top"/>
    </xf>
    <xf applyAlignment="true" applyBorder="false" applyFill="true" applyFont="true" applyNumberFormat="true" applyProtection="false" borderId="11" fillId="14" fontId="1" numFmtId="172" xfId="0">
      <alignment horizontal="center" vertical="top"/>
    </xf>
    <xf applyAlignment="true" applyBorder="false" applyFill="true" applyFont="true" applyNumberFormat="true" applyProtection="false" borderId="11" fillId="14" fontId="1" numFmtId="173" xfId="0">
      <alignment horizontal="center" vertical="top"/>
    </xf>
    <xf applyAlignment="true" applyBorder="false" applyFill="false" applyFont="true" applyNumberFormat="true" applyProtection="false" borderId="12" fillId="0" fontId="1" numFmtId="174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 wrapText="true"/>
    </xf>
    <xf applyAlignment="true" applyBorder="false" applyFill="false" applyFont="true" applyNumberFormat="true" applyProtection="false" borderId="11" fillId="0" fontId="1" numFmtId="172" xfId="0">
      <alignment horizontal="center" vertical="center"/>
    </xf>
    <xf applyAlignment="true" applyBorder="false" applyFill="false" applyFont="true" applyNumberFormat="true" applyProtection="false" borderId="14" fillId="0" fontId="1" numFmtId="173" xfId="0">
      <alignment horizontal="center" vertical="center"/>
    </xf>
    <xf applyAlignment="true" applyBorder="false" applyFill="false" applyFont="true" applyNumberFormat="true" applyProtection="false" borderId="11" fillId="0" fontId="1" numFmtId="173" xfId="0">
      <alignment horizontal="center" vertical="center"/>
    </xf>
    <xf applyAlignment="true" applyBorder="false" applyFill="true" applyFont="true" applyNumberFormat="true" applyProtection="false" borderId="12" fillId="15" fontId="1" numFmtId="174" xfId="0">
      <alignment horizontal="center" vertical="center"/>
    </xf>
    <xf applyAlignment="true" applyBorder="false" applyFill="true" applyFont="true" applyNumberFormat="false" applyProtection="false" borderId="11" fillId="16" fontId="3" numFmtId="0" xfId="0">
      <alignment horizontal="center" vertical="center"/>
    </xf>
    <xf applyAlignment="true" applyBorder="false" applyFill="true" applyFont="true" applyNumberFormat="false" applyProtection="false" borderId="11" fillId="16" fontId="1" numFmtId="0" xfId="0">
      <alignment horizontal="center" vertical="center"/>
    </xf>
    <xf applyAlignment="true" applyBorder="false" applyFill="true" applyFont="true" applyNumberFormat="false" applyProtection="false" borderId="15" fillId="16" fontId="4" numFmtId="0" xfId="0">
      <alignment horizontal="center" vertical="center"/>
    </xf>
    <xf applyAlignment="true" applyBorder="false" applyFill="true" applyFont="true" applyNumberFormat="true" applyProtection="false" borderId="15" fillId="16" fontId="4" numFmtId="173" xfId="0">
      <alignment horizontal="center" vertical="center"/>
    </xf>
    <xf applyAlignment="true" applyBorder="false" applyFill="true" applyFont="true" applyNumberFormat="false" applyProtection="false" borderId="11" fillId="17" fontId="1" numFmtId="0" xfId="0">
      <alignment horizontal="center" vertical="center"/>
    </xf>
    <xf applyAlignment="true" applyBorder="false" applyFill="false" applyFont="true" applyNumberFormat="true" applyProtection="false" borderId="12" fillId="0" fontId="1" numFmtId="174" xfId="0">
      <alignment horizontal="center" vertical="center"/>
    </xf>
    <xf applyAlignment="true" applyBorder="false" applyFill="true" applyFont="true" applyNumberFormat="true" applyProtection="false" borderId="12" fillId="15" fontId="1" numFmtId="174" xfId="0">
      <alignment horizontal="center" vertical="center"/>
    </xf>
    <xf applyAlignment="true" applyBorder="false" applyFill="false" applyFont="true" applyNumberFormat="true" applyProtection="false" borderId="11" fillId="0" fontId="1" numFmtId="172" xfId="0">
      <alignment horizontal="center" vertical="center"/>
    </xf>
    <xf applyAlignment="true" applyBorder="false" applyFill="false" applyFont="true" applyNumberFormat="true" applyProtection="false" borderId="0" fillId="0" fontId="5" numFmtId="172" xfId="0">
      <alignment vertical="center"/>
    </xf>
    <xf applyAlignment="true" applyBorder="false" applyFill="false" applyFont="true" applyNumberFormat="true" applyProtection="false" borderId="0" fillId="0" fontId="5" numFmtId="173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/xl/pivotCache/pivotCacheDefinition3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S$30" sheet="2026.10"/>
  </cacheSource>
  <cacheFields count="19">
    <cacheField name="日期" numFmtId="0">
      <sharedItems containsSemiMixedTypes="false" containsNonDate="false" containsDate="true" containsString="false" minDate="2026-10-01T00:00:00.000Z" maxDate="2026-10-18T00:00:00.000Z" count="14">
        <d v="2026-10-01T00:00:00.000Z"/>
        <d v="2026-10-02T00:00:00.000Z"/>
        <d v="2026-10-03T00:00:00.000Z"/>
        <d v="2026-10-04T00:00:00.000Z"/>
        <d v="2026-10-09T00:00:00.000Z"/>
        <d v="2026-10-10T00:00:00.000Z"/>
        <d v="2026-10-11T00:00:00.000Z"/>
        <d v="2026-10-12T00:00:00.000Z"/>
        <d v="2026-10-13T00:00:00.000Z"/>
        <d v="2026-10-14T00:00:00.000Z"/>
        <d v="2026-10-15T00:00:00.000Z"/>
        <d v="2026-10-16T00:00:00.000Z"/>
        <d v="2026-10-17T00:00:00.000Z"/>
        <d v="2026-10-18T00:00:00.000Z"/>
      </sharedItems>
    </cacheField>
    <cacheField name="主播" numFmtId="0">
      <sharedItems containsBlank="true" count="4">
        <s v="闫雨萌"/>
        <s v="总计"/>
        <s v="何嘉仪"/>
        <m/>
      </sharedItems>
    </cacheField>
    <cacheField name="时间" numFmtId="0">
      <sharedItems containsBlank="true" count="0"/>
    </cacheField>
    <cacheField name="直播时长" numFmtId="0">
      <sharedItems containsString="false" containsBlank="true" containsNumber="true" containsInteger="true" minValue="4" maxValue="4" count="2">
        <n v="4"/>
        <m/>
      </sharedItems>
    </cacheField>
    <cacheField name="转化数（小红书）" numFmtId="0">
      <sharedItems containsString="false" containsBlank="true" containsNumber="true" containsInteger="true" minValue="0" maxValue="1" count="0"/>
    </cacheField>
    <cacheField name="保单数（小红书）" numFmtId="0">
      <sharedItems containsString="false" containsBlank="true" containsNumber="true" containsInteger="true" minValue="0" maxValue="1" count="3">
        <n v="0"/>
        <m/>
        <n v="1"/>
      </sharedItems>
    </cacheField>
    <cacheField name="年化保费（小红书）" numFmtId="0">
      <sharedItems containsString="false" containsBlank="true" containsNumber="true" containsInteger="true" minValue="0" maxValue="798" count="3">
        <n v="0"/>
        <m/>
        <n v="798"/>
      </sharedItems>
    </cacheField>
    <cacheField name="消耗（小红书）" numFmtId="0">
      <sharedItems containsString="false" containsBlank="true" containsNumber="true" minValue="114.13" maxValue="2718.1" count="15">
        <n v="809.68"/>
        <n v="413.47"/>
        <n v="223.16"/>
        <n v="171.55"/>
        <n v="1424.87"/>
        <n v="114.13"/>
        <n v="674.52"/>
        <n v="161.92"/>
        <n v="151"/>
        <n v="299.65"/>
        <m/>
        <n v="934.19"/>
        <n v="2718.1"/>
        <n v="502.59"/>
        <n v="489.58"/>
      </sharedItems>
    </cacheField>
    <cacheField name="转化数（抖音）" numFmtId="0">
      <sharedItems containsString="false" containsBlank="true" containsNumber="true" containsInteger="true" minValue="0" maxValue="6" count="0"/>
    </cacheField>
    <cacheField name="保单数（抖音）" numFmtId="0">
      <sharedItems containsString="false" containsBlank="true" containsNumber="true" containsInteger="true" minValue="1" maxValue="6" count="5">
        <m/>
        <n v="2"/>
        <n v="1"/>
        <n v="3"/>
        <n v="6"/>
      </sharedItems>
    </cacheField>
    <cacheField name="年化保费（抖音）" numFmtId="0">
      <sharedItems containsString="false" containsBlank="true" containsNumber="true" containsInteger="true" minValue="798" maxValue="4788" count="5">
        <m/>
        <n v="1195"/>
        <n v="798"/>
        <n v="2511"/>
        <n v="4788"/>
      </sharedItems>
    </cacheField>
    <cacheField name="消耗（抖音）" numFmtId="0">
      <sharedItems containsString="false" containsBlank="true" containsNumber="true" minValue="1013.43" maxValue="9737.66" count="5">
        <m/>
        <n v="1013.43"/>
        <n v="2135.36"/>
        <n v="9737.66"/>
        <n v="7635.86"/>
      </sharedItems>
    </cacheField>
    <cacheField name="总保单数" numFmtId="0">
      <sharedItems containsString="false" containsBlank="true" containsNumber="true" containsInteger="true" minValue="2" maxValue="6" count="0"/>
    </cacheField>
    <cacheField name="总保费" numFmtId="0">
      <sharedItems containsString="false" containsBlank="true" containsNumber="true" containsInteger="true" minValue="1195" maxValue="4788" count="0"/>
    </cacheField>
    <cacheField name="总消耗" numFmtId="0">
      <sharedItems containsString="false" containsBlank="true" containsNumber="true" minValue="1947.62" maxValue="10240.25" count="0"/>
    </cacheField>
    <cacheField name="ROI" numFmtId="0">
      <sharedItems containsString="false" containsBlank="true" containsNumber="true" minValue="0" maxValue="0.6135693821176615" count="0"/>
    </cacheField>
    <cacheField name="总转化数" numFmtId="0">
      <sharedItems containsString="false" containsBlank="true" containsNumber="true" containsInteger="true" minValue="0" maxValue="6" count="0"/>
    </cacheField>
    <cacheField name="转化成本" numFmtId="0">
      <sharedItems containsBlank="true" containsMixedTypes="true" containsNumber="true" minValue="1354.24" maxValue="2560.0625" count="0"/>
    </cacheField>
    <cacheField name="保单成本" numFmtId="0">
      <sharedItems containsBlank="true" containsMixedTypes="true" containsNumber="true" minValue="973.81" maxValue="2560.0625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10" sheet="2026.9"/>
  </cacheSource>
  <cacheFields count="13">
    <cacheField name="日期" numFmtId="0">
      <sharedItems containsNonDate="false" containsDate="true" containsString="false" containsBlank="true" minDate="2026-09-27T00:00:00.000Z" maxDate="2026-09-30T00:00:00.000Z" count="0"/>
    </cacheField>
    <cacheField name="主播" numFmtId="0">
      <sharedItems containsBlank="true" count="3">
        <s v="闫雨萌"/>
        <s v="总计"/>
        <m/>
      </sharedItems>
    </cacheField>
    <cacheField name="时间" numFmtId="0">
      <sharedItems containsBlank="true" count="0"/>
    </cacheField>
    <cacheField name="直播时长" numFmtId="0">
      <sharedItems containsString="false" containsBlank="true" containsNumber="true" containsInteger="true" minValue="4" maxValue="4" count="2">
        <n v="4"/>
        <m/>
      </sharedItems>
    </cacheField>
    <cacheField name="转化数" numFmtId="0">
      <sharedItems containsString="false" containsBlank="true" containsNumber="true" containsInteger="true" minValue="0" maxValue="0" count="0"/>
    </cacheField>
    <cacheField name="保单数" numFmtId="0">
      <sharedItems containsString="false" containsBlank="true" containsNumber="true" containsInteger="true" minValue="0" maxValue="0" count="0"/>
    </cacheField>
    <cacheField name="年化保费" numFmtId="0">
      <sharedItems containsString="false" containsBlank="true" containsNumber="true" containsInteger="true" minValue="0" maxValue="0" count="2">
        <n v="0"/>
        <m/>
      </sharedItems>
    </cacheField>
    <cacheField name="消耗" numFmtId="0">
      <sharedItems containsString="false" containsBlank="true" containsNumber="true" minValue="9.129999999999999" maxValue="3628.15" count="5">
        <n v="9.129999999999999"/>
        <n v="512.61"/>
        <m/>
        <n v="1453.14"/>
        <n v="3628.15"/>
      </sharedItems>
    </cacheField>
    <cacheField name="ROI" numFmtId="0">
      <sharedItems containsString="false" containsBlank="true" containsNumber="true" containsInteger="true" minValue="0" maxValue="0" count="0"/>
    </cacheField>
    <cacheField name="转化成本" numFmtId="0">
      <sharedItems containsBlank="true" count="0"/>
    </cacheField>
    <cacheField name="保单成本" numFmtId="0">
      <sharedItems containsBlank="true" count="0"/>
    </cacheField>
    <cacheField name="助播" numFmtId="0">
      <sharedItems containsBlank="true" count="0"/>
    </cacheField>
    <cacheField name="时长" numFmtId="0">
      <sharedItems containsSemiMixedTypes="false" containsString="false" containsNumber="true" containsInteger="true" minValue="1" maxValue="4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10" sheet="2026.9"/>
  </cacheSource>
  <cacheFields count="13">
    <cacheField name="日期" numFmtId="0">
      <sharedItems containsNonDate="false" containsDate="true" containsString="false" containsBlank="true" minDate="2026-09-27T00:00:00.000Z" maxDate="2026-09-30T00:00:00.000Z" count="0"/>
    </cacheField>
    <cacheField name="主播" numFmtId="0">
      <sharedItems containsBlank="true" count="0"/>
    </cacheField>
    <cacheField name="时间" numFmtId="0">
      <sharedItems containsBlank="true" count="0"/>
    </cacheField>
    <cacheField name="直播时长" numFmtId="0">
      <sharedItems containsString="false" containsBlank="true" containsNumber="true" containsInteger="true" minValue="4" maxValue="4" count="0"/>
    </cacheField>
    <cacheField name="转化数" numFmtId="0">
      <sharedItems containsString="false" containsBlank="true" containsNumber="true" containsInteger="true" minValue="0" maxValue="0" count="0"/>
    </cacheField>
    <cacheField name="保单数" numFmtId="0">
      <sharedItems containsString="false" containsBlank="true" containsNumber="true" containsInteger="true" minValue="0" maxValue="0" count="0"/>
    </cacheField>
    <cacheField name="年化保费" numFmtId="0">
      <sharedItems containsString="false" containsBlank="true" containsNumber="true" containsInteger="true" minValue="0" maxValue="0" count="0"/>
    </cacheField>
    <cacheField name="消耗" numFmtId="0">
      <sharedItems containsString="false" containsBlank="true" containsNumber="true" minValue="9.129999999999999" maxValue="3628.15" count="0"/>
    </cacheField>
    <cacheField name="ROI" numFmtId="0">
      <sharedItems containsString="false" containsBlank="true" containsNumber="true" containsInteger="true" minValue="0" maxValue="0" count="0"/>
    </cacheField>
    <cacheField name="转化成本" numFmtId="0">
      <sharedItems containsBlank="true" count="0"/>
    </cacheField>
    <cacheField name="保单成本" numFmtId="0">
      <sharedItems containsBlank="true" count="0"/>
    </cacheField>
    <cacheField name="助播" numFmtId="0">
      <sharedItems containsBlank="true" count="4">
        <s v="闫小姗双"/>
        <m/>
        <s v="李哲"/>
        <s v="杨博双"/>
      </sharedItems>
    </cacheField>
    <cacheField name="时长" numFmtId="0">
      <sharedItems containsSemiMixedTypes="false" containsString="false" containsNumber="true" containsInteger="true" minValue="1" maxValue="4" count="3">
        <n v="4"/>
        <n v="1"/>
        <n v="3"/>
      </sharedItems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A$42:$H$44" firstHeaderRow="1" firstDataRow="1" firstDataCol="1" rowPageCount="1" colPageCount="2"/>
  <pivotFields count="19">
    <pivotField axis="axisPage" compact="false" outline="false" showAll="false">
      <items count="15">
        <item h="true" x="0"/>
        <item h="true" x="1"/>
        <item h="true" x="2"/>
        <item h="true" x="3"/>
        <item x="4"/>
        <item x="5"/>
        <item x="6"/>
        <item h="true" x="7"/>
        <item h="true" x="8"/>
        <item h="true" x="9"/>
        <item h="true" x="10"/>
        <item h="true" x="11"/>
        <item h="true" x="12"/>
        <item h="true" x="13"/>
        <item t="default"/>
      </items>
    </pivotField>
    <pivotField axis="axisRow" compact="false" outline="false" showAll="false">
      <items count="5">
        <item x="0"/>
        <item h="true" x="1"/>
        <item x="2"/>
        <item h="true" x="3"/>
        <item t="default"/>
      </items>
    </pivotField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compact="false" outline="false" showAll="false"/>
    <pivotField dataField="true" compact="false" outline="false" showAll="false">
      <items count="4">
        <item x="0"/>
        <item x="1"/>
        <item x="2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  <pivotField dataField="true" compact="false" outline="false" showAll="false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0"/>
  </pageFields>
  <dataFields count="7">
    <dataField name="求和项:直播时长" fld="3" subtotal="sum"/>
    <dataField name="求和项:保单数（小红书）" fld="5" subtotal="sum"/>
    <dataField name="求和项:年化保费（小红书）" fld="6" subtotal="sum"/>
    <dataField name="求和项:消耗（小红书）" fld="7" subtotal="sum"/>
    <dataField name="求和项:保单数（抖音）" fld="9" subtotal="sum"/>
    <dataField name="求和项:年化保费（抖音）" fld="10" subtotal="sum"/>
    <dataField name="求和项:消耗（抖音）" fld="11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C$27:$F$29" firstHeaderRow="1" firstDataRow="1" firstDataCol="1"/>
  <pivotFields count="13">
    <pivotField compact="false" outline="false" showAll="false"/>
    <pivotField axis="axisRow" compact="false" outline="false" showAll="false">
      <items count="4">
        <item x="0"/>
        <item h="true" x="1"/>
        <item h="true" x="2"/>
        <item t="default"/>
      </items>
    </pivotField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5:$D$19" firstHeaderRow="1" firstDataRow="1" firstDataCol="1"/>
  <pivotFields count="13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5">
        <item x="0"/>
        <item h="true" x="1"/>
        <item x="2"/>
        <item x="3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</pivotFields>
  <rowFields count="1">
    <field x="11"/>
  </rowFields>
  <dataFields count="1">
    <dataField name="求和项:时长" fld="12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Relationship Id="rId2" Target="../pivotTables/pivotTable3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9" min="9" style="0" width="14.28482003129891"/>
    <col collapsed="false" customWidth="true" hidden="false" max="13" min="13" style="0" width="14.28482003129891"/>
    <col collapsed="false" customWidth="true" hidden="false" max="1" min="1" style="0" width="11.211267605633802"/>
    <col collapsed="false" customWidth="true" hidden="false" max="5" min="5" style="0" width="15.574383802816902"/>
    <col collapsed="false" customWidth="true" hidden="false" max="10" min="10" style="0" width="14.28482003129891"/>
    <col collapsed="false" customWidth="true" hidden="false" max="14" min="14" style="0" width="14.28482003129891"/>
    <col collapsed="false" customWidth="true" hidden="false" max="17" min="17" style="0" width="11.211267605633802"/>
    <col collapsed="false" customWidth="true" hidden="false" max="2" min="2" style="0" width="11.211267605633802"/>
    <col collapsed="false" customWidth="true" hidden="false" max="6" min="6" style="0" width="15.574383802816902"/>
    <col collapsed="false" customWidth="true" hidden="false" max="11" min="11" style="0" width="14.28482003129891"/>
    <col collapsed="false" customWidth="true" hidden="false" max="15" min="15" style="0" width="11.211267605633802"/>
    <col collapsed="false" customWidth="true" hidden="false" max="3" min="3" style="0" width="17.039172535211268"/>
    <col collapsed="false" customWidth="true" hidden="false" max="7" min="7" style="0" width="17.039172535211268"/>
    <col collapsed="false" customWidth="true" hidden="false" max="12" min="12" style="0" width="14.28482003129891"/>
    <col collapsed="false" customWidth="true" hidden="false" max="16" min="16" style="0" width="11.211267605633802"/>
    <col collapsed="false" customWidth="true" hidden="false" max="4" min="4" style="0" width="18.503961267605632"/>
    <col collapsed="false" customWidth="true" hidden="false" max="8" min="8" style="0" width="14.109595070422536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3" t="s">
        <v>7</v>
      </c>
      <c r="H1" s="3" t="s">
        <v>8</v>
      </c>
      <c r="I1" s="4" t="s">
        <v>9</v>
      </c>
      <c r="J1" s="4" t="s">
        <v>10</v>
      </c>
      <c r="K1" s="5" t="s">
        <v>11</v>
      </c>
      <c r="L1" s="5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7" t="s">
        <v>18</v>
      </c>
      <c r="S1" s="7" t="s">
        <v>19</v>
      </c>
      <c r="T1" s="1" t="s">
        <v>20</v>
      </c>
      <c r="U1" s="1" t="s">
        <v>21</v>
      </c>
    </row>
    <row hidden="true" r="2">
      <c r="A2" s="8">
        <v>46296</v>
      </c>
      <c r="B2" s="9" t="s">
        <v>22</v>
      </c>
      <c r="C2" s="10" t="s">
        <v>23</v>
      </c>
      <c r="D2" s="9">
        <v>4</v>
      </c>
      <c r="E2" s="9">
        <v>0</v>
      </c>
      <c r="F2" s="9">
        <v>0</v>
      </c>
      <c r="G2" s="11">
        <v>0</v>
      </c>
      <c r="H2" s="11">
        <v>809.68</v>
      </c>
      <c r="I2" s="11"/>
      <c r="J2" s="11"/>
      <c r="K2" s="11"/>
      <c r="L2" s="11"/>
      <c r="M2" s="11"/>
      <c r="N2" s="11"/>
      <c r="O2" s="11"/>
      <c r="P2" s="11">
        <f t="shared" ref="P2:P20" si="2">G2/H2</f>
      </c>
      <c r="Q2" s="11"/>
      <c r="R2" s="12">
        <f t="shared" ref="R2:R20" si="0">H2/E2</f>
      </c>
      <c r="S2" s="13">
        <f t="shared" ref="S2:S20" si="3">H2/F2</f>
      </c>
      <c r="T2" s="9" t="s">
        <v>24</v>
      </c>
      <c r="U2" s="9">
        <v>4</v>
      </c>
    </row>
    <row hidden="true" r="3">
      <c r="A3" s="14">
        <v>46296</v>
      </c>
      <c r="B3" s="15" t="s">
        <v>25</v>
      </c>
      <c r="C3" s="16" t="s">
        <v>26</v>
      </c>
      <c r="D3" s="17">
        <f>D2</f>
      </c>
      <c r="E3" s="17">
        <f>E2</f>
      </c>
      <c r="F3" s="17">
        <f>F2</f>
      </c>
      <c r="G3" s="17">
        <f>G2</f>
      </c>
      <c r="H3" s="17">
        <f>H2</f>
      </c>
      <c r="I3" s="17"/>
      <c r="J3" s="17"/>
      <c r="K3" s="17"/>
      <c r="L3" s="17"/>
      <c r="M3" s="17"/>
      <c r="N3" s="17"/>
      <c r="O3" s="17"/>
      <c r="P3" s="17">
        <f t="shared" si="2"/>
      </c>
      <c r="Q3" s="17"/>
      <c r="R3" s="18">
        <f t="shared" si="0"/>
      </c>
      <c r="S3" s="18">
        <f t="shared" si="3"/>
      </c>
      <c r="T3" s="19"/>
      <c r="U3" s="17">
        <f>U2</f>
      </c>
    </row>
    <row hidden="true" r="4">
      <c r="A4" s="8">
        <v>46297</v>
      </c>
      <c r="B4" s="9" t="s">
        <v>27</v>
      </c>
      <c r="C4" s="10" t="s">
        <v>23</v>
      </c>
      <c r="D4" s="9">
        <v>4</v>
      </c>
      <c r="E4" s="9">
        <v>0</v>
      </c>
      <c r="F4" s="9">
        <v>0</v>
      </c>
      <c r="G4" s="11">
        <v>0</v>
      </c>
      <c r="H4" s="11">
        <v>413.47</v>
      </c>
      <c r="I4" s="11"/>
      <c r="J4" s="11"/>
      <c r="K4" s="11"/>
      <c r="L4" s="11"/>
      <c r="M4" s="11"/>
      <c r="N4" s="11"/>
      <c r="O4" s="11"/>
      <c r="P4" s="11">
        <f t="shared" si="2"/>
      </c>
      <c r="Q4" s="11"/>
      <c r="R4" s="12">
        <f t="shared" si="0"/>
      </c>
      <c r="S4" s="13">
        <f t="shared" si="3"/>
      </c>
      <c r="T4" s="9" t="s">
        <v>24</v>
      </c>
      <c r="U4" s="9">
        <v>4</v>
      </c>
    </row>
    <row hidden="true" r="5">
      <c r="A5" s="14">
        <v>46297</v>
      </c>
      <c r="B5" s="15" t="s">
        <v>25</v>
      </c>
      <c r="C5" s="16" t="s">
        <v>26</v>
      </c>
      <c r="D5" s="17">
        <f>D4</f>
      </c>
      <c r="E5" s="17">
        <f>E4</f>
      </c>
      <c r="F5" s="17">
        <f>F4</f>
      </c>
      <c r="G5" s="17">
        <f>G4</f>
      </c>
      <c r="H5" s="17">
        <f>H4</f>
      </c>
      <c r="I5" s="17"/>
      <c r="J5" s="17"/>
      <c r="K5" s="17"/>
      <c r="L5" s="17"/>
      <c r="M5" s="17"/>
      <c r="N5" s="17"/>
      <c r="O5" s="17"/>
      <c r="P5" s="17">
        <f t="shared" si="2"/>
      </c>
      <c r="Q5" s="17"/>
      <c r="R5" s="18">
        <f t="shared" si="0"/>
      </c>
      <c r="S5" s="18">
        <f t="shared" si="3"/>
      </c>
      <c r="T5" s="19"/>
      <c r="U5" s="17">
        <f>U4</f>
      </c>
    </row>
    <row hidden="true" r="6">
      <c r="A6" s="8">
        <v>46298</v>
      </c>
      <c r="B6" s="9" t="s">
        <v>22</v>
      </c>
      <c r="C6" s="10" t="s">
        <v>23</v>
      </c>
      <c r="D6" s="9">
        <v>4</v>
      </c>
      <c r="E6" s="9">
        <v>0</v>
      </c>
      <c r="F6" s="9">
        <v>0</v>
      </c>
      <c r="G6" s="11">
        <v>0</v>
      </c>
      <c r="H6" s="11">
        <v>223.16</v>
      </c>
      <c r="I6" s="11"/>
      <c r="J6" s="11"/>
      <c r="K6" s="11"/>
      <c r="L6" s="11"/>
      <c r="M6" s="11"/>
      <c r="N6" s="11"/>
      <c r="O6" s="11"/>
      <c r="P6" s="11">
        <f t="shared" si="2"/>
      </c>
      <c r="Q6" s="11"/>
      <c r="R6" s="12">
        <f t="shared" si="0"/>
      </c>
      <c r="S6" s="13">
        <f t="shared" si="3"/>
      </c>
      <c r="T6" s="9" t="s">
        <v>24</v>
      </c>
      <c r="U6" s="9">
        <v>4</v>
      </c>
    </row>
    <row hidden="true" r="7">
      <c r="A7" s="14">
        <v>46298</v>
      </c>
      <c r="B7" s="15" t="s">
        <v>25</v>
      </c>
      <c r="C7" s="16" t="s">
        <v>26</v>
      </c>
      <c r="D7" s="17">
        <f>D6</f>
      </c>
      <c r="E7" s="17">
        <f>E6</f>
      </c>
      <c r="F7" s="17">
        <f>F6</f>
      </c>
      <c r="G7" s="17">
        <f>G6</f>
      </c>
      <c r="H7" s="17">
        <f>H6</f>
      </c>
      <c r="I7" s="17"/>
      <c r="J7" s="17"/>
      <c r="K7" s="17"/>
      <c r="L7" s="17"/>
      <c r="M7" s="17"/>
      <c r="N7" s="17"/>
      <c r="O7" s="17"/>
      <c r="P7" s="17">
        <f t="shared" si="2"/>
      </c>
      <c r="Q7" s="17"/>
      <c r="R7" s="18">
        <f t="shared" si="0"/>
      </c>
      <c r="S7" s="18">
        <f t="shared" si="3"/>
      </c>
      <c r="T7" s="19"/>
      <c r="U7" s="17">
        <f>U6</f>
      </c>
    </row>
    <row hidden="true" r="8">
      <c r="A8" s="8">
        <v>46299</v>
      </c>
      <c r="B8" s="9" t="s">
        <v>22</v>
      </c>
      <c r="C8" s="10" t="s">
        <v>23</v>
      </c>
      <c r="D8" s="9">
        <v>4</v>
      </c>
      <c r="E8" s="9">
        <v>0</v>
      </c>
      <c r="F8" s="9">
        <v>0</v>
      </c>
      <c r="G8" s="11">
        <v>0</v>
      </c>
      <c r="H8" s="11">
        <v>171.55</v>
      </c>
      <c r="I8" s="11"/>
      <c r="J8" s="11"/>
      <c r="K8" s="11"/>
      <c r="L8" s="11"/>
      <c r="M8" s="11"/>
      <c r="N8" s="11"/>
      <c r="O8" s="11"/>
      <c r="P8" s="11">
        <f t="shared" si="2"/>
      </c>
      <c r="Q8" s="11"/>
      <c r="R8" s="12">
        <f t="shared" si="0"/>
      </c>
      <c r="S8" s="13">
        <f t="shared" si="3"/>
      </c>
      <c r="T8" s="9" t="s">
        <v>24</v>
      </c>
      <c r="U8" s="9">
        <v>4</v>
      </c>
    </row>
    <row hidden="true" r="9">
      <c r="A9" s="14">
        <v>46299</v>
      </c>
      <c r="B9" s="15" t="s">
        <v>25</v>
      </c>
      <c r="C9" s="16" t="s">
        <v>26</v>
      </c>
      <c r="D9" s="17">
        <f>D8</f>
      </c>
      <c r="E9" s="17">
        <f>E8</f>
      </c>
      <c r="F9" s="17">
        <f>F8</f>
      </c>
      <c r="G9" s="17">
        <f>G8</f>
      </c>
      <c r="H9" s="17">
        <f>H8</f>
      </c>
      <c r="I9" s="17"/>
      <c r="J9" s="17"/>
      <c r="K9" s="17"/>
      <c r="L9" s="17"/>
      <c r="M9" s="17"/>
      <c r="N9" s="17"/>
      <c r="O9" s="17"/>
      <c r="P9" s="17">
        <f t="shared" si="2"/>
      </c>
      <c r="Q9" s="17"/>
      <c r="R9" s="18">
        <f t="shared" si="0"/>
      </c>
      <c r="S9" s="18">
        <f t="shared" si="3"/>
      </c>
      <c r="T9" s="19"/>
      <c r="U9" s="17">
        <f>U8</f>
      </c>
    </row>
    <row hidden="true" r="10">
      <c r="A10" s="8">
        <v>46304</v>
      </c>
      <c r="B10" s="9" t="s">
        <v>22</v>
      </c>
      <c r="C10" s="10" t="s">
        <v>23</v>
      </c>
      <c r="D10" s="9">
        <v>4</v>
      </c>
      <c r="E10" s="9">
        <v>0</v>
      </c>
      <c r="F10" s="9">
        <v>0</v>
      </c>
      <c r="G10" s="11">
        <v>0</v>
      </c>
      <c r="H10" s="11">
        <v>1424.87</v>
      </c>
      <c r="I10" s="11"/>
      <c r="J10" s="11"/>
      <c r="K10" s="11"/>
      <c r="L10" s="11"/>
      <c r="M10" s="11"/>
      <c r="N10" s="11"/>
      <c r="O10" s="11"/>
      <c r="P10" s="11">
        <f t="shared" si="2"/>
      </c>
      <c r="Q10" s="11"/>
      <c r="R10" s="12">
        <f t="shared" si="0"/>
      </c>
      <c r="S10" s="13">
        <f t="shared" si="3"/>
      </c>
      <c r="T10" s="9" t="s">
        <v>28</v>
      </c>
      <c r="U10" s="9">
        <v>4</v>
      </c>
    </row>
    <row hidden="true" r="11">
      <c r="A11" s="14">
        <v>46304</v>
      </c>
      <c r="B11" s="15" t="s">
        <v>25</v>
      </c>
      <c r="C11" s="16" t="s">
        <v>26</v>
      </c>
      <c r="D11" s="17">
        <f>D10</f>
      </c>
      <c r="E11" s="17">
        <f>E10</f>
      </c>
      <c r="F11" s="17">
        <f>F10</f>
      </c>
      <c r="G11" s="17">
        <f>G10</f>
      </c>
      <c r="H11" s="17">
        <f>H10</f>
      </c>
      <c r="I11" s="17"/>
      <c r="J11" s="17"/>
      <c r="K11" s="17"/>
      <c r="L11" s="17"/>
      <c r="M11" s="17"/>
      <c r="N11" s="17"/>
      <c r="O11" s="17"/>
      <c r="P11" s="17">
        <f t="shared" si="2"/>
      </c>
      <c r="Q11" s="17"/>
      <c r="R11" s="18">
        <f t="shared" si="0"/>
      </c>
      <c r="S11" s="18">
        <f t="shared" si="3"/>
      </c>
      <c r="T11" s="19"/>
      <c r="U11" s="17">
        <f>U10</f>
      </c>
    </row>
    <row hidden="true" r="12">
      <c r="A12" s="8">
        <v>46305</v>
      </c>
      <c r="B12" s="9" t="s">
        <v>22</v>
      </c>
      <c r="C12" s="10" t="s">
        <v>23</v>
      </c>
      <c r="D12" s="9">
        <v>4</v>
      </c>
      <c r="E12" s="9">
        <v>0</v>
      </c>
      <c r="F12" s="9">
        <v>0</v>
      </c>
      <c r="G12" s="11">
        <v>0</v>
      </c>
      <c r="H12" s="11">
        <v>114.13</v>
      </c>
      <c r="I12" s="11"/>
      <c r="J12" s="11"/>
      <c r="K12" s="11"/>
      <c r="L12" s="11"/>
      <c r="M12" s="11"/>
      <c r="N12" s="11"/>
      <c r="O12" s="11"/>
      <c r="P12" s="11">
        <f t="shared" si="2"/>
      </c>
      <c r="Q12" s="11"/>
      <c r="R12" s="12">
        <f t="shared" si="0"/>
      </c>
      <c r="S12" s="13">
        <f t="shared" si="3"/>
      </c>
      <c r="T12" s="9" t="s">
        <v>24</v>
      </c>
      <c r="U12" s="9">
        <v>4</v>
      </c>
    </row>
    <row hidden="true" r="13">
      <c r="A13" s="14">
        <v>46305</v>
      </c>
      <c r="B13" s="15" t="s">
        <v>25</v>
      </c>
      <c r="C13" s="16" t="s">
        <v>26</v>
      </c>
      <c r="D13" s="17">
        <f>D12</f>
      </c>
      <c r="E13" s="17">
        <f>E12</f>
      </c>
      <c r="F13" s="17">
        <f>F12</f>
      </c>
      <c r="G13" s="17">
        <f>G12</f>
      </c>
      <c r="H13" s="17">
        <f>H12</f>
      </c>
      <c r="I13" s="17"/>
      <c r="J13" s="17"/>
      <c r="K13" s="17"/>
      <c r="L13" s="17"/>
      <c r="M13" s="17"/>
      <c r="N13" s="17"/>
      <c r="O13" s="17"/>
      <c r="P13" s="17">
        <f t="shared" si="2"/>
      </c>
      <c r="Q13" s="17"/>
      <c r="R13" s="18">
        <f t="shared" si="0"/>
      </c>
      <c r="S13" s="18">
        <f t="shared" si="3"/>
      </c>
      <c r="T13" s="19"/>
      <c r="U13" s="17">
        <f>U12</f>
      </c>
    </row>
    <row hidden="true" r="14">
      <c r="A14" s="8">
        <v>46306</v>
      </c>
      <c r="B14" s="9" t="s">
        <v>22</v>
      </c>
      <c r="C14" s="10" t="s">
        <v>23</v>
      </c>
      <c r="D14" s="9">
        <v>4</v>
      </c>
      <c r="E14" s="9">
        <v>0</v>
      </c>
      <c r="F14" s="9">
        <v>0</v>
      </c>
      <c r="G14" s="11">
        <v>0</v>
      </c>
      <c r="H14" s="11">
        <v>674.52</v>
      </c>
      <c r="I14" s="11"/>
      <c r="J14" s="11"/>
      <c r="K14" s="11"/>
      <c r="L14" s="11"/>
      <c r="M14" s="11"/>
      <c r="N14" s="11"/>
      <c r="O14" s="11"/>
      <c r="P14" s="11">
        <f t="shared" si="2"/>
      </c>
      <c r="Q14" s="11"/>
      <c r="R14" s="12">
        <f t="shared" si="0"/>
      </c>
      <c r="S14" s="13">
        <f t="shared" si="3"/>
      </c>
      <c r="T14" s="9" t="s">
        <v>24</v>
      </c>
      <c r="U14" s="9">
        <v>4</v>
      </c>
    </row>
    <row hidden="true" r="15">
      <c r="A15" s="14">
        <v>46306</v>
      </c>
      <c r="B15" s="15" t="s">
        <v>25</v>
      </c>
      <c r="C15" s="16" t="s">
        <v>26</v>
      </c>
      <c r="D15" s="17">
        <f>D14</f>
      </c>
      <c r="E15" s="17">
        <f>E14</f>
      </c>
      <c r="F15" s="17">
        <f>F14</f>
      </c>
      <c r="G15" s="17">
        <f>G14</f>
      </c>
      <c r="H15" s="17">
        <f>H14</f>
      </c>
      <c r="I15" s="17"/>
      <c r="J15" s="17"/>
      <c r="K15" s="17"/>
      <c r="L15" s="17"/>
      <c r="M15" s="17"/>
      <c r="N15" s="17"/>
      <c r="O15" s="17"/>
      <c r="P15" s="17">
        <f t="shared" si="2"/>
      </c>
      <c r="Q15" s="17"/>
      <c r="R15" s="18">
        <f t="shared" si="0"/>
      </c>
      <c r="S15" s="18">
        <f t="shared" si="3"/>
      </c>
      <c r="T15" s="19"/>
      <c r="U15" s="17">
        <f>U14</f>
      </c>
    </row>
    <row r="16">
      <c r="A16" s="8">
        <v>46307</v>
      </c>
      <c r="B16" s="9" t="s">
        <v>22</v>
      </c>
      <c r="C16" s="10" t="s">
        <v>23</v>
      </c>
      <c r="D16" s="9">
        <v>4</v>
      </c>
      <c r="E16" s="9">
        <v>0</v>
      </c>
      <c r="F16" s="9">
        <v>0</v>
      </c>
      <c r="G16" s="11">
        <v>0</v>
      </c>
      <c r="H16" s="11">
        <v>161.92</v>
      </c>
      <c r="I16" s="11"/>
      <c r="J16" s="11"/>
      <c r="K16" s="11"/>
      <c r="L16" s="11"/>
      <c r="M16" s="11"/>
      <c r="N16" s="11"/>
      <c r="O16" s="11"/>
      <c r="P16" s="11">
        <f t="shared" si="2"/>
      </c>
      <c r="Q16" s="11"/>
      <c r="R16" s="12">
        <f t="shared" si="0"/>
      </c>
      <c r="S16" s="13">
        <f t="shared" si="3"/>
      </c>
      <c r="T16" s="9" t="s">
        <v>29</v>
      </c>
      <c r="U16" s="9">
        <v>4</v>
      </c>
    </row>
    <row hidden="true" r="17">
      <c r="A17" s="14">
        <v>46307</v>
      </c>
      <c r="B17" s="15" t="s">
        <v>25</v>
      </c>
      <c r="C17" s="16" t="s">
        <v>26</v>
      </c>
      <c r="D17" s="17">
        <f>D16</f>
      </c>
      <c r="E17" s="17">
        <f>E16</f>
      </c>
      <c r="F17" s="17">
        <f>F16</f>
      </c>
      <c r="G17" s="17">
        <f>G16</f>
      </c>
      <c r="H17" s="17">
        <f>H16</f>
      </c>
      <c r="I17" s="17"/>
      <c r="J17" s="17"/>
      <c r="K17" s="17"/>
      <c r="L17" s="17"/>
      <c r="M17" s="17"/>
      <c r="N17" s="17"/>
      <c r="O17" s="17"/>
      <c r="P17" s="17">
        <f t="shared" si="2"/>
      </c>
      <c r="Q17" s="17"/>
      <c r="R17" s="18">
        <f t="shared" si="0"/>
      </c>
      <c r="S17" s="18">
        <f t="shared" si="3"/>
      </c>
      <c r="T17" s="19"/>
      <c r="U17" s="17">
        <f>U16</f>
      </c>
    </row>
    <row r="18">
      <c r="A18" s="8">
        <v>46308</v>
      </c>
      <c r="B18" s="9" t="s">
        <v>22</v>
      </c>
      <c r="C18" s="10" t="s">
        <v>23</v>
      </c>
      <c r="D18" s="9">
        <v>4</v>
      </c>
      <c r="E18" s="9">
        <v>0</v>
      </c>
      <c r="F18" s="9">
        <v>0</v>
      </c>
      <c r="G18" s="11">
        <v>0</v>
      </c>
      <c r="H18" s="11">
        <v>151</v>
      </c>
      <c r="I18" s="11"/>
      <c r="J18" s="11"/>
      <c r="K18" s="11"/>
      <c r="L18" s="11"/>
      <c r="M18" s="11"/>
      <c r="N18" s="11"/>
      <c r="O18" s="11"/>
      <c r="P18" s="11">
        <f t="shared" si="2"/>
      </c>
      <c r="Q18" s="11"/>
      <c r="R18" s="12">
        <f t="shared" si="0"/>
      </c>
      <c r="S18" s="13">
        <f t="shared" si="3"/>
      </c>
      <c r="T18" s="9" t="s">
        <v>24</v>
      </c>
      <c r="U18" s="9">
        <v>4</v>
      </c>
    </row>
    <row hidden="true" r="19">
      <c r="A19" s="14">
        <v>46308</v>
      </c>
      <c r="B19" s="15" t="s">
        <v>25</v>
      </c>
      <c r="C19" s="16" t="s">
        <v>26</v>
      </c>
      <c r="D19" s="17">
        <f>D18</f>
      </c>
      <c r="E19" s="17">
        <f>E18</f>
      </c>
      <c r="F19" s="17">
        <f>F18</f>
      </c>
      <c r="G19" s="17">
        <f>G18</f>
      </c>
      <c r="H19" s="17">
        <f>H18</f>
      </c>
      <c r="I19" s="17"/>
      <c r="J19" s="17"/>
      <c r="K19" s="17"/>
      <c r="L19" s="17"/>
      <c r="M19" s="17"/>
      <c r="N19" s="17"/>
      <c r="O19" s="17"/>
      <c r="P19" s="17">
        <f t="shared" si="2"/>
      </c>
      <c r="Q19" s="17"/>
      <c r="R19" s="18">
        <f t="shared" si="0"/>
      </c>
      <c r="S19" s="18">
        <f t="shared" si="3"/>
      </c>
      <c r="T19" s="19"/>
      <c r="U19" s="17">
        <f>U18</f>
      </c>
    </row>
    <row r="20">
      <c r="A20" s="8">
        <v>46309</v>
      </c>
      <c r="B20" s="9" t="s">
        <v>22</v>
      </c>
      <c r="C20" s="10" t="s">
        <v>23</v>
      </c>
      <c r="D20" s="9">
        <v>4</v>
      </c>
      <c r="E20" s="9">
        <v>0</v>
      </c>
      <c r="F20" s="9">
        <v>0</v>
      </c>
      <c r="G20" s="11">
        <v>0</v>
      </c>
      <c r="H20" s="11">
        <v>299.65</v>
      </c>
      <c r="I20" s="11"/>
      <c r="J20" s="11"/>
      <c r="K20" s="11"/>
      <c r="L20" s="11"/>
      <c r="M20" s="11"/>
      <c r="N20" s="11"/>
      <c r="O20" s="11"/>
      <c r="P20" s="11">
        <f t="shared" si="2"/>
      </c>
      <c r="Q20" s="11"/>
      <c r="R20" s="12">
        <f t="shared" si="0"/>
      </c>
      <c r="S20" s="13">
        <f t="shared" si="3"/>
      </c>
      <c r="T20" s="9" t="s">
        <v>24</v>
      </c>
      <c r="U20" s="9">
        <v>3</v>
      </c>
    </row>
    <row customHeight="true" hidden="true" ht="16.071428571428573" r="21">
      <c r="A21" s="8">
        <v>46309</v>
      </c>
      <c r="B21" s="9"/>
      <c r="C21" s="10"/>
      <c r="D21" s="9"/>
      <c r="E21" s="9"/>
      <c r="F21" s="9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  <c r="S21" s="13"/>
      <c r="T21" s="9" t="s">
        <v>29</v>
      </c>
      <c r="U21" s="9">
        <v>1</v>
      </c>
    </row>
    <row hidden="true" r="22">
      <c r="A22" s="14">
        <v>46309</v>
      </c>
      <c r="B22" s="15" t="s">
        <v>25</v>
      </c>
      <c r="C22" s="16" t="s">
        <v>26</v>
      </c>
      <c r="D22" s="17">
        <f>D20</f>
      </c>
      <c r="E22" s="17">
        <f>E20</f>
      </c>
      <c r="F22" s="17">
        <f>F20</f>
      </c>
      <c r="G22" s="17">
        <f>G20</f>
      </c>
      <c r="H22" s="17">
        <f>H20</f>
      </c>
      <c r="I22" s="17"/>
      <c r="J22" s="17"/>
      <c r="K22" s="17"/>
      <c r="L22" s="17"/>
      <c r="M22" s="17"/>
      <c r="N22" s="17"/>
      <c r="O22" s="17"/>
      <c r="P22" s="17">
        <f>G22/H22</f>
      </c>
      <c r="Q22" s="17"/>
      <c r="R22" s="18">
        <f>H22/E22</f>
      </c>
      <c r="S22" s="18">
        <f>H22/F22</f>
      </c>
      <c r="T22" s="19"/>
      <c r="U22" s="17">
        <f>SUM(U20:U21)</f>
      </c>
    </row>
    <row r="23">
      <c r="A23" s="8">
        <v>46310</v>
      </c>
      <c r="B23" s="9" t="s">
        <v>22</v>
      </c>
      <c r="C23" s="10" t="s">
        <v>23</v>
      </c>
      <c r="D23" s="9">
        <v>4</v>
      </c>
      <c r="E23" s="9">
        <v>0</v>
      </c>
      <c r="F23" s="9">
        <v>0</v>
      </c>
      <c r="G23" s="11">
        <v>0</v>
      </c>
      <c r="H23" s="11">
        <v>934.19</v>
      </c>
      <c r="I23" s="11">
        <v>0</v>
      </c>
      <c r="J23" s="11">
        <v>2</v>
      </c>
      <c r="K23" s="11">
        <v>1195</v>
      </c>
      <c r="L23" s="11">
        <v>1013.43</v>
      </c>
      <c r="M23" s="11">
        <f t="shared" ref="M23:M30" si="4">J23+F23</f>
      </c>
      <c r="N23" s="11">
        <f>G23+K23</f>
      </c>
      <c r="O23" s="11">
        <f>H23+L23</f>
      </c>
      <c r="P23" s="11">
        <f t="shared" ref="P23:P30" si="5">N23/O23</f>
      </c>
      <c r="Q23" s="11">
        <f>E23+I23</f>
      </c>
      <c r="R23" s="12">
        <f t="shared" ref="R23:R30" si="6">O23/Q23</f>
      </c>
      <c r="S23" s="13">
        <f t="shared" ref="S23:S30" si="1">O23/M23</f>
      </c>
      <c r="T23" s="9" t="s">
        <v>30</v>
      </c>
      <c r="U23" s="9">
        <v>4</v>
      </c>
    </row>
    <row hidden="true" r="24">
      <c r="A24" s="14">
        <v>46310</v>
      </c>
      <c r="B24" s="15" t="s">
        <v>25</v>
      </c>
      <c r="C24" s="20" t="s">
        <v>26</v>
      </c>
      <c r="D24" s="17">
        <f>SUM(D23)</f>
      </c>
      <c r="E24" s="17">
        <f>SUM(E23)</f>
      </c>
      <c r="F24" s="17">
        <f>SUM(F23)</f>
      </c>
      <c r="G24" s="17">
        <f>SUM(G23)</f>
      </c>
      <c r="H24" s="17">
        <f>SUM(H23)</f>
      </c>
      <c r="I24" s="17">
        <f>SUM(I23)</f>
      </c>
      <c r="J24" s="17">
        <f>SUM(J23)</f>
      </c>
      <c r="K24" s="17">
        <f>SUM(K23)</f>
      </c>
      <c r="L24" s="17">
        <f>SUM(L23)</f>
      </c>
      <c r="M24" s="17">
        <f t="shared" si="4"/>
      </c>
      <c r="N24" s="17">
        <f>SUM(N23)</f>
      </c>
      <c r="O24" s="17">
        <f>SUM(O23)</f>
      </c>
      <c r="P24" s="21">
        <f t="shared" si="5"/>
      </c>
      <c r="Q24" s="21">
        <v>0</v>
      </c>
      <c r="R24" s="18">
        <f t="shared" si="6"/>
      </c>
      <c r="S24" s="18">
        <f t="shared" si="1"/>
      </c>
      <c r="T24" s="19"/>
      <c r="U24" s="17">
        <f>U23</f>
      </c>
    </row>
    <row r="25">
      <c r="A25" s="8">
        <v>46311</v>
      </c>
      <c r="B25" s="9" t="s">
        <v>22</v>
      </c>
      <c r="C25" s="10" t="s">
        <v>23</v>
      </c>
      <c r="D25" s="9">
        <v>4</v>
      </c>
      <c r="E25" s="9">
        <v>1</v>
      </c>
      <c r="F25" s="9">
        <v>1</v>
      </c>
      <c r="G25" s="11">
        <v>798</v>
      </c>
      <c r="H25" s="11">
        <v>2718.1</v>
      </c>
      <c r="I25" s="11">
        <v>1</v>
      </c>
      <c r="J25" s="11">
        <v>1</v>
      </c>
      <c r="K25" s="11">
        <v>798</v>
      </c>
      <c r="L25" s="11">
        <v>2135.36</v>
      </c>
      <c r="M25" s="11">
        <f t="shared" si="4"/>
      </c>
      <c r="N25" s="11">
        <f>G25+K25</f>
      </c>
      <c r="O25" s="11">
        <f>H25+L25</f>
      </c>
      <c r="P25" s="11">
        <f t="shared" si="5"/>
      </c>
      <c r="Q25" s="11">
        <f>E25+I25</f>
      </c>
      <c r="R25" s="12">
        <f t="shared" si="6"/>
      </c>
      <c r="S25" s="13">
        <f t="shared" si="1"/>
      </c>
      <c r="T25" s="9" t="s">
        <v>30</v>
      </c>
      <c r="U25" s="9">
        <v>4</v>
      </c>
    </row>
    <row hidden="true" r="26">
      <c r="A26" s="14">
        <v>46311</v>
      </c>
      <c r="B26" s="15" t="s">
        <v>25</v>
      </c>
      <c r="C26" s="20" t="s">
        <v>26</v>
      </c>
      <c r="D26" s="17">
        <f>SUM(D25)</f>
      </c>
      <c r="E26" s="17">
        <f>SUM(E25)</f>
      </c>
      <c r="F26" s="17">
        <f>SUM(F25)</f>
      </c>
      <c r="G26" s="17">
        <f>SUM(G25)</f>
      </c>
      <c r="H26" s="17">
        <f>SUM(H25)</f>
      </c>
      <c r="I26" s="17">
        <f>SUM(I25)</f>
      </c>
      <c r="J26" s="17">
        <f>SUM(J25)</f>
      </c>
      <c r="K26" s="17">
        <f>SUM(K25)</f>
      </c>
      <c r="L26" s="17">
        <f>SUM(L25)</f>
      </c>
      <c r="M26" s="17">
        <f t="shared" si="4"/>
      </c>
      <c r="N26" s="17">
        <f>SUM(N25)</f>
      </c>
      <c r="O26" s="17">
        <f>SUM(O25)</f>
      </c>
      <c r="P26" s="21">
        <f t="shared" si="5"/>
      </c>
      <c r="Q26" s="21">
        <v>0</v>
      </c>
      <c r="R26" s="18">
        <f t="shared" si="6"/>
      </c>
      <c r="S26" s="18">
        <f t="shared" si="1"/>
      </c>
      <c r="T26" s="19"/>
      <c r="U26" s="17">
        <f>U25</f>
      </c>
    </row>
    <row r="27">
      <c r="A27" s="8">
        <v>46312</v>
      </c>
      <c r="B27" s="9" t="s">
        <v>22</v>
      </c>
      <c r="C27" s="10" t="s">
        <v>23</v>
      </c>
      <c r="D27" s="9">
        <v>4</v>
      </c>
      <c r="E27" s="9">
        <v>1</v>
      </c>
      <c r="F27" s="9">
        <v>1</v>
      </c>
      <c r="G27" s="11">
        <v>798</v>
      </c>
      <c r="H27" s="11">
        <v>502.59</v>
      </c>
      <c r="I27" s="11">
        <v>3</v>
      </c>
      <c r="J27" s="11">
        <v>3</v>
      </c>
      <c r="K27" s="11">
        <v>2511</v>
      </c>
      <c r="L27" s="11">
        <v>9737.66</v>
      </c>
      <c r="M27" s="11">
        <f t="shared" si="4"/>
      </c>
      <c r="N27" s="11">
        <f>G27+K27</f>
      </c>
      <c r="O27" s="11">
        <f>H27+L27</f>
      </c>
      <c r="P27" s="11">
        <f t="shared" si="5"/>
      </c>
      <c r="Q27" s="11">
        <f>E27+I27</f>
      </c>
      <c r="R27" s="12">
        <f t="shared" si="6"/>
      </c>
      <c r="S27" s="13">
        <f t="shared" si="1"/>
      </c>
      <c r="T27" s="9" t="s">
        <v>24</v>
      </c>
      <c r="U27" s="9">
        <v>4</v>
      </c>
    </row>
    <row hidden="true" r="28">
      <c r="A28" s="14">
        <v>46312</v>
      </c>
      <c r="B28" s="15" t="s">
        <v>25</v>
      </c>
      <c r="C28" s="20" t="s">
        <v>26</v>
      </c>
      <c r="D28" s="17">
        <f>SUM(D27)</f>
      </c>
      <c r="E28" s="17">
        <f>SUM(E27)</f>
      </c>
      <c r="F28" s="17">
        <f>SUM(F27)</f>
      </c>
      <c r="G28" s="17">
        <f>SUM(G27)</f>
      </c>
      <c r="H28" s="17">
        <f>SUM(H27)</f>
      </c>
      <c r="I28" s="17">
        <f>SUM(I27)</f>
      </c>
      <c r="J28" s="17">
        <f>SUM(J27)</f>
      </c>
      <c r="K28" s="17">
        <f>SUM(K27)</f>
      </c>
      <c r="L28" s="17">
        <f>SUM(L27)</f>
      </c>
      <c r="M28" s="17">
        <f t="shared" si="4"/>
      </c>
      <c r="N28" s="17">
        <f>SUM(N27)</f>
      </c>
      <c r="O28" s="17">
        <f>SUM(O27)</f>
      </c>
      <c r="P28" s="21">
        <f t="shared" si="5"/>
      </c>
      <c r="Q28" s="21">
        <v>0</v>
      </c>
      <c r="R28" s="18">
        <f t="shared" si="6"/>
      </c>
      <c r="S28" s="18">
        <f t="shared" si="1"/>
      </c>
      <c r="T28" s="19"/>
      <c r="U28" s="17">
        <f>U27</f>
      </c>
    </row>
    <row r="29">
      <c r="A29" s="8">
        <v>46313</v>
      </c>
      <c r="B29" s="9" t="s">
        <v>22</v>
      </c>
      <c r="C29" s="10" t="s">
        <v>23</v>
      </c>
      <c r="D29" s="9">
        <v>4</v>
      </c>
      <c r="E29" s="9">
        <v>0</v>
      </c>
      <c r="F29" s="9">
        <v>0</v>
      </c>
      <c r="G29" s="11">
        <v>0</v>
      </c>
      <c r="H29" s="11">
        <v>489.58</v>
      </c>
      <c r="I29" s="11">
        <v>6</v>
      </c>
      <c r="J29" s="11">
        <v>6</v>
      </c>
      <c r="K29" s="11">
        <v>4788</v>
      </c>
      <c r="L29" s="11">
        <v>7635.86</v>
      </c>
      <c r="M29" s="11">
        <f t="shared" si="4"/>
      </c>
      <c r="N29" s="11">
        <f>G29+K29</f>
      </c>
      <c r="O29" s="11">
        <f>H29+L29</f>
      </c>
      <c r="P29" s="11">
        <f t="shared" si="5"/>
      </c>
      <c r="Q29" s="11">
        <f>E29+I29</f>
      </c>
      <c r="R29" s="12">
        <f t="shared" si="6"/>
      </c>
      <c r="S29" s="13">
        <f t="shared" si="1"/>
      </c>
      <c r="T29" s="9" t="s">
        <v>24</v>
      </c>
      <c r="U29" s="9">
        <v>4</v>
      </c>
    </row>
    <row hidden="true" r="30">
      <c r="A30" s="14">
        <v>46313</v>
      </c>
      <c r="B30" s="15" t="s">
        <v>25</v>
      </c>
      <c r="C30" s="20" t="s">
        <v>26</v>
      </c>
      <c r="D30" s="17">
        <f>SUM(D29)</f>
      </c>
      <c r="E30" s="17">
        <f>SUM(E29)</f>
      </c>
      <c r="F30" s="17">
        <f>SUM(F29)</f>
      </c>
      <c r="G30" s="17">
        <f>SUM(G29)</f>
      </c>
      <c r="H30" s="17">
        <f>SUM(H29)</f>
      </c>
      <c r="I30" s="17">
        <f>SUM(I29)</f>
      </c>
      <c r="J30" s="17">
        <f>SUM(J29)</f>
      </c>
      <c r="K30" s="17">
        <f>SUM(K29)</f>
      </c>
      <c r="L30" s="17">
        <f>SUM(L29)</f>
      </c>
      <c r="M30" s="17">
        <f t="shared" si="4"/>
      </c>
      <c r="N30" s="17">
        <f>SUM(N29)</f>
      </c>
      <c r="O30" s="17">
        <f>SUM(O29)</f>
      </c>
      <c r="P30" s="21">
        <f t="shared" si="5"/>
      </c>
      <c r="Q30" s="21">
        <v>0</v>
      </c>
      <c r="R30" s="18">
        <f t="shared" si="6"/>
      </c>
      <c r="S30" s="18">
        <f t="shared" si="1"/>
      </c>
      <c r="T30" s="19"/>
      <c r="U30" s="17">
        <f>U29</f>
      </c>
    </row>
    <row r="31">
      <c r="E31" s="22"/>
      <c r="F31" s="22"/>
      <c r="G31" s="23"/>
      <c r="H31" s="23"/>
      <c r="I31" s="23"/>
      <c r="J31" s="23"/>
      <c r="K31" s="23"/>
      <c r="L31" s="23"/>
      <c r="M31" s="23"/>
      <c r="N31" s="23"/>
      <c r="O31" s="24"/>
      <c r="P31" s="24"/>
      <c r="Q31" s="24"/>
      <c r="R31" s="25"/>
      <c r="S31" s="25"/>
    </row>
    <row r="32">
      <c r="E32" s="22"/>
      <c r="F32" s="22"/>
      <c r="G32" s="23"/>
      <c r="H32" s="23"/>
      <c r="I32" s="23"/>
      <c r="J32" s="23"/>
      <c r="K32" s="23"/>
      <c r="L32" s="23"/>
      <c r="M32" s="23"/>
      <c r="N32" s="23"/>
      <c r="O32" s="24"/>
      <c r="P32" s="24"/>
      <c r="Q32" s="24"/>
      <c r="R32" s="25"/>
      <c r="S32" s="25"/>
    </row>
    <row r="33">
      <c r="E33" s="22"/>
      <c r="F33" s="22"/>
      <c r="G33" s="23"/>
      <c r="H33" s="23"/>
      <c r="I33" s="23"/>
      <c r="J33" s="23"/>
      <c r="K33" s="23"/>
      <c r="L33" s="23"/>
      <c r="M33" s="23"/>
      <c r="N33" s="23"/>
      <c r="O33" s="24"/>
      <c r="P33" s="24"/>
      <c r="Q33" s="24"/>
      <c r="R33" s="25"/>
      <c r="S33" s="25"/>
    </row>
    <row r="34">
      <c r="E34" s="22"/>
      <c r="F34" s="22"/>
      <c r="G34" s="23"/>
      <c r="H34" s="23"/>
      <c r="I34" s="23"/>
      <c r="J34" s="23"/>
      <c r="K34" s="23"/>
      <c r="L34" s="23"/>
      <c r="M34" s="23"/>
      <c r="N34" s="23"/>
      <c r="O34" s="24"/>
      <c r="P34" s="24"/>
      <c r="Q34" s="24"/>
      <c r="R34" s="25"/>
      <c r="S34" s="25"/>
    </row>
    <row r="35">
      <c r="E35" s="22"/>
      <c r="F35" s="22"/>
      <c r="G35" s="23"/>
      <c r="H35" s="23"/>
      <c r="I35" s="23"/>
      <c r="J35" s="23"/>
      <c r="K35" s="23"/>
      <c r="L35" s="23"/>
      <c r="M35" s="23"/>
      <c r="N35" s="23"/>
      <c r="O35" s="24"/>
      <c r="P35" s="24"/>
      <c r="Q35" s="24"/>
      <c r="R35" s="25"/>
      <c r="S35" s="25"/>
    </row>
    <row r="36">
      <c r="E36" s="22"/>
      <c r="F36" s="22"/>
      <c r="G36" s="23"/>
      <c r="H36" s="23"/>
      <c r="I36" s="23"/>
      <c r="J36" s="23"/>
      <c r="K36" s="23"/>
      <c r="L36" s="23"/>
      <c r="M36" s="23"/>
      <c r="N36" s="23"/>
      <c r="O36" s="24"/>
      <c r="P36" s="24"/>
      <c r="Q36" s="24"/>
      <c r="R36" s="25"/>
      <c r="S36" s="25"/>
    </row>
    <row r="37">
      <c r="E37" s="22"/>
      <c r="F37" s="22"/>
      <c r="G37" s="23"/>
      <c r="H37" s="23"/>
      <c r="I37" s="23"/>
      <c r="J37" s="23"/>
      <c r="K37" s="23"/>
      <c r="L37" s="23"/>
      <c r="M37" s="23"/>
      <c r="N37" s="23"/>
      <c r="O37" s="24"/>
      <c r="P37" s="24"/>
      <c r="Q37" s="24"/>
      <c r="R37" s="25"/>
      <c r="S37" s="25"/>
    </row>
    <row r="38">
      <c r="E38" s="22"/>
      <c r="F38" s="22"/>
      <c r="G38" s="23"/>
      <c r="H38" s="23"/>
      <c r="I38" s="23"/>
      <c r="J38" s="23"/>
      <c r="K38" s="23"/>
      <c r="L38" s="23"/>
      <c r="M38" s="23"/>
      <c r="N38" s="23"/>
      <c r="O38" s="24"/>
      <c r="P38" s="24"/>
      <c r="Q38" s="24"/>
      <c r="R38" s="25"/>
      <c r="S38" s="25"/>
    </row>
    <row r="39">
      <c r="E39" s="22"/>
      <c r="F39" s="22"/>
      <c r="G39" s="23"/>
      <c r="H39" s="23"/>
      <c r="I39" s="23"/>
      <c r="J39" s="23"/>
      <c r="K39" s="23"/>
      <c r="L39" s="23"/>
      <c r="M39" s="23"/>
      <c r="N39" s="23"/>
      <c r="O39" s="24"/>
      <c r="P39" s="24"/>
      <c r="Q39" s="24"/>
      <c r="R39" s="25"/>
      <c r="S39" s="25"/>
    </row>
    <row r="40">
      <c r="E40" s="22"/>
      <c r="F40" s="22"/>
      <c r="G40" s="23"/>
      <c r="H40" s="23"/>
      <c r="I40" s="23"/>
      <c r="J40" s="23"/>
      <c r="K40" s="23"/>
      <c r="L40" s="23"/>
      <c r="M40" s="23"/>
      <c r="N40" s="23"/>
      <c r="O40" s="24"/>
      <c r="P40" s="24"/>
      <c r="Q40" s="24"/>
      <c r="R40" s="25"/>
      <c r="S40" s="25"/>
    </row>
    <row r="41">
      <c r="E41" s="22"/>
      <c r="F41" s="22"/>
      <c r="G41" s="23"/>
      <c r="H41" s="23"/>
      <c r="I41" s="23"/>
      <c r="J41" s="23"/>
      <c r="K41" s="23"/>
      <c r="L41" s="23"/>
      <c r="M41" s="23"/>
      <c r="N41" s="23"/>
      <c r="O41" s="24"/>
      <c r="P41" s="24"/>
      <c r="Q41" s="24"/>
      <c r="R41" s="25"/>
      <c r="S41" s="25"/>
    </row>
    <row r="42">
      <c r="E42" s="22"/>
      <c r="F42" s="22"/>
      <c r="G42" s="23"/>
      <c r="H42" s="23"/>
      <c r="I42" s="23"/>
      <c r="J42" s="23"/>
      <c r="K42" s="23"/>
      <c r="L42" s="23"/>
      <c r="M42" s="23"/>
      <c r="N42" s="23"/>
      <c r="O42" s="24"/>
      <c r="P42" s="24"/>
      <c r="Q42" s="24"/>
      <c r="R42" s="25"/>
      <c r="S42" s="25"/>
    </row>
    <row r="43">
      <c r="E43" s="22"/>
      <c r="F43" s="22"/>
      <c r="G43" s="23"/>
      <c r="H43" s="23"/>
      <c r="I43" s="23"/>
      <c r="J43" s="23"/>
      <c r="K43" s="23"/>
      <c r="L43" s="23"/>
      <c r="M43" s="23"/>
      <c r="N43" s="23"/>
      <c r="O43" s="24"/>
      <c r="P43" s="24"/>
      <c r="Q43" s="24"/>
      <c r="R43" s="25"/>
      <c r="S43" s="25"/>
    </row>
    <row r="44">
      <c r="E44" s="22"/>
      <c r="F44" s="22"/>
      <c r="G44" s="23"/>
      <c r="H44" s="23"/>
      <c r="I44" s="23"/>
      <c r="J44" s="23"/>
      <c r="K44" s="23"/>
      <c r="L44" s="23"/>
      <c r="M44" s="23"/>
      <c r="N44" s="23"/>
      <c r="O44" s="24"/>
      <c r="P44" s="24"/>
      <c r="Q44" s="24"/>
      <c r="R44" s="25"/>
      <c r="S44" s="25"/>
    </row>
    <row r="45">
      <c r="E45" s="22"/>
      <c r="F45" s="22"/>
      <c r="G45" s="23"/>
      <c r="H45" s="23"/>
      <c r="I45" s="23"/>
      <c r="J45" s="23"/>
      <c r="K45" s="23"/>
      <c r="L45" s="23"/>
      <c r="M45" s="23"/>
      <c r="N45" s="23"/>
      <c r="O45" s="24"/>
      <c r="P45" s="24"/>
      <c r="Q45" s="24"/>
      <c r="R45" s="25"/>
      <c r="S45" s="25"/>
    </row>
    <row r="46">
      <c r="E46" s="22"/>
      <c r="F46" s="22"/>
      <c r="G46" s="23"/>
      <c r="H46" s="23"/>
      <c r="I46" s="23"/>
      <c r="J46" s="23"/>
      <c r="K46" s="23"/>
      <c r="L46" s="23"/>
      <c r="M46" s="23"/>
      <c r="N46" s="23"/>
      <c r="O46" s="24"/>
      <c r="P46" s="24"/>
      <c r="Q46" s="24"/>
      <c r="R46" s="25"/>
      <c r="S46" s="25"/>
    </row>
    <row r="47">
      <c r="E47" s="22"/>
      <c r="F47" s="22"/>
      <c r="G47" s="23"/>
      <c r="H47" s="23"/>
      <c r="I47" s="23"/>
      <c r="J47" s="23"/>
      <c r="K47" s="23"/>
      <c r="L47" s="23"/>
      <c r="M47" s="23"/>
      <c r="N47" s="23"/>
      <c r="O47" s="24"/>
      <c r="P47" s="24"/>
      <c r="Q47" s="24"/>
      <c r="R47" s="25"/>
      <c r="S47" s="25"/>
    </row>
    <row r="48">
      <c r="E48" s="22"/>
      <c r="F48" s="22"/>
      <c r="G48" s="23"/>
      <c r="H48" s="23"/>
      <c r="I48" s="23"/>
      <c r="J48" s="23"/>
      <c r="K48" s="23"/>
      <c r="L48" s="23"/>
      <c r="M48" s="23"/>
      <c r="N48" s="23"/>
      <c r="O48" s="24"/>
      <c r="P48" s="24"/>
      <c r="Q48" s="24"/>
      <c r="R48" s="25"/>
      <c r="S48" s="25"/>
    </row>
    <row r="49">
      <c r="E49" s="22"/>
      <c r="F49" s="22"/>
      <c r="G49" s="23"/>
      <c r="H49" s="23"/>
      <c r="I49" s="23"/>
      <c r="J49" s="23"/>
      <c r="K49" s="23"/>
      <c r="L49" s="23"/>
      <c r="M49" s="23"/>
      <c r="N49" s="23"/>
      <c r="O49" s="24"/>
      <c r="P49" s="24"/>
      <c r="Q49" s="24"/>
      <c r="R49" s="25"/>
      <c r="S49" s="25"/>
    </row>
    <row r="50">
      <c r="E50" s="22"/>
      <c r="F50" s="22"/>
      <c r="G50" s="23"/>
      <c r="H50" s="23"/>
      <c r="I50" s="23"/>
      <c r="J50" s="23"/>
      <c r="K50" s="23"/>
      <c r="L50" s="23"/>
      <c r="M50" s="23"/>
      <c r="N50" s="23"/>
      <c r="O50" s="24"/>
      <c r="P50" s="24"/>
      <c r="Q50" s="24"/>
      <c r="R50" s="25"/>
      <c r="S50" s="25"/>
    </row>
    <row r="51">
      <c r="E51" s="22"/>
      <c r="F51" s="22"/>
      <c r="G51" s="23"/>
      <c r="H51" s="23"/>
      <c r="I51" s="23"/>
      <c r="J51" s="23"/>
      <c r="K51" s="23"/>
      <c r="L51" s="23"/>
      <c r="M51" s="23"/>
      <c r="N51" s="23"/>
      <c r="O51" s="24"/>
      <c r="P51" s="24"/>
      <c r="Q51" s="24"/>
      <c r="R51" s="25"/>
      <c r="S51" s="25"/>
    </row>
    <row r="52">
      <c r="E52" s="22"/>
      <c r="F52" s="22"/>
      <c r="G52" s="23"/>
      <c r="H52" s="23"/>
      <c r="I52" s="23"/>
      <c r="J52" s="23"/>
      <c r="K52" s="23"/>
      <c r="L52" s="23"/>
      <c r="M52" s="23"/>
      <c r="N52" s="23"/>
      <c r="O52" s="24"/>
      <c r="P52" s="24"/>
      <c r="Q52" s="24"/>
      <c r="R52" s="25"/>
      <c r="S52" s="25"/>
    </row>
    <row r="53">
      <c r="E53" s="22"/>
      <c r="F53" s="22"/>
      <c r="G53" s="23"/>
      <c r="H53" s="23"/>
      <c r="I53" s="23"/>
      <c r="J53" s="23"/>
      <c r="K53" s="23"/>
      <c r="L53" s="23"/>
      <c r="M53" s="23"/>
      <c r="N53" s="23"/>
      <c r="O53" s="24"/>
      <c r="P53" s="24"/>
      <c r="Q53" s="24"/>
      <c r="R53" s="25"/>
      <c r="S53" s="25"/>
    </row>
    <row r="54">
      <c r="E54" s="22"/>
      <c r="F54" s="22"/>
      <c r="G54" s="23"/>
      <c r="H54" s="23"/>
      <c r="I54" s="23"/>
      <c r="J54" s="23"/>
      <c r="K54" s="23"/>
      <c r="L54" s="23"/>
      <c r="M54" s="23"/>
      <c r="N54" s="23"/>
      <c r="O54" s="24"/>
      <c r="P54" s="24"/>
      <c r="Q54" s="24"/>
      <c r="R54" s="25"/>
      <c r="S54" s="25"/>
    </row>
    <row r="55">
      <c r="E55" s="22"/>
      <c r="F55" s="22"/>
      <c r="G55" s="23"/>
      <c r="H55" s="23"/>
      <c r="I55" s="23"/>
      <c r="J55" s="23"/>
      <c r="K55" s="23"/>
      <c r="L55" s="23"/>
      <c r="M55" s="23"/>
      <c r="N55" s="23"/>
      <c r="O55" s="24"/>
      <c r="P55" s="24"/>
      <c r="Q55" s="24"/>
      <c r="R55" s="25"/>
      <c r="S55" s="25"/>
    </row>
    <row r="56">
      <c r="E56" s="22"/>
      <c r="F56" s="22"/>
      <c r="G56" s="23"/>
      <c r="H56" s="23"/>
      <c r="I56" s="23"/>
      <c r="J56" s="23"/>
      <c r="K56" s="23"/>
      <c r="L56" s="23"/>
      <c r="M56" s="23"/>
      <c r="N56" s="23"/>
      <c r="O56" s="24"/>
      <c r="P56" s="24"/>
      <c r="Q56" s="24"/>
      <c r="R56" s="25"/>
      <c r="S56" s="25"/>
    </row>
    <row r="57">
      <c r="E57" s="22"/>
      <c r="F57" s="22"/>
      <c r="G57" s="23"/>
      <c r="H57" s="23"/>
      <c r="I57" s="23"/>
      <c r="J57" s="23"/>
      <c r="K57" s="23"/>
      <c r="L57" s="23"/>
      <c r="M57" s="23"/>
      <c r="N57" s="23"/>
      <c r="O57" s="24"/>
      <c r="P57" s="24"/>
      <c r="Q57" s="24"/>
      <c r="R57" s="25"/>
      <c r="S57" s="25"/>
    </row>
    <row r="58">
      <c r="E58" s="22"/>
      <c r="F58" s="22"/>
      <c r="G58" s="23"/>
      <c r="H58" s="23"/>
      <c r="I58" s="23"/>
      <c r="J58" s="23"/>
      <c r="K58" s="23"/>
      <c r="L58" s="23"/>
      <c r="M58" s="23"/>
      <c r="N58" s="23"/>
      <c r="O58" s="24"/>
      <c r="P58" s="24"/>
      <c r="Q58" s="24"/>
      <c r="R58" s="25"/>
      <c r="S58" s="25"/>
    </row>
    <row r="59">
      <c r="E59" s="22"/>
      <c r="F59" s="22"/>
      <c r="G59" s="23"/>
      <c r="H59" s="23"/>
      <c r="I59" s="23"/>
      <c r="J59" s="23"/>
      <c r="K59" s="23"/>
      <c r="L59" s="23"/>
      <c r="M59" s="23"/>
      <c r="N59" s="23"/>
      <c r="O59" s="24"/>
      <c r="P59" s="24"/>
      <c r="Q59" s="24"/>
      <c r="R59" s="25"/>
      <c r="S59" s="25"/>
    </row>
    <row r="60">
      <c r="E60" s="22"/>
      <c r="F60" s="22"/>
      <c r="G60" s="23"/>
      <c r="H60" s="23"/>
      <c r="I60" s="23"/>
      <c r="J60" s="23"/>
      <c r="K60" s="23"/>
      <c r="L60" s="23"/>
      <c r="M60" s="23"/>
      <c r="N60" s="23"/>
      <c r="O60" s="24"/>
      <c r="P60" s="24"/>
      <c r="Q60" s="24"/>
      <c r="R60" s="25"/>
      <c r="S60" s="25"/>
    </row>
    <row r="61">
      <c r="E61" s="22"/>
      <c r="F61" s="22"/>
      <c r="G61" s="23"/>
      <c r="H61" s="23"/>
      <c r="I61" s="23"/>
      <c r="J61" s="23"/>
      <c r="K61" s="23"/>
      <c r="L61" s="23"/>
      <c r="M61" s="23"/>
      <c r="N61" s="23"/>
      <c r="O61" s="24"/>
      <c r="P61" s="24"/>
      <c r="Q61" s="24"/>
      <c r="R61" s="25"/>
      <c r="S61" s="25"/>
    </row>
    <row r="62">
      <c r="E62" s="22"/>
      <c r="F62" s="22"/>
      <c r="G62" s="23"/>
      <c r="H62" s="23"/>
      <c r="I62" s="23"/>
      <c r="J62" s="23"/>
      <c r="K62" s="23"/>
      <c r="L62" s="23"/>
      <c r="M62" s="23"/>
      <c r="N62" s="23"/>
      <c r="O62" s="24"/>
      <c r="P62" s="24"/>
      <c r="Q62" s="24"/>
      <c r="R62" s="25"/>
      <c r="S62" s="25"/>
    </row>
    <row r="63">
      <c r="E63" s="22"/>
      <c r="F63" s="22"/>
      <c r="G63" s="23"/>
      <c r="H63" s="23"/>
      <c r="I63" s="23"/>
      <c r="J63" s="23"/>
      <c r="K63" s="23"/>
      <c r="L63" s="23"/>
      <c r="M63" s="23"/>
      <c r="N63" s="23"/>
      <c r="O63" s="24"/>
      <c r="P63" s="24"/>
      <c r="Q63" s="24"/>
      <c r="R63" s="25"/>
      <c r="S63" s="25"/>
    </row>
    <row r="64">
      <c r="E64" s="22"/>
      <c r="F64" s="22"/>
      <c r="G64" s="23"/>
      <c r="H64" s="23"/>
      <c r="I64" s="23"/>
      <c r="J64" s="23"/>
      <c r="K64" s="23"/>
      <c r="L64" s="23"/>
      <c r="M64" s="23"/>
      <c r="N64" s="23"/>
      <c r="O64" s="24"/>
      <c r="P64" s="24"/>
      <c r="Q64" s="24"/>
      <c r="R64" s="25"/>
      <c r="S64" s="25"/>
    </row>
    <row r="65">
      <c r="E65" s="22"/>
      <c r="F65" s="22"/>
      <c r="G65" s="23"/>
      <c r="H65" s="23"/>
      <c r="I65" s="23"/>
      <c r="J65" s="23"/>
      <c r="K65" s="23"/>
      <c r="L65" s="23"/>
      <c r="M65" s="23"/>
      <c r="N65" s="23"/>
      <c r="O65" s="24"/>
      <c r="P65" s="24"/>
      <c r="Q65" s="24"/>
      <c r="R65" s="25"/>
      <c r="S65" s="25"/>
    </row>
    <row r="66">
      <c r="E66" s="22"/>
      <c r="F66" s="22"/>
      <c r="G66" s="23"/>
      <c r="H66" s="23"/>
      <c r="I66" s="23"/>
      <c r="J66" s="23"/>
      <c r="K66" s="23"/>
      <c r="L66" s="23"/>
      <c r="M66" s="23"/>
      <c r="N66" s="23"/>
      <c r="O66" s="24"/>
      <c r="P66" s="24"/>
      <c r="Q66" s="24"/>
      <c r="R66" s="25"/>
      <c r="S66" s="25"/>
    </row>
    <row r="67">
      <c r="E67" s="22"/>
      <c r="F67" s="22"/>
      <c r="G67" s="23"/>
      <c r="H67" s="23"/>
      <c r="I67" s="23"/>
      <c r="J67" s="23"/>
      <c r="K67" s="23"/>
      <c r="L67" s="23"/>
      <c r="M67" s="23"/>
      <c r="N67" s="23"/>
      <c r="O67" s="24"/>
      <c r="P67" s="24"/>
      <c r="Q67" s="24"/>
      <c r="R67" s="25"/>
      <c r="S67" s="25"/>
    </row>
    <row r="68">
      <c r="E68" s="22"/>
      <c r="F68" s="22"/>
      <c r="G68" s="23"/>
      <c r="H68" s="23"/>
      <c r="I68" s="23"/>
      <c r="J68" s="23"/>
      <c r="K68" s="23"/>
      <c r="L68" s="23"/>
      <c r="M68" s="23"/>
      <c r="N68" s="23"/>
      <c r="O68" s="24"/>
      <c r="P68" s="24"/>
      <c r="Q68" s="24"/>
      <c r="R68" s="25"/>
      <c r="S68" s="25"/>
    </row>
    <row r="69">
      <c r="E69" s="22"/>
      <c r="F69" s="22"/>
      <c r="G69" s="23"/>
      <c r="H69" s="23"/>
      <c r="I69" s="23"/>
      <c r="J69" s="23"/>
      <c r="K69" s="23"/>
      <c r="L69" s="23"/>
      <c r="M69" s="23"/>
      <c r="N69" s="23"/>
      <c r="O69" s="24"/>
      <c r="P69" s="24"/>
      <c r="Q69" s="24"/>
      <c r="R69" s="25"/>
      <c r="S69" s="25"/>
    </row>
    <row r="70">
      <c r="E70" s="22"/>
      <c r="F70" s="22"/>
      <c r="G70" s="23"/>
      <c r="H70" s="23"/>
      <c r="I70" s="23"/>
      <c r="J70" s="23"/>
      <c r="K70" s="23"/>
      <c r="L70" s="23"/>
      <c r="M70" s="23"/>
      <c r="N70" s="23"/>
      <c r="O70" s="24"/>
      <c r="P70" s="24"/>
      <c r="Q70" s="24"/>
      <c r="R70" s="25"/>
      <c r="S70" s="25"/>
    </row>
    <row r="71">
      <c r="E71" s="22"/>
      <c r="F71" s="22"/>
      <c r="G71" s="23"/>
      <c r="H71" s="23"/>
      <c r="I71" s="23"/>
      <c r="J71" s="23"/>
      <c r="K71" s="23"/>
      <c r="L71" s="23"/>
      <c r="M71" s="23"/>
      <c r="N71" s="23"/>
      <c r="O71" s="24"/>
      <c r="P71" s="24"/>
      <c r="Q71" s="24"/>
      <c r="R71" s="25"/>
      <c r="S71" s="25"/>
    </row>
    <row r="72">
      <c r="E72" s="22"/>
      <c r="F72" s="22"/>
      <c r="G72" s="23"/>
      <c r="H72" s="23"/>
      <c r="I72" s="23"/>
      <c r="J72" s="23"/>
      <c r="K72" s="23"/>
      <c r="L72" s="23"/>
      <c r="M72" s="23"/>
      <c r="N72" s="23"/>
      <c r="O72" s="24"/>
      <c r="P72" s="24"/>
      <c r="Q72" s="24"/>
      <c r="R72" s="25"/>
      <c r="S72" s="25"/>
    </row>
    <row r="73">
      <c r="E73" s="22"/>
      <c r="F73" s="22"/>
      <c r="G73" s="23"/>
      <c r="H73" s="23"/>
      <c r="I73" s="23"/>
      <c r="J73" s="23"/>
      <c r="K73" s="23"/>
      <c r="L73" s="23"/>
      <c r="M73" s="23"/>
      <c r="N73" s="23"/>
      <c r="O73" s="24"/>
      <c r="P73" s="24"/>
      <c r="Q73" s="24"/>
      <c r="R73" s="25"/>
      <c r="S73" s="25"/>
    </row>
    <row r="74">
      <c r="E74" s="22"/>
      <c r="F74" s="22"/>
      <c r="G74" s="23"/>
      <c r="H74" s="23"/>
      <c r="I74" s="23"/>
      <c r="J74" s="23"/>
      <c r="K74" s="23"/>
      <c r="L74" s="23"/>
      <c r="M74" s="23"/>
      <c r="N74" s="23"/>
      <c r="O74" s="24"/>
      <c r="P74" s="24"/>
      <c r="Q74" s="24"/>
      <c r="R74" s="25"/>
      <c r="S74" s="25"/>
    </row>
    <row r="75">
      <c r="E75" s="22"/>
      <c r="F75" s="22"/>
      <c r="G75" s="23"/>
      <c r="H75" s="23"/>
      <c r="I75" s="23"/>
      <c r="J75" s="23"/>
      <c r="K75" s="23"/>
      <c r="L75" s="23"/>
      <c r="M75" s="23"/>
      <c r="N75" s="23"/>
      <c r="O75" s="24"/>
      <c r="P75" s="24"/>
      <c r="Q75" s="24"/>
      <c r="R75" s="25"/>
      <c r="S75" s="25"/>
    </row>
    <row r="76">
      <c r="E76" s="22"/>
      <c r="F76" s="22"/>
      <c r="G76" s="23"/>
      <c r="H76" s="23"/>
      <c r="I76" s="23"/>
      <c r="J76" s="23"/>
      <c r="K76" s="23"/>
      <c r="L76" s="23"/>
      <c r="M76" s="23"/>
      <c r="N76" s="23"/>
      <c r="O76" s="24"/>
      <c r="P76" s="24"/>
      <c r="Q76" s="24"/>
      <c r="R76" s="25"/>
      <c r="S76" s="25"/>
    </row>
    <row r="77">
      <c r="E77" s="22"/>
      <c r="F77" s="22"/>
      <c r="G77" s="23"/>
      <c r="H77" s="23"/>
      <c r="I77" s="23"/>
      <c r="J77" s="23"/>
      <c r="K77" s="23"/>
      <c r="L77" s="23"/>
      <c r="M77" s="23"/>
      <c r="N77" s="23"/>
      <c r="O77" s="24"/>
      <c r="P77" s="24"/>
      <c r="Q77" s="24"/>
      <c r="R77" s="25"/>
      <c r="S77" s="25"/>
    </row>
    <row r="78">
      <c r="E78" s="22"/>
      <c r="F78" s="22"/>
      <c r="G78" s="23"/>
      <c r="H78" s="23"/>
      <c r="I78" s="23"/>
      <c r="J78" s="23"/>
      <c r="K78" s="23"/>
      <c r="L78" s="23"/>
      <c r="M78" s="23"/>
      <c r="N78" s="23"/>
      <c r="O78" s="24"/>
      <c r="P78" s="24"/>
      <c r="Q78" s="24"/>
      <c r="R78" s="25"/>
      <c r="S78" s="25"/>
    </row>
    <row r="79">
      <c r="E79" s="22"/>
      <c r="F79" s="22"/>
      <c r="G79" s="23"/>
      <c r="H79" s="23"/>
      <c r="I79" s="23"/>
      <c r="J79" s="23"/>
      <c r="K79" s="23"/>
      <c r="L79" s="23"/>
      <c r="M79" s="23"/>
      <c r="N79" s="23"/>
      <c r="O79" s="24"/>
      <c r="P79" s="24"/>
      <c r="Q79" s="24"/>
      <c r="R79" s="25"/>
      <c r="S79" s="25"/>
    </row>
    <row r="80">
      <c r="E80" s="22"/>
      <c r="F80" s="22"/>
      <c r="G80" s="23"/>
      <c r="H80" s="23"/>
      <c r="I80" s="23"/>
      <c r="J80" s="23"/>
      <c r="K80" s="23"/>
      <c r="L80" s="23"/>
      <c r="M80" s="23"/>
      <c r="N80" s="23"/>
      <c r="O80" s="24"/>
      <c r="P80" s="24"/>
      <c r="Q80" s="24"/>
      <c r="R80" s="25"/>
      <c r="S80" s="25"/>
    </row>
    <row r="81">
      <c r="E81" s="22"/>
      <c r="F81" s="22"/>
      <c r="G81" s="23"/>
      <c r="H81" s="23"/>
      <c r="I81" s="23"/>
      <c r="J81" s="23"/>
      <c r="K81" s="23"/>
      <c r="L81" s="23"/>
      <c r="M81" s="23"/>
      <c r="N81" s="23"/>
      <c r="O81" s="24"/>
      <c r="P81" s="24"/>
      <c r="Q81" s="24"/>
      <c r="R81" s="25"/>
      <c r="S81" s="25"/>
    </row>
    <row r="82">
      <c r="E82" s="22"/>
      <c r="F82" s="22"/>
      <c r="G82" s="23"/>
      <c r="H82" s="23"/>
      <c r="I82" s="23"/>
      <c r="J82" s="23"/>
      <c r="K82" s="23"/>
      <c r="L82" s="23"/>
      <c r="M82" s="23"/>
      <c r="N82" s="23"/>
      <c r="O82" s="24"/>
      <c r="P82" s="24"/>
      <c r="Q82" s="24"/>
      <c r="R82" s="25"/>
      <c r="S82" s="25"/>
    </row>
    <row r="83">
      <c r="E83" s="22"/>
      <c r="F83" s="22"/>
      <c r="G83" s="23"/>
      <c r="H83" s="23"/>
      <c r="I83" s="23"/>
      <c r="J83" s="23"/>
      <c r="K83" s="23"/>
      <c r="L83" s="23"/>
      <c r="M83" s="23"/>
      <c r="N83" s="23"/>
      <c r="O83" s="24"/>
      <c r="P83" s="24"/>
      <c r="Q83" s="24"/>
      <c r="R83" s="25"/>
      <c r="S83" s="25"/>
    </row>
    <row r="84">
      <c r="E84" s="22"/>
      <c r="F84" s="22"/>
      <c r="G84" s="23"/>
      <c r="H84" s="23"/>
      <c r="I84" s="23"/>
      <c r="J84" s="23"/>
      <c r="K84" s="23"/>
      <c r="L84" s="23"/>
      <c r="M84" s="23"/>
      <c r="N84" s="23"/>
      <c r="O84" s="24"/>
      <c r="P84" s="24"/>
      <c r="Q84" s="24"/>
      <c r="R84" s="25"/>
      <c r="S84" s="25"/>
    </row>
    <row r="85">
      <c r="E85" s="22"/>
      <c r="F85" s="22"/>
      <c r="G85" s="23"/>
      <c r="H85" s="23"/>
      <c r="I85" s="23"/>
      <c r="J85" s="23"/>
      <c r="K85" s="23"/>
      <c r="L85" s="23"/>
      <c r="M85" s="23"/>
      <c r="N85" s="23"/>
      <c r="O85" s="24"/>
      <c r="P85" s="24"/>
      <c r="Q85" s="24"/>
      <c r="R85" s="25"/>
      <c r="S85" s="25"/>
    </row>
    <row r="86">
      <c r="E86" s="22"/>
      <c r="F86" s="22"/>
      <c r="G86" s="23"/>
      <c r="H86" s="23"/>
      <c r="I86" s="23"/>
      <c r="J86" s="23"/>
      <c r="K86" s="23"/>
      <c r="L86" s="23"/>
      <c r="M86" s="23"/>
      <c r="N86" s="23"/>
      <c r="O86" s="24"/>
      <c r="P86" s="24"/>
      <c r="Q86" s="24"/>
      <c r="R86" s="25"/>
      <c r="S86" s="25"/>
    </row>
    <row r="87">
      <c r="E87" s="22"/>
      <c r="F87" s="22"/>
      <c r="G87" s="23"/>
      <c r="H87" s="23"/>
      <c r="I87" s="23"/>
      <c r="J87" s="23"/>
      <c r="K87" s="23"/>
      <c r="L87" s="23"/>
      <c r="M87" s="23"/>
      <c r="N87" s="23"/>
      <c r="O87" s="24"/>
      <c r="P87" s="24"/>
      <c r="Q87" s="24"/>
      <c r="R87" s="25"/>
      <c r="S87" s="25"/>
    </row>
    <row r="88">
      <c r="E88" s="22"/>
      <c r="F88" s="22"/>
      <c r="G88" s="23"/>
      <c r="H88" s="23"/>
      <c r="I88" s="23"/>
      <c r="J88" s="23"/>
      <c r="K88" s="23"/>
      <c r="L88" s="23"/>
      <c r="M88" s="23"/>
      <c r="N88" s="23"/>
      <c r="O88" s="24"/>
      <c r="P88" s="24"/>
      <c r="Q88" s="24"/>
      <c r="R88" s="25"/>
      <c r="S88" s="25"/>
    </row>
    <row r="89">
      <c r="E89" s="22"/>
      <c r="F89" s="22"/>
      <c r="G89" s="23"/>
      <c r="H89" s="23"/>
      <c r="I89" s="23"/>
      <c r="J89" s="23"/>
      <c r="K89" s="23"/>
      <c r="L89" s="23"/>
      <c r="M89" s="23"/>
      <c r="N89" s="23"/>
      <c r="O89" s="24"/>
      <c r="P89" s="24"/>
      <c r="Q89" s="24"/>
      <c r="R89" s="25"/>
      <c r="S89" s="25"/>
    </row>
    <row r="90">
      <c r="E90" s="22"/>
      <c r="F90" s="22"/>
      <c r="G90" s="23"/>
      <c r="H90" s="23"/>
      <c r="I90" s="23"/>
      <c r="J90" s="23"/>
      <c r="K90" s="23"/>
      <c r="L90" s="23"/>
      <c r="M90" s="23"/>
      <c r="N90" s="23"/>
      <c r="O90" s="24"/>
      <c r="P90" s="24"/>
      <c r="Q90" s="24"/>
      <c r="R90" s="25"/>
      <c r="S90" s="25"/>
    </row>
    <row r="91">
      <c r="E91" s="22"/>
      <c r="F91" s="22"/>
      <c r="G91" s="23"/>
      <c r="H91" s="23"/>
      <c r="I91" s="23"/>
      <c r="J91" s="23"/>
      <c r="K91" s="23"/>
      <c r="L91" s="23"/>
      <c r="M91" s="23"/>
      <c r="N91" s="23"/>
      <c r="O91" s="24"/>
      <c r="P91" s="24"/>
      <c r="Q91" s="24"/>
      <c r="R91" s="25"/>
      <c r="S91" s="25"/>
    </row>
    <row r="92">
      <c r="E92" s="22"/>
      <c r="F92" s="22"/>
      <c r="G92" s="23"/>
      <c r="H92" s="23"/>
      <c r="I92" s="23"/>
      <c r="J92" s="23"/>
      <c r="K92" s="23"/>
      <c r="L92" s="23"/>
      <c r="M92" s="23"/>
      <c r="N92" s="23"/>
      <c r="O92" s="24"/>
      <c r="P92" s="24"/>
      <c r="Q92" s="24"/>
      <c r="R92" s="25"/>
      <c r="S92" s="25"/>
    </row>
    <row r="93">
      <c r="E93" s="22"/>
      <c r="F93" s="22"/>
      <c r="G93" s="23"/>
      <c r="H93" s="23"/>
      <c r="I93" s="23"/>
      <c r="J93" s="23"/>
      <c r="K93" s="23"/>
      <c r="L93" s="23"/>
      <c r="M93" s="23"/>
      <c r="N93" s="23"/>
      <c r="O93" s="24"/>
      <c r="P93" s="24"/>
      <c r="Q93" s="24"/>
      <c r="R93" s="25"/>
      <c r="S93" s="25"/>
    </row>
    <row r="94">
      <c r="E94" s="22"/>
      <c r="F94" s="22"/>
      <c r="G94" s="23"/>
      <c r="H94" s="23"/>
      <c r="I94" s="23"/>
      <c r="J94" s="23"/>
      <c r="K94" s="23"/>
      <c r="L94" s="23"/>
      <c r="M94" s="23"/>
      <c r="N94" s="23"/>
      <c r="O94" s="24"/>
      <c r="P94" s="24"/>
      <c r="Q94" s="24"/>
      <c r="R94" s="25"/>
      <c r="S94" s="25"/>
    </row>
    <row r="95">
      <c r="E95" s="22"/>
      <c r="F95" s="22"/>
      <c r="G95" s="23"/>
      <c r="H95" s="23"/>
      <c r="I95" s="23"/>
      <c r="J95" s="23"/>
      <c r="K95" s="23"/>
      <c r="L95" s="23"/>
      <c r="M95" s="23"/>
      <c r="N95" s="23"/>
      <c r="O95" s="24"/>
      <c r="P95" s="24"/>
      <c r="Q95" s="24"/>
      <c r="R95" s="25"/>
      <c r="S95" s="25"/>
    </row>
    <row r="96">
      <c r="E96" s="22"/>
      <c r="F96" s="22"/>
      <c r="G96" s="23"/>
      <c r="H96" s="23"/>
      <c r="I96" s="23"/>
      <c r="J96" s="23"/>
      <c r="K96" s="23"/>
      <c r="L96" s="23"/>
      <c r="M96" s="23"/>
      <c r="N96" s="23"/>
      <c r="O96" s="24"/>
      <c r="P96" s="24"/>
      <c r="Q96" s="24"/>
      <c r="R96" s="25"/>
      <c r="S96" s="25"/>
    </row>
    <row r="97">
      <c r="E97" s="22"/>
      <c r="F97" s="22"/>
      <c r="G97" s="23"/>
      <c r="H97" s="23"/>
      <c r="I97" s="23"/>
      <c r="J97" s="23"/>
      <c r="K97" s="23"/>
      <c r="L97" s="23"/>
      <c r="M97" s="23"/>
      <c r="N97" s="23"/>
      <c r="O97" s="24"/>
      <c r="P97" s="24"/>
      <c r="Q97" s="24"/>
      <c r="R97" s="25"/>
      <c r="S97" s="25"/>
    </row>
    <row r="98">
      <c r="E98" s="22"/>
      <c r="F98" s="22"/>
      <c r="G98" s="23"/>
      <c r="H98" s="23"/>
      <c r="I98" s="23"/>
      <c r="J98" s="23"/>
      <c r="K98" s="23"/>
      <c r="L98" s="23"/>
      <c r="M98" s="23"/>
      <c r="N98" s="23"/>
      <c r="O98" s="24"/>
      <c r="P98" s="24"/>
      <c r="Q98" s="24"/>
      <c r="R98" s="25"/>
      <c r="S98" s="25"/>
    </row>
    <row r="99">
      <c r="E99" s="22"/>
      <c r="F99" s="22"/>
      <c r="G99" s="23"/>
      <c r="H99" s="23"/>
      <c r="I99" s="23"/>
      <c r="J99" s="23"/>
      <c r="K99" s="23"/>
      <c r="L99" s="23"/>
      <c r="M99" s="23"/>
      <c r="N99" s="23"/>
      <c r="O99" s="24"/>
      <c r="P99" s="24"/>
      <c r="Q99" s="24"/>
      <c r="R99" s="25"/>
      <c r="S99" s="25"/>
    </row>
    <row r="100">
      <c r="E100" s="22"/>
      <c r="F100" s="22"/>
      <c r="G100" s="23"/>
      <c r="H100" s="23"/>
      <c r="I100" s="23"/>
      <c r="J100" s="23"/>
      <c r="K100" s="23"/>
      <c r="L100" s="23"/>
      <c r="M100" s="23"/>
      <c r="N100" s="23"/>
      <c r="O100" s="24"/>
      <c r="P100" s="24"/>
      <c r="Q100" s="24"/>
      <c r="R100" s="25"/>
      <c r="S100" s="25"/>
    </row>
    <row r="101">
      <c r="E101" s="22"/>
      <c r="F101" s="22"/>
      <c r="G101" s="23"/>
      <c r="H101" s="23"/>
      <c r="I101" s="23"/>
      <c r="J101" s="23"/>
      <c r="K101" s="23"/>
      <c r="L101" s="23"/>
      <c r="M101" s="23"/>
      <c r="N101" s="23"/>
      <c r="O101" s="24"/>
      <c r="P101" s="24"/>
      <c r="Q101" s="24"/>
      <c r="R101" s="25"/>
      <c r="S101" s="25"/>
    </row>
    <row r="102">
      <c r="E102" s="22"/>
      <c r="F102" s="22"/>
      <c r="G102" s="23"/>
      <c r="H102" s="23"/>
      <c r="I102" s="23"/>
      <c r="J102" s="23"/>
      <c r="K102" s="23"/>
      <c r="L102" s="23"/>
      <c r="M102" s="23"/>
      <c r="N102" s="23"/>
      <c r="O102" s="24"/>
      <c r="P102" s="24"/>
      <c r="Q102" s="24"/>
      <c r="R102" s="25"/>
      <c r="S102" s="25"/>
    </row>
    <row r="103">
      <c r="E103" s="22"/>
      <c r="F103" s="22"/>
      <c r="G103" s="23"/>
      <c r="H103" s="23"/>
      <c r="I103" s="23"/>
      <c r="J103" s="23"/>
      <c r="K103" s="23"/>
      <c r="L103" s="23"/>
      <c r="M103" s="23"/>
      <c r="N103" s="23"/>
      <c r="O103" s="24"/>
      <c r="P103" s="24"/>
      <c r="Q103" s="24"/>
      <c r="R103" s="25"/>
      <c r="S103" s="25"/>
    </row>
    <row r="104">
      <c r="E104" s="22"/>
      <c r="F104" s="22"/>
      <c r="G104" s="23"/>
      <c r="H104" s="23"/>
      <c r="I104" s="23"/>
      <c r="J104" s="23"/>
      <c r="K104" s="23"/>
      <c r="L104" s="23"/>
      <c r="M104" s="23"/>
      <c r="N104" s="23"/>
      <c r="O104" s="24"/>
      <c r="P104" s="24"/>
      <c r="Q104" s="24"/>
      <c r="R104" s="25"/>
      <c r="S104" s="25"/>
    </row>
    <row r="105">
      <c r="E105" s="22"/>
      <c r="F105" s="22"/>
      <c r="G105" s="23"/>
      <c r="H105" s="23"/>
      <c r="I105" s="23"/>
      <c r="J105" s="23"/>
      <c r="K105" s="23"/>
      <c r="L105" s="23"/>
      <c r="M105" s="23"/>
      <c r="N105" s="23"/>
      <c r="O105" s="24"/>
      <c r="P105" s="24"/>
      <c r="Q105" s="24"/>
      <c r="R105" s="25"/>
      <c r="S105" s="25"/>
    </row>
    <row r="106">
      <c r="E106" s="22"/>
      <c r="F106" s="22"/>
      <c r="G106" s="23"/>
      <c r="H106" s="23"/>
      <c r="I106" s="23"/>
      <c r="J106" s="23"/>
      <c r="K106" s="23"/>
      <c r="L106" s="23"/>
      <c r="M106" s="23"/>
      <c r="N106" s="23"/>
      <c r="O106" s="24"/>
      <c r="P106" s="24"/>
      <c r="Q106" s="24"/>
      <c r="R106" s="25"/>
      <c r="S106" s="25"/>
    </row>
    <row r="107">
      <c r="E107" s="22"/>
      <c r="F107" s="22"/>
      <c r="G107" s="23"/>
      <c r="H107" s="23"/>
      <c r="I107" s="23"/>
      <c r="J107" s="23"/>
      <c r="K107" s="23"/>
      <c r="L107" s="23"/>
      <c r="M107" s="23"/>
      <c r="N107" s="23"/>
      <c r="O107" s="24"/>
      <c r="P107" s="24"/>
      <c r="Q107" s="24"/>
      <c r="R107" s="25"/>
      <c r="S107" s="25"/>
    </row>
    <row r="108">
      <c r="E108" s="22"/>
      <c r="F108" s="22"/>
      <c r="G108" s="23"/>
      <c r="H108" s="23"/>
      <c r="I108" s="23"/>
      <c r="J108" s="23"/>
      <c r="K108" s="23"/>
      <c r="L108" s="23"/>
      <c r="M108" s="23"/>
      <c r="N108" s="23"/>
      <c r="O108" s="24"/>
      <c r="P108" s="24"/>
      <c r="Q108" s="24"/>
      <c r="R108" s="25"/>
      <c r="S108" s="25"/>
    </row>
    <row r="109">
      <c r="E109" s="22"/>
      <c r="F109" s="22"/>
      <c r="G109" s="23"/>
      <c r="H109" s="23"/>
      <c r="I109" s="23"/>
      <c r="J109" s="23"/>
      <c r="K109" s="23"/>
      <c r="L109" s="23"/>
      <c r="M109" s="23"/>
      <c r="N109" s="23"/>
      <c r="O109" s="24"/>
      <c r="P109" s="24"/>
      <c r="Q109" s="24"/>
      <c r="R109" s="25"/>
      <c r="S109" s="25"/>
    </row>
    <row r="110">
      <c r="E110" s="22"/>
      <c r="F110" s="22"/>
      <c r="G110" s="23"/>
      <c r="H110" s="23"/>
      <c r="I110" s="23"/>
      <c r="J110" s="23"/>
      <c r="K110" s="23"/>
      <c r="L110" s="23"/>
      <c r="M110" s="23"/>
      <c r="N110" s="23"/>
      <c r="O110" s="24"/>
      <c r="P110" s="24"/>
      <c r="Q110" s="24"/>
      <c r="R110" s="25"/>
      <c r="S110" s="25"/>
    </row>
    <row r="111">
      <c r="E111" s="22"/>
      <c r="F111" s="22"/>
      <c r="G111" s="23"/>
      <c r="H111" s="23"/>
      <c r="I111" s="23"/>
      <c r="J111" s="23"/>
      <c r="K111" s="23"/>
      <c r="L111" s="23"/>
      <c r="M111" s="23"/>
      <c r="N111" s="23"/>
      <c r="O111" s="24"/>
      <c r="P111" s="24"/>
      <c r="Q111" s="24"/>
      <c r="R111" s="25"/>
      <c r="S111" s="25"/>
    </row>
    <row r="112">
      <c r="E112" s="22"/>
      <c r="F112" s="22"/>
      <c r="G112" s="23"/>
      <c r="H112" s="23"/>
      <c r="I112" s="23"/>
      <c r="J112" s="23"/>
      <c r="K112" s="23"/>
      <c r="L112" s="23"/>
      <c r="M112" s="23"/>
      <c r="N112" s="23"/>
      <c r="O112" s="24"/>
      <c r="P112" s="24"/>
      <c r="Q112" s="24"/>
      <c r="R112" s="25"/>
      <c r="S112" s="25"/>
    </row>
    <row r="113">
      <c r="E113" s="22"/>
      <c r="F113" s="22"/>
      <c r="G113" s="23"/>
      <c r="H113" s="23"/>
      <c r="I113" s="23"/>
      <c r="J113" s="23"/>
      <c r="K113" s="23"/>
      <c r="L113" s="23"/>
      <c r="M113" s="23"/>
      <c r="N113" s="23"/>
      <c r="O113" s="24"/>
      <c r="P113" s="24"/>
      <c r="Q113" s="24"/>
      <c r="R113" s="25"/>
      <c r="S113" s="25"/>
    </row>
    <row r="114">
      <c r="E114" s="22"/>
      <c r="F114" s="22"/>
      <c r="G114" s="23"/>
      <c r="H114" s="23"/>
      <c r="I114" s="23"/>
      <c r="J114" s="23"/>
      <c r="K114" s="23"/>
      <c r="L114" s="23"/>
      <c r="M114" s="23"/>
      <c r="N114" s="23"/>
      <c r="O114" s="24"/>
      <c r="P114" s="24"/>
      <c r="Q114" s="24"/>
      <c r="R114" s="25"/>
      <c r="S114" s="25"/>
    </row>
    <row r="115">
      <c r="E115" s="22"/>
      <c r="F115" s="22"/>
      <c r="G115" s="23"/>
      <c r="H115" s="23"/>
      <c r="I115" s="23"/>
      <c r="J115" s="23"/>
      <c r="K115" s="23"/>
      <c r="L115" s="23"/>
      <c r="M115" s="23"/>
      <c r="N115" s="23"/>
      <c r="O115" s="24"/>
      <c r="P115" s="24"/>
      <c r="Q115" s="24"/>
      <c r="R115" s="25"/>
      <c r="S115" s="25"/>
    </row>
    <row r="116">
      <c r="E116" s="22"/>
      <c r="F116" s="22"/>
      <c r="G116" s="23"/>
      <c r="H116" s="23"/>
      <c r="I116" s="23"/>
      <c r="J116" s="23"/>
      <c r="K116" s="23"/>
      <c r="L116" s="23"/>
      <c r="M116" s="23"/>
      <c r="N116" s="23"/>
      <c r="O116" s="24"/>
      <c r="P116" s="24"/>
      <c r="Q116" s="24"/>
      <c r="R116" s="25"/>
      <c r="S116" s="25"/>
    </row>
    <row r="117">
      <c r="E117" s="22"/>
      <c r="F117" s="22"/>
      <c r="G117" s="23"/>
      <c r="H117" s="23"/>
      <c r="I117" s="23"/>
      <c r="J117" s="23"/>
      <c r="K117" s="23"/>
      <c r="L117" s="23"/>
      <c r="M117" s="23"/>
      <c r="N117" s="23"/>
      <c r="O117" s="24"/>
      <c r="P117" s="24"/>
      <c r="Q117" s="24"/>
      <c r="R117" s="25"/>
      <c r="S117" s="25"/>
    </row>
    <row r="118">
      <c r="E118" s="22"/>
      <c r="F118" s="22"/>
      <c r="G118" s="23"/>
      <c r="H118" s="23"/>
      <c r="I118" s="23"/>
      <c r="J118" s="23"/>
      <c r="K118" s="23"/>
      <c r="L118" s="23"/>
      <c r="M118" s="23"/>
      <c r="N118" s="23"/>
      <c r="O118" s="24"/>
      <c r="P118" s="24"/>
      <c r="Q118" s="24"/>
      <c r="R118" s="25"/>
      <c r="S118" s="25"/>
    </row>
    <row r="119">
      <c r="E119" s="22"/>
      <c r="F119" s="22"/>
      <c r="G119" s="23"/>
      <c r="H119" s="23"/>
      <c r="I119" s="23"/>
      <c r="J119" s="23"/>
      <c r="K119" s="23"/>
      <c r="L119" s="23"/>
      <c r="M119" s="23"/>
      <c r="N119" s="23"/>
      <c r="O119" s="24"/>
      <c r="P119" s="24"/>
      <c r="Q119" s="24"/>
      <c r="R119" s="25"/>
      <c r="S119" s="25"/>
    </row>
    <row r="120">
      <c r="E120" s="22"/>
      <c r="F120" s="22"/>
      <c r="G120" s="23"/>
      <c r="H120" s="23"/>
      <c r="I120" s="23"/>
      <c r="J120" s="23"/>
      <c r="K120" s="23"/>
      <c r="L120" s="23"/>
      <c r="M120" s="23"/>
      <c r="N120" s="23"/>
      <c r="O120" s="24"/>
      <c r="P120" s="24"/>
      <c r="Q120" s="24"/>
      <c r="R120" s="25"/>
      <c r="S120" s="25"/>
    </row>
    <row r="121">
      <c r="E121" s="22"/>
      <c r="F121" s="22"/>
      <c r="G121" s="23"/>
      <c r="H121" s="23"/>
      <c r="I121" s="23"/>
      <c r="J121" s="23"/>
      <c r="K121" s="23"/>
      <c r="L121" s="23"/>
      <c r="M121" s="23"/>
      <c r="N121" s="23"/>
      <c r="O121" s="24"/>
      <c r="P121" s="24"/>
      <c r="Q121" s="24"/>
      <c r="R121" s="25"/>
      <c r="S121" s="25"/>
    </row>
    <row r="122">
      <c r="E122" s="22"/>
      <c r="F122" s="22"/>
      <c r="G122" s="23"/>
      <c r="H122" s="23"/>
      <c r="I122" s="23"/>
      <c r="J122" s="23"/>
      <c r="K122" s="23"/>
      <c r="L122" s="23"/>
      <c r="M122" s="23"/>
      <c r="N122" s="23"/>
      <c r="O122" s="24"/>
      <c r="P122" s="24"/>
      <c r="Q122" s="24"/>
      <c r="R122" s="25"/>
      <c r="S122" s="25"/>
    </row>
    <row r="123">
      <c r="E123" s="22"/>
      <c r="F123" s="22"/>
      <c r="G123" s="23"/>
      <c r="H123" s="23"/>
      <c r="I123" s="23"/>
      <c r="J123" s="23"/>
      <c r="K123" s="23"/>
      <c r="L123" s="23"/>
      <c r="M123" s="23"/>
      <c r="N123" s="23"/>
      <c r="O123" s="24"/>
      <c r="P123" s="24"/>
      <c r="Q123" s="24"/>
      <c r="R123" s="25"/>
      <c r="S123" s="25"/>
    </row>
    <row r="124">
      <c r="E124" s="22"/>
      <c r="F124" s="22"/>
      <c r="G124" s="23"/>
      <c r="H124" s="23"/>
      <c r="I124" s="23"/>
      <c r="J124" s="23"/>
      <c r="K124" s="23"/>
      <c r="L124" s="23"/>
      <c r="M124" s="23"/>
      <c r="N124" s="23"/>
      <c r="O124" s="24"/>
      <c r="P124" s="24"/>
      <c r="Q124" s="24"/>
      <c r="R124" s="25"/>
      <c r="S124" s="25"/>
    </row>
    <row r="125">
      <c r="E125" s="22"/>
      <c r="F125" s="22"/>
      <c r="G125" s="23"/>
      <c r="H125" s="23"/>
      <c r="I125" s="23"/>
      <c r="J125" s="23"/>
      <c r="K125" s="23"/>
      <c r="L125" s="23"/>
      <c r="M125" s="23"/>
      <c r="N125" s="23"/>
      <c r="O125" s="24"/>
      <c r="P125" s="24"/>
      <c r="Q125" s="24"/>
      <c r="R125" s="25"/>
      <c r="S125" s="25"/>
    </row>
    <row r="126">
      <c r="E126" s="22"/>
      <c r="F126" s="22"/>
      <c r="G126" s="23"/>
      <c r="H126" s="23"/>
      <c r="I126" s="23"/>
      <c r="J126" s="23"/>
      <c r="K126" s="23"/>
      <c r="L126" s="23"/>
      <c r="M126" s="23"/>
      <c r="N126" s="23"/>
      <c r="O126" s="24"/>
      <c r="P126" s="24"/>
      <c r="Q126" s="24"/>
      <c r="R126" s="25"/>
      <c r="S126" s="25"/>
    </row>
    <row r="127">
      <c r="E127" s="22"/>
      <c r="F127" s="22"/>
      <c r="G127" s="23"/>
      <c r="H127" s="23"/>
      <c r="I127" s="23"/>
      <c r="J127" s="23"/>
      <c r="K127" s="23"/>
      <c r="L127" s="23"/>
      <c r="M127" s="23"/>
      <c r="N127" s="23"/>
      <c r="O127" s="24"/>
      <c r="P127" s="24"/>
      <c r="Q127" s="24"/>
      <c r="R127" s="25"/>
      <c r="S127" s="25"/>
    </row>
    <row r="128">
      <c r="E128" s="22"/>
      <c r="F128" s="22"/>
      <c r="G128" s="23"/>
      <c r="H128" s="23"/>
      <c r="I128" s="23"/>
      <c r="J128" s="23"/>
      <c r="K128" s="23"/>
      <c r="L128" s="23"/>
      <c r="M128" s="23"/>
      <c r="N128" s="23"/>
      <c r="O128" s="24"/>
      <c r="P128" s="24"/>
      <c r="Q128" s="24"/>
      <c r="R128" s="25"/>
      <c r="S128" s="25"/>
    </row>
    <row r="129">
      <c r="E129" s="22"/>
      <c r="F129" s="22"/>
      <c r="G129" s="23"/>
      <c r="H129" s="23"/>
      <c r="I129" s="23"/>
      <c r="J129" s="23"/>
      <c r="K129" s="23"/>
      <c r="L129" s="23"/>
      <c r="M129" s="23"/>
      <c r="N129" s="23"/>
      <c r="O129" s="24"/>
      <c r="P129" s="24"/>
      <c r="Q129" s="24"/>
      <c r="R129" s="25"/>
      <c r="S129" s="25"/>
    </row>
    <row r="130">
      <c r="E130" s="22"/>
      <c r="F130" s="22"/>
      <c r="G130" s="23"/>
      <c r="H130" s="23"/>
      <c r="I130" s="23"/>
      <c r="J130" s="23"/>
      <c r="K130" s="23"/>
      <c r="L130" s="23"/>
      <c r="M130" s="23"/>
      <c r="N130" s="23"/>
      <c r="O130" s="24"/>
      <c r="P130" s="24"/>
      <c r="Q130" s="24"/>
      <c r="R130" s="25"/>
      <c r="S130" s="25"/>
    </row>
    <row r="131">
      <c r="E131" s="22"/>
      <c r="F131" s="22"/>
      <c r="G131" s="23"/>
      <c r="H131" s="23"/>
      <c r="I131" s="23"/>
      <c r="J131" s="23"/>
      <c r="K131" s="23"/>
      <c r="L131" s="23"/>
      <c r="M131" s="23"/>
      <c r="N131" s="23"/>
      <c r="O131" s="24"/>
      <c r="P131" s="24"/>
      <c r="Q131" s="24"/>
      <c r="R131" s="25"/>
      <c r="S131" s="25"/>
    </row>
    <row r="132">
      <c r="E132" s="22"/>
      <c r="F132" s="22"/>
      <c r="G132" s="23"/>
      <c r="H132" s="23"/>
      <c r="I132" s="23"/>
      <c r="J132" s="23"/>
      <c r="K132" s="23"/>
      <c r="L132" s="23"/>
      <c r="M132" s="23"/>
      <c r="N132" s="23"/>
      <c r="O132" s="24"/>
      <c r="P132" s="24"/>
      <c r="Q132" s="24"/>
      <c r="R132" s="25"/>
      <c r="S132" s="25"/>
    </row>
    <row r="133">
      <c r="E133" s="22"/>
      <c r="F133" s="22"/>
      <c r="G133" s="23"/>
      <c r="H133" s="23"/>
      <c r="I133" s="23"/>
      <c r="J133" s="23"/>
      <c r="K133" s="23"/>
      <c r="L133" s="23"/>
      <c r="M133" s="23"/>
      <c r="N133" s="23"/>
      <c r="O133" s="24"/>
      <c r="P133" s="24"/>
      <c r="Q133" s="24"/>
      <c r="R133" s="25"/>
      <c r="S133" s="25"/>
    </row>
    <row r="134">
      <c r="E134" s="22"/>
      <c r="F134" s="22"/>
      <c r="G134" s="23"/>
      <c r="H134" s="23"/>
      <c r="I134" s="23"/>
      <c r="J134" s="23"/>
      <c r="K134" s="23"/>
      <c r="L134" s="23"/>
      <c r="M134" s="23"/>
      <c r="N134" s="23"/>
      <c r="O134" s="24"/>
      <c r="P134" s="24"/>
      <c r="Q134" s="24"/>
      <c r="R134" s="25"/>
      <c r="S134" s="25"/>
    </row>
    <row r="135">
      <c r="E135" s="22"/>
      <c r="F135" s="22"/>
      <c r="G135" s="23"/>
      <c r="H135" s="23"/>
      <c r="I135" s="23"/>
      <c r="J135" s="23"/>
      <c r="K135" s="23"/>
      <c r="L135" s="23"/>
      <c r="M135" s="23"/>
      <c r="N135" s="23"/>
      <c r="O135" s="24"/>
      <c r="P135" s="24"/>
      <c r="Q135" s="24"/>
      <c r="R135" s="25"/>
      <c r="S135" s="25"/>
    </row>
    <row r="136">
      <c r="E136" s="22"/>
      <c r="F136" s="22"/>
      <c r="G136" s="23"/>
      <c r="H136" s="23"/>
      <c r="I136" s="23"/>
      <c r="J136" s="23"/>
      <c r="K136" s="23"/>
      <c r="L136" s="23"/>
      <c r="M136" s="23"/>
      <c r="N136" s="23"/>
      <c r="O136" s="24"/>
      <c r="P136" s="24"/>
      <c r="Q136" s="24"/>
      <c r="R136" s="25"/>
      <c r="S136" s="25"/>
    </row>
    <row r="137">
      <c r="E137" s="22"/>
      <c r="F137" s="22"/>
      <c r="G137" s="23"/>
      <c r="H137" s="23"/>
      <c r="I137" s="23"/>
      <c r="J137" s="23"/>
      <c r="K137" s="23"/>
      <c r="L137" s="23"/>
      <c r="M137" s="23"/>
      <c r="N137" s="23"/>
      <c r="O137" s="24"/>
      <c r="P137" s="24"/>
      <c r="Q137" s="24"/>
      <c r="R137" s="25"/>
      <c r="S137" s="25"/>
    </row>
    <row r="138">
      <c r="E138" s="22"/>
      <c r="F138" s="22"/>
      <c r="G138" s="23"/>
      <c r="H138" s="23"/>
      <c r="I138" s="23"/>
      <c r="J138" s="23"/>
      <c r="K138" s="23"/>
      <c r="L138" s="23"/>
      <c r="M138" s="23"/>
      <c r="N138" s="23"/>
      <c r="O138" s="24"/>
      <c r="P138" s="24"/>
      <c r="Q138" s="24"/>
      <c r="R138" s="25"/>
      <c r="S138" s="25"/>
    </row>
    <row r="139">
      <c r="E139" s="22"/>
      <c r="F139" s="22"/>
      <c r="G139" s="23"/>
      <c r="H139" s="23"/>
      <c r="I139" s="23"/>
      <c r="J139" s="23"/>
      <c r="K139" s="23"/>
      <c r="L139" s="23"/>
      <c r="M139" s="23"/>
      <c r="N139" s="23"/>
      <c r="O139" s="24"/>
      <c r="P139" s="24"/>
      <c r="Q139" s="24"/>
      <c r="R139" s="25"/>
      <c r="S139" s="25"/>
    </row>
    <row r="140">
      <c r="E140" s="22"/>
      <c r="F140" s="22"/>
      <c r="G140" s="23"/>
      <c r="H140" s="23"/>
      <c r="I140" s="23"/>
      <c r="J140" s="23"/>
      <c r="K140" s="23"/>
      <c r="L140" s="23"/>
      <c r="M140" s="23"/>
      <c r="N140" s="23"/>
      <c r="O140" s="24"/>
      <c r="P140" s="24"/>
      <c r="Q140" s="24"/>
      <c r="R140" s="25"/>
      <c r="S140" s="25"/>
    </row>
    <row r="141">
      <c r="E141" s="22"/>
      <c r="F141" s="22"/>
      <c r="G141" s="23"/>
      <c r="H141" s="23"/>
      <c r="I141" s="23"/>
      <c r="J141" s="23"/>
      <c r="K141" s="23"/>
      <c r="L141" s="23"/>
      <c r="M141" s="23"/>
      <c r="N141" s="23"/>
      <c r="O141" s="24"/>
      <c r="P141" s="24"/>
      <c r="Q141" s="24"/>
      <c r="R141" s="25"/>
      <c r="S141" s="25"/>
    </row>
    <row r="142">
      <c r="E142" s="22"/>
      <c r="F142" s="22"/>
      <c r="G142" s="23"/>
      <c r="H142" s="23"/>
      <c r="I142" s="23"/>
      <c r="J142" s="23"/>
      <c r="K142" s="23"/>
      <c r="L142" s="23"/>
      <c r="M142" s="23"/>
      <c r="N142" s="23"/>
      <c r="O142" s="24"/>
      <c r="P142" s="24"/>
      <c r="Q142" s="24"/>
      <c r="R142" s="25"/>
      <c r="S142" s="25"/>
    </row>
    <row r="143">
      <c r="E143" s="22"/>
      <c r="F143" s="22"/>
      <c r="G143" s="23"/>
      <c r="H143" s="23"/>
      <c r="I143" s="23"/>
      <c r="J143" s="23"/>
      <c r="K143" s="23"/>
      <c r="L143" s="23"/>
      <c r="M143" s="23"/>
      <c r="N143" s="23"/>
      <c r="O143" s="24"/>
      <c r="P143" s="24"/>
      <c r="Q143" s="24"/>
      <c r="R143" s="25"/>
      <c r="S143" s="25"/>
    </row>
    <row r="144">
      <c r="E144" s="22"/>
      <c r="F144" s="22"/>
      <c r="G144" s="23"/>
      <c r="H144" s="23"/>
      <c r="I144" s="23"/>
      <c r="J144" s="23"/>
      <c r="K144" s="23"/>
      <c r="L144" s="23"/>
      <c r="M144" s="23"/>
      <c r="N144" s="23"/>
      <c r="O144" s="24"/>
      <c r="P144" s="24"/>
      <c r="Q144" s="24"/>
      <c r="R144" s="25"/>
      <c r="S144" s="25"/>
    </row>
    <row r="145">
      <c r="E145" s="22"/>
      <c r="F145" s="22"/>
      <c r="G145" s="23"/>
      <c r="H145" s="23"/>
      <c r="I145" s="23"/>
      <c r="J145" s="23"/>
      <c r="K145" s="23"/>
      <c r="L145" s="23"/>
      <c r="M145" s="23"/>
      <c r="N145" s="23"/>
      <c r="O145" s="24"/>
      <c r="P145" s="24"/>
      <c r="Q145" s="24"/>
      <c r="R145" s="25"/>
      <c r="S145" s="25"/>
    </row>
    <row r="146">
      <c r="E146" s="22"/>
      <c r="F146" s="22"/>
      <c r="G146" s="23"/>
      <c r="H146" s="23"/>
      <c r="I146" s="23"/>
      <c r="J146" s="23"/>
      <c r="K146" s="23"/>
      <c r="L146" s="23"/>
      <c r="M146" s="23"/>
      <c r="N146" s="23"/>
      <c r="O146" s="24"/>
      <c r="P146" s="24"/>
      <c r="Q146" s="24"/>
      <c r="R146" s="25"/>
      <c r="S146" s="25"/>
    </row>
    <row r="147">
      <c r="E147" s="22"/>
      <c r="F147" s="22"/>
      <c r="G147" s="23"/>
      <c r="H147" s="23"/>
      <c r="I147" s="23"/>
      <c r="J147" s="23"/>
      <c r="K147" s="23"/>
      <c r="L147" s="23"/>
      <c r="M147" s="23"/>
      <c r="N147" s="23"/>
      <c r="O147" s="24"/>
      <c r="P147" s="24"/>
      <c r="Q147" s="24"/>
      <c r="R147" s="25"/>
      <c r="S147" s="25"/>
    </row>
    <row r="148">
      <c r="E148" s="22"/>
      <c r="F148" s="22"/>
      <c r="G148" s="23"/>
      <c r="H148" s="23"/>
      <c r="I148" s="23"/>
      <c r="J148" s="23"/>
      <c r="K148" s="23"/>
      <c r="L148" s="23"/>
      <c r="M148" s="23"/>
      <c r="N148" s="23"/>
      <c r="O148" s="24"/>
      <c r="P148" s="24"/>
      <c r="Q148" s="24"/>
      <c r="R148" s="25"/>
      <c r="S148" s="25"/>
    </row>
    <row r="149">
      <c r="E149" s="22"/>
      <c r="F149" s="22"/>
      <c r="G149" s="23"/>
      <c r="H149" s="23"/>
      <c r="I149" s="23"/>
      <c r="J149" s="23"/>
      <c r="K149" s="23"/>
      <c r="L149" s="23"/>
      <c r="M149" s="23"/>
      <c r="N149" s="23"/>
      <c r="O149" s="24"/>
      <c r="P149" s="24"/>
      <c r="Q149" s="24"/>
      <c r="R149" s="25"/>
      <c r="S149" s="25"/>
    </row>
    <row r="150">
      <c r="E150" s="22"/>
      <c r="F150" s="22"/>
      <c r="G150" s="23"/>
      <c r="H150" s="23"/>
      <c r="I150" s="23"/>
      <c r="J150" s="23"/>
      <c r="K150" s="23"/>
      <c r="L150" s="23"/>
      <c r="M150" s="23"/>
      <c r="N150" s="23"/>
      <c r="O150" s="24"/>
      <c r="P150" s="24"/>
      <c r="Q150" s="24"/>
      <c r="R150" s="25"/>
      <c r="S150" s="25"/>
    </row>
    <row r="151">
      <c r="E151" s="22"/>
      <c r="F151" s="22"/>
      <c r="G151" s="23"/>
      <c r="H151" s="23"/>
      <c r="I151" s="23"/>
      <c r="J151" s="23"/>
      <c r="K151" s="23"/>
      <c r="L151" s="23"/>
      <c r="M151" s="23"/>
      <c r="N151" s="23"/>
      <c r="O151" s="24"/>
      <c r="P151" s="24"/>
      <c r="Q151" s="24"/>
      <c r="R151" s="25"/>
      <c r="S151" s="25"/>
    </row>
    <row r="152">
      <c r="E152" s="22"/>
      <c r="F152" s="22"/>
      <c r="G152" s="23"/>
      <c r="H152" s="23"/>
      <c r="I152" s="23"/>
      <c r="J152" s="23"/>
      <c r="K152" s="23"/>
      <c r="L152" s="23"/>
      <c r="M152" s="23"/>
      <c r="N152" s="23"/>
      <c r="O152" s="24"/>
      <c r="P152" s="24"/>
      <c r="Q152" s="24"/>
      <c r="R152" s="25"/>
      <c r="S152" s="25"/>
    </row>
    <row r="153">
      <c r="E153" s="22"/>
      <c r="F153" s="22"/>
      <c r="G153" s="23"/>
      <c r="H153" s="23"/>
      <c r="I153" s="23"/>
      <c r="J153" s="23"/>
      <c r="K153" s="23"/>
      <c r="L153" s="23"/>
      <c r="M153" s="23"/>
      <c r="N153" s="23"/>
      <c r="O153" s="24"/>
      <c r="P153" s="24"/>
      <c r="Q153" s="24"/>
      <c r="R153" s="25"/>
      <c r="S153" s="25"/>
    </row>
    <row r="154">
      <c r="E154" s="22"/>
      <c r="F154" s="22"/>
      <c r="G154" s="23"/>
      <c r="H154" s="23"/>
      <c r="I154" s="23"/>
      <c r="J154" s="23"/>
      <c r="K154" s="23"/>
      <c r="L154" s="23"/>
      <c r="M154" s="23"/>
      <c r="N154" s="23"/>
      <c r="O154" s="24"/>
      <c r="P154" s="24"/>
      <c r="Q154" s="24"/>
      <c r="R154" s="25"/>
      <c r="S154" s="25"/>
    </row>
    <row r="155">
      <c r="E155" s="22"/>
      <c r="F155" s="22"/>
      <c r="G155" s="23"/>
      <c r="H155" s="23"/>
      <c r="I155" s="23"/>
      <c r="J155" s="23"/>
      <c r="K155" s="23"/>
      <c r="L155" s="23"/>
      <c r="M155" s="23"/>
      <c r="N155" s="23"/>
      <c r="O155" s="24"/>
      <c r="P155" s="24"/>
      <c r="Q155" s="24"/>
      <c r="R155" s="25"/>
      <c r="S155" s="25"/>
    </row>
    <row r="156">
      <c r="E156" s="22"/>
      <c r="F156" s="22"/>
      <c r="G156" s="23"/>
      <c r="H156" s="23"/>
      <c r="I156" s="23"/>
      <c r="J156" s="23"/>
      <c r="K156" s="23"/>
      <c r="L156" s="23"/>
      <c r="M156" s="23"/>
      <c r="N156" s="23"/>
      <c r="O156" s="24"/>
      <c r="P156" s="24"/>
      <c r="Q156" s="24"/>
      <c r="R156" s="25"/>
      <c r="S156" s="25"/>
    </row>
    <row r="157">
      <c r="E157" s="22"/>
      <c r="F157" s="22"/>
      <c r="G157" s="23"/>
      <c r="H157" s="23"/>
      <c r="I157" s="23"/>
      <c r="J157" s="23"/>
      <c r="K157" s="23"/>
      <c r="L157" s="23"/>
      <c r="M157" s="23"/>
      <c r="N157" s="23"/>
      <c r="O157" s="24"/>
      <c r="P157" s="24"/>
      <c r="Q157" s="24"/>
      <c r="R157" s="25"/>
      <c r="S157" s="25"/>
    </row>
    <row r="158">
      <c r="E158" s="22"/>
      <c r="F158" s="22"/>
      <c r="G158" s="23"/>
      <c r="H158" s="23"/>
      <c r="I158" s="23"/>
      <c r="J158" s="23"/>
      <c r="K158" s="23"/>
      <c r="L158" s="23"/>
      <c r="M158" s="23"/>
      <c r="N158" s="23"/>
      <c r="O158" s="24"/>
      <c r="P158" s="24"/>
      <c r="Q158" s="24"/>
      <c r="R158" s="25"/>
      <c r="S158" s="25"/>
    </row>
    <row r="159">
      <c r="E159" s="22"/>
      <c r="F159" s="22"/>
      <c r="G159" s="23"/>
      <c r="H159" s="23"/>
      <c r="I159" s="23"/>
      <c r="J159" s="23"/>
      <c r="K159" s="23"/>
      <c r="L159" s="23"/>
      <c r="M159" s="23"/>
      <c r="N159" s="23"/>
      <c r="O159" s="24"/>
      <c r="P159" s="24"/>
      <c r="Q159" s="24"/>
      <c r="R159" s="25"/>
      <c r="S159" s="25"/>
    </row>
    <row r="160">
      <c r="E160" s="22"/>
      <c r="F160" s="22"/>
      <c r="G160" s="23"/>
      <c r="H160" s="23"/>
      <c r="I160" s="23"/>
      <c r="J160" s="23"/>
      <c r="K160" s="23"/>
      <c r="L160" s="23"/>
      <c r="M160" s="23"/>
      <c r="N160" s="23"/>
      <c r="O160" s="24"/>
      <c r="P160" s="24"/>
      <c r="Q160" s="24"/>
      <c r="R160" s="25"/>
      <c r="S160" s="25"/>
    </row>
    <row r="161">
      <c r="E161" s="22"/>
      <c r="F161" s="22"/>
      <c r="G161" s="23"/>
      <c r="H161" s="23"/>
      <c r="I161" s="23"/>
      <c r="J161" s="23"/>
      <c r="K161" s="23"/>
      <c r="L161" s="23"/>
      <c r="M161" s="23"/>
      <c r="N161" s="23"/>
      <c r="O161" s="24"/>
      <c r="P161" s="24"/>
      <c r="Q161" s="24"/>
      <c r="R161" s="25"/>
      <c r="S161" s="25"/>
    </row>
    <row r="162">
      <c r="E162" s="22"/>
      <c r="F162" s="22"/>
      <c r="G162" s="23"/>
      <c r="H162" s="23"/>
      <c r="I162" s="23"/>
      <c r="J162" s="23"/>
      <c r="K162" s="23"/>
      <c r="L162" s="23"/>
      <c r="M162" s="23"/>
      <c r="N162" s="23"/>
      <c r="O162" s="24"/>
      <c r="P162" s="24"/>
      <c r="Q162" s="24"/>
      <c r="R162" s="25"/>
      <c r="S162" s="25"/>
    </row>
    <row r="163">
      <c r="E163" s="22"/>
      <c r="F163" s="22"/>
      <c r="G163" s="23"/>
      <c r="H163" s="23"/>
      <c r="I163" s="23"/>
      <c r="J163" s="23"/>
      <c r="K163" s="23"/>
      <c r="L163" s="23"/>
      <c r="M163" s="23"/>
      <c r="N163" s="23"/>
      <c r="O163" s="24"/>
      <c r="P163" s="24"/>
      <c r="Q163" s="24"/>
      <c r="R163" s="25"/>
      <c r="S163" s="25"/>
    </row>
    <row r="164">
      <c r="E164" s="22"/>
      <c r="F164" s="22"/>
      <c r="G164" s="23"/>
      <c r="H164" s="23"/>
      <c r="I164" s="23"/>
      <c r="J164" s="23"/>
      <c r="K164" s="23"/>
      <c r="L164" s="23"/>
      <c r="M164" s="23"/>
      <c r="N164" s="23"/>
      <c r="O164" s="24"/>
      <c r="P164" s="24"/>
      <c r="Q164" s="24"/>
      <c r="R164" s="25"/>
      <c r="S164" s="25"/>
    </row>
    <row r="165">
      <c r="E165" s="22"/>
      <c r="F165" s="22"/>
      <c r="G165" s="23"/>
      <c r="H165" s="23"/>
      <c r="I165" s="23"/>
      <c r="J165" s="23"/>
      <c r="K165" s="23"/>
      <c r="L165" s="23"/>
      <c r="M165" s="23"/>
      <c r="N165" s="23"/>
      <c r="O165" s="24"/>
      <c r="P165" s="24"/>
      <c r="Q165" s="24"/>
      <c r="R165" s="25"/>
      <c r="S165" s="25"/>
    </row>
    <row r="166">
      <c r="E166" s="22"/>
      <c r="F166" s="22"/>
      <c r="G166" s="23"/>
      <c r="H166" s="23"/>
      <c r="I166" s="23"/>
      <c r="J166" s="23"/>
      <c r="K166" s="23"/>
      <c r="L166" s="23"/>
      <c r="M166" s="23"/>
      <c r="N166" s="23"/>
      <c r="O166" s="24"/>
      <c r="P166" s="24"/>
      <c r="Q166" s="24"/>
      <c r="R166" s="25"/>
      <c r="S166" s="25"/>
    </row>
    <row r="167">
      <c r="E167" s="22"/>
      <c r="F167" s="22"/>
      <c r="G167" s="23"/>
      <c r="H167" s="23"/>
      <c r="I167" s="23"/>
      <c r="J167" s="23"/>
      <c r="K167" s="23"/>
      <c r="L167" s="23"/>
      <c r="M167" s="23"/>
      <c r="N167" s="23"/>
      <c r="O167" s="24"/>
      <c r="P167" s="24"/>
      <c r="Q167" s="24"/>
      <c r="R167" s="25"/>
      <c r="S167" s="25"/>
    </row>
    <row r="168">
      <c r="E168" s="22"/>
      <c r="F168" s="22"/>
      <c r="G168" s="23"/>
      <c r="H168" s="23"/>
      <c r="I168" s="23"/>
      <c r="J168" s="23"/>
      <c r="K168" s="23"/>
      <c r="L168" s="23"/>
      <c r="M168" s="23"/>
      <c r="N168" s="23"/>
      <c r="O168" s="24"/>
      <c r="P168" s="24"/>
      <c r="Q168" s="24"/>
      <c r="R168" s="25"/>
      <c r="S168" s="25"/>
    </row>
    <row r="169">
      <c r="E169" s="22"/>
      <c r="F169" s="22"/>
      <c r="G169" s="23"/>
      <c r="H169" s="23"/>
      <c r="I169" s="23"/>
      <c r="J169" s="23"/>
      <c r="K169" s="23"/>
      <c r="L169" s="23"/>
      <c r="M169" s="23"/>
      <c r="N169" s="23"/>
      <c r="O169" s="24"/>
      <c r="P169" s="24"/>
      <c r="Q169" s="24"/>
      <c r="R169" s="25"/>
      <c r="S169" s="25"/>
    </row>
    <row r="170">
      <c r="E170" s="22"/>
      <c r="F170" s="22"/>
      <c r="G170" s="23"/>
      <c r="H170" s="23"/>
      <c r="I170" s="23"/>
      <c r="J170" s="23"/>
      <c r="K170" s="23"/>
      <c r="L170" s="23"/>
      <c r="M170" s="23"/>
      <c r="N170" s="23"/>
      <c r="O170" s="24"/>
      <c r="P170" s="24"/>
      <c r="Q170" s="24"/>
      <c r="R170" s="25"/>
      <c r="S170" s="25"/>
    </row>
    <row r="171">
      <c r="E171" s="22"/>
      <c r="F171" s="22"/>
      <c r="G171" s="23"/>
      <c r="H171" s="23"/>
      <c r="I171" s="23"/>
      <c r="J171" s="23"/>
      <c r="K171" s="23"/>
      <c r="L171" s="23"/>
      <c r="M171" s="23"/>
      <c r="N171" s="23"/>
      <c r="O171" s="24"/>
      <c r="P171" s="24"/>
      <c r="Q171" s="24"/>
      <c r="R171" s="25"/>
      <c r="S171" s="25"/>
    </row>
    <row r="172">
      <c r="E172" s="22"/>
      <c r="F172" s="22"/>
      <c r="G172" s="23"/>
      <c r="H172" s="23"/>
      <c r="I172" s="23"/>
      <c r="J172" s="23"/>
      <c r="K172" s="23"/>
      <c r="L172" s="23"/>
      <c r="M172" s="23"/>
      <c r="N172" s="23"/>
      <c r="O172" s="24"/>
      <c r="P172" s="24"/>
      <c r="Q172" s="24"/>
      <c r="R172" s="25"/>
      <c r="S172" s="25"/>
    </row>
    <row r="173">
      <c r="E173" s="22"/>
      <c r="F173" s="22"/>
      <c r="G173" s="23"/>
      <c r="H173" s="23"/>
      <c r="I173" s="23"/>
      <c r="J173" s="23"/>
      <c r="K173" s="23"/>
      <c r="L173" s="23"/>
      <c r="M173" s="23"/>
      <c r="N173" s="23"/>
      <c r="O173" s="24"/>
      <c r="P173" s="24"/>
      <c r="Q173" s="24"/>
      <c r="R173" s="25"/>
      <c r="S173" s="25"/>
    </row>
    <row r="174">
      <c r="E174" s="22"/>
      <c r="F174" s="22"/>
      <c r="G174" s="23"/>
      <c r="H174" s="23"/>
      <c r="I174" s="23"/>
      <c r="J174" s="23"/>
      <c r="K174" s="23"/>
      <c r="L174" s="23"/>
      <c r="M174" s="23"/>
      <c r="N174" s="23"/>
      <c r="O174" s="24"/>
      <c r="P174" s="24"/>
      <c r="Q174" s="24"/>
      <c r="R174" s="25"/>
      <c r="S174" s="25"/>
    </row>
    <row r="175">
      <c r="E175" s="22"/>
      <c r="F175" s="22"/>
      <c r="G175" s="23"/>
      <c r="H175" s="23"/>
      <c r="I175" s="23"/>
      <c r="J175" s="23"/>
      <c r="K175" s="23"/>
      <c r="L175" s="23"/>
      <c r="M175" s="23"/>
      <c r="N175" s="23"/>
      <c r="O175" s="24"/>
      <c r="P175" s="24"/>
      <c r="Q175" s="24"/>
      <c r="R175" s="25"/>
      <c r="S175" s="25"/>
    </row>
    <row r="176">
      <c r="E176" s="22"/>
      <c r="F176" s="22"/>
      <c r="G176" s="23"/>
      <c r="H176" s="23"/>
      <c r="I176" s="23"/>
      <c r="J176" s="23"/>
      <c r="K176" s="23"/>
      <c r="L176" s="23"/>
      <c r="M176" s="23"/>
      <c r="N176" s="23"/>
      <c r="O176" s="24"/>
      <c r="P176" s="24"/>
      <c r="Q176" s="24"/>
      <c r="R176" s="25"/>
      <c r="S176" s="25"/>
    </row>
    <row r="177">
      <c r="E177" s="22"/>
      <c r="F177" s="22"/>
      <c r="G177" s="23"/>
      <c r="H177" s="23"/>
      <c r="I177" s="23"/>
      <c r="J177" s="23"/>
      <c r="K177" s="23"/>
      <c r="L177" s="23"/>
      <c r="M177" s="23"/>
      <c r="N177" s="23"/>
      <c r="O177" s="24"/>
      <c r="P177" s="24"/>
      <c r="Q177" s="24"/>
      <c r="R177" s="25"/>
      <c r="S177" s="25"/>
    </row>
    <row r="178">
      <c r="E178" s="22"/>
      <c r="F178" s="22"/>
      <c r="G178" s="23"/>
      <c r="H178" s="23"/>
      <c r="I178" s="23"/>
      <c r="J178" s="23"/>
      <c r="K178" s="23"/>
      <c r="L178" s="23"/>
      <c r="M178" s="23"/>
      <c r="N178" s="23"/>
      <c r="O178" s="24"/>
      <c r="P178" s="24"/>
      <c r="Q178" s="24"/>
      <c r="R178" s="25"/>
      <c r="S178" s="25"/>
    </row>
    <row r="179">
      <c r="E179" s="22"/>
      <c r="F179" s="22"/>
      <c r="G179" s="23"/>
      <c r="H179" s="23"/>
      <c r="I179" s="23"/>
      <c r="J179" s="23"/>
      <c r="K179" s="23"/>
      <c r="L179" s="23"/>
      <c r="M179" s="23"/>
      <c r="N179" s="23"/>
      <c r="O179" s="24"/>
      <c r="P179" s="24"/>
      <c r="Q179" s="24"/>
      <c r="R179" s="25"/>
      <c r="S179" s="25"/>
    </row>
    <row r="180">
      <c r="E180" s="22"/>
      <c r="F180" s="22"/>
      <c r="G180" s="23"/>
      <c r="H180" s="23"/>
      <c r="I180" s="23"/>
      <c r="J180" s="23"/>
      <c r="K180" s="23"/>
      <c r="L180" s="23"/>
      <c r="M180" s="23"/>
      <c r="N180" s="23"/>
      <c r="O180" s="24"/>
      <c r="P180" s="24"/>
      <c r="Q180" s="24"/>
      <c r="R180" s="25"/>
      <c r="S180" s="25"/>
    </row>
    <row r="181">
      <c r="E181" s="22"/>
      <c r="F181" s="22"/>
      <c r="G181" s="23"/>
      <c r="H181" s="23"/>
      <c r="I181" s="23"/>
      <c r="J181" s="23"/>
      <c r="K181" s="23"/>
      <c r="L181" s="23"/>
      <c r="M181" s="23"/>
      <c r="N181" s="23"/>
      <c r="O181" s="24"/>
      <c r="P181" s="24"/>
      <c r="Q181" s="24"/>
      <c r="R181" s="25"/>
      <c r="S181" s="25"/>
    </row>
    <row r="182">
      <c r="E182" s="22"/>
      <c r="F182" s="22"/>
      <c r="G182" s="23"/>
      <c r="H182" s="23"/>
      <c r="I182" s="23"/>
      <c r="J182" s="23"/>
      <c r="K182" s="23"/>
      <c r="L182" s="23"/>
      <c r="M182" s="23"/>
      <c r="N182" s="23"/>
      <c r="O182" s="24"/>
      <c r="P182" s="24"/>
      <c r="Q182" s="24"/>
      <c r="R182" s="25"/>
      <c r="S182" s="25"/>
    </row>
    <row r="183">
      <c r="E183" s="22"/>
      <c r="F183" s="22"/>
      <c r="G183" s="23"/>
      <c r="H183" s="23"/>
      <c r="I183" s="23"/>
      <c r="J183" s="23"/>
      <c r="K183" s="23"/>
      <c r="L183" s="23"/>
      <c r="M183" s="23"/>
      <c r="N183" s="23"/>
      <c r="O183" s="24"/>
      <c r="P183" s="24"/>
      <c r="Q183" s="24"/>
      <c r="R183" s="25"/>
      <c r="S183" s="25"/>
    </row>
    <row r="184">
      <c r="E184" s="22"/>
      <c r="F184" s="22"/>
      <c r="G184" s="23"/>
      <c r="H184" s="23"/>
      <c r="I184" s="23"/>
      <c r="J184" s="23"/>
      <c r="K184" s="23"/>
      <c r="L184" s="23"/>
      <c r="M184" s="23"/>
      <c r="N184" s="23"/>
      <c r="O184" s="24"/>
      <c r="P184" s="24"/>
      <c r="Q184" s="24"/>
      <c r="R184" s="25"/>
      <c r="S184" s="25"/>
    </row>
    <row r="185">
      <c r="E185" s="22"/>
      <c r="F185" s="22"/>
      <c r="G185" s="23"/>
      <c r="H185" s="23"/>
      <c r="I185" s="23"/>
      <c r="J185" s="23"/>
      <c r="K185" s="23"/>
      <c r="L185" s="23"/>
      <c r="M185" s="23"/>
      <c r="N185" s="23"/>
      <c r="O185" s="24"/>
      <c r="P185" s="24"/>
      <c r="Q185" s="24"/>
      <c r="R185" s="25"/>
      <c r="S185" s="25"/>
    </row>
    <row r="186">
      <c r="E186" s="22"/>
      <c r="F186" s="22"/>
      <c r="G186" s="23"/>
      <c r="H186" s="23"/>
      <c r="I186" s="23"/>
      <c r="J186" s="23"/>
      <c r="K186" s="23"/>
      <c r="L186" s="23"/>
      <c r="M186" s="23"/>
      <c r="N186" s="23"/>
      <c r="O186" s="24"/>
      <c r="P186" s="24"/>
      <c r="Q186" s="24"/>
      <c r="R186" s="25"/>
      <c r="S186" s="25"/>
    </row>
    <row r="187">
      <c r="E187" s="22"/>
      <c r="F187" s="22"/>
      <c r="G187" s="23"/>
      <c r="H187" s="23"/>
      <c r="I187" s="23"/>
      <c r="J187" s="23"/>
      <c r="K187" s="23"/>
      <c r="L187" s="23"/>
      <c r="M187" s="23"/>
      <c r="N187" s="23"/>
      <c r="O187" s="24"/>
      <c r="P187" s="24"/>
      <c r="Q187" s="24"/>
      <c r="R187" s="25"/>
      <c r="S187" s="25"/>
    </row>
    <row r="188">
      <c r="E188" s="22"/>
      <c r="F188" s="22"/>
      <c r="G188" s="23"/>
      <c r="H188" s="23"/>
      <c r="I188" s="23"/>
      <c r="J188" s="23"/>
      <c r="K188" s="23"/>
      <c r="L188" s="23"/>
      <c r="M188" s="23"/>
      <c r="N188" s="23"/>
      <c r="O188" s="24"/>
      <c r="P188" s="24"/>
      <c r="Q188" s="24"/>
      <c r="R188" s="25"/>
      <c r="S188" s="25"/>
    </row>
    <row r="189">
      <c r="E189" s="22"/>
      <c r="F189" s="22"/>
      <c r="G189" s="23"/>
      <c r="H189" s="23"/>
      <c r="I189" s="23"/>
      <c r="J189" s="23"/>
      <c r="K189" s="23"/>
      <c r="L189" s="23"/>
      <c r="M189" s="23"/>
      <c r="N189" s="23"/>
      <c r="O189" s="24"/>
      <c r="P189" s="24"/>
      <c r="Q189" s="24"/>
      <c r="R189" s="25"/>
      <c r="S189" s="25"/>
    </row>
    <row r="190">
      <c r="E190" s="22"/>
      <c r="F190" s="22"/>
      <c r="G190" s="23"/>
      <c r="H190" s="23"/>
      <c r="I190" s="23"/>
      <c r="J190" s="23"/>
      <c r="K190" s="23"/>
      <c r="L190" s="23"/>
      <c r="M190" s="23"/>
      <c r="N190" s="23"/>
      <c r="O190" s="24"/>
      <c r="P190" s="24"/>
      <c r="Q190" s="24"/>
      <c r="R190" s="25"/>
      <c r="S190" s="25"/>
    </row>
    <row r="191">
      <c r="E191" s="22"/>
      <c r="F191" s="22"/>
      <c r="G191" s="23"/>
      <c r="H191" s="23"/>
      <c r="I191" s="23"/>
      <c r="J191" s="23"/>
      <c r="K191" s="23"/>
      <c r="L191" s="23"/>
      <c r="M191" s="23"/>
      <c r="N191" s="23"/>
      <c r="O191" s="24"/>
      <c r="P191" s="24"/>
      <c r="Q191" s="24"/>
      <c r="R191" s="25"/>
      <c r="S191" s="25"/>
    </row>
    <row r="192">
      <c r="E192" s="22"/>
      <c r="F192" s="22"/>
      <c r="G192" s="23"/>
      <c r="H192" s="23"/>
      <c r="I192" s="23"/>
      <c r="J192" s="23"/>
      <c r="K192" s="23"/>
      <c r="L192" s="23"/>
      <c r="M192" s="23"/>
      <c r="N192" s="23"/>
      <c r="O192" s="24"/>
      <c r="P192" s="24"/>
      <c r="Q192" s="24"/>
      <c r="R192" s="25"/>
      <c r="S192" s="25"/>
    </row>
    <row r="193">
      <c r="E193" s="22"/>
      <c r="F193" s="22"/>
      <c r="G193" s="23"/>
      <c r="H193" s="23"/>
      <c r="I193" s="23"/>
      <c r="J193" s="23"/>
      <c r="K193" s="23"/>
      <c r="L193" s="23"/>
      <c r="M193" s="23"/>
      <c r="N193" s="23"/>
      <c r="O193" s="24"/>
      <c r="P193" s="24"/>
      <c r="Q193" s="24"/>
      <c r="R193" s="25"/>
      <c r="S193" s="25"/>
    </row>
    <row r="194">
      <c r="E194" s="22"/>
      <c r="F194" s="22"/>
      <c r="G194" s="23"/>
      <c r="H194" s="23"/>
      <c r="I194" s="23"/>
      <c r="J194" s="23"/>
      <c r="K194" s="23"/>
      <c r="L194" s="23"/>
      <c r="M194" s="23"/>
      <c r="N194" s="23"/>
      <c r="O194" s="24"/>
      <c r="P194" s="24"/>
      <c r="Q194" s="24"/>
      <c r="R194" s="25"/>
      <c r="S194" s="25"/>
    </row>
    <row r="195">
      <c r="E195" s="22"/>
      <c r="F195" s="22"/>
      <c r="G195" s="23"/>
      <c r="H195" s="23"/>
      <c r="I195" s="23"/>
      <c r="J195" s="23"/>
      <c r="K195" s="23"/>
      <c r="L195" s="23"/>
      <c r="M195" s="23"/>
      <c r="N195" s="23"/>
      <c r="O195" s="24"/>
      <c r="P195" s="24"/>
      <c r="Q195" s="24"/>
      <c r="R195" s="25"/>
      <c r="S195" s="25"/>
    </row>
  </sheetData>
  <autoFilter ref="A1:U30">
    <filterColumn colId="0">
      <filters>
        <dateGroupItem dateTimeGrouping="day" day="12" month="10" year="2026"/>
        <dateGroupItem dateTimeGrouping="day" day="13" month="10" year="2026"/>
        <dateGroupItem dateTimeGrouping="day" day="14" month="10" year="2026"/>
        <dateGroupItem dateTimeGrouping="day" day="15" month="10" year="2026"/>
        <dateGroupItem dateTimeGrouping="day" day="16" month="10" year="2026"/>
        <dateGroupItem dateTimeGrouping="day" day="17" month="10" year="2026"/>
        <dateGroupItem dateTimeGrouping="day" day="18" month="10" year="2026"/>
      </filters>
    </filterColumn>
    <filterColumn colId="1">
      <filters>
        <filter val="闫雨萌"/>
      </filters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26" t="s">
        <v>31</v>
      </c>
      <c r="B1" s="26" t="s">
        <v>32</v>
      </c>
      <c r="C1" s="26" t="s">
        <v>33</v>
      </c>
      <c r="D1" s="26" t="s">
        <v>34</v>
      </c>
      <c r="E1" s="27" t="s">
        <v>35</v>
      </c>
      <c r="F1" s="27" t="s">
        <v>36</v>
      </c>
      <c r="G1" s="28" t="s">
        <v>37</v>
      </c>
      <c r="H1" s="28" t="s">
        <v>38</v>
      </c>
      <c r="I1" s="29" t="s">
        <v>39</v>
      </c>
      <c r="J1" s="29" t="s">
        <v>40</v>
      </c>
      <c r="K1" s="30" t="s">
        <v>41</v>
      </c>
      <c r="L1" s="30" t="s">
        <v>42</v>
      </c>
      <c r="M1" s="31" t="s">
        <v>43</v>
      </c>
      <c r="N1" s="31" t="s">
        <v>44</v>
      </c>
      <c r="O1" s="31" t="s">
        <v>45</v>
      </c>
      <c r="P1" s="31" t="s">
        <v>46</v>
      </c>
      <c r="Q1" s="31" t="s">
        <v>47</v>
      </c>
      <c r="R1" s="32" t="s">
        <v>48</v>
      </c>
      <c r="S1" s="32" t="s">
        <v>49</v>
      </c>
      <c r="T1" s="26" t="s">
        <v>50</v>
      </c>
      <c r="U1" s="26" t="s">
        <v>51</v>
      </c>
    </row>
    <row r="2">
      <c r="A2" s="33">
        <v>46310</v>
      </c>
      <c r="B2" s="34" t="s">
        <v>52</v>
      </c>
      <c r="C2" s="35" t="s">
        <v>53</v>
      </c>
      <c r="D2" s="34">
        <v>4</v>
      </c>
      <c r="E2" s="34"/>
      <c r="F2" s="34"/>
      <c r="G2" s="36"/>
      <c r="H2" s="36"/>
      <c r="I2" s="36"/>
      <c r="J2" s="36"/>
      <c r="K2" s="36"/>
      <c r="L2" s="36"/>
      <c r="M2" s="36">
        <f t="shared" ref="M2:M3" si="0">J2+F2</f>
      </c>
      <c r="N2" s="36">
        <f>G2+K2</f>
      </c>
      <c r="O2" s="36">
        <f>H2+L2</f>
      </c>
      <c r="P2" s="36">
        <f t="shared" ref="P2:P3" si="1">N2/O2</f>
      </c>
      <c r="Q2" s="36">
        <f>E2+I2</f>
      </c>
      <c r="R2" s="37">
        <f t="shared" ref="R2:R3" si="2">O2/Q2</f>
      </c>
      <c r="S2" s="38">
        <f t="shared" ref="S2:S3" si="3">O2/M2</f>
      </c>
      <c r="T2" s="34" t="s">
        <v>54</v>
      </c>
      <c r="U2" s="34">
        <v>4</v>
      </c>
    </row>
    <row r="3">
      <c r="A3" s="39">
        <v>46310</v>
      </c>
      <c r="B3" s="40" t="s">
        <v>55</v>
      </c>
      <c r="C3" s="41" t="s">
        <v>56</v>
      </c>
      <c r="D3" s="42">
        <f>SUM(D2)</f>
      </c>
      <c r="E3" s="42">
        <f>SUM(E2)</f>
      </c>
      <c r="F3" s="42">
        <f>SUM(F2)</f>
      </c>
      <c r="G3" s="42">
        <f>SUM(G2)</f>
      </c>
      <c r="H3" s="42">
        <f>SUM(H2)</f>
      </c>
      <c r="I3" s="42">
        <f>SUM(I2)</f>
      </c>
      <c r="J3" s="42">
        <f>SUM(J2)</f>
      </c>
      <c r="K3" s="42">
        <f>SUM(K2)</f>
      </c>
      <c r="L3" s="42">
        <f>SUM(L2)</f>
      </c>
      <c r="M3" s="42">
        <f t="shared" si="0"/>
      </c>
      <c r="N3" s="42">
        <f>SUM(N2)</f>
      </c>
      <c r="O3" s="42">
        <f>SUM(O2)</f>
      </c>
      <c r="P3" s="43">
        <f t="shared" si="1"/>
      </c>
      <c r="Q3" s="43">
        <v>0</v>
      </c>
      <c r="R3" s="44">
        <f t="shared" si="2"/>
      </c>
      <c r="S3" s="44">
        <f t="shared" si="3"/>
      </c>
      <c r="T3" s="45"/>
      <c r="U3" s="42">
        <f>U2</f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2" min="1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1" min="1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</cols>
  <sheetData>
    <row r="1">
      <c r="A1" s="46" t="s">
        <v>57</v>
      </c>
      <c r="B1" s="46" t="s">
        <v>58</v>
      </c>
      <c r="C1" s="46" t="s">
        <v>59</v>
      </c>
      <c r="D1" s="46" t="s">
        <v>60</v>
      </c>
      <c r="E1" s="47" t="s">
        <v>61</v>
      </c>
      <c r="F1" s="47" t="s">
        <v>62</v>
      </c>
      <c r="G1" s="48" t="s">
        <v>63</v>
      </c>
      <c r="H1" s="49" t="s">
        <v>64</v>
      </c>
      <c r="I1" s="48" t="s">
        <v>65</v>
      </c>
      <c r="J1" s="50" t="s">
        <v>66</v>
      </c>
      <c r="K1" s="50" t="s">
        <v>67</v>
      </c>
      <c r="L1" s="46" t="s">
        <v>68</v>
      </c>
      <c r="M1" s="46" t="s">
        <v>69</v>
      </c>
    </row>
    <row r="2">
      <c r="A2" s="51">
        <v>46292</v>
      </c>
      <c r="B2" s="52" t="s">
        <v>70</v>
      </c>
      <c r="C2" s="53" t="s">
        <v>71</v>
      </c>
      <c r="D2" s="52">
        <v>4</v>
      </c>
      <c r="E2" s="52">
        <v>0</v>
      </c>
      <c r="F2" s="52">
        <v>0</v>
      </c>
      <c r="G2" s="54">
        <v>0</v>
      </c>
      <c r="H2" s="54">
        <v>9.129999999999999</v>
      </c>
      <c r="I2" s="54">
        <f t="shared" ref="I2:I4" si="2">G2/H2</f>
      </c>
      <c r="J2" s="55">
        <f t="shared" ref="J2:J4" si="4">H2/E2</f>
      </c>
      <c r="K2" s="56">
        <f t="shared" ref="K2:K4" si="0">H2/F2</f>
      </c>
      <c r="L2" s="52" t="s">
        <v>72</v>
      </c>
      <c r="M2" s="52">
        <v>4</v>
      </c>
    </row>
    <row r="3">
      <c r="A3" s="57">
        <v>46292</v>
      </c>
      <c r="B3" s="58" t="s">
        <v>73</v>
      </c>
      <c r="C3" s="59"/>
      <c r="D3" s="60">
        <f>D2</f>
      </c>
      <c r="E3" s="60">
        <f>E2</f>
      </c>
      <c r="F3" s="60">
        <f>F2</f>
      </c>
      <c r="G3" s="60">
        <f>G2</f>
      </c>
      <c r="H3" s="60">
        <f>H2</f>
      </c>
      <c r="I3" s="60">
        <f t="shared" si="2"/>
      </c>
      <c r="J3" s="61">
        <f t="shared" si="4"/>
      </c>
      <c r="K3" s="61">
        <f t="shared" si="0"/>
      </c>
      <c r="L3" s="62"/>
      <c r="M3" s="60">
        <f>M2</f>
      </c>
    </row>
    <row r="4">
      <c r="A4" s="63">
        <v>46293</v>
      </c>
      <c r="B4" s="52" t="s">
        <v>70</v>
      </c>
      <c r="C4" s="53" t="s">
        <v>71</v>
      </c>
      <c r="D4" s="52">
        <v>4</v>
      </c>
      <c r="E4" s="52">
        <v>0</v>
      </c>
      <c r="F4" s="52">
        <v>0</v>
      </c>
      <c r="G4" s="54">
        <v>0</v>
      </c>
      <c r="H4" s="54">
        <v>512.61</v>
      </c>
      <c r="I4" s="54">
        <f t="shared" si="2"/>
      </c>
      <c r="J4" s="55">
        <f t="shared" si="4"/>
      </c>
      <c r="K4" s="56">
        <f t="shared" si="0"/>
      </c>
      <c r="L4" s="52" t="s">
        <v>74</v>
      </c>
      <c r="M4" s="52">
        <v>1</v>
      </c>
    </row>
    <row customHeight="true" ht="16.071428571428573" r="5">
      <c r="A5" s="63"/>
      <c r="B5" s="52"/>
      <c r="C5" s="53"/>
      <c r="D5" s="52"/>
      <c r="E5" s="52"/>
      <c r="F5" s="52"/>
      <c r="G5" s="54"/>
      <c r="H5" s="54"/>
      <c r="I5" s="54"/>
      <c r="J5" s="55"/>
      <c r="K5" s="56"/>
      <c r="L5" s="52" t="s">
        <v>75</v>
      </c>
      <c r="M5" s="52">
        <v>3</v>
      </c>
    </row>
    <row r="6">
      <c r="A6" s="64">
        <v>46293</v>
      </c>
      <c r="B6" s="58" t="s">
        <v>73</v>
      </c>
      <c r="C6" s="59"/>
      <c r="D6" s="60">
        <f>SUM(D4:D5)</f>
      </c>
      <c r="E6" s="60">
        <f>SUM(E4:E5)</f>
      </c>
      <c r="F6" s="60">
        <f>SUM(F4:F5)</f>
      </c>
      <c r="G6" s="60">
        <f>SUM(G4:G5)</f>
      </c>
      <c r="H6" s="60">
        <f>SUM(H4:H5)</f>
      </c>
      <c r="I6" s="60">
        <f t="shared" ref="I6:I10" si="3">G6/H6</f>
      </c>
      <c r="J6" s="61">
        <f t="shared" ref="J6:J10" si="5">H6/E6</f>
      </c>
      <c r="K6" s="61">
        <f t="shared" ref="K6:K10" si="1">H6/F6</f>
      </c>
      <c r="L6" s="62"/>
      <c r="M6" s="60">
        <f>M4</f>
      </c>
    </row>
    <row r="7">
      <c r="A7" s="63">
        <v>46294</v>
      </c>
      <c r="B7" s="52" t="s">
        <v>70</v>
      </c>
      <c r="C7" s="53" t="s">
        <v>71</v>
      </c>
      <c r="D7" s="52">
        <v>4</v>
      </c>
      <c r="E7" s="52">
        <v>0</v>
      </c>
      <c r="F7" s="52">
        <v>0</v>
      </c>
      <c r="G7" s="54">
        <v>0</v>
      </c>
      <c r="H7" s="54">
        <v>1453.14</v>
      </c>
      <c r="I7" s="54">
        <f t="shared" si="3"/>
      </c>
      <c r="J7" s="55">
        <f t="shared" si="5"/>
      </c>
      <c r="K7" s="56">
        <f t="shared" si="1"/>
      </c>
      <c r="L7" s="52" t="s">
        <v>75</v>
      </c>
      <c r="M7" s="52">
        <v>4</v>
      </c>
    </row>
    <row r="8">
      <c r="A8" s="64">
        <v>46294</v>
      </c>
      <c r="B8" s="58" t="s">
        <v>73</v>
      </c>
      <c r="C8" s="59"/>
      <c r="D8" s="60">
        <f>D7</f>
      </c>
      <c r="E8" s="60">
        <f>E7</f>
      </c>
      <c r="F8" s="60">
        <f>F7</f>
      </c>
      <c r="G8" s="60">
        <f>G7</f>
      </c>
      <c r="H8" s="60">
        <f>H7</f>
      </c>
      <c r="I8" s="60">
        <f t="shared" si="3"/>
      </c>
      <c r="J8" s="61">
        <f t="shared" si="5"/>
      </c>
      <c r="K8" s="61">
        <f t="shared" si="1"/>
      </c>
      <c r="L8" s="62"/>
      <c r="M8" s="60">
        <f>M7</f>
      </c>
    </row>
    <row r="9">
      <c r="A9" s="63">
        <v>46295</v>
      </c>
      <c r="B9" s="52" t="s">
        <v>70</v>
      </c>
      <c r="C9" s="53" t="s">
        <v>71</v>
      </c>
      <c r="D9" s="52">
        <v>4</v>
      </c>
      <c r="E9" s="52">
        <v>0</v>
      </c>
      <c r="F9" s="52">
        <v>0</v>
      </c>
      <c r="G9" s="54">
        <v>0</v>
      </c>
      <c r="H9" s="65">
        <v>3628.15</v>
      </c>
      <c r="I9" s="54">
        <f t="shared" si="3"/>
      </c>
      <c r="J9" s="55">
        <f t="shared" si="5"/>
      </c>
      <c r="K9" s="56">
        <f t="shared" si="1"/>
      </c>
      <c r="L9" s="52" t="s">
        <v>75</v>
      </c>
      <c r="M9" s="52">
        <v>4</v>
      </c>
    </row>
    <row r="10">
      <c r="A10" s="64">
        <v>46295</v>
      </c>
      <c r="B10" s="58" t="s">
        <v>73</v>
      </c>
      <c r="C10" s="59"/>
      <c r="D10" s="60">
        <f>D9</f>
      </c>
      <c r="E10" s="60">
        <f>E9</f>
      </c>
      <c r="F10" s="60">
        <f>F9</f>
      </c>
      <c r="G10" s="60">
        <f>G9</f>
      </c>
      <c r="H10" s="60">
        <f>H9</f>
      </c>
      <c r="I10" s="60">
        <f t="shared" si="3"/>
      </c>
      <c r="J10" s="61">
        <f t="shared" si="5"/>
      </c>
      <c r="K10" s="61">
        <f t="shared" si="1"/>
      </c>
      <c r="L10" s="62"/>
      <c r="M10" s="60">
        <f>M9</f>
      </c>
    </row>
    <row r="11">
      <c r="G11" s="66"/>
      <c r="H11" s="66"/>
      <c r="I11" s="66"/>
      <c r="J11" s="67"/>
      <c r="K11" s="67"/>
    </row>
    <row r="12">
      <c r="G12" s="66"/>
      <c r="H12" s="66"/>
      <c r="I12" s="66"/>
      <c r="J12" s="67"/>
      <c r="K12" s="67"/>
    </row>
    <row r="13">
      <c r="G13" s="66"/>
      <c r="H13" s="66"/>
      <c r="I13" s="66"/>
      <c r="J13" s="67"/>
      <c r="K13" s="67"/>
    </row>
    <row r="14">
      <c r="G14" s="66"/>
      <c r="H14" s="66"/>
      <c r="I14" s="66"/>
      <c r="J14" s="67"/>
      <c r="K14" s="67"/>
    </row>
    <row r="15">
      <c r="G15" s="66"/>
      <c r="H15" s="66"/>
      <c r="I15" s="66"/>
      <c r="J15" s="67"/>
      <c r="K15" s="67"/>
    </row>
    <row r="16">
      <c r="G16" s="66"/>
      <c r="H16" s="66"/>
      <c r="I16" s="66"/>
      <c r="J16" s="67"/>
      <c r="K16" s="67"/>
    </row>
    <row r="17">
      <c r="G17" s="66"/>
      <c r="H17" s="66"/>
      <c r="I17" s="66"/>
      <c r="J17" s="67"/>
      <c r="K17" s="67"/>
    </row>
    <row r="18">
      <c r="G18" s="66"/>
      <c r="H18" s="66"/>
      <c r="I18" s="66"/>
      <c r="J18" s="67"/>
      <c r="K18" s="67"/>
    </row>
    <row r="19">
      <c r="G19" s="66"/>
      <c r="H19" s="66"/>
      <c r="I19" s="66"/>
      <c r="J19" s="67"/>
      <c r="K19" s="67"/>
    </row>
    <row r="20">
      <c r="G20" s="66"/>
      <c r="H20" s="66"/>
      <c r="I20" s="66"/>
      <c r="J20" s="67"/>
      <c r="K20" s="67"/>
    </row>
    <row r="21">
      <c r="G21" s="66"/>
      <c r="H21" s="66"/>
      <c r="I21" s="66"/>
      <c r="J21" s="67"/>
      <c r="K21" s="67"/>
    </row>
    <row r="22">
      <c r="G22" s="66"/>
      <c r="H22" s="66"/>
      <c r="I22" s="66"/>
      <c r="J22" s="67"/>
      <c r="K22" s="67"/>
    </row>
    <row r="23">
      <c r="G23" s="66"/>
      <c r="H23" s="66"/>
      <c r="I23" s="66"/>
      <c r="J23" s="67"/>
      <c r="K23" s="67"/>
    </row>
    <row r="24">
      <c r="G24" s="66"/>
      <c r="H24" s="66"/>
      <c r="I24" s="66"/>
      <c r="J24" s="67"/>
      <c r="K24" s="67"/>
    </row>
    <row r="25">
      <c r="G25" s="66"/>
      <c r="H25" s="66"/>
      <c r="I25" s="66"/>
      <c r="J25" s="67"/>
      <c r="K25" s="67"/>
    </row>
    <row r="26">
      <c r="G26" s="66"/>
      <c r="H26" s="66"/>
      <c r="I26" s="66"/>
      <c r="J26" s="67"/>
      <c r="K26" s="67"/>
    </row>
    <row r="27">
      <c r="G27" s="66"/>
      <c r="H27" s="66"/>
      <c r="I27" s="66"/>
      <c r="J27" s="67"/>
      <c r="K27" s="67"/>
    </row>
    <row r="28">
      <c r="G28" s="66"/>
      <c r="H28" s="66"/>
      <c r="I28" s="66"/>
      <c r="J28" s="67"/>
      <c r="K28" s="67"/>
    </row>
    <row r="29">
      <c r="G29" s="66"/>
      <c r="H29" s="66"/>
      <c r="I29" s="66"/>
      <c r="J29" s="67"/>
      <c r="K29" s="67"/>
    </row>
    <row r="30">
      <c r="G30" s="66"/>
      <c r="H30" s="66"/>
      <c r="I30" s="66"/>
      <c r="J30" s="67"/>
      <c r="K30" s="67"/>
    </row>
    <row r="31">
      <c r="G31" s="66"/>
      <c r="H31" s="66"/>
      <c r="I31" s="66"/>
      <c r="J31" s="67"/>
      <c r="K31" s="67"/>
    </row>
    <row r="32">
      <c r="G32" s="66"/>
      <c r="H32" s="66"/>
      <c r="I32" s="66"/>
      <c r="J32" s="67"/>
      <c r="K32" s="67"/>
    </row>
    <row r="33">
      <c r="G33" s="66"/>
      <c r="H33" s="66"/>
      <c r="I33" s="66"/>
      <c r="J33" s="67"/>
      <c r="K33" s="67"/>
    </row>
    <row r="34">
      <c r="G34" s="66"/>
      <c r="H34" s="66"/>
      <c r="I34" s="66"/>
      <c r="J34" s="67"/>
      <c r="K34" s="67"/>
    </row>
    <row r="35">
      <c r="G35" s="66"/>
      <c r="H35" s="66"/>
      <c r="I35" s="66"/>
      <c r="J35" s="67"/>
      <c r="K35" s="67"/>
    </row>
    <row r="36">
      <c r="G36" s="66"/>
      <c r="H36" s="66"/>
      <c r="I36" s="66"/>
      <c r="J36" s="67"/>
      <c r="K36" s="67"/>
    </row>
    <row r="37">
      <c r="G37" s="66"/>
      <c r="H37" s="66"/>
      <c r="I37" s="66"/>
      <c r="J37" s="67"/>
      <c r="K37" s="67"/>
    </row>
    <row r="38">
      <c r="G38" s="66"/>
      <c r="H38" s="66"/>
      <c r="I38" s="66"/>
      <c r="J38" s="67"/>
      <c r="K38" s="67"/>
    </row>
    <row r="39">
      <c r="G39" s="66"/>
      <c r="H39" s="66"/>
      <c r="I39" s="66"/>
      <c r="J39" s="67"/>
      <c r="K39" s="67"/>
    </row>
    <row r="40">
      <c r="G40" s="66"/>
      <c r="H40" s="66"/>
      <c r="I40" s="66"/>
      <c r="J40" s="67"/>
      <c r="K40" s="67"/>
    </row>
    <row r="41">
      <c r="G41" s="66"/>
      <c r="H41" s="66"/>
      <c r="I41" s="66"/>
      <c r="J41" s="67"/>
      <c r="K41" s="67"/>
    </row>
    <row r="42">
      <c r="G42" s="66"/>
      <c r="H42" s="66"/>
      <c r="I42" s="66"/>
      <c r="J42" s="67"/>
      <c r="K42" s="67"/>
    </row>
    <row r="43">
      <c r="G43" s="66"/>
      <c r="H43" s="66"/>
      <c r="I43" s="66"/>
      <c r="J43" s="67"/>
      <c r="K43" s="67"/>
    </row>
    <row r="44">
      <c r="G44" s="66"/>
      <c r="H44" s="66"/>
      <c r="I44" s="66"/>
      <c r="J44" s="67"/>
      <c r="K44" s="67"/>
    </row>
    <row r="45">
      <c r="G45" s="66"/>
      <c r="H45" s="66"/>
      <c r="I45" s="66"/>
      <c r="J45" s="67"/>
      <c r="K45" s="67"/>
    </row>
    <row r="46">
      <c r="G46" s="66"/>
      <c r="H46" s="66"/>
      <c r="I46" s="66"/>
      <c r="J46" s="67"/>
      <c r="K46" s="67"/>
    </row>
    <row r="47">
      <c r="G47" s="66"/>
      <c r="H47" s="66"/>
      <c r="I47" s="66"/>
      <c r="J47" s="67"/>
      <c r="K47" s="67"/>
    </row>
    <row r="48">
      <c r="G48" s="66"/>
      <c r="H48" s="66"/>
      <c r="I48" s="66"/>
      <c r="J48" s="67"/>
      <c r="K48" s="67"/>
    </row>
    <row r="49">
      <c r="G49" s="66"/>
      <c r="H49" s="66"/>
      <c r="I49" s="66"/>
      <c r="J49" s="67"/>
      <c r="K49" s="67"/>
    </row>
    <row r="50">
      <c r="G50" s="66"/>
      <c r="H50" s="66"/>
      <c r="I50" s="66"/>
      <c r="J50" s="67"/>
      <c r="K50" s="67"/>
    </row>
    <row r="51">
      <c r="G51" s="66"/>
      <c r="H51" s="66"/>
      <c r="I51" s="66"/>
      <c r="J51" s="67"/>
      <c r="K51" s="67"/>
    </row>
    <row r="52">
      <c r="G52" s="66"/>
      <c r="H52" s="66"/>
      <c r="I52" s="66"/>
      <c r="J52" s="67"/>
      <c r="K52" s="67"/>
    </row>
    <row r="53">
      <c r="G53" s="66"/>
      <c r="H53" s="66"/>
      <c r="I53" s="66"/>
      <c r="J53" s="67"/>
      <c r="K53" s="67"/>
    </row>
    <row r="54">
      <c r="G54" s="66"/>
      <c r="H54" s="66"/>
      <c r="I54" s="66"/>
      <c r="J54" s="67"/>
      <c r="K54" s="67"/>
    </row>
    <row r="55">
      <c r="G55" s="66"/>
      <c r="H55" s="66"/>
      <c r="I55" s="66"/>
      <c r="J55" s="67"/>
      <c r="K55" s="67"/>
    </row>
    <row r="56">
      <c r="G56" s="66"/>
      <c r="H56" s="66"/>
      <c r="I56" s="66"/>
      <c r="J56" s="67"/>
      <c r="K56" s="67"/>
    </row>
    <row r="57">
      <c r="G57" s="66"/>
      <c r="H57" s="66"/>
      <c r="I57" s="66"/>
      <c r="J57" s="67"/>
      <c r="K57" s="67"/>
    </row>
    <row r="58">
      <c r="G58" s="66"/>
      <c r="H58" s="66"/>
      <c r="I58" s="66"/>
      <c r="J58" s="67"/>
      <c r="K58" s="67"/>
    </row>
    <row r="59">
      <c r="G59" s="66"/>
      <c r="H59" s="66"/>
      <c r="I59" s="66"/>
      <c r="J59" s="67"/>
      <c r="K59" s="67"/>
    </row>
    <row r="60">
      <c r="G60" s="66"/>
      <c r="H60" s="66"/>
      <c r="I60" s="66"/>
      <c r="J60" s="67"/>
      <c r="K60" s="67"/>
    </row>
    <row r="61">
      <c r="G61" s="66"/>
      <c r="H61" s="66"/>
      <c r="I61" s="66"/>
      <c r="J61" s="67"/>
      <c r="K61" s="67"/>
    </row>
    <row r="62">
      <c r="G62" s="66"/>
      <c r="H62" s="66"/>
      <c r="I62" s="66"/>
      <c r="J62" s="67"/>
      <c r="K62" s="67"/>
    </row>
    <row r="63">
      <c r="G63" s="66"/>
      <c r="H63" s="66"/>
      <c r="I63" s="66"/>
      <c r="J63" s="67"/>
      <c r="K63" s="67"/>
    </row>
    <row r="64">
      <c r="G64" s="66"/>
      <c r="H64" s="66"/>
      <c r="I64" s="66"/>
      <c r="J64" s="67"/>
      <c r="K64" s="67"/>
    </row>
    <row r="65">
      <c r="G65" s="66"/>
      <c r="H65" s="66"/>
      <c r="I65" s="66"/>
      <c r="J65" s="67"/>
      <c r="K65" s="67"/>
    </row>
    <row r="66">
      <c r="G66" s="66"/>
      <c r="H66" s="66"/>
      <c r="I66" s="66"/>
      <c r="J66" s="67"/>
      <c r="K66" s="67"/>
    </row>
    <row r="67">
      <c r="G67" s="66"/>
      <c r="H67" s="66"/>
      <c r="I67" s="66"/>
      <c r="J67" s="67"/>
      <c r="K67" s="67"/>
    </row>
    <row r="68">
      <c r="G68" s="66"/>
      <c r="H68" s="66"/>
      <c r="I68" s="66"/>
      <c r="J68" s="67"/>
      <c r="K68" s="67"/>
    </row>
    <row r="69">
      <c r="G69" s="66"/>
      <c r="H69" s="66"/>
      <c r="I69" s="66"/>
      <c r="J69" s="67"/>
      <c r="K69" s="67"/>
    </row>
    <row r="70">
      <c r="G70" s="66"/>
      <c r="H70" s="66"/>
      <c r="I70" s="66"/>
      <c r="J70" s="67"/>
      <c r="K70" s="67"/>
    </row>
    <row r="71">
      <c r="G71" s="66"/>
      <c r="H71" s="66"/>
      <c r="I71" s="66"/>
      <c r="J71" s="67"/>
      <c r="K71" s="67"/>
    </row>
    <row r="72">
      <c r="G72" s="66"/>
      <c r="H72" s="66"/>
      <c r="I72" s="66"/>
      <c r="J72" s="67"/>
      <c r="K72" s="67"/>
    </row>
    <row r="73">
      <c r="G73" s="66"/>
      <c r="H73" s="66"/>
      <c r="I73" s="66"/>
      <c r="J73" s="67"/>
      <c r="K73" s="67"/>
    </row>
    <row r="74">
      <c r="G74" s="66"/>
      <c r="H74" s="66"/>
      <c r="I74" s="66"/>
      <c r="J74" s="67"/>
      <c r="K74" s="67"/>
    </row>
    <row r="75">
      <c r="G75" s="66"/>
      <c r="H75" s="66"/>
      <c r="I75" s="66"/>
      <c r="J75" s="67"/>
      <c r="K75" s="67"/>
    </row>
    <row r="76">
      <c r="G76" s="66"/>
      <c r="H76" s="66"/>
      <c r="I76" s="66"/>
      <c r="J76" s="67"/>
      <c r="K76" s="67"/>
    </row>
    <row r="77">
      <c r="G77" s="66"/>
      <c r="H77" s="66"/>
      <c r="I77" s="66"/>
      <c r="J77" s="67"/>
      <c r="K77" s="67"/>
    </row>
    <row r="78">
      <c r="G78" s="66"/>
      <c r="H78" s="66"/>
      <c r="I78" s="66"/>
      <c r="J78" s="67"/>
      <c r="K78" s="67"/>
    </row>
    <row r="79">
      <c r="G79" s="66"/>
      <c r="H79" s="66"/>
      <c r="I79" s="66"/>
      <c r="J79" s="67"/>
      <c r="K79" s="67"/>
    </row>
    <row r="80">
      <c r="G80" s="66"/>
      <c r="H80" s="66"/>
      <c r="I80" s="66"/>
      <c r="J80" s="67"/>
      <c r="K80" s="67"/>
    </row>
    <row r="81">
      <c r="G81" s="66"/>
      <c r="H81" s="66"/>
      <c r="I81" s="66"/>
      <c r="J81" s="67"/>
      <c r="K81" s="67"/>
    </row>
    <row r="82">
      <c r="G82" s="66"/>
      <c r="H82" s="66"/>
      <c r="I82" s="66"/>
      <c r="J82" s="67"/>
      <c r="K82" s="67"/>
    </row>
    <row r="83">
      <c r="G83" s="66"/>
      <c r="H83" s="66"/>
      <c r="I83" s="66"/>
      <c r="J83" s="67"/>
      <c r="K83" s="67"/>
    </row>
    <row r="84">
      <c r="G84" s="66"/>
      <c r="H84" s="66"/>
      <c r="I84" s="66"/>
      <c r="J84" s="67"/>
      <c r="K84" s="67"/>
    </row>
    <row r="85">
      <c r="G85" s="66"/>
      <c r="H85" s="66"/>
      <c r="I85" s="66"/>
      <c r="J85" s="67"/>
      <c r="K85" s="67"/>
    </row>
    <row r="86">
      <c r="G86" s="66"/>
      <c r="H86" s="66"/>
      <c r="I86" s="66"/>
      <c r="J86" s="67"/>
      <c r="K86" s="67"/>
    </row>
    <row r="87">
      <c r="G87" s="66"/>
      <c r="H87" s="66"/>
      <c r="I87" s="66"/>
      <c r="J87" s="67"/>
      <c r="K87" s="67"/>
    </row>
    <row r="88">
      <c r="G88" s="66"/>
      <c r="H88" s="66"/>
      <c r="I88" s="66"/>
      <c r="J88" s="67"/>
      <c r="K88" s="67"/>
    </row>
    <row r="89">
      <c r="G89" s="66"/>
      <c r="H89" s="66"/>
      <c r="I89" s="66"/>
      <c r="J89" s="67"/>
      <c r="K89" s="67"/>
    </row>
    <row r="90">
      <c r="G90" s="66"/>
      <c r="H90" s="66"/>
      <c r="I90" s="66"/>
      <c r="J90" s="67"/>
      <c r="K90" s="67"/>
    </row>
    <row r="91">
      <c r="G91" s="66"/>
      <c r="H91" s="66"/>
      <c r="I91" s="66"/>
      <c r="J91" s="67"/>
      <c r="K91" s="67"/>
    </row>
    <row r="92">
      <c r="G92" s="66"/>
      <c r="H92" s="66"/>
      <c r="I92" s="66"/>
      <c r="J92" s="67"/>
      <c r="K92" s="67"/>
    </row>
    <row r="93">
      <c r="G93" s="66"/>
      <c r="H93" s="66"/>
      <c r="I93" s="66"/>
      <c r="J93" s="67"/>
      <c r="K93" s="67"/>
    </row>
    <row r="94">
      <c r="G94" s="66"/>
      <c r="H94" s="66"/>
      <c r="I94" s="66"/>
      <c r="J94" s="67"/>
      <c r="K94" s="67"/>
    </row>
    <row r="95">
      <c r="G95" s="66"/>
      <c r="H95" s="66"/>
      <c r="I95" s="66"/>
      <c r="J95" s="67"/>
      <c r="K95" s="67"/>
    </row>
    <row r="96">
      <c r="G96" s="66"/>
      <c r="H96" s="66"/>
      <c r="I96" s="66"/>
      <c r="J96" s="67"/>
      <c r="K96" s="67"/>
    </row>
    <row r="97">
      <c r="G97" s="66"/>
      <c r="H97" s="66"/>
      <c r="I97" s="66"/>
      <c r="J97" s="67"/>
      <c r="K97" s="67"/>
    </row>
    <row r="98">
      <c r="G98" s="66"/>
      <c r="H98" s="66"/>
      <c r="I98" s="66"/>
      <c r="J98" s="67"/>
      <c r="K98" s="67"/>
    </row>
    <row r="99">
      <c r="G99" s="66"/>
      <c r="H99" s="66"/>
      <c r="I99" s="66"/>
      <c r="J99" s="67"/>
      <c r="K99" s="67"/>
    </row>
    <row r="100">
      <c r="G100" s="66"/>
      <c r="H100" s="66"/>
      <c r="I100" s="66"/>
      <c r="J100" s="67"/>
      <c r="K100" s="67"/>
    </row>
    <row r="101">
      <c r="G101" s="66"/>
      <c r="H101" s="66"/>
      <c r="I101" s="66"/>
      <c r="J101" s="67"/>
      <c r="K101" s="67"/>
    </row>
    <row r="102">
      <c r="G102" s="66"/>
      <c r="H102" s="66"/>
      <c r="I102" s="66"/>
      <c r="J102" s="67"/>
      <c r="K102" s="67"/>
    </row>
    <row r="103">
      <c r="G103" s="66"/>
      <c r="H103" s="66"/>
      <c r="I103" s="66"/>
      <c r="J103" s="67"/>
      <c r="K103" s="67"/>
    </row>
    <row r="104">
      <c r="G104" s="66"/>
      <c r="H104" s="66"/>
      <c r="I104" s="66"/>
      <c r="J104" s="67"/>
      <c r="K104" s="67"/>
    </row>
    <row r="105">
      <c r="G105" s="66"/>
      <c r="H105" s="66"/>
      <c r="I105" s="66"/>
      <c r="J105" s="67"/>
      <c r="K105" s="67"/>
    </row>
    <row r="106">
      <c r="G106" s="66"/>
      <c r="H106" s="66"/>
      <c r="I106" s="66"/>
      <c r="J106" s="67"/>
      <c r="K106" s="67"/>
    </row>
    <row r="107">
      <c r="G107" s="66"/>
      <c r="H107" s="66"/>
      <c r="I107" s="66"/>
      <c r="J107" s="67"/>
      <c r="K107" s="67"/>
    </row>
    <row r="108">
      <c r="G108" s="66"/>
      <c r="H108" s="66"/>
      <c r="I108" s="66"/>
      <c r="J108" s="67"/>
      <c r="K108" s="67"/>
    </row>
    <row r="109">
      <c r="G109" s="66"/>
      <c r="H109" s="66"/>
      <c r="I109" s="66"/>
      <c r="J109" s="67"/>
      <c r="K109" s="67"/>
    </row>
    <row r="110">
      <c r="G110" s="66"/>
      <c r="H110" s="66"/>
      <c r="I110" s="66"/>
      <c r="J110" s="67"/>
      <c r="K110" s="67"/>
    </row>
    <row r="111">
      <c r="G111" s="66"/>
      <c r="H111" s="66"/>
      <c r="I111" s="66"/>
      <c r="J111" s="67"/>
      <c r="K111" s="67"/>
    </row>
    <row r="112">
      <c r="G112" s="66"/>
      <c r="H112" s="66"/>
      <c r="I112" s="66"/>
      <c r="J112" s="67"/>
      <c r="K112" s="67"/>
    </row>
    <row r="113">
      <c r="G113" s="66"/>
      <c r="H113" s="66"/>
      <c r="I113" s="66"/>
      <c r="J113" s="67"/>
      <c r="K113" s="67"/>
    </row>
    <row r="114">
      <c r="G114" s="66"/>
      <c r="H114" s="66"/>
      <c r="I114" s="66"/>
      <c r="J114" s="67"/>
      <c r="K114" s="67"/>
    </row>
    <row r="115">
      <c r="G115" s="66"/>
      <c r="H115" s="66"/>
      <c r="I115" s="66"/>
      <c r="J115" s="67"/>
      <c r="K115" s="67"/>
    </row>
    <row r="116">
      <c r="G116" s="66"/>
      <c r="H116" s="66"/>
      <c r="I116" s="66"/>
      <c r="J116" s="67"/>
      <c r="K116" s="67"/>
    </row>
    <row r="117">
      <c r="G117" s="66"/>
      <c r="H117" s="66"/>
      <c r="I117" s="66"/>
      <c r="J117" s="67"/>
      <c r="K117" s="67"/>
    </row>
    <row r="118">
      <c r="G118" s="66"/>
      <c r="H118" s="66"/>
      <c r="I118" s="66"/>
      <c r="J118" s="67"/>
      <c r="K118" s="67"/>
    </row>
    <row r="119">
      <c r="G119" s="66"/>
      <c r="H119" s="66"/>
      <c r="I119" s="66"/>
      <c r="J119" s="67"/>
      <c r="K119" s="67"/>
    </row>
    <row r="120">
      <c r="G120" s="66"/>
      <c r="H120" s="66"/>
      <c r="I120" s="66"/>
      <c r="J120" s="67"/>
      <c r="K120" s="67"/>
    </row>
    <row r="121">
      <c r="G121" s="66"/>
      <c r="H121" s="66"/>
      <c r="I121" s="66"/>
      <c r="J121" s="67"/>
      <c r="K121" s="67"/>
    </row>
    <row r="122">
      <c r="G122" s="66"/>
      <c r="H122" s="66"/>
      <c r="I122" s="66"/>
      <c r="J122" s="67"/>
      <c r="K122" s="67"/>
    </row>
    <row r="123">
      <c r="G123" s="66"/>
      <c r="H123" s="66"/>
      <c r="I123" s="66"/>
      <c r="J123" s="67"/>
      <c r="K123" s="67"/>
    </row>
    <row r="124">
      <c r="G124" s="66"/>
      <c r="H124" s="66"/>
      <c r="I124" s="66"/>
      <c r="J124" s="67"/>
      <c r="K124" s="67"/>
    </row>
    <row r="125">
      <c r="G125" s="66"/>
      <c r="H125" s="66"/>
      <c r="I125" s="66"/>
      <c r="J125" s="67"/>
      <c r="K125" s="67"/>
    </row>
    <row r="126">
      <c r="G126" s="66"/>
      <c r="H126" s="66"/>
      <c r="I126" s="66"/>
      <c r="J126" s="67"/>
      <c r="K126" s="67"/>
    </row>
    <row r="127">
      <c r="G127" s="66"/>
      <c r="H127" s="66"/>
      <c r="I127" s="66"/>
      <c r="J127" s="67"/>
      <c r="K127" s="67"/>
    </row>
    <row r="128">
      <c r="G128" s="66"/>
      <c r="H128" s="66"/>
      <c r="I128" s="66"/>
      <c r="J128" s="67"/>
      <c r="K128" s="67"/>
    </row>
    <row r="129">
      <c r="G129" s="66"/>
      <c r="H129" s="66"/>
      <c r="I129" s="66"/>
      <c r="J129" s="67"/>
      <c r="K129" s="67"/>
    </row>
    <row r="130">
      <c r="G130" s="66"/>
      <c r="H130" s="66"/>
      <c r="I130" s="66"/>
      <c r="J130" s="67"/>
      <c r="K130" s="67"/>
    </row>
    <row r="131">
      <c r="G131" s="66"/>
      <c r="H131" s="66"/>
      <c r="I131" s="66"/>
      <c r="J131" s="67"/>
      <c r="K131" s="67"/>
    </row>
    <row r="132">
      <c r="G132" s="66"/>
      <c r="H132" s="66"/>
      <c r="I132" s="66"/>
      <c r="J132" s="67"/>
      <c r="K132" s="67"/>
    </row>
    <row r="133">
      <c r="G133" s="66"/>
      <c r="H133" s="66"/>
      <c r="I133" s="66"/>
      <c r="J133" s="67"/>
      <c r="K133" s="67"/>
    </row>
    <row r="134">
      <c r="G134" s="66"/>
      <c r="H134" s="66"/>
      <c r="I134" s="66"/>
      <c r="J134" s="67"/>
      <c r="K134" s="67"/>
    </row>
    <row r="135">
      <c r="G135" s="66"/>
      <c r="H135" s="66"/>
      <c r="I135" s="66"/>
      <c r="J135" s="67"/>
      <c r="K135" s="67"/>
    </row>
    <row r="136">
      <c r="G136" s="66"/>
      <c r="H136" s="66"/>
      <c r="I136" s="66"/>
      <c r="J136" s="67"/>
      <c r="K136" s="67"/>
    </row>
    <row r="137">
      <c r="G137" s="66"/>
      <c r="H137" s="66"/>
      <c r="I137" s="66"/>
      <c r="J137" s="67"/>
      <c r="K137" s="67"/>
    </row>
    <row r="138">
      <c r="G138" s="66"/>
      <c r="H138" s="66"/>
      <c r="I138" s="66"/>
      <c r="J138" s="67"/>
      <c r="K138" s="67"/>
    </row>
    <row r="139">
      <c r="G139" s="66"/>
      <c r="H139" s="66"/>
      <c r="I139" s="66"/>
      <c r="J139" s="67"/>
      <c r="K139" s="67"/>
    </row>
    <row r="140">
      <c r="G140" s="66"/>
      <c r="H140" s="66"/>
      <c r="I140" s="66"/>
      <c r="J140" s="67"/>
      <c r="K140" s="67"/>
    </row>
    <row r="141">
      <c r="G141" s="66"/>
      <c r="H141" s="66"/>
      <c r="I141" s="66"/>
      <c r="J141" s="67"/>
      <c r="K141" s="67"/>
    </row>
    <row r="142">
      <c r="G142" s="66"/>
      <c r="H142" s="66"/>
      <c r="I142" s="66"/>
      <c r="J142" s="67"/>
      <c r="K142" s="67"/>
    </row>
    <row r="143">
      <c r="G143" s="66"/>
      <c r="H143" s="66"/>
      <c r="I143" s="66"/>
      <c r="J143" s="67"/>
      <c r="K143" s="67"/>
    </row>
    <row r="144">
      <c r="G144" s="66"/>
      <c r="H144" s="66"/>
      <c r="I144" s="66"/>
      <c r="J144" s="67"/>
      <c r="K144" s="67"/>
    </row>
    <row r="145">
      <c r="G145" s="66"/>
      <c r="H145" s="66"/>
      <c r="I145" s="66"/>
      <c r="J145" s="67"/>
      <c r="K145" s="67"/>
    </row>
    <row r="146">
      <c r="G146" s="66"/>
      <c r="H146" s="66"/>
      <c r="I146" s="66"/>
      <c r="J146" s="67"/>
      <c r="K146" s="67"/>
    </row>
    <row r="147">
      <c r="G147" s="66"/>
      <c r="H147" s="66"/>
      <c r="I147" s="66"/>
      <c r="J147" s="67"/>
      <c r="K147" s="67"/>
    </row>
    <row r="148">
      <c r="G148" s="66"/>
      <c r="H148" s="66"/>
      <c r="I148" s="66"/>
      <c r="J148" s="67"/>
      <c r="K148" s="67"/>
    </row>
    <row r="149">
      <c r="G149" s="66"/>
      <c r="H149" s="66"/>
      <c r="I149" s="66"/>
      <c r="J149" s="67"/>
      <c r="K149" s="67"/>
    </row>
    <row r="150">
      <c r="G150" s="66"/>
      <c r="H150" s="66"/>
      <c r="I150" s="66"/>
      <c r="J150" s="67"/>
      <c r="K150" s="67"/>
    </row>
    <row r="151">
      <c r="G151" s="66"/>
      <c r="H151" s="66"/>
      <c r="I151" s="66"/>
      <c r="J151" s="67"/>
      <c r="K151" s="67"/>
    </row>
    <row r="152">
      <c r="G152" s="66"/>
      <c r="H152" s="66"/>
      <c r="I152" s="66"/>
      <c r="J152" s="67"/>
      <c r="K152" s="67"/>
    </row>
    <row r="153">
      <c r="G153" s="66"/>
      <c r="H153" s="66"/>
      <c r="I153" s="66"/>
      <c r="J153" s="67"/>
      <c r="K153" s="67"/>
    </row>
    <row r="154">
      <c r="G154" s="66"/>
      <c r="H154" s="66"/>
      <c r="I154" s="66"/>
      <c r="J154" s="67"/>
      <c r="K154" s="67"/>
    </row>
    <row r="155">
      <c r="G155" s="66"/>
      <c r="H155" s="66"/>
      <c r="I155" s="66"/>
      <c r="J155" s="67"/>
      <c r="K155" s="67"/>
    </row>
    <row r="156">
      <c r="G156" s="66"/>
      <c r="H156" s="66"/>
      <c r="I156" s="66"/>
      <c r="J156" s="67"/>
      <c r="K156" s="67"/>
    </row>
    <row r="157">
      <c r="G157" s="66"/>
      <c r="H157" s="66"/>
      <c r="I157" s="66"/>
      <c r="J157" s="67"/>
      <c r="K157" s="67"/>
    </row>
    <row r="158">
      <c r="G158" s="66"/>
      <c r="H158" s="66"/>
      <c r="I158" s="66"/>
      <c r="J158" s="67"/>
      <c r="K158" s="67"/>
    </row>
    <row r="159">
      <c r="G159" s="66"/>
      <c r="H159" s="66"/>
      <c r="I159" s="66"/>
      <c r="J159" s="67"/>
      <c r="K159" s="67"/>
    </row>
    <row r="160">
      <c r="G160" s="66"/>
      <c r="H160" s="66"/>
      <c r="I160" s="66"/>
      <c r="J160" s="67"/>
      <c r="K160" s="67"/>
    </row>
    <row r="161">
      <c r="G161" s="66"/>
      <c r="H161" s="66"/>
      <c r="I161" s="66"/>
      <c r="J161" s="67"/>
      <c r="K161" s="67"/>
    </row>
    <row r="162">
      <c r="G162" s="66"/>
      <c r="H162" s="66"/>
      <c r="I162" s="66"/>
      <c r="J162" s="67"/>
      <c r="K162" s="67"/>
    </row>
    <row r="163">
      <c r="G163" s="66"/>
      <c r="H163" s="66"/>
      <c r="I163" s="66"/>
      <c r="J163" s="67"/>
      <c r="K163" s="67"/>
    </row>
    <row r="164">
      <c r="G164" s="66"/>
      <c r="H164" s="66"/>
      <c r="I164" s="66"/>
      <c r="J164" s="67"/>
      <c r="K164" s="67"/>
    </row>
    <row r="165">
      <c r="G165" s="66"/>
      <c r="H165" s="66"/>
      <c r="I165" s="66"/>
      <c r="J165" s="67"/>
      <c r="K165" s="67"/>
    </row>
    <row r="166">
      <c r="G166" s="66"/>
      <c r="H166" s="66"/>
      <c r="I166" s="66"/>
      <c r="J166" s="67"/>
      <c r="K166" s="67"/>
    </row>
    <row r="167">
      <c r="G167" s="66"/>
      <c r="H167" s="66"/>
      <c r="I167" s="66"/>
      <c r="J167" s="67"/>
      <c r="K167" s="67"/>
    </row>
    <row r="168">
      <c r="G168" s="66"/>
      <c r="H168" s="66"/>
      <c r="I168" s="66"/>
      <c r="J168" s="67"/>
      <c r="K168" s="67"/>
    </row>
    <row r="169">
      <c r="G169" s="66"/>
      <c r="H169" s="66"/>
      <c r="I169" s="66"/>
      <c r="J169" s="67"/>
      <c r="K169" s="67"/>
    </row>
    <row r="170">
      <c r="G170" s="66"/>
      <c r="H170" s="66"/>
      <c r="I170" s="66"/>
      <c r="J170" s="67"/>
      <c r="K170" s="67"/>
    </row>
    <row r="171">
      <c r="G171" s="66"/>
      <c r="H171" s="66"/>
      <c r="I171" s="66"/>
      <c r="J171" s="67"/>
      <c r="K171" s="67"/>
    </row>
    <row r="172">
      <c r="G172" s="66"/>
      <c r="H172" s="66"/>
      <c r="I172" s="66"/>
      <c r="J172" s="67"/>
      <c r="K172" s="67"/>
    </row>
    <row r="173">
      <c r="G173" s="66"/>
      <c r="H173" s="66"/>
      <c r="I173" s="66"/>
      <c r="J173" s="67"/>
      <c r="K173" s="67"/>
    </row>
    <row r="174">
      <c r="G174" s="66"/>
      <c r="H174" s="66"/>
      <c r="I174" s="66"/>
      <c r="J174" s="67"/>
      <c r="K174" s="67"/>
    </row>
    <row r="175">
      <c r="G175" s="66"/>
      <c r="H175" s="66"/>
      <c r="I175" s="66"/>
      <c r="J175" s="67"/>
      <c r="K175" s="67"/>
    </row>
    <row r="176">
      <c r="G176" s="66"/>
      <c r="H176" s="66"/>
      <c r="I176" s="66"/>
      <c r="J176" s="67"/>
      <c r="K176" s="67"/>
    </row>
    <row r="177">
      <c r="G177" s="66"/>
      <c r="H177" s="66"/>
      <c r="I177" s="66"/>
      <c r="J177" s="67"/>
      <c r="K177" s="67"/>
    </row>
    <row r="178">
      <c r="G178" s="66"/>
      <c r="H178" s="66"/>
      <c r="I178" s="66"/>
      <c r="J178" s="67"/>
      <c r="K178" s="67"/>
    </row>
    <row r="179">
      <c r="G179" s="66"/>
      <c r="H179" s="66"/>
      <c r="I179" s="66"/>
      <c r="J179" s="67"/>
      <c r="K179" s="67"/>
    </row>
    <row r="180">
      <c r="G180" s="66"/>
      <c r="H180" s="66"/>
      <c r="I180" s="66"/>
      <c r="J180" s="67"/>
      <c r="K180" s="67"/>
    </row>
    <row r="181">
      <c r="G181" s="66"/>
      <c r="H181" s="66"/>
      <c r="I181" s="66"/>
      <c r="J181" s="67"/>
      <c r="K181" s="67"/>
    </row>
    <row r="182">
      <c r="G182" s="66"/>
      <c r="H182" s="66"/>
      <c r="I182" s="66"/>
      <c r="J182" s="67"/>
      <c r="K182" s="67"/>
    </row>
    <row r="183">
      <c r="G183" s="66"/>
      <c r="H183" s="66"/>
      <c r="I183" s="66"/>
      <c r="J183" s="67"/>
      <c r="K183" s="67"/>
    </row>
    <row r="184">
      <c r="G184" s="66"/>
      <c r="H184" s="66"/>
      <c r="I184" s="66"/>
      <c r="J184" s="67"/>
      <c r="K184" s="67"/>
    </row>
    <row r="185">
      <c r="G185" s="66"/>
      <c r="H185" s="66"/>
      <c r="I185" s="66"/>
      <c r="J185" s="67"/>
      <c r="K185" s="67"/>
    </row>
    <row r="186">
      <c r="G186" s="66"/>
      <c r="H186" s="66"/>
      <c r="I186" s="66"/>
      <c r="J186" s="67"/>
      <c r="K186" s="67"/>
    </row>
    <row r="187">
      <c r="G187" s="66"/>
      <c r="H187" s="66"/>
      <c r="I187" s="66"/>
      <c r="J187" s="67"/>
      <c r="K187" s="67"/>
    </row>
    <row r="188">
      <c r="G188" s="66"/>
      <c r="H188" s="66"/>
      <c r="I188" s="66"/>
      <c r="J188" s="67"/>
      <c r="K188" s="67"/>
    </row>
    <row r="189">
      <c r="G189" s="66"/>
      <c r="H189" s="66"/>
      <c r="I189" s="66"/>
      <c r="J189" s="67"/>
      <c r="K189" s="67"/>
    </row>
    <row r="190">
      <c r="G190" s="66"/>
      <c r="H190" s="66"/>
      <c r="I190" s="66"/>
      <c r="J190" s="67"/>
      <c r="K190" s="67"/>
    </row>
    <row r="191">
      <c r="G191" s="66"/>
      <c r="H191" s="66"/>
      <c r="I191" s="66"/>
      <c r="J191" s="67"/>
      <c r="K191" s="67"/>
    </row>
    <row r="192">
      <c r="G192" s="66"/>
      <c r="H192" s="66"/>
      <c r="I192" s="66"/>
      <c r="J192" s="67"/>
      <c r="K192" s="67"/>
    </row>
    <row r="193">
      <c r="G193" s="66"/>
      <c r="H193" s="66"/>
      <c r="I193" s="66"/>
      <c r="J193" s="67"/>
      <c r="K193" s="67"/>
    </row>
    <row r="194">
      <c r="G194" s="66"/>
      <c r="H194" s="66"/>
      <c r="I194" s="66"/>
      <c r="J194" s="67"/>
      <c r="K194" s="67"/>
    </row>
    <row r="195">
      <c r="G195" s="66"/>
      <c r="H195" s="66"/>
      <c r="I195" s="66"/>
      <c r="J195" s="67"/>
      <c r="K195" s="67"/>
    </row>
    <row r="196">
      <c r="G196" s="66"/>
      <c r="H196" s="66"/>
      <c r="I196" s="66"/>
      <c r="J196" s="67"/>
      <c r="K196" s="67"/>
    </row>
    <row r="197">
      <c r="G197" s="66"/>
      <c r="H197" s="66"/>
      <c r="I197" s="66"/>
      <c r="J197" s="67"/>
      <c r="K197" s="67"/>
    </row>
    <row r="198">
      <c r="G198" s="66"/>
      <c r="H198" s="66"/>
      <c r="I198" s="66"/>
      <c r="J198" s="67"/>
      <c r="K198" s="67"/>
    </row>
    <row r="199">
      <c r="G199" s="66"/>
      <c r="H199" s="66"/>
      <c r="I199" s="66"/>
      <c r="J199" s="67"/>
      <c r="K199" s="67"/>
    </row>
    <row r="200">
      <c r="G200" s="66"/>
      <c r="H200" s="66"/>
      <c r="I200" s="66"/>
      <c r="J200" s="67"/>
      <c r="K200" s="67"/>
    </row>
    <row r="201">
      <c r="G201" s="66"/>
      <c r="H201" s="66"/>
      <c r="I201" s="66"/>
      <c r="J201" s="67"/>
      <c r="K201" s="67"/>
    </row>
  </sheetData>
  <autoFilter ref="A1:V20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