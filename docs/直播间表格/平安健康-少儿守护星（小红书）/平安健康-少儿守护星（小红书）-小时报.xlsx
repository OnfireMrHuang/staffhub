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勿删快捷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<sst xmlns="http://schemas.openxmlformats.org/spreadsheetml/2006/main" count="105" uniqueCount="105">
  <si>
    <t xml:space="preserve">  </t>
  </si>
  <si>
    <t xml:space="preserve">  </t>
  </si>
  <si>
    <t xml:space="preserve">业务数据</t>
  </si>
  <si>
    <t/>
    <r>
      <rPr>
        <b val="true"/>
        <i val="false"/>
        <strike val="false"/>
        <sz val="12"/>
        <color rgb="FF000000"/>
      </rPr>
      <t>过程指标</t>
    </r>
  </si>
  <si>
    <t xml:space="preserve">人员</t>
  </si>
  <si>
    <t xml:space="preserve">日期</t>
  </si>
  <si>
    <t xml:space="preserve">时间</t>
  </si>
  <si>
    <t xml:space="preserve">主播</t>
  </si>
  <si>
    <t xml:space="preserve">总消耗</t>
  </si>
  <si>
    <t xml:space="preserve">转化数</t>
  </si>
  <si>
    <t xml:space="preserve">保单数</t>
  </si>
  <si>
    <t xml:space="preserve">年化保费</t>
  </si>
  <si>
    <t xml:space="preserve">ROI</t>
  </si>
  <si>
    <t xml:space="preserve">外层点击率</t>
  </si>
  <si>
    <t xml:space="preserve">直播间5s观看成本</t>
  </si>
  <si>
    <t xml:space="preserve">保单转化率</t>
  </si>
  <si>
    <t xml:space="preserve">单均</t>
  </si>
  <si>
    <t xml:space="preserve">保单成本</t>
  </si>
  <si>
    <t xml:space="preserve">转化成本</t>
  </si>
  <si>
    <t xml:space="preserve">投手</t>
  </si>
  <si>
    <t xml:space="preserve">场控</t>
  </si>
  <si>
    <t xml:space="preserve">展示数</t>
  </si>
  <si>
    <t xml:space="preserve">点击数</t>
  </si>
  <si>
    <t xml:space="preserve">直播间5s观看量</t>
  </si>
  <si>
    <t xml:space="preserve">后台订单提交数</t>
  </si>
  <si>
    <t xml:space="preserve">闫雨萌</t>
  </si>
  <si>
    <t xml:space="preserve">18:00-19:00</t>
  </si>
  <si>
    <t xml:space="preserve">陈浏铭</t>
  </si>
  <si>
    <t xml:space="preserve">杨博</t>
  </si>
  <si>
    <t xml:space="preserve">19:00-20:00</t>
  </si>
  <si>
    <t xml:space="preserve">20:00-21:00</t>
  </si>
  <si>
    <t xml:space="preserve">21:00-22:00</t>
  </si>
  <si>
    <t xml:space="preserve">分主播汇总</t>
  </si>
  <si>
    <t xml:space="preserve">合计</t>
  </si>
  <si>
    <t xml:space="preserve">何嘉仪</t>
  </si>
  <si>
    <t xml:space="preserve">董柯言</t>
  </si>
  <si>
    <t xml:space="preserve">曹颖慧</t>
  </si>
  <si>
    <t xml:space="preserve">  </t>
  </si>
  <si>
    <t xml:space="preserve">业务数据</t>
  </si>
  <si>
    <t/>
    <r>
      <rPr>
        <b val="true"/>
        <i val="false"/>
        <strike val="false"/>
        <sz val="12"/>
        <color rgb="FF000000"/>
      </rPr>
      <t>过程指标</t>
    </r>
  </si>
  <si>
    <t xml:space="preserve">人员</t>
  </si>
  <si>
    <t xml:space="preserve">日期</t>
  </si>
  <si>
    <t xml:space="preserve">时间</t>
  </si>
  <si>
    <t xml:space="preserve">主播</t>
  </si>
  <si>
    <t xml:space="preserve">总消耗</t>
  </si>
  <si>
    <t xml:space="preserve">转化数</t>
  </si>
  <si>
    <t xml:space="preserve">保单数</t>
  </si>
  <si>
    <t xml:space="preserve">年化保费</t>
  </si>
  <si>
    <t xml:space="preserve">ROI</t>
  </si>
  <si>
    <t xml:space="preserve">外层点击率</t>
  </si>
  <si>
    <t xml:space="preserve">直播间5s观看成本</t>
  </si>
  <si>
    <t xml:space="preserve">保单转化率</t>
  </si>
  <si>
    <t xml:space="preserve">单均</t>
  </si>
  <si>
    <t xml:space="preserve">保单成本</t>
  </si>
  <si>
    <t xml:space="preserve">转化成本</t>
  </si>
  <si>
    <t xml:space="preserve">投手</t>
  </si>
  <si>
    <t xml:space="preserve">场控</t>
  </si>
  <si>
    <t xml:space="preserve">展示数</t>
  </si>
  <si>
    <t xml:space="preserve">点击数</t>
  </si>
  <si>
    <t xml:space="preserve">直播间5s观看量</t>
  </si>
  <si>
    <t xml:space="preserve">后台订单提交数</t>
  </si>
  <si>
    <t xml:space="preserve">闫雨萌</t>
  </si>
  <si>
    <t xml:space="preserve">18:00-19:00</t>
  </si>
  <si>
    <t xml:space="preserve">陈浏铭</t>
  </si>
  <si>
    <t xml:space="preserve">闫小姗</t>
  </si>
  <si>
    <t xml:space="preserve">19:00-20:00</t>
  </si>
  <si>
    <t xml:space="preserve">20:00-21:00</t>
  </si>
  <si>
    <t xml:space="preserve">21:00-22:00</t>
  </si>
  <si>
    <t xml:space="preserve">分主播汇总</t>
  </si>
  <si>
    <t xml:space="preserve">合计</t>
  </si>
  <si>
    <t xml:space="preserve">李哲</t>
  </si>
  <si>
    <t xml:space="preserve">杨博</t>
  </si>
  <si>
    <t xml:space="preserve">  </t>
  </si>
  <si>
    <t xml:space="preserve">业务数据</t>
  </si>
  <si>
    <t/>
    <r>
      <rPr>
        <b val="true"/>
        <i val="false"/>
        <strike val="false"/>
        <sz val="12"/>
        <color rgb="FF000000"/>
      </rPr>
      <t>过程指标</t>
    </r>
  </si>
  <si>
    <t xml:space="preserve">人员</t>
  </si>
  <si>
    <t xml:space="preserve">日期</t>
  </si>
  <si>
    <t xml:space="preserve">时间</t>
  </si>
  <si>
    <t xml:space="preserve">主播</t>
  </si>
  <si>
    <t xml:space="preserve">总消耗</t>
  </si>
  <si>
    <t xml:space="preserve">转化数</t>
  </si>
  <si>
    <t xml:space="preserve">保单数</t>
  </si>
  <si>
    <t xml:space="preserve">年化保费</t>
  </si>
  <si>
    <t xml:space="preserve">ROI</t>
  </si>
  <si>
    <t xml:space="preserve">外层点击率</t>
  </si>
  <si>
    <t xml:space="preserve">直播间5s观看成本</t>
  </si>
  <si>
    <t xml:space="preserve">保单转化率</t>
  </si>
  <si>
    <t xml:space="preserve">单均</t>
  </si>
  <si>
    <t xml:space="preserve">保单成本</t>
  </si>
  <si>
    <t xml:space="preserve">转化成本</t>
  </si>
  <si>
    <t xml:space="preserve">投手</t>
  </si>
  <si>
    <t xml:space="preserve">场控</t>
  </si>
  <si>
    <t xml:space="preserve">展示数</t>
  </si>
  <si>
    <t xml:space="preserve">点击数</t>
  </si>
  <si>
    <t xml:space="preserve">直播间5s观看量</t>
  </si>
  <si>
    <t xml:space="preserve">后台订单提交数</t>
  </si>
  <si>
    <t xml:space="preserve">闫雨萌</t>
  </si>
  <si>
    <t xml:space="preserve">18:00-19:00</t>
  </si>
  <si>
    <t xml:space="preserve">陈浏铭</t>
  </si>
  <si>
    <t xml:space="preserve">曹颖慧</t>
  </si>
  <si>
    <t xml:space="preserve">19:00-20:00</t>
  </si>
  <si>
    <t xml:space="preserve">20:00-21:00</t>
  </si>
  <si>
    <t xml:space="preserve">21:00-22:00</t>
  </si>
  <si>
    <t xml:space="preserve">分主播汇总</t>
  </si>
  <si>
    <t xml:space="preserve"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</si>
</sst>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164" formatCode="#,##0.00"/>
    <numFmt numFmtId="165" formatCode="0.00_);[Red]\(0.00\)"/>
    <numFmt numFmtId="166" formatCode="0.00_ ;[Red]\-0.00\ "/>
    <numFmt numFmtId="167" formatCode="0_ ;[Red]\-0\ "/>
    <numFmt numFmtId="168" formatCode="#,##0"/>
    <numFmt numFmtId="169" formatCode="0.00%"/>
    <numFmt numFmtId="170" formatCode="yyyy/m/d"/>
    <numFmt numFmtId="171" formatCode="General"/>
    <numFmt numFmtId="172" formatCode="0.00_);[Red](0.00)"/>
    <numFmt numFmtId="173" formatCode="0"/>
    <numFmt numFmtId="174" formatCode="#,##0.00"/>
    <numFmt numFmtId="175" formatCode="#,##0"/>
    <numFmt numFmtId="176" formatCode="0.00_);[Red]\(0.00\)"/>
    <numFmt numFmtId="177" formatCode="0.00_ ;[Red]\-0.00\ "/>
    <numFmt numFmtId="178" formatCode="0_ ;[Red]\-0\ "/>
    <numFmt numFmtId="179" formatCode="0.00%"/>
    <numFmt numFmtId="180" formatCode="yyyy/m/d"/>
    <numFmt numFmtId="181" formatCode="General"/>
    <numFmt numFmtId="182" formatCode="0.00_);[Red](0.00)"/>
    <numFmt numFmtId="183" formatCode="0"/>
    <numFmt numFmtId="184" formatCode="#,##0.00"/>
    <numFmt numFmtId="185" formatCode="0.00_);[Red]\(0.00\)"/>
    <numFmt numFmtId="186" formatCode="0.00_ ;[Red]\-0.00\ "/>
    <numFmt numFmtId="187" formatCode="0_ ;[Red]\-0\ "/>
    <numFmt numFmtId="188" formatCode="#,##0"/>
    <numFmt numFmtId="189" formatCode="0.00%"/>
    <numFmt numFmtId="190" formatCode="yyyy/m/d"/>
    <numFmt numFmtId="191" formatCode="General"/>
    <numFmt numFmtId="192" formatCode="0.00_);[Red](0.00)"/>
    <numFmt numFmtId="193" formatCode="0"/>
  </numFmts>
  <fonts count="9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D5F6F2"/>
        <bgColor/>
      </patternFill>
    </fill>
    <fill>
      <patternFill patternType="solid">
        <fgColor rgb="FF64E8D6"/>
        <bgColor/>
      </patternFill>
    </fill>
    <fill>
      <patternFill patternType="solid">
        <fgColor rgb="FFFFF258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64E8D6"/>
        <bgColor/>
      </patternFill>
    </fill>
    <fill>
      <patternFill patternType="solid">
        <fgColor rgb="FFD5F6F2"/>
        <bgColor/>
      </patternFill>
    </fill>
  </fills>
  <borders count="4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2" fillId="4" fontId="1" numFmtId="165" xfId="0">
      <alignment horizontal="center" vertical="center"/>
    </xf>
    <xf applyAlignment="true" applyBorder="false" applyFill="true" applyFont="true" applyNumberFormat="true" applyProtection="false" borderId="3" fillId="3" fontId="2" numFmtId="166" xfId="0">
      <alignment horizontal="center" vertical="center"/>
    </xf>
    <xf applyAlignment="true" applyBorder="false" applyFill="true" applyFont="true" applyNumberFormat="true" applyProtection="false" borderId="4" fillId="3" fontId="3" numFmtId="167" xfId="0">
      <alignment horizontal="center" vertical="center"/>
    </xf>
    <xf applyAlignment="true" applyBorder="false" applyFill="true" applyFont="true" applyNumberFormat="false" applyProtection="false" borderId="5" fillId="2" fontId="1" numFmtId="0" xfId="0">
      <alignment horizontal="center" vertical="center"/>
    </xf>
    <xf applyAlignment="true" applyBorder="false" applyFill="true" applyFont="true" applyNumberFormat="false" applyProtection="false" borderId="6" fillId="2" fontId="1" numFmtId="0" xfId="0">
      <alignment horizontal="center" vertical="center"/>
    </xf>
    <xf applyAlignment="true" applyBorder="false" applyFill="true" applyFont="true" applyNumberFormat="true" applyProtection="false" borderId="7" fillId="3" fontId="1" numFmtId="164" xfId="0">
      <alignment horizontal="center" vertical="center"/>
    </xf>
    <xf applyAlignment="true" applyBorder="false" applyFill="true" applyFont="true" applyNumberFormat="true" applyProtection="false" borderId="5" fillId="3" fontId="1" numFmtId="168" xfId="0">
      <alignment horizontal="center" vertical="center"/>
    </xf>
    <xf applyAlignment="true" applyBorder="false" applyFill="true" applyFont="true" applyNumberFormat="true" applyProtection="false" borderId="5" fillId="3" fontId="1" numFmtId="164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true" applyProtection="false" borderId="2" fillId="4" fontId="1" numFmtId="165" xfId="0">
      <alignment horizontal="center" vertical="center"/>
    </xf>
    <xf applyAlignment="true" applyBorder="false" applyFill="true" applyFont="true" applyNumberFormat="true" applyProtection="false" borderId="2" fillId="4" fontId="1" numFmtId="165" xfId="0">
      <alignment horizontal="center" vertical="center"/>
    </xf>
    <xf applyAlignment="true" applyBorder="false" applyFill="true" applyFont="true" applyNumberFormat="true" applyProtection="false" borderId="2" fillId="4" fontId="1" numFmtId="169" xfId="0">
      <alignment horizontal="center" vertical="center"/>
    </xf>
    <xf applyAlignment="true" applyBorder="false" applyFill="true" applyFont="true" applyNumberFormat="true" applyProtection="false" borderId="4" fillId="4" fontId="1" numFmtId="165" xfId="0">
      <alignment horizontal="center" vertical="center"/>
    </xf>
    <xf applyAlignment="true" applyBorder="false" applyFill="true" applyFont="true" applyNumberFormat="true" applyProtection="false" borderId="4" fillId="4" fontId="1" numFmtId="165" xfId="0">
      <alignment horizontal="center" vertical="center"/>
    </xf>
    <xf applyAlignment="true" applyBorder="false" applyFill="false" applyFont="true" applyNumberFormat="true" applyProtection="false" borderId="4" fillId="0" fontId="4" numFmtId="166" xfId="0">
      <alignment horizontal="center" vertical="center"/>
    </xf>
    <xf applyAlignment="true" applyBorder="false" applyFill="false" applyFont="true" applyNumberFormat="true" applyProtection="false" borderId="2" fillId="0" fontId="5" numFmtId="168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center"/>
    </xf>
    <xf applyAlignment="true" applyBorder="false" applyFill="false" applyFont="true" applyNumberFormat="true" applyProtection="false" borderId="9" fillId="0" fontId="4" numFmtId="171" xfId="0">
      <alignment horizontal="center" vertical="center"/>
    </xf>
    <xf applyAlignment="true" applyBorder="false" applyFill="false" applyFont="true" applyNumberFormat="true" applyProtection="false" borderId="10" fillId="0" fontId="4" numFmtId="171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11" fillId="0" fontId="4" numFmtId="168" xfId="0">
      <alignment horizontal="center" vertical="center"/>
    </xf>
    <xf applyAlignment="true" applyBorder="false" applyFill="false" applyFont="true" applyNumberFormat="true" applyProtection="false" borderId="2" fillId="0" fontId="4" numFmtId="164" xfId="0">
      <alignment horizontal="center" vertical="center"/>
    </xf>
    <xf applyAlignment="true" applyBorder="false" applyFill="true" applyFont="true" applyNumberFormat="true" applyProtection="false" borderId="11" fillId="5" fontId="6" numFmtId="172" xfId="0">
      <alignment horizontal="center" vertical="center"/>
    </xf>
    <xf applyAlignment="true" applyBorder="false" applyFill="false" applyFont="true" applyNumberFormat="true" applyProtection="false" borderId="2" fillId="0" fontId="4" numFmtId="169" xfId="0">
      <alignment horizontal="center" vertical="center"/>
    </xf>
    <xf applyAlignment="true" applyBorder="false" applyFill="false" applyFont="true" applyNumberFormat="true" applyProtection="false" borderId="2" fillId="0" fontId="4" numFmtId="165" xfId="0">
      <alignment horizontal="center" vertical="center"/>
    </xf>
    <xf applyAlignment="true" applyBorder="false" applyFill="false" applyFont="true" applyNumberFormat="true" applyProtection="false" borderId="12" fillId="0" fontId="4" numFmtId="165" xfId="0">
      <alignment horizontal="center" vertical="bottom"/>
    </xf>
    <xf applyAlignment="true" applyBorder="false" applyFill="false" applyFont="true" applyNumberFormat="true" applyProtection="false" borderId="4" fillId="0" fontId="4" numFmtId="165" xfId="0">
      <alignment horizontal="center" vertical="center"/>
    </xf>
    <xf applyAlignment="true" applyBorder="false" applyFill="false" applyFont="true" applyNumberFormat="true" applyProtection="false" borderId="2" fillId="0" fontId="4" numFmtId="166" xfId="0">
      <alignment horizontal="center" vertical="bottom"/>
    </xf>
    <xf applyAlignment="true" applyBorder="false" applyFill="false" applyFont="true" applyNumberFormat="false" applyProtection="false" borderId="2" fillId="0" fontId="4" numFmtId="0" xfId="0">
      <alignment horizontal="center" vertical="bottom"/>
    </xf>
    <xf applyAlignment="true" applyBorder="false" applyFill="false" applyFont="true" applyNumberFormat="true" applyProtection="false" borderId="2" fillId="0" fontId="4" numFmtId="171" xfId="0">
      <alignment horizontal="center" vertical="center"/>
    </xf>
    <xf applyAlignment="true" applyBorder="false" applyFill="true" applyFont="true" applyNumberFormat="true" applyProtection="false" borderId="13" fillId="6" fontId="1" numFmtId="171" xfId="0">
      <alignment horizontal="center" vertical="center"/>
    </xf>
    <xf applyAlignment="true" applyBorder="false" applyFill="true" applyFont="true" applyNumberFormat="true" applyProtection="false" borderId="1" fillId="6" fontId="1" numFmtId="164" xfId="0">
      <alignment horizontal="center" vertical="center"/>
    </xf>
    <xf applyAlignment="true" applyBorder="false" applyFill="true" applyFont="true" applyNumberFormat="true" applyProtection="false" borderId="13" fillId="6" fontId="1" numFmtId="168" xfId="0">
      <alignment horizontal="center" vertical="center"/>
    </xf>
    <xf applyAlignment="true" applyBorder="false" applyFill="true" applyFont="true" applyNumberFormat="true" applyProtection="false" borderId="14" fillId="6" fontId="1" numFmtId="164" xfId="0">
      <alignment horizontal="center" vertical="center"/>
    </xf>
    <xf applyAlignment="true" applyBorder="false" applyFill="true" applyFont="true" applyNumberFormat="true" applyProtection="false" borderId="15" fillId="6" fontId="6" numFmtId="172" xfId="0">
      <alignment horizontal="center" vertical="center"/>
    </xf>
    <xf applyAlignment="true" applyBorder="false" applyFill="true" applyFont="true" applyNumberFormat="true" applyProtection="false" borderId="12" fillId="6" fontId="1" numFmtId="169" xfId="0">
      <alignment horizontal="center" vertical="center"/>
    </xf>
    <xf applyAlignment="true" applyBorder="false" applyFill="true" applyFont="true" applyNumberFormat="true" applyProtection="false" borderId="12" fillId="6" fontId="1" numFmtId="165" xfId="0">
      <alignment horizontal="center" vertical="center"/>
    </xf>
    <xf applyAlignment="true" applyBorder="false" applyFill="true" applyFont="true" applyNumberFormat="true" applyProtection="false" borderId="12" fillId="6" fontId="1" numFmtId="165" xfId="0">
      <alignment horizontal="center" vertical="bottom"/>
    </xf>
    <xf applyAlignment="true" applyBorder="false" applyFill="true" applyFont="true" applyNumberFormat="true" applyProtection="false" borderId="3" fillId="6" fontId="1" numFmtId="165" xfId="0">
      <alignment horizontal="center" vertical="center"/>
    </xf>
    <xf applyAlignment="true" applyBorder="false" applyFill="true" applyFont="true" applyNumberFormat="true" applyProtection="false" borderId="12" fillId="6" fontId="6" numFmtId="166" xfId="0">
      <alignment horizontal="center" vertical="center"/>
    </xf>
    <xf applyAlignment="true" applyBorder="false" applyFill="true" applyFont="true" applyNumberFormat="true" applyProtection="false" borderId="14" fillId="6" fontId="1" numFmtId="173" xfId="0">
      <alignment horizontal="center" vertical="center"/>
    </xf>
    <xf applyAlignment="true" applyBorder="false" applyFill="true" applyFont="true" applyNumberFormat="true" applyProtection="false" borderId="1" fillId="7" fontId="6" numFmtId="171" xfId="0">
      <alignment horizontal="center" vertical="center"/>
    </xf>
    <xf applyAlignment="true" applyBorder="false" applyFill="true" applyFont="true" applyNumberFormat="true" applyProtection="false" borderId="1" fillId="7" fontId="6" numFmtId="164" xfId="0">
      <alignment horizontal="center" vertical="center"/>
    </xf>
    <xf applyAlignment="true" applyBorder="false" applyFill="true" applyFont="true" applyNumberFormat="true" applyProtection="false" borderId="1" fillId="7" fontId="6" numFmtId="168" xfId="0">
      <alignment horizontal="center" vertical="center"/>
    </xf>
    <xf applyAlignment="true" applyBorder="false" applyFill="true" applyFont="true" applyNumberFormat="true" applyProtection="false" borderId="1" fillId="7" fontId="6" numFmtId="172" xfId="0">
      <alignment horizontal="center" vertical="center"/>
    </xf>
    <xf applyAlignment="true" applyBorder="false" applyFill="true" applyFont="true" applyNumberFormat="true" applyProtection="false" borderId="1" fillId="7" fontId="6" numFmtId="169" xfId="0">
      <alignment horizontal="center" vertical="center"/>
    </xf>
    <xf applyAlignment="true" applyBorder="false" applyFill="true" applyFont="true" applyNumberFormat="true" applyProtection="false" borderId="1" fillId="7" fontId="6" numFmtId="165" xfId="0">
      <alignment horizontal="center" vertical="center"/>
    </xf>
    <xf applyAlignment="true" applyBorder="false" applyFill="true" applyFont="true" applyNumberFormat="true" applyProtection="false" borderId="1" fillId="7" fontId="6" numFmtId="166" xfId="0">
      <alignment horizontal="center" vertical="center"/>
    </xf>
    <xf applyAlignment="true" applyBorder="false" applyFill="false" applyFont="true" applyNumberFormat="true" applyProtection="false" borderId="2" fillId="0" fontId="4" numFmtId="171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11" fillId="0" fontId="4" numFmtId="168" xfId="0">
      <alignment horizontal="center" vertical="center"/>
    </xf>
    <xf applyAlignment="true" applyBorder="false" applyFill="false" applyFont="true" applyNumberFormat="true" applyProtection="false" borderId="2" fillId="0" fontId="4" numFmtId="164" xfId="0">
      <alignment horizontal="center" vertical="center"/>
    </xf>
    <xf applyAlignment="true" applyBorder="false" applyFill="true" applyFont="true" applyNumberFormat="true" applyProtection="false" borderId="0" fillId="8" fontId="7" numFmtId="164" xfId="0">
      <alignment horizontal="center" vertical="center"/>
    </xf>
    <xf applyAlignment="true" applyBorder="false" applyFill="true" applyFont="true" applyNumberFormat="false" applyProtection="false" borderId="0" fillId="8" fontId="7" numFmtId="0" xfId="0">
      <alignment horizontal="center" vertical="center"/>
    </xf>
    <xf applyAlignment="true" applyBorder="false" applyFill="true" applyFont="true" applyNumberFormat="false" applyProtection="false" borderId="0" fillId="8" fontId="7" numFmtId="0" xfId="0">
      <alignment horizontal="center" vertical="center"/>
    </xf>
    <xf applyAlignment="true" applyBorder="false" applyFill="true" applyFont="true" applyNumberFormat="true" applyProtection="false" borderId="0" fillId="9" fontId="7" numFmtId="164" xfId="0">
      <alignment horizontal="center" vertical="center"/>
    </xf>
    <xf applyAlignment="true" applyBorder="false" applyFill="true" applyFont="true" applyNumberFormat="false" applyProtection="false" borderId="0" fillId="9" fontId="7" numFmtId="0" xfId="0">
      <alignment horizontal="center" vertical="center"/>
    </xf>
    <xf applyAlignment="true" applyBorder="false" applyFill="true" applyFont="true" applyNumberFormat="true" applyProtection="false" borderId="0" fillId="9" fontId="7" numFmtId="164" xfId="0">
      <alignment horizontal="center" vertical="center"/>
    </xf>
    <xf applyAlignment="true" applyBorder="false" applyFill="true" applyFont="true" applyNumberFormat="true" applyProtection="false" borderId="0" fillId="9" fontId="7" numFmtId="168" xfId="0">
      <alignment horizontal="center" vertical="center"/>
    </xf>
    <xf applyAlignment="true" applyBorder="false" applyFill="true" applyFont="true" applyNumberFormat="false" applyProtection="false" borderId="0" fillId="9" fontId="7" numFmtId="0" xfId="0">
      <alignment horizontal="center" vertical="center"/>
    </xf>
    <xf applyAlignment="true" applyBorder="false" applyFill="true" applyFont="true" applyNumberFormat="false" applyProtection="false" borderId="0" fillId="9" fontId="7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10" fontId="8" numFmtId="0" xfId="0">
      <alignment vertical="center"/>
    </xf>
    <xf applyAlignment="true" applyBorder="false" applyFill="true" applyFont="true" applyNumberFormat="false" applyProtection="false" borderId="16" fillId="11" fontId="1" numFmtId="0" xfId="0">
      <alignment horizontal="center" vertical="center"/>
    </xf>
    <xf applyAlignment="true" applyBorder="false" applyFill="true" applyFont="true" applyNumberFormat="true" applyProtection="false" borderId="16" fillId="12" fontId="1" numFmtId="174" xfId="0">
      <alignment horizontal="center" vertical="center"/>
    </xf>
    <xf applyAlignment="true" applyBorder="false" applyFill="true" applyFont="true" applyNumberFormat="true" applyProtection="false" borderId="16" fillId="12" fontId="1" numFmtId="175" xfId="0">
      <alignment horizontal="center" vertical="center"/>
    </xf>
    <xf applyAlignment="true" applyBorder="false" applyFill="true" applyFont="true" applyNumberFormat="true" applyProtection="false" borderId="17" fillId="13" fontId="1" numFmtId="176" xfId="0">
      <alignment horizontal="center" vertical="center"/>
    </xf>
    <xf applyAlignment="true" applyBorder="false" applyFill="true" applyFont="true" applyNumberFormat="true" applyProtection="false" borderId="18" fillId="12" fontId="2" numFmtId="177" xfId="0">
      <alignment horizontal="center" vertical="center"/>
    </xf>
    <xf applyAlignment="true" applyBorder="false" applyFill="true" applyFont="true" applyNumberFormat="true" applyProtection="false" borderId="18" fillId="12" fontId="2" numFmtId="177" xfId="0">
      <alignment horizontal="center" vertical="center"/>
    </xf>
    <xf applyAlignment="true" applyBorder="false" applyFill="true" applyFont="true" applyNumberFormat="true" applyProtection="false" borderId="19" fillId="12" fontId="3" numFmtId="178" xfId="0">
      <alignment horizontal="center" vertical="center"/>
    </xf>
    <xf applyAlignment="true" applyBorder="false" applyFill="true" applyFont="true" applyNumberFormat="false" applyProtection="false" borderId="20" fillId="11" fontId="1" numFmtId="0" xfId="0">
      <alignment horizontal="center" vertical="center"/>
    </xf>
    <xf applyAlignment="true" applyBorder="false" applyFill="true" applyFont="true" applyNumberFormat="false" applyProtection="false" borderId="21" fillId="11" fontId="1" numFmtId="0" xfId="0">
      <alignment horizontal="center" vertical="center"/>
    </xf>
    <xf applyAlignment="true" applyBorder="false" applyFill="true" applyFont="true" applyNumberFormat="true" applyProtection="false" borderId="22" fillId="12" fontId="1" numFmtId="174" xfId="0">
      <alignment horizontal="center" vertical="center"/>
    </xf>
    <xf applyAlignment="true" applyBorder="false" applyFill="true" applyFont="true" applyNumberFormat="true" applyProtection="false" borderId="20" fillId="12" fontId="1" numFmtId="175" xfId="0">
      <alignment horizontal="center" vertical="center"/>
    </xf>
    <xf applyAlignment="true" applyBorder="false" applyFill="true" applyFont="true" applyNumberFormat="true" applyProtection="false" borderId="20" fillId="12" fontId="1" numFmtId="174" xfId="0">
      <alignment horizontal="center" vertical="center"/>
    </xf>
    <xf applyAlignment="true" applyBorder="false" applyFill="true" applyFont="true" applyNumberFormat="false" applyProtection="false" borderId="23" fillId="12" fontId="1" numFmtId="0" xfId="0">
      <alignment horizontal="center" vertical="center"/>
    </xf>
    <xf applyAlignment="true" applyBorder="false" applyFill="true" applyFont="true" applyNumberFormat="true" applyProtection="false" borderId="17" fillId="13" fontId="1" numFmtId="176" xfId="0">
      <alignment horizontal="center" vertical="center"/>
    </xf>
    <xf applyAlignment="true" applyBorder="false" applyFill="true" applyFont="true" applyNumberFormat="true" applyProtection="false" borderId="17" fillId="13" fontId="1" numFmtId="176" xfId="0">
      <alignment horizontal="center" vertical="center"/>
    </xf>
    <xf applyAlignment="true" applyBorder="false" applyFill="true" applyFont="true" applyNumberFormat="true" applyProtection="false" borderId="17" fillId="13" fontId="1" numFmtId="179" xfId="0">
      <alignment horizontal="center" vertical="center"/>
    </xf>
    <xf applyAlignment="true" applyBorder="false" applyFill="true" applyFont="true" applyNumberFormat="true" applyProtection="false" borderId="19" fillId="13" fontId="1" numFmtId="176" xfId="0">
      <alignment horizontal="center" vertical="center"/>
    </xf>
    <xf applyAlignment="true" applyBorder="false" applyFill="true" applyFont="true" applyNumberFormat="true" applyProtection="false" borderId="19" fillId="13" fontId="1" numFmtId="176" xfId="0">
      <alignment horizontal="center" vertical="center"/>
    </xf>
    <xf applyAlignment="true" applyBorder="false" applyFill="false" applyFont="true" applyNumberFormat="true" applyProtection="false" borderId="19" fillId="0" fontId="4" numFmtId="177" xfId="0">
      <alignment horizontal="center" vertical="center"/>
    </xf>
    <xf applyAlignment="true" applyBorder="false" applyFill="false" applyFont="true" applyNumberFormat="true" applyProtection="false" borderId="17" fillId="0" fontId="5" numFmtId="175" xfId="0">
      <alignment horizontal="center" vertical="center"/>
    </xf>
    <xf applyAlignment="true" applyBorder="false" applyFill="false" applyFont="true" applyNumberFormat="false" applyProtection="false" borderId="17" fillId="0" fontId="5" numFmtId="0" xfId="0">
      <alignment horizontal="center" vertical="center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false" applyFont="true" applyNumberFormat="true" applyProtection="false" borderId="16" fillId="0" fontId="4" numFmtId="180" xfId="0">
      <alignment horizontal="center" vertical="center"/>
    </xf>
    <xf applyAlignment="true" applyBorder="false" applyFill="false" applyFont="true" applyNumberFormat="true" applyProtection="false" borderId="24" fillId="0" fontId="4" numFmtId="181" xfId="0">
      <alignment horizontal="center" vertical="center"/>
    </xf>
    <xf applyAlignment="true" applyBorder="false" applyFill="false" applyFont="true" applyNumberFormat="true" applyProtection="false" borderId="25" fillId="0" fontId="4" numFmtId="181" xfId="0">
      <alignment horizontal="center" vertical="center"/>
    </xf>
    <xf applyAlignment="true" applyBorder="false" applyFill="false" applyFont="true" applyNumberFormat="true" applyProtection="false" borderId="16" fillId="0" fontId="4" numFmtId="174" xfId="0">
      <alignment horizontal="center" vertical="center"/>
    </xf>
    <xf applyAlignment="true" applyBorder="false" applyFill="false" applyFont="true" applyNumberFormat="true" applyProtection="false" borderId="26" fillId="0" fontId="4" numFmtId="175" xfId="0">
      <alignment horizontal="center" vertical="center"/>
    </xf>
    <xf applyAlignment="true" applyBorder="false" applyFill="false" applyFont="true" applyNumberFormat="true" applyProtection="false" borderId="17" fillId="0" fontId="4" numFmtId="174" xfId="0">
      <alignment horizontal="center" vertical="center"/>
    </xf>
    <xf applyAlignment="true" applyBorder="false" applyFill="true" applyFont="true" applyNumberFormat="true" applyProtection="false" borderId="26" fillId="14" fontId="6" numFmtId="182" xfId="0">
      <alignment horizontal="center" vertical="center"/>
    </xf>
    <xf applyAlignment="true" applyBorder="false" applyFill="false" applyFont="true" applyNumberFormat="true" applyProtection="false" borderId="17" fillId="0" fontId="4" numFmtId="179" xfId="0">
      <alignment horizontal="center" vertical="center"/>
    </xf>
    <xf applyAlignment="true" applyBorder="false" applyFill="false" applyFont="true" applyNumberFormat="true" applyProtection="false" borderId="17" fillId="0" fontId="4" numFmtId="176" xfId="0">
      <alignment horizontal="center" vertical="center"/>
    </xf>
    <xf applyAlignment="true" applyBorder="false" applyFill="false" applyFont="true" applyNumberFormat="true" applyProtection="false" borderId="27" fillId="0" fontId="4" numFmtId="176" xfId="0">
      <alignment horizontal="center" vertical="bottom"/>
    </xf>
    <xf applyAlignment="true" applyBorder="false" applyFill="false" applyFont="true" applyNumberFormat="true" applyProtection="false" borderId="19" fillId="0" fontId="4" numFmtId="176" xfId="0">
      <alignment horizontal="center" vertical="center"/>
    </xf>
    <xf applyAlignment="true" applyBorder="false" applyFill="false" applyFont="true" applyNumberFormat="true" applyProtection="false" borderId="17" fillId="0" fontId="4" numFmtId="177" xfId="0">
      <alignment horizontal="center" vertical="bottom"/>
    </xf>
    <xf applyAlignment="true" applyBorder="false" applyFill="false" applyFont="true" applyNumberFormat="false" applyProtection="false" borderId="17" fillId="0" fontId="4" numFmtId="0" xfId="0">
      <alignment horizontal="center" vertical="bottom"/>
    </xf>
    <xf applyAlignment="true" applyBorder="false" applyFill="false" applyFont="true" applyNumberFormat="true" applyProtection="false" borderId="17" fillId="0" fontId="4" numFmtId="181" xfId="0">
      <alignment horizontal="center" vertical="center"/>
    </xf>
    <xf applyAlignment="true" applyBorder="false" applyFill="false" applyFont="true" applyNumberFormat="true" applyProtection="false" borderId="16" fillId="0" fontId="4" numFmtId="180" xfId="0">
      <alignment horizontal="center" vertical="center"/>
    </xf>
    <xf applyAlignment="true" applyBorder="false" applyFill="false" applyFont="true" applyNumberFormat="true" applyProtection="false" borderId="17" fillId="0" fontId="4" numFmtId="181" xfId="0">
      <alignment horizontal="center" vertical="center"/>
    </xf>
    <xf applyAlignment="true" applyBorder="false" applyFill="false" applyFont="true" applyNumberFormat="true" applyProtection="false" borderId="17" fillId="0" fontId="4" numFmtId="181" xfId="0">
      <alignment horizontal="center" vertical="center"/>
    </xf>
    <xf applyAlignment="true" applyBorder="false" applyFill="false" applyFont="true" applyNumberFormat="true" applyProtection="false" borderId="26" fillId="0" fontId="4" numFmtId="175" xfId="0">
      <alignment horizontal="center" vertical="center"/>
    </xf>
    <xf applyAlignment="true" applyBorder="false" applyFill="false" applyFont="true" applyNumberFormat="true" applyProtection="false" borderId="17" fillId="0" fontId="4" numFmtId="174" xfId="0">
      <alignment horizontal="center" vertical="center"/>
    </xf>
    <xf applyAlignment="true" applyBorder="false" applyFill="true" applyFont="true" applyNumberFormat="true" applyProtection="false" borderId="28" fillId="15" fontId="1" numFmtId="181" xfId="0">
      <alignment horizontal="center" vertical="center"/>
    </xf>
    <xf applyAlignment="true" applyBorder="false" applyFill="true" applyFont="true" applyNumberFormat="true" applyProtection="false" borderId="16" fillId="15" fontId="1" numFmtId="174" xfId="0">
      <alignment horizontal="center" vertical="center"/>
    </xf>
    <xf applyAlignment="true" applyBorder="false" applyFill="true" applyFont="true" applyNumberFormat="true" applyProtection="false" borderId="28" fillId="15" fontId="1" numFmtId="175" xfId="0">
      <alignment horizontal="center" vertical="center"/>
    </xf>
    <xf applyAlignment="true" applyBorder="false" applyFill="true" applyFont="true" applyNumberFormat="true" applyProtection="false" borderId="29" fillId="15" fontId="1" numFmtId="174" xfId="0">
      <alignment horizontal="center" vertical="center"/>
    </xf>
    <xf applyAlignment="true" applyBorder="false" applyFill="true" applyFont="true" applyNumberFormat="true" applyProtection="false" borderId="30" fillId="15" fontId="6" numFmtId="182" xfId="0">
      <alignment horizontal="center" vertical="center"/>
    </xf>
    <xf applyAlignment="true" applyBorder="false" applyFill="true" applyFont="true" applyNumberFormat="true" applyProtection="false" borderId="27" fillId="15" fontId="1" numFmtId="179" xfId="0">
      <alignment horizontal="center" vertical="center"/>
    </xf>
    <xf applyAlignment="true" applyBorder="false" applyFill="true" applyFont="true" applyNumberFormat="true" applyProtection="false" borderId="27" fillId="15" fontId="1" numFmtId="176" xfId="0">
      <alignment horizontal="center" vertical="center"/>
    </xf>
    <xf applyAlignment="true" applyBorder="false" applyFill="true" applyFont="true" applyNumberFormat="true" applyProtection="false" borderId="27" fillId="15" fontId="1" numFmtId="176" xfId="0">
      <alignment horizontal="center" vertical="bottom"/>
    </xf>
    <xf applyAlignment="true" applyBorder="false" applyFill="true" applyFont="true" applyNumberFormat="true" applyProtection="false" borderId="18" fillId="15" fontId="1" numFmtId="176" xfId="0">
      <alignment horizontal="center" vertical="center"/>
    </xf>
    <xf applyAlignment="true" applyBorder="false" applyFill="true" applyFont="true" applyNumberFormat="true" applyProtection="false" borderId="27" fillId="15" fontId="6" numFmtId="177" xfId="0">
      <alignment horizontal="center" vertical="center"/>
    </xf>
    <xf applyAlignment="true" applyBorder="false" applyFill="true" applyFont="true" applyNumberFormat="true" applyProtection="false" borderId="29" fillId="15" fontId="1" numFmtId="183" xfId="0">
      <alignment horizontal="center" vertical="center"/>
    </xf>
    <xf applyAlignment="true" applyBorder="false" applyFill="true" applyFont="true" applyNumberFormat="true" applyProtection="false" borderId="16" fillId="16" fontId="6" numFmtId="181" xfId="0">
      <alignment horizontal="center" vertical="center"/>
    </xf>
    <xf applyAlignment="true" applyBorder="false" applyFill="true" applyFont="true" applyNumberFormat="true" applyProtection="false" borderId="16" fillId="16" fontId="6" numFmtId="174" xfId="0">
      <alignment horizontal="center" vertical="center"/>
    </xf>
    <xf applyAlignment="true" applyBorder="false" applyFill="true" applyFont="true" applyNumberFormat="true" applyProtection="false" borderId="16" fillId="16" fontId="6" numFmtId="175" xfId="0">
      <alignment horizontal="center" vertical="center"/>
    </xf>
    <xf applyAlignment="true" applyBorder="false" applyFill="true" applyFont="true" applyNumberFormat="true" applyProtection="false" borderId="16" fillId="16" fontId="6" numFmtId="182" xfId="0">
      <alignment horizontal="center" vertical="center"/>
    </xf>
    <xf applyAlignment="true" applyBorder="false" applyFill="true" applyFont="true" applyNumberFormat="true" applyProtection="false" borderId="16" fillId="16" fontId="6" numFmtId="179" xfId="0">
      <alignment horizontal="center" vertical="center"/>
    </xf>
    <xf applyAlignment="true" applyBorder="false" applyFill="true" applyFont="true" applyNumberFormat="true" applyProtection="false" borderId="16" fillId="16" fontId="6" numFmtId="176" xfId="0">
      <alignment horizontal="center" vertical="center"/>
    </xf>
    <xf applyAlignment="true" applyBorder="false" applyFill="true" applyFont="true" applyNumberFormat="true" applyProtection="false" borderId="16" fillId="16" fontId="6" numFmtId="177" xfId="0">
      <alignment horizontal="center" vertical="center"/>
    </xf>
    <xf applyAlignment="true" applyBorder="false" applyFill="false" applyFont="true" applyNumberFormat="true" applyProtection="false" borderId="16" fillId="0" fontId="4" numFmtId="174" xfId="0">
      <alignment horizontal="center" vertical="center"/>
    </xf>
    <xf applyAlignment="true" applyBorder="false" applyFill="false" applyFont="true" applyNumberFormat="true" applyProtection="false" borderId="0" fillId="0" fontId="8" numFmtId="174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true" applyProtection="false" borderId="0" fillId="0" fontId="8" numFmtId="174" xfId="0">
      <alignment vertical="center"/>
    </xf>
    <xf applyAlignment="true" applyBorder="false" applyFill="true" applyFont="true" applyNumberFormat="false" applyProtection="false" borderId="31" fillId="17" fontId="1" numFmtId="0" xfId="0">
      <alignment horizontal="center" vertical="center"/>
    </xf>
    <xf applyAlignment="true" applyBorder="false" applyFill="true" applyFont="true" applyNumberFormat="true" applyProtection="false" borderId="31" fillId="18" fontId="1" numFmtId="184" xfId="0">
      <alignment horizontal="center" vertical="center"/>
    </xf>
    <xf applyAlignment="true" applyBorder="false" applyFill="true" applyFont="true" applyNumberFormat="true" applyProtection="false" borderId="32" fillId="19" fontId="1" numFmtId="185" xfId="0">
      <alignment horizontal="center" vertical="center"/>
    </xf>
    <xf applyAlignment="true" applyBorder="false" applyFill="true" applyFont="true" applyNumberFormat="true" applyProtection="false" borderId="33" fillId="18" fontId="2" numFmtId="186" xfId="0">
      <alignment horizontal="center" vertical="center"/>
    </xf>
    <xf applyAlignment="true" applyBorder="false" applyFill="true" applyFont="true" applyNumberFormat="true" applyProtection="false" borderId="34" fillId="18" fontId="3" numFmtId="187" xfId="0">
      <alignment horizontal="center" vertical="center"/>
    </xf>
    <xf applyAlignment="true" applyBorder="false" applyFill="true" applyFont="true" applyNumberFormat="false" applyProtection="false" borderId="35" fillId="17" fontId="1" numFmtId="0" xfId="0">
      <alignment horizontal="center" vertical="center"/>
    </xf>
    <xf applyAlignment="true" applyBorder="false" applyFill="true" applyFont="true" applyNumberFormat="false" applyProtection="false" borderId="36" fillId="17" fontId="1" numFmtId="0" xfId="0">
      <alignment horizontal="center" vertical="center"/>
    </xf>
    <xf applyAlignment="true" applyBorder="false" applyFill="true" applyFont="true" applyNumberFormat="true" applyProtection="false" borderId="37" fillId="18" fontId="1" numFmtId="184" xfId="0">
      <alignment horizontal="center" vertical="center"/>
    </xf>
    <xf applyAlignment="true" applyBorder="false" applyFill="true" applyFont="true" applyNumberFormat="true" applyProtection="false" borderId="35" fillId="18" fontId="1" numFmtId="188" xfId="0">
      <alignment horizontal="center" vertical="center"/>
    </xf>
    <xf applyAlignment="true" applyBorder="false" applyFill="true" applyFont="true" applyNumberFormat="true" applyProtection="false" borderId="35" fillId="18" fontId="1" numFmtId="184" xfId="0">
      <alignment horizontal="center" vertical="center"/>
    </xf>
    <xf applyAlignment="true" applyBorder="false" applyFill="true" applyFont="true" applyNumberFormat="false" applyProtection="false" borderId="38" fillId="18" fontId="1" numFmtId="0" xfId="0">
      <alignment horizontal="center" vertical="center"/>
    </xf>
    <xf applyAlignment="true" applyBorder="false" applyFill="true" applyFont="true" applyNumberFormat="true" applyProtection="false" borderId="32" fillId="19" fontId="1" numFmtId="185" xfId="0">
      <alignment horizontal="center" vertical="center"/>
    </xf>
    <xf applyAlignment="true" applyBorder="false" applyFill="true" applyFont="true" applyNumberFormat="true" applyProtection="false" borderId="32" fillId="19" fontId="1" numFmtId="185" xfId="0">
      <alignment horizontal="center" vertical="center"/>
    </xf>
    <xf applyAlignment="true" applyBorder="false" applyFill="true" applyFont="true" applyNumberFormat="true" applyProtection="false" borderId="32" fillId="19" fontId="1" numFmtId="189" xfId="0">
      <alignment horizontal="center" vertical="center"/>
    </xf>
    <xf applyAlignment="true" applyBorder="false" applyFill="true" applyFont="true" applyNumberFormat="true" applyProtection="false" borderId="34" fillId="19" fontId="1" numFmtId="185" xfId="0">
      <alignment horizontal="center" vertical="center"/>
    </xf>
    <xf applyAlignment="true" applyBorder="false" applyFill="true" applyFont="true" applyNumberFormat="true" applyProtection="false" borderId="34" fillId="19" fontId="1" numFmtId="185" xfId="0">
      <alignment horizontal="center" vertical="center"/>
    </xf>
    <xf applyAlignment="true" applyBorder="false" applyFill="false" applyFont="true" applyNumberFormat="true" applyProtection="false" borderId="34" fillId="0" fontId="4" numFmtId="186" xfId="0">
      <alignment horizontal="center" vertical="center"/>
    </xf>
    <xf applyAlignment="true" applyBorder="false" applyFill="false" applyFont="true" applyNumberFormat="true" applyProtection="false" borderId="32" fillId="0" fontId="5" numFmtId="188" xfId="0">
      <alignment horizontal="center" vertical="center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center" vertical="center"/>
    </xf>
    <xf applyAlignment="true" applyBorder="false" applyFill="false" applyFont="true" applyNumberFormat="true" applyProtection="false" borderId="31" fillId="0" fontId="4" numFmtId="190" xfId="0">
      <alignment horizontal="center" vertical="center"/>
    </xf>
    <xf applyAlignment="true" applyBorder="false" applyFill="false" applyFont="true" applyNumberFormat="true" applyProtection="false" borderId="39" fillId="0" fontId="4" numFmtId="191" xfId="0">
      <alignment horizontal="center" vertical="center"/>
    </xf>
    <xf applyAlignment="true" applyBorder="false" applyFill="false" applyFont="true" applyNumberFormat="true" applyProtection="false" borderId="40" fillId="0" fontId="4" numFmtId="191" xfId="0">
      <alignment horizontal="center" vertical="center"/>
    </xf>
    <xf applyAlignment="true" applyBorder="false" applyFill="false" applyFont="true" applyNumberFormat="true" applyProtection="false" borderId="31" fillId="0" fontId="4" numFmtId="184" xfId="0">
      <alignment horizontal="center" vertical="center"/>
    </xf>
    <xf applyAlignment="true" applyBorder="false" applyFill="false" applyFont="true" applyNumberFormat="true" applyProtection="false" borderId="41" fillId="0" fontId="4" numFmtId="188" xfId="0">
      <alignment horizontal="center" vertical="center"/>
    </xf>
    <xf applyAlignment="true" applyBorder="false" applyFill="false" applyFont="true" applyNumberFormat="true" applyProtection="false" borderId="32" fillId="0" fontId="4" numFmtId="184" xfId="0">
      <alignment horizontal="center" vertical="center"/>
    </xf>
    <xf applyAlignment="true" applyBorder="false" applyFill="true" applyFont="true" applyNumberFormat="true" applyProtection="false" borderId="41" fillId="20" fontId="6" numFmtId="192" xfId="0">
      <alignment horizontal="center" vertical="center"/>
    </xf>
    <xf applyAlignment="true" applyBorder="false" applyFill="false" applyFont="true" applyNumberFormat="true" applyProtection="false" borderId="32" fillId="0" fontId="4" numFmtId="189" xfId="0">
      <alignment horizontal="center" vertical="center"/>
    </xf>
    <xf applyAlignment="true" applyBorder="false" applyFill="false" applyFont="true" applyNumberFormat="true" applyProtection="false" borderId="32" fillId="0" fontId="4" numFmtId="185" xfId="0">
      <alignment horizontal="center" vertical="center"/>
    </xf>
    <xf applyAlignment="true" applyBorder="false" applyFill="false" applyFont="true" applyNumberFormat="true" applyProtection="false" borderId="42" fillId="0" fontId="4" numFmtId="185" xfId="0">
      <alignment horizontal="center" vertical="bottom"/>
    </xf>
    <xf applyAlignment="true" applyBorder="false" applyFill="false" applyFont="true" applyNumberFormat="true" applyProtection="false" borderId="34" fillId="0" fontId="4" numFmtId="185" xfId="0">
      <alignment horizontal="center" vertical="center"/>
    </xf>
    <xf applyAlignment="true" applyBorder="false" applyFill="false" applyFont="true" applyNumberFormat="true" applyProtection="false" borderId="32" fillId="0" fontId="4" numFmtId="186" xfId="0">
      <alignment horizontal="center" vertical="bottom"/>
    </xf>
    <xf applyAlignment="true" applyBorder="false" applyFill="false" applyFont="true" applyNumberFormat="false" applyProtection="false" borderId="32" fillId="0" fontId="4" numFmtId="0" xfId="0">
      <alignment horizontal="center" vertical="bottom"/>
    </xf>
    <xf applyAlignment="true" applyBorder="false" applyFill="false" applyFont="true" applyNumberFormat="true" applyProtection="false" borderId="32" fillId="0" fontId="4" numFmtId="191" xfId="0">
      <alignment horizontal="center" vertical="center"/>
    </xf>
    <xf applyAlignment="true" applyBorder="false" applyFill="true" applyFont="true" applyNumberFormat="true" applyProtection="false" borderId="43" fillId="21" fontId="1" numFmtId="191" xfId="0">
      <alignment horizontal="center" vertical="center"/>
    </xf>
    <xf applyAlignment="true" applyBorder="false" applyFill="true" applyFont="true" applyNumberFormat="true" applyProtection="false" borderId="31" fillId="21" fontId="1" numFmtId="184" xfId="0">
      <alignment horizontal="center" vertical="center"/>
    </xf>
    <xf applyAlignment="true" applyBorder="false" applyFill="true" applyFont="true" applyNumberFormat="true" applyProtection="false" borderId="43" fillId="21" fontId="1" numFmtId="188" xfId="0">
      <alignment horizontal="center" vertical="center"/>
    </xf>
    <xf applyAlignment="true" applyBorder="false" applyFill="true" applyFont="true" applyNumberFormat="true" applyProtection="false" borderId="44" fillId="21" fontId="1" numFmtId="184" xfId="0">
      <alignment horizontal="center" vertical="center"/>
    </xf>
    <xf applyAlignment="true" applyBorder="false" applyFill="true" applyFont="true" applyNumberFormat="true" applyProtection="false" borderId="45" fillId="21" fontId="6" numFmtId="192" xfId="0">
      <alignment horizontal="center" vertical="center"/>
    </xf>
    <xf applyAlignment="true" applyBorder="false" applyFill="true" applyFont="true" applyNumberFormat="true" applyProtection="false" borderId="42" fillId="21" fontId="1" numFmtId="189" xfId="0">
      <alignment horizontal="center" vertical="center"/>
    </xf>
    <xf applyAlignment="true" applyBorder="false" applyFill="true" applyFont="true" applyNumberFormat="true" applyProtection="false" borderId="42" fillId="21" fontId="1" numFmtId="185" xfId="0">
      <alignment horizontal="center" vertical="center"/>
    </xf>
    <xf applyAlignment="true" applyBorder="false" applyFill="true" applyFont="true" applyNumberFormat="true" applyProtection="false" borderId="42" fillId="21" fontId="1" numFmtId="185" xfId="0">
      <alignment horizontal="center" vertical="bottom"/>
    </xf>
    <xf applyAlignment="true" applyBorder="false" applyFill="true" applyFont="true" applyNumberFormat="true" applyProtection="false" borderId="33" fillId="21" fontId="1" numFmtId="185" xfId="0">
      <alignment horizontal="center" vertical="center"/>
    </xf>
    <xf applyAlignment="true" applyBorder="false" applyFill="true" applyFont="true" applyNumberFormat="true" applyProtection="false" borderId="42" fillId="21" fontId="6" numFmtId="186" xfId="0">
      <alignment horizontal="center" vertical="center"/>
    </xf>
    <xf applyAlignment="true" applyBorder="false" applyFill="true" applyFont="true" applyNumberFormat="true" applyProtection="false" borderId="44" fillId="21" fontId="1" numFmtId="193" xfId="0">
      <alignment horizontal="center" vertical="center"/>
    </xf>
    <xf applyAlignment="true" applyBorder="false" applyFill="true" applyFont="true" applyNumberFormat="true" applyProtection="false" borderId="31" fillId="22" fontId="6" numFmtId="191" xfId="0">
      <alignment horizontal="center" vertical="center"/>
    </xf>
    <xf applyAlignment="true" applyBorder="false" applyFill="true" applyFont="true" applyNumberFormat="true" applyProtection="false" borderId="31" fillId="22" fontId="6" numFmtId="184" xfId="0">
      <alignment horizontal="center" vertical="center"/>
    </xf>
    <xf applyAlignment="true" applyBorder="false" applyFill="true" applyFont="true" applyNumberFormat="true" applyProtection="false" borderId="31" fillId="22" fontId="6" numFmtId="188" xfId="0">
      <alignment horizontal="center" vertical="center"/>
    </xf>
    <xf applyAlignment="true" applyBorder="false" applyFill="true" applyFont="true" applyNumberFormat="true" applyProtection="false" borderId="31" fillId="22" fontId="6" numFmtId="192" xfId="0">
      <alignment horizontal="center" vertical="center"/>
    </xf>
    <xf applyAlignment="true" applyBorder="false" applyFill="true" applyFont="true" applyNumberFormat="true" applyProtection="false" borderId="31" fillId="22" fontId="6" numFmtId="189" xfId="0">
      <alignment horizontal="center" vertical="center"/>
    </xf>
    <xf applyAlignment="true" applyBorder="false" applyFill="true" applyFont="true" applyNumberFormat="true" applyProtection="false" borderId="31" fillId="22" fontId="6" numFmtId="185" xfId="0">
      <alignment horizontal="center" vertical="center"/>
    </xf>
    <xf applyAlignment="true" applyBorder="false" applyFill="true" applyFont="true" applyNumberFormat="true" applyProtection="false" borderId="31" fillId="22" fontId="6" numFmtId="186" xfId="0">
      <alignment horizontal="center" vertical="center"/>
    </xf>
    <xf applyAlignment="true" applyBorder="false" applyFill="true" applyFont="true" applyNumberFormat="false" applyProtection="false" borderId="0" fillId="23" fontId="8" numFmtId="0" xfId="0">
      <alignment vertical="center"/>
    </xf>
    <xf applyAlignment="true" applyBorder="false" applyFill="true" applyFont="true" applyNumberFormat="true" applyProtection="false" borderId="0" fillId="24" fontId="7" numFmtId="184" xfId="0">
      <alignment horizontal="center" vertical="center"/>
    </xf>
    <xf applyAlignment="true" applyBorder="false" applyFill="true" applyFont="true" applyNumberFormat="false" applyProtection="false" borderId="0" fillId="24" fontId="7" numFmtId="0" xfId="0">
      <alignment horizontal="center" vertical="center"/>
    </xf>
    <xf applyAlignment="true" applyBorder="false" applyFill="true" applyFont="true" applyNumberFormat="false" applyProtection="false" borderId="0" fillId="24" fontId="7" numFmtId="0" xfId="0">
      <alignment horizontal="center" vertical="center"/>
    </xf>
    <xf applyAlignment="true" applyBorder="false" applyFill="true" applyFont="true" applyNumberFormat="false" applyProtection="false" borderId="0" fillId="24" fontId="8" numFmtId="0" xfId="0">
      <alignment vertical="center"/>
    </xf>
    <xf applyAlignment="true" applyBorder="false" applyFill="true" applyFont="true" applyNumberFormat="true" applyProtection="false" borderId="0" fillId="23" fontId="7" numFmtId="184" xfId="0">
      <alignment horizontal="center" vertical="center"/>
    </xf>
    <xf applyAlignment="true" applyBorder="false" applyFill="true" applyFont="true" applyNumberFormat="false" applyProtection="false" borderId="0" fillId="23" fontId="7" numFmtId="0" xfId="0">
      <alignment horizontal="center" vertical="center"/>
    </xf>
    <xf applyAlignment="true" applyBorder="false" applyFill="true" applyFont="true" applyNumberFormat="true" applyProtection="false" borderId="0" fillId="23" fontId="7" numFmtId="184" xfId="0">
      <alignment horizontal="center" vertical="center"/>
    </xf>
    <xf applyAlignment="true" applyBorder="false" applyFill="true" applyFont="true" applyNumberFormat="true" applyProtection="false" borderId="0" fillId="23" fontId="7" numFmtId="188" xfId="0">
      <alignment horizontal="center" vertical="center"/>
    </xf>
    <xf applyAlignment="true" applyBorder="false" applyFill="true" applyFont="true" applyNumberFormat="false" applyProtection="false" borderId="0" fillId="23" fontId="7" numFmtId="0" xfId="0">
      <alignment horizontal="center" vertical="center"/>
    </xf>
    <xf applyAlignment="true" applyBorder="false" applyFill="true" applyFont="true" applyNumberFormat="false" applyProtection="false" borderId="0" fillId="24" fontId="8" numFmtId="0" xfId="0">
      <alignment vertical="center"/>
    </xf>
    <xf applyAlignment="true" applyBorder="false" applyFill="true" applyFont="true" applyNumberFormat="false" applyProtection="false" borderId="0" fillId="23" fontId="8" numFmtId="0" xfId="0">
      <alignment vertical="center"/>
    </xf>
    <xf applyAlignment="true" applyBorder="false" applyFill="true" applyFont="true" applyNumberFormat="true" applyProtection="false" borderId="0" fillId="24" fontId="8" numFmtId="188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3" t="s">
        <v>3</v>
      </c>
      <c r="J1" s="3"/>
      <c r="K1" s="3"/>
      <c r="L1" s="3"/>
      <c r="M1" s="3"/>
      <c r="N1" s="3"/>
      <c r="O1" s="4" t="s">
        <v>4</v>
      </c>
      <c r="P1" s="4"/>
      <c r="Q1" s="5"/>
      <c r="R1" s="5"/>
      <c r="S1" s="5"/>
      <c r="T1" s="5"/>
    </row>
    <row r="2">
      <c r="A2" s="6" t="s">
        <v>5</v>
      </c>
      <c r="B2" s="7" t="s">
        <v>6</v>
      </c>
      <c r="C2" s="7" t="s">
        <v>7</v>
      </c>
      <c r="D2" s="8" t="s">
        <v>8</v>
      </c>
      <c r="E2" s="9" t="s">
        <v>9</v>
      </c>
      <c r="F2" s="9" t="s">
        <v>10</v>
      </c>
      <c r="G2" s="10" t="s">
        <v>11</v>
      </c>
      <c r="H2" s="11" t="s">
        <v>12</v>
      </c>
      <c r="I2" s="12" t="s">
        <v>13</v>
      </c>
      <c r="J2" s="13" t="s">
        <v>14</v>
      </c>
      <c r="K2" s="14" t="s">
        <v>15</v>
      </c>
      <c r="L2" s="14" t="s">
        <v>16</v>
      </c>
      <c r="M2" s="15" t="s">
        <v>17</v>
      </c>
      <c r="N2" s="16" t="s">
        <v>18</v>
      </c>
      <c r="O2" s="17" t="s">
        <v>19</v>
      </c>
      <c r="P2" s="17" t="s">
        <v>20</v>
      </c>
      <c r="Q2" s="18" t="s">
        <v>21</v>
      </c>
      <c r="R2" s="18" t="s">
        <v>22</v>
      </c>
      <c r="S2" s="19" t="s">
        <v>23</v>
      </c>
      <c r="T2" s="20" t="s">
        <v>24</v>
      </c>
    </row>
    <row r="3">
      <c r="A3" s="21">
        <v>46296</v>
      </c>
      <c r="B3" s="22" t="s">
        <v>25</v>
      </c>
      <c r="C3" s="23" t="s">
        <v>26</v>
      </c>
      <c r="D3" s="24">
        <v>181.7</v>
      </c>
      <c r="E3" s="25">
        <v>0</v>
      </c>
      <c r="F3" s="25">
        <v>0</v>
      </c>
      <c r="G3" s="26">
        <v>0</v>
      </c>
      <c r="H3" s="27">
        <f t="shared" ref="H3:H8" si="42">G3/D3</f>
      </c>
      <c r="I3" s="28">
        <f t="shared" ref="I3:I8" si="0">R3/Q3</f>
      </c>
      <c r="J3" s="29">
        <f t="shared" ref="J3:J8" si="56">D3/S3</f>
      </c>
      <c r="K3" s="28">
        <f t="shared" ref="K3:K8" si="70">E3/T3</f>
      </c>
      <c r="L3" s="30">
        <f t="shared" ref="L3:L8" si="14">G3/E3</f>
      </c>
      <c r="M3" s="31">
        <f t="shared" ref="M3:M8" si="84">D3/E3</f>
      </c>
      <c r="N3" s="31">
        <f t="shared" ref="N3:N8" si="28">D3/E3</f>
      </c>
      <c r="O3" s="32" t="s">
        <v>27</v>
      </c>
      <c r="P3" s="33" t="s">
        <v>28</v>
      </c>
      <c r="Q3" s="34">
        <v>642</v>
      </c>
      <c r="R3" s="34">
        <v>10</v>
      </c>
      <c r="S3" s="34">
        <v>1</v>
      </c>
      <c r="T3" s="34">
        <v>0</v>
      </c>
    </row>
    <row r="4">
      <c r="A4" s="21"/>
      <c r="B4" s="22" t="s">
        <v>25</v>
      </c>
      <c r="C4" s="23" t="s">
        <v>29</v>
      </c>
      <c r="D4" s="24">
        <v>166.68</v>
      </c>
      <c r="E4" s="25">
        <v>0</v>
      </c>
      <c r="F4" s="25">
        <v>0</v>
      </c>
      <c r="G4" s="26">
        <v>0</v>
      </c>
      <c r="H4" s="27">
        <f t="shared" si="42"/>
      </c>
      <c r="I4" s="28">
        <f t="shared" si="0"/>
      </c>
      <c r="J4" s="29">
        <f t="shared" si="56"/>
      </c>
      <c r="K4" s="28">
        <f t="shared" si="70"/>
      </c>
      <c r="L4" s="30">
        <f t="shared" si="14"/>
      </c>
      <c r="M4" s="31">
        <f t="shared" si="84"/>
      </c>
      <c r="N4" s="31">
        <f t="shared" si="28"/>
      </c>
      <c r="O4" s="32" t="s">
        <v>27</v>
      </c>
      <c r="P4" s="33" t="s">
        <v>28</v>
      </c>
      <c r="Q4" s="34">
        <v>330</v>
      </c>
      <c r="R4" s="34">
        <v>14</v>
      </c>
      <c r="S4" s="34">
        <v>0</v>
      </c>
      <c r="T4" s="34">
        <v>0</v>
      </c>
    </row>
    <row r="5">
      <c r="A5" s="21"/>
      <c r="B5" s="22" t="s">
        <v>25</v>
      </c>
      <c r="C5" s="23" t="s">
        <v>30</v>
      </c>
      <c r="D5" s="24">
        <v>181.45</v>
      </c>
      <c r="E5" s="25">
        <v>0</v>
      </c>
      <c r="F5" s="25">
        <v>0</v>
      </c>
      <c r="G5" s="26">
        <v>0</v>
      </c>
      <c r="H5" s="27">
        <f t="shared" si="42"/>
      </c>
      <c r="I5" s="28">
        <f t="shared" si="0"/>
      </c>
      <c r="J5" s="29">
        <f t="shared" si="56"/>
      </c>
      <c r="K5" s="28">
        <f t="shared" si="70"/>
      </c>
      <c r="L5" s="30">
        <f t="shared" si="14"/>
      </c>
      <c r="M5" s="31">
        <f t="shared" si="84"/>
      </c>
      <c r="N5" s="31">
        <f t="shared" si="28"/>
      </c>
      <c r="O5" s="32" t="s">
        <v>27</v>
      </c>
      <c r="P5" s="33" t="s">
        <v>28</v>
      </c>
      <c r="Q5" s="34">
        <v>335</v>
      </c>
      <c r="R5" s="34">
        <v>14</v>
      </c>
      <c r="S5" s="34">
        <v>0</v>
      </c>
      <c r="T5" s="34">
        <v>0</v>
      </c>
    </row>
    <row r="6">
      <c r="A6" s="21"/>
      <c r="B6" s="22" t="s">
        <v>25</v>
      </c>
      <c r="C6" s="23" t="s">
        <v>31</v>
      </c>
      <c r="D6" s="24">
        <v>279.85</v>
      </c>
      <c r="E6" s="25">
        <v>0</v>
      </c>
      <c r="F6" s="25">
        <v>0</v>
      </c>
      <c r="G6" s="26">
        <v>0</v>
      </c>
      <c r="H6" s="27">
        <f t="shared" si="42"/>
      </c>
      <c r="I6" s="28">
        <f t="shared" si="0"/>
      </c>
      <c r="J6" s="29">
        <f t="shared" si="56"/>
      </c>
      <c r="K6" s="28">
        <f t="shared" si="70"/>
      </c>
      <c r="L6" s="30">
        <f t="shared" si="14"/>
      </c>
      <c r="M6" s="31">
        <f t="shared" si="84"/>
      </c>
      <c r="N6" s="31">
        <f t="shared" si="28"/>
      </c>
      <c r="O6" s="32" t="s">
        <v>27</v>
      </c>
      <c r="P6" s="33" t="s">
        <v>28</v>
      </c>
      <c r="Q6" s="34">
        <v>325</v>
      </c>
      <c r="R6" s="34">
        <v>6</v>
      </c>
      <c r="S6" s="34">
        <v>5</v>
      </c>
      <c r="T6" s="34">
        <v>0</v>
      </c>
    </row>
    <row r="7">
      <c r="A7" s="21"/>
      <c r="B7" s="35" t="s">
        <v>32</v>
      </c>
      <c r="C7" s="35"/>
      <c r="D7" s="36">
        <f>SUM(D3:D6)</f>
      </c>
      <c r="E7" s="37">
        <f>SUM(E3:E6)</f>
      </c>
      <c r="F7" s="37">
        <f>SUM(F3:F6)</f>
      </c>
      <c r="G7" s="38">
        <f>SUM(G3:G6)</f>
      </c>
      <c r="H7" s="39">
        <f t="shared" si="42"/>
      </c>
      <c r="I7" s="40">
        <f t="shared" si="0"/>
      </c>
      <c r="J7" s="41">
        <f t="shared" si="56"/>
      </c>
      <c r="K7" s="40">
        <f t="shared" si="70"/>
      </c>
      <c r="L7" s="42">
        <f t="shared" si="14"/>
      </c>
      <c r="M7" s="43">
        <f t="shared" si="84"/>
      </c>
      <c r="N7" s="43">
        <f t="shared" si="28"/>
      </c>
      <c r="O7" s="44"/>
      <c r="P7" s="44"/>
      <c r="Q7" s="45">
        <f>SUM(Q3:Q6)</f>
      </c>
      <c r="R7" s="45">
        <f>SUM(R3:R6)</f>
      </c>
      <c r="S7" s="45">
        <f>SUM(S3:S6)</f>
      </c>
      <c r="T7" s="45">
        <f>SUM(T3:T6)</f>
      </c>
    </row>
    <row r="8">
      <c r="A8" s="21"/>
      <c r="B8" s="46" t="s">
        <v>33</v>
      </c>
      <c r="C8" s="46"/>
      <c r="D8" s="47">
        <f>D7</f>
      </c>
      <c r="E8" s="48">
        <f>E7</f>
      </c>
      <c r="F8" s="48">
        <f>F7</f>
      </c>
      <c r="G8" s="47">
        <f>G7</f>
      </c>
      <c r="H8" s="49">
        <f t="shared" si="42"/>
      </c>
      <c r="I8" s="50">
        <f t="shared" si="0"/>
      </c>
      <c r="J8" s="49">
        <f t="shared" si="56"/>
      </c>
      <c r="K8" s="50">
        <f t="shared" si="70"/>
      </c>
      <c r="L8" s="51">
        <f t="shared" si="14"/>
      </c>
      <c r="M8" s="49">
        <f t="shared" si="84"/>
      </c>
      <c r="N8" s="49">
        <f t="shared" si="28"/>
      </c>
      <c r="O8" s="52"/>
      <c r="P8" s="52"/>
      <c r="Q8" s="48">
        <f>Q7</f>
      </c>
      <c r="R8" s="48">
        <f>R7</f>
      </c>
      <c r="S8" s="48">
        <f>S7</f>
      </c>
      <c r="T8" s="48">
        <f>T7</f>
      </c>
    </row>
    <row r="9">
      <c r="A9" s="1" t="s">
        <v>1</v>
      </c>
      <c r="B9" s="1"/>
      <c r="C9" s="1"/>
      <c r="D9" s="2" t="s">
        <v>2</v>
      </c>
      <c r="E9" s="2"/>
      <c r="F9" s="2"/>
      <c r="G9" s="2"/>
      <c r="H9" s="2"/>
      <c r="I9" s="3" t="s">
        <v>3</v>
      </c>
      <c r="J9" s="3"/>
      <c r="K9" s="3"/>
      <c r="L9" s="3"/>
      <c r="M9" s="3"/>
      <c r="N9" s="3"/>
      <c r="O9" s="4" t="s">
        <v>4</v>
      </c>
      <c r="P9" s="4"/>
      <c r="Q9" s="5"/>
      <c r="R9" s="5"/>
      <c r="S9" s="5"/>
      <c r="T9" s="5"/>
    </row>
    <row r="10">
      <c r="A10" s="6" t="s">
        <v>5</v>
      </c>
      <c r="B10" s="7" t="s">
        <v>6</v>
      </c>
      <c r="C10" s="7" t="s">
        <v>7</v>
      </c>
      <c r="D10" s="8" t="s">
        <v>8</v>
      </c>
      <c r="E10" s="9" t="s">
        <v>9</v>
      </c>
      <c r="F10" s="9" t="s">
        <v>10</v>
      </c>
      <c r="G10" s="10" t="s">
        <v>11</v>
      </c>
      <c r="H10" s="11" t="s">
        <v>12</v>
      </c>
      <c r="I10" s="12" t="s">
        <v>13</v>
      </c>
      <c r="J10" s="13" t="s">
        <v>14</v>
      </c>
      <c r="K10" s="14" t="s">
        <v>15</v>
      </c>
      <c r="L10" s="14" t="s">
        <v>16</v>
      </c>
      <c r="M10" s="15" t="s">
        <v>17</v>
      </c>
      <c r="N10" s="16" t="s">
        <v>18</v>
      </c>
      <c r="O10" s="17" t="s">
        <v>19</v>
      </c>
      <c r="P10" s="17" t="s">
        <v>20</v>
      </c>
      <c r="Q10" s="18" t="s">
        <v>21</v>
      </c>
      <c r="R10" s="18" t="s">
        <v>22</v>
      </c>
      <c r="S10" s="19" t="s">
        <v>23</v>
      </c>
      <c r="T10" s="20" t="s">
        <v>24</v>
      </c>
    </row>
    <row r="11">
      <c r="A11" s="21">
        <v>46297</v>
      </c>
      <c r="B11" s="22" t="s">
        <v>34</v>
      </c>
      <c r="C11" s="23" t="s">
        <v>26</v>
      </c>
      <c r="D11" s="24">
        <v>35.03</v>
      </c>
      <c r="E11" s="25">
        <v>0</v>
      </c>
      <c r="F11" s="25">
        <v>0</v>
      </c>
      <c r="G11" s="26">
        <v>0</v>
      </c>
      <c r="H11" s="27">
        <f t="shared" ref="H11:H16" si="43">G11/D11</f>
      </c>
      <c r="I11" s="28">
        <f t="shared" ref="I11:I16" si="1">R11/Q11</f>
      </c>
      <c r="J11" s="29">
        <f t="shared" ref="J11:J16" si="57">D11/S11</f>
      </c>
      <c r="K11" s="28">
        <f t="shared" ref="K11:K16" si="71">E11/T11</f>
      </c>
      <c r="L11" s="30">
        <f t="shared" ref="L11:L16" si="15">G11/E11</f>
      </c>
      <c r="M11" s="31">
        <f t="shared" ref="M11:M16" si="85">D11/E11</f>
      </c>
      <c r="N11" s="31">
        <f t="shared" ref="N11:N16" si="29">D11/E11</f>
      </c>
      <c r="O11" s="32" t="s">
        <v>27</v>
      </c>
      <c r="P11" s="33" t="s">
        <v>28</v>
      </c>
      <c r="Q11" s="34">
        <v>210</v>
      </c>
      <c r="R11" s="34">
        <v>2</v>
      </c>
      <c r="S11" s="34">
        <v>0</v>
      </c>
      <c r="T11" s="34">
        <v>0</v>
      </c>
    </row>
    <row r="12">
      <c r="A12" s="21"/>
      <c r="B12" s="22" t="s">
        <v>34</v>
      </c>
      <c r="C12" s="23" t="s">
        <v>29</v>
      </c>
      <c r="D12" s="24">
        <v>101.96</v>
      </c>
      <c r="E12" s="25">
        <v>0</v>
      </c>
      <c r="F12" s="25">
        <v>0</v>
      </c>
      <c r="G12" s="26">
        <v>0</v>
      </c>
      <c r="H12" s="27">
        <f t="shared" si="43"/>
      </c>
      <c r="I12" s="28">
        <f t="shared" si="1"/>
      </c>
      <c r="J12" s="29">
        <f t="shared" si="57"/>
      </c>
      <c r="K12" s="28">
        <f t="shared" si="71"/>
      </c>
      <c r="L12" s="30">
        <f t="shared" si="15"/>
      </c>
      <c r="M12" s="31">
        <f t="shared" si="85"/>
      </c>
      <c r="N12" s="31">
        <f t="shared" si="29"/>
      </c>
      <c r="O12" s="32" t="s">
        <v>27</v>
      </c>
      <c r="P12" s="33" t="s">
        <v>28</v>
      </c>
      <c r="Q12" s="34">
        <v>102</v>
      </c>
      <c r="R12" s="34">
        <v>8</v>
      </c>
      <c r="S12" s="34">
        <v>0</v>
      </c>
      <c r="T12" s="34">
        <v>0</v>
      </c>
    </row>
    <row r="13">
      <c r="A13" s="21"/>
      <c r="B13" s="22" t="s">
        <v>34</v>
      </c>
      <c r="C13" s="23" t="s">
        <v>30</v>
      </c>
      <c r="D13" s="24">
        <v>81.5</v>
      </c>
      <c r="E13" s="25">
        <v>0</v>
      </c>
      <c r="F13" s="25">
        <v>0</v>
      </c>
      <c r="G13" s="26">
        <v>0</v>
      </c>
      <c r="H13" s="27">
        <f t="shared" si="43"/>
      </c>
      <c r="I13" s="28">
        <f t="shared" si="1"/>
      </c>
      <c r="J13" s="29">
        <f t="shared" si="57"/>
      </c>
      <c r="K13" s="28">
        <f t="shared" si="71"/>
      </c>
      <c r="L13" s="30">
        <f t="shared" si="15"/>
      </c>
      <c r="M13" s="31">
        <f t="shared" si="85"/>
      </c>
      <c r="N13" s="31">
        <f t="shared" si="29"/>
      </c>
      <c r="O13" s="32" t="s">
        <v>27</v>
      </c>
      <c r="P13" s="33" t="s">
        <v>28</v>
      </c>
      <c r="Q13" s="34">
        <v>130</v>
      </c>
      <c r="R13" s="34">
        <v>6</v>
      </c>
      <c r="S13" s="34">
        <v>0</v>
      </c>
      <c r="T13" s="34">
        <v>0</v>
      </c>
    </row>
    <row r="14">
      <c r="A14" s="21"/>
      <c r="B14" s="22" t="s">
        <v>34</v>
      </c>
      <c r="C14" s="23" t="s">
        <v>31</v>
      </c>
      <c r="D14" s="24">
        <v>194.98</v>
      </c>
      <c r="E14" s="25">
        <v>0</v>
      </c>
      <c r="F14" s="25">
        <v>0</v>
      </c>
      <c r="G14" s="26">
        <v>0</v>
      </c>
      <c r="H14" s="27">
        <f t="shared" si="43"/>
      </c>
      <c r="I14" s="28">
        <f t="shared" si="1"/>
      </c>
      <c r="J14" s="29">
        <f t="shared" si="57"/>
      </c>
      <c r="K14" s="28">
        <f t="shared" si="71"/>
      </c>
      <c r="L14" s="30">
        <f t="shared" si="15"/>
      </c>
      <c r="M14" s="31">
        <f t="shared" si="85"/>
      </c>
      <c r="N14" s="31">
        <f t="shared" si="29"/>
      </c>
      <c r="O14" s="32" t="s">
        <v>27</v>
      </c>
      <c r="P14" s="33" t="s">
        <v>28</v>
      </c>
      <c r="Q14" s="34">
        <v>126</v>
      </c>
      <c r="R14" s="34">
        <v>6</v>
      </c>
      <c r="S14" s="34">
        <v>0</v>
      </c>
      <c r="T14" s="34">
        <v>0</v>
      </c>
    </row>
    <row r="15">
      <c r="A15" s="21"/>
      <c r="B15" s="35" t="s">
        <v>32</v>
      </c>
      <c r="C15" s="35"/>
      <c r="D15" s="36">
        <f>SUM(D11:D14)</f>
      </c>
      <c r="E15" s="37">
        <f>SUM(E11:E14)</f>
      </c>
      <c r="F15" s="37">
        <f>SUM(F11:F14)</f>
      </c>
      <c r="G15" s="38">
        <f>SUM(G11:G14)</f>
      </c>
      <c r="H15" s="39">
        <f t="shared" si="43"/>
      </c>
      <c r="I15" s="40">
        <f t="shared" si="1"/>
      </c>
      <c r="J15" s="41">
        <f t="shared" si="57"/>
      </c>
      <c r="K15" s="40">
        <f t="shared" si="71"/>
      </c>
      <c r="L15" s="42">
        <f t="shared" si="15"/>
      </c>
      <c r="M15" s="43">
        <f t="shared" si="85"/>
      </c>
      <c r="N15" s="43">
        <f t="shared" si="29"/>
      </c>
      <c r="O15" s="44"/>
      <c r="P15" s="44"/>
      <c r="Q15" s="45">
        <f>SUM(Q11:Q14)</f>
      </c>
      <c r="R15" s="45">
        <f>SUM(R11:R14)</f>
      </c>
      <c r="S15" s="45">
        <f>SUM(S11:S14)</f>
      </c>
      <c r="T15" s="45">
        <f>SUM(T11:T14)</f>
      </c>
    </row>
    <row r="16">
      <c r="A16" s="21"/>
      <c r="B16" s="46" t="s">
        <v>33</v>
      </c>
      <c r="C16" s="46"/>
      <c r="D16" s="47">
        <f>D15</f>
      </c>
      <c r="E16" s="48">
        <f>E15</f>
      </c>
      <c r="F16" s="48">
        <f>F15</f>
      </c>
      <c r="G16" s="47">
        <f>G15</f>
      </c>
      <c r="H16" s="49">
        <f t="shared" si="43"/>
      </c>
      <c r="I16" s="50">
        <f t="shared" si="1"/>
      </c>
      <c r="J16" s="49">
        <f t="shared" si="57"/>
      </c>
      <c r="K16" s="50">
        <f t="shared" si="71"/>
      </c>
      <c r="L16" s="51">
        <f t="shared" si="15"/>
      </c>
      <c r="M16" s="49">
        <f t="shared" si="85"/>
      </c>
      <c r="N16" s="49">
        <f t="shared" si="29"/>
      </c>
      <c r="O16" s="52"/>
      <c r="P16" s="52"/>
      <c r="Q16" s="48">
        <f>Q15</f>
      </c>
      <c r="R16" s="48">
        <f>R15</f>
      </c>
      <c r="S16" s="48">
        <f>S15</f>
      </c>
      <c r="T16" s="48">
        <f>T15</f>
      </c>
    </row>
    <row r="17">
      <c r="A17" s="1" t="s">
        <v>1</v>
      </c>
      <c r="B17" s="1"/>
      <c r="C17" s="1"/>
      <c r="D17" s="2" t="s">
        <v>2</v>
      </c>
      <c r="E17" s="2"/>
      <c r="F17" s="2"/>
      <c r="G17" s="2"/>
      <c r="H17" s="2"/>
      <c r="I17" s="3" t="s">
        <v>3</v>
      </c>
      <c r="J17" s="3"/>
      <c r="K17" s="3"/>
      <c r="L17" s="3"/>
      <c r="M17" s="3"/>
      <c r="N17" s="3"/>
      <c r="O17" s="4" t="s">
        <v>4</v>
      </c>
      <c r="P17" s="4"/>
      <c r="Q17" s="5"/>
      <c r="R17" s="5"/>
      <c r="S17" s="5"/>
      <c r="T17" s="5"/>
    </row>
    <row r="18">
      <c r="A18" s="6" t="s">
        <v>5</v>
      </c>
      <c r="B18" s="7" t="s">
        <v>6</v>
      </c>
      <c r="C18" s="7" t="s">
        <v>7</v>
      </c>
      <c r="D18" s="8" t="s">
        <v>8</v>
      </c>
      <c r="E18" s="9" t="s">
        <v>9</v>
      </c>
      <c r="F18" s="9" t="s">
        <v>10</v>
      </c>
      <c r="G18" s="10" t="s">
        <v>11</v>
      </c>
      <c r="H18" s="11" t="s">
        <v>12</v>
      </c>
      <c r="I18" s="12" t="s">
        <v>13</v>
      </c>
      <c r="J18" s="13" t="s">
        <v>14</v>
      </c>
      <c r="K18" s="14" t="s">
        <v>15</v>
      </c>
      <c r="L18" s="14" t="s">
        <v>16</v>
      </c>
      <c r="M18" s="15" t="s">
        <v>17</v>
      </c>
      <c r="N18" s="16" t="s">
        <v>18</v>
      </c>
      <c r="O18" s="17" t="s">
        <v>19</v>
      </c>
      <c r="P18" s="17" t="s">
        <v>20</v>
      </c>
      <c r="Q18" s="18" t="s">
        <v>21</v>
      </c>
      <c r="R18" s="18" t="s">
        <v>22</v>
      </c>
      <c r="S18" s="19" t="s">
        <v>23</v>
      </c>
      <c r="T18" s="20" t="s">
        <v>24</v>
      </c>
    </row>
    <row r="19">
      <c r="A19" s="21">
        <v>46298</v>
      </c>
      <c r="B19" s="22" t="s">
        <v>25</v>
      </c>
      <c r="C19" s="23" t="s">
        <v>26</v>
      </c>
      <c r="D19" s="24">
        <v>26.45</v>
      </c>
      <c r="E19" s="25">
        <v>0</v>
      </c>
      <c r="F19" s="25">
        <v>0</v>
      </c>
      <c r="G19" s="26">
        <v>0</v>
      </c>
      <c r="H19" s="27">
        <f t="shared" ref="H19:H24" si="44">G19/D19</f>
      </c>
      <c r="I19" s="28">
        <f t="shared" ref="I19:I24" si="2">R19/Q19</f>
      </c>
      <c r="J19" s="29">
        <f t="shared" ref="J19:J24" si="58">D19/S19</f>
      </c>
      <c r="K19" s="28">
        <f t="shared" ref="K19:K24" si="72">E19/T19</f>
      </c>
      <c r="L19" s="30">
        <f t="shared" ref="L19:L24" si="16">G19/E19</f>
      </c>
      <c r="M19" s="31">
        <f t="shared" ref="M19:M24" si="86">D19/E19</f>
      </c>
      <c r="N19" s="31">
        <f t="shared" ref="N19:N24" si="30">D19/E19</f>
      </c>
      <c r="O19" s="32" t="s">
        <v>27</v>
      </c>
      <c r="P19" s="33" t="s">
        <v>28</v>
      </c>
      <c r="Q19" s="34">
        <v>103</v>
      </c>
      <c r="R19" s="34">
        <v>3</v>
      </c>
      <c r="S19" s="34">
        <v>0</v>
      </c>
      <c r="T19" s="34">
        <v>0</v>
      </c>
    </row>
    <row r="20">
      <c r="A20" s="21"/>
      <c r="B20" s="22" t="s">
        <v>25</v>
      </c>
      <c r="C20" s="23" t="s">
        <v>29</v>
      </c>
      <c r="D20" s="24">
        <v>28.74</v>
      </c>
      <c r="E20" s="25">
        <v>0</v>
      </c>
      <c r="F20" s="25">
        <v>0</v>
      </c>
      <c r="G20" s="26">
        <v>0</v>
      </c>
      <c r="H20" s="27">
        <f t="shared" si="44"/>
      </c>
      <c r="I20" s="28">
        <f t="shared" si="2"/>
      </c>
      <c r="J20" s="29">
        <f t="shared" si="58"/>
      </c>
      <c r="K20" s="28">
        <f t="shared" si="72"/>
      </c>
      <c r="L20" s="30">
        <f t="shared" si="16"/>
      </c>
      <c r="M20" s="31">
        <f t="shared" si="86"/>
      </c>
      <c r="N20" s="31">
        <f t="shared" si="30"/>
      </c>
      <c r="O20" s="32" t="s">
        <v>27</v>
      </c>
      <c r="P20" s="33" t="s">
        <v>28</v>
      </c>
      <c r="Q20" s="34">
        <v>65</v>
      </c>
      <c r="R20" s="34">
        <v>4</v>
      </c>
      <c r="S20" s="34">
        <v>0</v>
      </c>
      <c r="T20" s="34">
        <v>0</v>
      </c>
    </row>
    <row r="21">
      <c r="A21" s="21"/>
      <c r="B21" s="22" t="s">
        <v>25</v>
      </c>
      <c r="C21" s="23" t="s">
        <v>30</v>
      </c>
      <c r="D21" s="24">
        <v>17.32</v>
      </c>
      <c r="E21" s="25">
        <v>0</v>
      </c>
      <c r="F21" s="25">
        <v>0</v>
      </c>
      <c r="G21" s="26">
        <v>0</v>
      </c>
      <c r="H21" s="27">
        <f t="shared" si="44"/>
      </c>
      <c r="I21" s="28">
        <f t="shared" si="2"/>
      </c>
      <c r="J21" s="29">
        <f t="shared" si="58"/>
      </c>
      <c r="K21" s="28">
        <f t="shared" si="72"/>
      </c>
      <c r="L21" s="30">
        <f t="shared" si="16"/>
      </c>
      <c r="M21" s="31">
        <f t="shared" si="86"/>
      </c>
      <c r="N21" s="31">
        <f t="shared" si="30"/>
      </c>
      <c r="O21" s="32" t="s">
        <v>27</v>
      </c>
      <c r="P21" s="33" t="s">
        <v>28</v>
      </c>
      <c r="Q21" s="34">
        <v>82</v>
      </c>
      <c r="R21" s="34">
        <v>1</v>
      </c>
      <c r="S21" s="34">
        <v>0</v>
      </c>
      <c r="T21" s="34">
        <v>0</v>
      </c>
    </row>
    <row r="22">
      <c r="A22" s="21"/>
      <c r="B22" s="22" t="s">
        <v>25</v>
      </c>
      <c r="C22" s="23" t="s">
        <v>31</v>
      </c>
      <c r="D22" s="24">
        <v>150.65</v>
      </c>
      <c r="E22" s="25">
        <v>0</v>
      </c>
      <c r="F22" s="25">
        <v>0</v>
      </c>
      <c r="G22" s="26">
        <v>0</v>
      </c>
      <c r="H22" s="27">
        <f t="shared" si="44"/>
      </c>
      <c r="I22" s="28">
        <f t="shared" si="2"/>
      </c>
      <c r="J22" s="29">
        <f t="shared" si="58"/>
      </c>
      <c r="K22" s="28">
        <f t="shared" si="72"/>
      </c>
      <c r="L22" s="30">
        <f t="shared" si="16"/>
      </c>
      <c r="M22" s="31">
        <f t="shared" si="86"/>
      </c>
      <c r="N22" s="31">
        <f t="shared" si="30"/>
      </c>
      <c r="O22" s="32" t="s">
        <v>27</v>
      </c>
      <c r="P22" s="33" t="s">
        <v>28</v>
      </c>
      <c r="Q22" s="34">
        <v>67</v>
      </c>
      <c r="R22" s="34">
        <v>7</v>
      </c>
      <c r="S22" s="34">
        <v>0</v>
      </c>
      <c r="T22" s="34">
        <v>0</v>
      </c>
    </row>
    <row r="23">
      <c r="A23" s="21"/>
      <c r="B23" s="35" t="s">
        <v>32</v>
      </c>
      <c r="C23" s="35"/>
      <c r="D23" s="36">
        <f>SUM(D19:D22)</f>
      </c>
      <c r="E23" s="37">
        <f>SUM(E19:E22)</f>
      </c>
      <c r="F23" s="37">
        <f>SUM(F19:F22)</f>
      </c>
      <c r="G23" s="38">
        <f>SUM(G19:G22)</f>
      </c>
      <c r="H23" s="39">
        <f t="shared" si="44"/>
      </c>
      <c r="I23" s="40">
        <f t="shared" si="2"/>
      </c>
      <c r="J23" s="41">
        <f t="shared" si="58"/>
      </c>
      <c r="K23" s="40">
        <f t="shared" si="72"/>
      </c>
      <c r="L23" s="42">
        <f t="shared" si="16"/>
      </c>
      <c r="M23" s="43">
        <f t="shared" si="86"/>
      </c>
      <c r="N23" s="43">
        <f t="shared" si="30"/>
      </c>
      <c r="O23" s="44"/>
      <c r="P23" s="44"/>
      <c r="Q23" s="45">
        <f>SUM(Q19:Q22)</f>
      </c>
      <c r="R23" s="45">
        <f>SUM(R19:R22)</f>
      </c>
      <c r="S23" s="45">
        <f>SUM(S19:S22)</f>
      </c>
      <c r="T23" s="45">
        <f>SUM(T19:T22)</f>
      </c>
    </row>
    <row r="24">
      <c r="A24" s="21"/>
      <c r="B24" s="46" t="s">
        <v>33</v>
      </c>
      <c r="C24" s="46"/>
      <c r="D24" s="47">
        <f>D23</f>
      </c>
      <c r="E24" s="48">
        <f>E23</f>
      </c>
      <c r="F24" s="48">
        <f>F23</f>
      </c>
      <c r="G24" s="47">
        <f>G23</f>
      </c>
      <c r="H24" s="49">
        <f t="shared" si="44"/>
      </c>
      <c r="I24" s="50">
        <f t="shared" si="2"/>
      </c>
      <c r="J24" s="49">
        <f t="shared" si="58"/>
      </c>
      <c r="K24" s="50">
        <f t="shared" si="72"/>
      </c>
      <c r="L24" s="51">
        <f t="shared" si="16"/>
      </c>
      <c r="M24" s="49">
        <f t="shared" si="86"/>
      </c>
      <c r="N24" s="49">
        <f t="shared" si="30"/>
      </c>
      <c r="O24" s="52"/>
      <c r="P24" s="52"/>
      <c r="Q24" s="48">
        <f>Q23</f>
      </c>
      <c r="R24" s="48">
        <f>R23</f>
      </c>
      <c r="S24" s="48">
        <f>S23</f>
      </c>
      <c r="T24" s="48">
        <f>T23</f>
      </c>
    </row>
    <row r="25">
      <c r="A25" s="1" t="s">
        <v>1</v>
      </c>
      <c r="B25" s="1"/>
      <c r="C25" s="1"/>
      <c r="D25" s="2" t="s">
        <v>2</v>
      </c>
      <c r="E25" s="2"/>
      <c r="F25" s="2"/>
      <c r="G25" s="2"/>
      <c r="H25" s="2"/>
      <c r="I25" s="3" t="s">
        <v>3</v>
      </c>
      <c r="J25" s="3"/>
      <c r="K25" s="3"/>
      <c r="L25" s="3"/>
      <c r="M25" s="3"/>
      <c r="N25" s="3"/>
      <c r="O25" s="4" t="s">
        <v>4</v>
      </c>
      <c r="P25" s="4"/>
      <c r="Q25" s="5"/>
      <c r="R25" s="5"/>
      <c r="S25" s="5"/>
      <c r="T25" s="5"/>
    </row>
    <row r="26">
      <c r="A26" s="6" t="s">
        <v>5</v>
      </c>
      <c r="B26" s="7" t="s">
        <v>6</v>
      </c>
      <c r="C26" s="7" t="s">
        <v>7</v>
      </c>
      <c r="D26" s="8" t="s">
        <v>8</v>
      </c>
      <c r="E26" s="9" t="s">
        <v>9</v>
      </c>
      <c r="F26" s="9" t="s">
        <v>10</v>
      </c>
      <c r="G26" s="10" t="s">
        <v>11</v>
      </c>
      <c r="H26" s="11" t="s">
        <v>12</v>
      </c>
      <c r="I26" s="12" t="s">
        <v>13</v>
      </c>
      <c r="J26" s="13" t="s">
        <v>14</v>
      </c>
      <c r="K26" s="14" t="s">
        <v>15</v>
      </c>
      <c r="L26" s="14" t="s">
        <v>16</v>
      </c>
      <c r="M26" s="15" t="s">
        <v>17</v>
      </c>
      <c r="N26" s="16" t="s">
        <v>18</v>
      </c>
      <c r="O26" s="17" t="s">
        <v>19</v>
      </c>
      <c r="P26" s="17" t="s">
        <v>20</v>
      </c>
      <c r="Q26" s="18" t="s">
        <v>21</v>
      </c>
      <c r="R26" s="18" t="s">
        <v>22</v>
      </c>
      <c r="S26" s="19" t="s">
        <v>23</v>
      </c>
      <c r="T26" s="20" t="s">
        <v>24</v>
      </c>
    </row>
    <row r="27">
      <c r="A27" s="21">
        <v>46299</v>
      </c>
      <c r="B27" s="22" t="s">
        <v>25</v>
      </c>
      <c r="C27" s="23" t="s">
        <v>26</v>
      </c>
      <c r="D27" s="24">
        <v>34.79</v>
      </c>
      <c r="E27" s="25">
        <v>0</v>
      </c>
      <c r="F27" s="25">
        <v>0</v>
      </c>
      <c r="G27" s="26">
        <v>0</v>
      </c>
      <c r="H27" s="27">
        <f t="shared" ref="H27:H32" si="45">G27/D27</f>
      </c>
      <c r="I27" s="28">
        <f t="shared" ref="I27:I32" si="3">R27/Q27</f>
      </c>
      <c r="J27" s="29">
        <f t="shared" ref="J27:J32" si="59">D27/S27</f>
      </c>
      <c r="K27" s="28">
        <f t="shared" ref="K27:K32" si="73">E27/T27</f>
      </c>
      <c r="L27" s="30">
        <f t="shared" ref="L27:L32" si="17">G27/E27</f>
      </c>
      <c r="M27" s="31">
        <f t="shared" ref="M27:M32" si="87">D27/E27</f>
      </c>
      <c r="N27" s="31">
        <f t="shared" ref="N27:N32" si="31">D27/E27</f>
      </c>
      <c r="O27" s="32" t="s">
        <v>27</v>
      </c>
      <c r="P27" s="33" t="s">
        <v>28</v>
      </c>
      <c r="Q27" s="34">
        <v>93</v>
      </c>
      <c r="R27" s="34">
        <v>3</v>
      </c>
      <c r="S27" s="34">
        <v>0</v>
      </c>
      <c r="T27" s="34">
        <v>0</v>
      </c>
    </row>
    <row r="28">
      <c r="A28" s="21"/>
      <c r="B28" s="22" t="s">
        <v>25</v>
      </c>
      <c r="C28" s="23" t="s">
        <v>29</v>
      </c>
      <c r="D28" s="24">
        <v>11.08</v>
      </c>
      <c r="E28" s="25">
        <v>0</v>
      </c>
      <c r="F28" s="25">
        <v>0</v>
      </c>
      <c r="G28" s="26">
        <v>0</v>
      </c>
      <c r="H28" s="27">
        <f t="shared" si="45"/>
      </c>
      <c r="I28" s="28">
        <f t="shared" si="3"/>
      </c>
      <c r="J28" s="29">
        <f t="shared" si="59"/>
      </c>
      <c r="K28" s="28">
        <f t="shared" si="73"/>
      </c>
      <c r="L28" s="30">
        <f t="shared" si="17"/>
      </c>
      <c r="M28" s="31">
        <f t="shared" si="87"/>
      </c>
      <c r="N28" s="31">
        <f t="shared" si="31"/>
      </c>
      <c r="O28" s="32" t="s">
        <v>27</v>
      </c>
      <c r="P28" s="33" t="s">
        <v>28</v>
      </c>
      <c r="Q28" s="34">
        <v>42</v>
      </c>
      <c r="R28" s="34">
        <v>1</v>
      </c>
      <c r="S28" s="34">
        <v>0</v>
      </c>
      <c r="T28" s="34">
        <v>0</v>
      </c>
    </row>
    <row r="29">
      <c r="A29" s="21"/>
      <c r="B29" s="22" t="s">
        <v>25</v>
      </c>
      <c r="C29" s="23" t="s">
        <v>30</v>
      </c>
      <c r="D29" s="24">
        <v>13.41</v>
      </c>
      <c r="E29" s="25">
        <v>0</v>
      </c>
      <c r="F29" s="25">
        <v>0</v>
      </c>
      <c r="G29" s="26">
        <v>0</v>
      </c>
      <c r="H29" s="27">
        <f t="shared" si="45"/>
      </c>
      <c r="I29" s="28">
        <f t="shared" si="3"/>
      </c>
      <c r="J29" s="29">
        <f t="shared" si="59"/>
      </c>
      <c r="K29" s="28">
        <f t="shared" si="73"/>
      </c>
      <c r="L29" s="30">
        <f t="shared" si="17"/>
      </c>
      <c r="M29" s="31">
        <f t="shared" si="87"/>
      </c>
      <c r="N29" s="31">
        <f t="shared" si="31"/>
      </c>
      <c r="O29" s="32" t="s">
        <v>27</v>
      </c>
      <c r="P29" s="33" t="s">
        <v>28</v>
      </c>
      <c r="Q29" s="34">
        <v>60</v>
      </c>
      <c r="R29" s="34">
        <v>4</v>
      </c>
      <c r="S29" s="34">
        <v>0</v>
      </c>
      <c r="T29" s="34">
        <v>0</v>
      </c>
    </row>
    <row r="30">
      <c r="A30" s="21"/>
      <c r="B30" s="22" t="s">
        <v>25</v>
      </c>
      <c r="C30" s="23" t="s">
        <v>31</v>
      </c>
      <c r="D30" s="24">
        <v>112.27</v>
      </c>
      <c r="E30" s="25">
        <v>0</v>
      </c>
      <c r="F30" s="25">
        <v>0</v>
      </c>
      <c r="G30" s="26">
        <v>0</v>
      </c>
      <c r="H30" s="27">
        <f t="shared" si="45"/>
      </c>
      <c r="I30" s="28">
        <f t="shared" si="3"/>
      </c>
      <c r="J30" s="29">
        <f t="shared" si="59"/>
      </c>
      <c r="K30" s="28">
        <f t="shared" si="73"/>
      </c>
      <c r="L30" s="30">
        <f t="shared" si="17"/>
      </c>
      <c r="M30" s="31">
        <f t="shared" si="87"/>
      </c>
      <c r="N30" s="31">
        <f t="shared" si="31"/>
      </c>
      <c r="O30" s="32" t="s">
        <v>27</v>
      </c>
      <c r="P30" s="33" t="s">
        <v>28</v>
      </c>
      <c r="Q30" s="34">
        <v>124</v>
      </c>
      <c r="R30" s="34">
        <v>6</v>
      </c>
      <c r="S30" s="34">
        <v>0</v>
      </c>
      <c r="T30" s="34">
        <v>0</v>
      </c>
    </row>
    <row r="31">
      <c r="A31" s="21"/>
      <c r="B31" s="35" t="s">
        <v>32</v>
      </c>
      <c r="C31" s="35"/>
      <c r="D31" s="36">
        <f>SUM(D27:D30)</f>
      </c>
      <c r="E31" s="37">
        <f>SUM(E27:E30)</f>
      </c>
      <c r="F31" s="37">
        <f>SUM(F27:F30)</f>
      </c>
      <c r="G31" s="38">
        <f>SUM(G27:G30)</f>
      </c>
      <c r="H31" s="39">
        <f t="shared" si="45"/>
      </c>
      <c r="I31" s="40">
        <f t="shared" si="3"/>
      </c>
      <c r="J31" s="41">
        <f t="shared" si="59"/>
      </c>
      <c r="K31" s="40">
        <f t="shared" si="73"/>
      </c>
      <c r="L31" s="42">
        <f t="shared" si="17"/>
      </c>
      <c r="M31" s="43">
        <f t="shared" si="87"/>
      </c>
      <c r="N31" s="43">
        <f t="shared" si="31"/>
      </c>
      <c r="O31" s="44"/>
      <c r="P31" s="44"/>
      <c r="Q31" s="45">
        <f>SUM(Q27:Q30)</f>
      </c>
      <c r="R31" s="45">
        <f>SUM(R27:R30)</f>
      </c>
      <c r="S31" s="45">
        <f>SUM(S27:S30)</f>
      </c>
      <c r="T31" s="45">
        <f>SUM(T27:T30)</f>
      </c>
    </row>
    <row r="32">
      <c r="A32" s="21"/>
      <c r="B32" s="46" t="s">
        <v>33</v>
      </c>
      <c r="C32" s="46"/>
      <c r="D32" s="47">
        <f>D31</f>
      </c>
      <c r="E32" s="48">
        <f>E31</f>
      </c>
      <c r="F32" s="48">
        <f>F31</f>
      </c>
      <c r="G32" s="47">
        <f>G31</f>
      </c>
      <c r="H32" s="49">
        <f t="shared" si="45"/>
      </c>
      <c r="I32" s="50">
        <f t="shared" si="3"/>
      </c>
      <c r="J32" s="49">
        <f t="shared" si="59"/>
      </c>
      <c r="K32" s="50">
        <f t="shared" si="73"/>
      </c>
      <c r="L32" s="51">
        <f t="shared" si="17"/>
      </c>
      <c r="M32" s="49">
        <f t="shared" si="87"/>
      </c>
      <c r="N32" s="49">
        <f t="shared" si="31"/>
      </c>
      <c r="O32" s="52"/>
      <c r="P32" s="52"/>
      <c r="Q32" s="48">
        <f>Q31</f>
      </c>
      <c r="R32" s="48">
        <f>R31</f>
      </c>
      <c r="S32" s="48">
        <f>S31</f>
      </c>
      <c r="T32" s="48">
        <f>T31</f>
      </c>
    </row>
    <row r="33">
      <c r="A33" s="1" t="s">
        <v>1</v>
      </c>
      <c r="B33" s="1"/>
      <c r="C33" s="1"/>
      <c r="D33" s="2" t="s">
        <v>2</v>
      </c>
      <c r="E33" s="2"/>
      <c r="F33" s="2"/>
      <c r="G33" s="2"/>
      <c r="H33" s="2"/>
      <c r="I33" s="3" t="s">
        <v>3</v>
      </c>
      <c r="J33" s="3"/>
      <c r="K33" s="3"/>
      <c r="L33" s="3"/>
      <c r="M33" s="3"/>
      <c r="N33" s="3"/>
      <c r="O33" s="4" t="s">
        <v>4</v>
      </c>
      <c r="P33" s="4"/>
      <c r="Q33" s="5"/>
      <c r="R33" s="5"/>
      <c r="S33" s="5"/>
      <c r="T33" s="5"/>
    </row>
    <row r="34">
      <c r="A34" s="6" t="s">
        <v>5</v>
      </c>
      <c r="B34" s="7" t="s">
        <v>6</v>
      </c>
      <c r="C34" s="7" t="s">
        <v>7</v>
      </c>
      <c r="D34" s="8" t="s">
        <v>8</v>
      </c>
      <c r="E34" s="9" t="s">
        <v>9</v>
      </c>
      <c r="F34" s="9" t="s">
        <v>10</v>
      </c>
      <c r="G34" s="10" t="s">
        <v>11</v>
      </c>
      <c r="H34" s="11" t="s">
        <v>12</v>
      </c>
      <c r="I34" s="12" t="s">
        <v>13</v>
      </c>
      <c r="J34" s="13" t="s">
        <v>14</v>
      </c>
      <c r="K34" s="14" t="s">
        <v>15</v>
      </c>
      <c r="L34" s="14" t="s">
        <v>16</v>
      </c>
      <c r="M34" s="15" t="s">
        <v>17</v>
      </c>
      <c r="N34" s="16" t="s">
        <v>18</v>
      </c>
      <c r="O34" s="17" t="s">
        <v>19</v>
      </c>
      <c r="P34" s="17" t="s">
        <v>20</v>
      </c>
      <c r="Q34" s="18" t="s">
        <v>21</v>
      </c>
      <c r="R34" s="18" t="s">
        <v>22</v>
      </c>
      <c r="S34" s="19" t="s">
        <v>23</v>
      </c>
      <c r="T34" s="20" t="s">
        <v>24</v>
      </c>
    </row>
    <row r="35">
      <c r="A35" s="21">
        <v>46304</v>
      </c>
      <c r="B35" s="22" t="s">
        <v>25</v>
      </c>
      <c r="C35" s="23" t="s">
        <v>26</v>
      </c>
      <c r="D35" s="24">
        <v>1066.45</v>
      </c>
      <c r="E35" s="25">
        <v>0</v>
      </c>
      <c r="F35" s="25">
        <v>0</v>
      </c>
      <c r="G35" s="26">
        <v>0</v>
      </c>
      <c r="H35" s="27">
        <f t="shared" ref="H35:H40" si="46">G35/D35</f>
      </c>
      <c r="I35" s="28">
        <f t="shared" ref="I35:I40" si="4">R35/Q35</f>
      </c>
      <c r="J35" s="29">
        <f t="shared" ref="J35:J40" si="60">D35/S35</f>
      </c>
      <c r="K35" s="28">
        <f t="shared" ref="K35:K40" si="74">E35/T35</f>
      </c>
      <c r="L35" s="30">
        <f t="shared" ref="L35:L40" si="18">G35/E35</f>
      </c>
      <c r="M35" s="31">
        <f t="shared" ref="M35:M40" si="88">D35/E35</f>
      </c>
      <c r="N35" s="31">
        <f t="shared" ref="N35:N40" si="32">D35/E35</f>
      </c>
      <c r="O35" s="32" t="s">
        <v>27</v>
      </c>
      <c r="P35" s="33" t="s">
        <v>35</v>
      </c>
      <c r="Q35" s="34">
        <v>87991</v>
      </c>
      <c r="R35" s="34">
        <v>644</v>
      </c>
      <c r="S35" s="34">
        <v>118</v>
      </c>
      <c r="T35" s="34">
        <v>0</v>
      </c>
    </row>
    <row r="36">
      <c r="A36" s="21"/>
      <c r="B36" s="22" t="s">
        <v>25</v>
      </c>
      <c r="C36" s="23" t="s">
        <v>29</v>
      </c>
      <c r="D36" s="24">
        <v>274.74</v>
      </c>
      <c r="E36" s="25">
        <v>0</v>
      </c>
      <c r="F36" s="25">
        <v>0</v>
      </c>
      <c r="G36" s="26">
        <v>0</v>
      </c>
      <c r="H36" s="27">
        <f t="shared" si="46"/>
      </c>
      <c r="I36" s="28">
        <f t="shared" si="4"/>
      </c>
      <c r="J36" s="29">
        <f t="shared" si="60"/>
      </c>
      <c r="K36" s="28">
        <f t="shared" si="74"/>
      </c>
      <c r="L36" s="30">
        <f t="shared" si="18"/>
      </c>
      <c r="M36" s="31">
        <f t="shared" si="88"/>
      </c>
      <c r="N36" s="31">
        <f t="shared" si="32"/>
      </c>
      <c r="O36" s="32" t="s">
        <v>27</v>
      </c>
      <c r="P36" s="33" t="s">
        <v>35</v>
      </c>
      <c r="Q36" s="34">
        <v>23870</v>
      </c>
      <c r="R36" s="34">
        <v>170</v>
      </c>
      <c r="S36" s="34">
        <v>40</v>
      </c>
      <c r="T36" s="34">
        <v>0</v>
      </c>
    </row>
    <row r="37">
      <c r="A37" s="21"/>
      <c r="B37" s="22" t="s">
        <v>25</v>
      </c>
      <c r="C37" s="23" t="s">
        <v>30</v>
      </c>
      <c r="D37" s="24">
        <v>32.13999999999987</v>
      </c>
      <c r="E37" s="25">
        <v>0</v>
      </c>
      <c r="F37" s="25">
        <v>0</v>
      </c>
      <c r="G37" s="26">
        <v>0</v>
      </c>
      <c r="H37" s="27">
        <f t="shared" si="46"/>
      </c>
      <c r="I37" s="28">
        <f t="shared" si="4"/>
      </c>
      <c r="J37" s="29">
        <f t="shared" si="60"/>
      </c>
      <c r="K37" s="28">
        <f t="shared" si="74"/>
      </c>
      <c r="L37" s="30">
        <f t="shared" si="18"/>
      </c>
      <c r="M37" s="31">
        <f t="shared" si="88"/>
      </c>
      <c r="N37" s="31">
        <f t="shared" si="32"/>
      </c>
      <c r="O37" s="32" t="s">
        <v>27</v>
      </c>
      <c r="P37" s="33" t="s">
        <v>35</v>
      </c>
      <c r="Q37" s="34">
        <v>14739</v>
      </c>
      <c r="R37" s="34">
        <v>100</v>
      </c>
      <c r="S37" s="34">
        <v>20</v>
      </c>
      <c r="T37" s="34">
        <v>0</v>
      </c>
    </row>
    <row r="38">
      <c r="A38" s="21"/>
      <c r="B38" s="22" t="s">
        <v>25</v>
      </c>
      <c r="C38" s="23" t="s">
        <v>31</v>
      </c>
      <c r="D38" s="24">
        <v>51.54</v>
      </c>
      <c r="E38" s="25">
        <v>0</v>
      </c>
      <c r="F38" s="25">
        <v>0</v>
      </c>
      <c r="G38" s="26">
        <v>0</v>
      </c>
      <c r="H38" s="27">
        <f t="shared" si="46"/>
      </c>
      <c r="I38" s="28">
        <f t="shared" si="4"/>
      </c>
      <c r="J38" s="29">
        <f t="shared" si="60"/>
      </c>
      <c r="K38" s="28">
        <f t="shared" si="74"/>
      </c>
      <c r="L38" s="30">
        <f t="shared" si="18"/>
      </c>
      <c r="M38" s="31">
        <f t="shared" si="88"/>
      </c>
      <c r="N38" s="31">
        <f t="shared" si="32"/>
      </c>
      <c r="O38" s="32" t="s">
        <v>27</v>
      </c>
      <c r="P38" s="33" t="s">
        <v>35</v>
      </c>
      <c r="Q38" s="34">
        <v>19594</v>
      </c>
      <c r="R38" s="34">
        <v>120</v>
      </c>
      <c r="S38" s="34">
        <v>8</v>
      </c>
      <c r="T38" s="34">
        <v>0</v>
      </c>
    </row>
    <row r="39">
      <c r="A39" s="21"/>
      <c r="B39" s="35" t="s">
        <v>32</v>
      </c>
      <c r="C39" s="35"/>
      <c r="D39" s="36">
        <f>SUM(D35:D38)</f>
      </c>
      <c r="E39" s="37">
        <f>SUM(E35:E38)</f>
      </c>
      <c r="F39" s="37">
        <f>SUM(F35:F38)</f>
      </c>
      <c r="G39" s="38">
        <f>SUM(G35:G38)</f>
      </c>
      <c r="H39" s="39">
        <f t="shared" si="46"/>
      </c>
      <c r="I39" s="40">
        <f t="shared" si="4"/>
      </c>
      <c r="J39" s="41">
        <f t="shared" si="60"/>
      </c>
      <c r="K39" s="40">
        <f t="shared" si="74"/>
      </c>
      <c r="L39" s="42">
        <f t="shared" si="18"/>
      </c>
      <c r="M39" s="43">
        <f t="shared" si="88"/>
      </c>
      <c r="N39" s="43">
        <f t="shared" si="32"/>
      </c>
      <c r="O39" s="44"/>
      <c r="P39" s="44"/>
      <c r="Q39" s="45">
        <f>SUM(Q35:Q38)</f>
      </c>
      <c r="R39" s="45">
        <f>SUM(R35:R38)</f>
      </c>
      <c r="S39" s="45">
        <f>SUM(S35:S38)</f>
      </c>
      <c r="T39" s="45">
        <f>SUM(T35:T38)</f>
      </c>
    </row>
    <row r="40">
      <c r="A40" s="21"/>
      <c r="B40" s="46" t="s">
        <v>33</v>
      </c>
      <c r="C40" s="46"/>
      <c r="D40" s="47">
        <f>D39</f>
      </c>
      <c r="E40" s="48">
        <f>E39</f>
      </c>
      <c r="F40" s="48">
        <f>F39</f>
      </c>
      <c r="G40" s="47">
        <f>G39</f>
      </c>
      <c r="H40" s="49">
        <f t="shared" si="46"/>
      </c>
      <c r="I40" s="50">
        <f t="shared" si="4"/>
      </c>
      <c r="J40" s="49">
        <f t="shared" si="60"/>
      </c>
      <c r="K40" s="50">
        <f t="shared" si="74"/>
      </c>
      <c r="L40" s="51">
        <f t="shared" si="18"/>
      </c>
      <c r="M40" s="49">
        <f t="shared" si="88"/>
      </c>
      <c r="N40" s="49">
        <f t="shared" si="32"/>
      </c>
      <c r="O40" s="52"/>
      <c r="P40" s="52"/>
      <c r="Q40" s="48">
        <f>Q39</f>
      </c>
      <c r="R40" s="48">
        <f>R39</f>
      </c>
      <c r="S40" s="48">
        <f>S39</f>
      </c>
      <c r="T40" s="48">
        <f>T39</f>
      </c>
    </row>
    <row r="41">
      <c r="A41" s="1" t="s">
        <v>1</v>
      </c>
      <c r="B41" s="1"/>
      <c r="C41" s="1"/>
      <c r="D41" s="2" t="s">
        <v>2</v>
      </c>
      <c r="E41" s="2"/>
      <c r="F41" s="2"/>
      <c r="G41" s="2"/>
      <c r="H41" s="2"/>
      <c r="I41" s="3" t="s">
        <v>3</v>
      </c>
      <c r="J41" s="3"/>
      <c r="K41" s="3"/>
      <c r="L41" s="3"/>
      <c r="M41" s="3"/>
      <c r="N41" s="3"/>
      <c r="O41" s="4" t="s">
        <v>4</v>
      </c>
      <c r="P41" s="4"/>
      <c r="Q41" s="5"/>
      <c r="R41" s="5"/>
      <c r="S41" s="5"/>
      <c r="T41" s="5"/>
    </row>
    <row r="42">
      <c r="A42" s="6" t="s">
        <v>5</v>
      </c>
      <c r="B42" s="7" t="s">
        <v>6</v>
      </c>
      <c r="C42" s="7" t="s">
        <v>7</v>
      </c>
      <c r="D42" s="8" t="s">
        <v>8</v>
      </c>
      <c r="E42" s="9" t="s">
        <v>9</v>
      </c>
      <c r="F42" s="9" t="s">
        <v>10</v>
      </c>
      <c r="G42" s="10" t="s">
        <v>11</v>
      </c>
      <c r="H42" s="11" t="s">
        <v>12</v>
      </c>
      <c r="I42" s="12" t="s">
        <v>13</v>
      </c>
      <c r="J42" s="13" t="s">
        <v>14</v>
      </c>
      <c r="K42" s="14" t="s">
        <v>15</v>
      </c>
      <c r="L42" s="14" t="s">
        <v>16</v>
      </c>
      <c r="M42" s="15" t="s">
        <v>17</v>
      </c>
      <c r="N42" s="16" t="s">
        <v>18</v>
      </c>
      <c r="O42" s="17" t="s">
        <v>19</v>
      </c>
      <c r="P42" s="17" t="s">
        <v>20</v>
      </c>
      <c r="Q42" s="18" t="s">
        <v>21</v>
      </c>
      <c r="R42" s="18" t="s">
        <v>22</v>
      </c>
      <c r="S42" s="19" t="s">
        <v>23</v>
      </c>
      <c r="T42" s="20" t="s">
        <v>24</v>
      </c>
    </row>
    <row r="43">
      <c r="A43" s="21">
        <v>46305</v>
      </c>
      <c r="B43" s="22" t="s">
        <v>25</v>
      </c>
      <c r="C43" s="23" t="s">
        <v>26</v>
      </c>
      <c r="D43" s="24">
        <v>32.02</v>
      </c>
      <c r="E43" s="25">
        <v>0</v>
      </c>
      <c r="F43" s="25">
        <v>0</v>
      </c>
      <c r="G43" s="26">
        <v>0</v>
      </c>
      <c r="H43" s="27">
        <f t="shared" ref="H43:H48" si="47">G43/D43</f>
      </c>
      <c r="I43" s="28">
        <f t="shared" ref="I43:I48" si="5">R43/Q43</f>
      </c>
      <c r="J43" s="29">
        <f t="shared" ref="J43:J48" si="61">D43/S43</f>
      </c>
      <c r="K43" s="28">
        <f t="shared" ref="K43:K48" si="75">E43/T43</f>
      </c>
      <c r="L43" s="30">
        <f t="shared" ref="L43:L48" si="19">G43/E43</f>
      </c>
      <c r="M43" s="31">
        <f t="shared" ref="M43:M48" si="89">D43/E43</f>
      </c>
      <c r="N43" s="31">
        <f t="shared" ref="N43:N48" si="33">D43/E43</f>
      </c>
      <c r="O43" s="32" t="s">
        <v>27</v>
      </c>
      <c r="P43" s="33" t="s">
        <v>28</v>
      </c>
      <c r="Q43" s="34">
        <v>5319</v>
      </c>
      <c r="R43" s="34">
        <v>50</v>
      </c>
      <c r="S43" s="34">
        <v>14</v>
      </c>
      <c r="T43" s="34">
        <v>0</v>
      </c>
    </row>
    <row r="44">
      <c r="A44" s="21"/>
      <c r="B44" s="22" t="s">
        <v>25</v>
      </c>
      <c r="C44" s="23" t="s">
        <v>29</v>
      </c>
      <c r="D44" s="24">
        <v>3.32</v>
      </c>
      <c r="E44" s="25">
        <v>0</v>
      </c>
      <c r="F44" s="25">
        <v>0</v>
      </c>
      <c r="G44" s="26">
        <v>0</v>
      </c>
      <c r="H44" s="27">
        <f t="shared" si="47"/>
      </c>
      <c r="I44" s="28">
        <f t="shared" si="5"/>
      </c>
      <c r="J44" s="29">
        <f t="shared" si="61"/>
      </c>
      <c r="K44" s="28">
        <f t="shared" si="75"/>
      </c>
      <c r="L44" s="30">
        <f t="shared" si="19"/>
      </c>
      <c r="M44" s="31">
        <f t="shared" si="89"/>
      </c>
      <c r="N44" s="31">
        <f t="shared" si="33"/>
      </c>
      <c r="O44" s="32" t="s">
        <v>27</v>
      </c>
      <c r="P44" s="33" t="s">
        <v>28</v>
      </c>
      <c r="Q44" s="34">
        <v>3422</v>
      </c>
      <c r="R44" s="34">
        <v>16</v>
      </c>
      <c r="S44" s="34">
        <v>0</v>
      </c>
      <c r="T44" s="34">
        <v>0</v>
      </c>
    </row>
    <row r="45">
      <c r="A45" s="21"/>
      <c r="B45" s="22" t="s">
        <v>25</v>
      </c>
      <c r="C45" s="23" t="s">
        <v>30</v>
      </c>
      <c r="D45" s="24">
        <v>26.15</v>
      </c>
      <c r="E45" s="25">
        <v>0</v>
      </c>
      <c r="F45" s="25">
        <v>0</v>
      </c>
      <c r="G45" s="26">
        <v>0</v>
      </c>
      <c r="H45" s="27">
        <f t="shared" si="47"/>
      </c>
      <c r="I45" s="28">
        <f t="shared" si="5"/>
      </c>
      <c r="J45" s="29">
        <f t="shared" si="61"/>
      </c>
      <c r="K45" s="28">
        <f t="shared" si="75"/>
      </c>
      <c r="L45" s="30">
        <f t="shared" si="19"/>
      </c>
      <c r="M45" s="31">
        <f t="shared" si="89"/>
      </c>
      <c r="N45" s="31">
        <f t="shared" si="33"/>
      </c>
      <c r="O45" s="32" t="s">
        <v>27</v>
      </c>
      <c r="P45" s="33" t="s">
        <v>28</v>
      </c>
      <c r="Q45" s="34">
        <v>7338</v>
      </c>
      <c r="R45" s="34">
        <v>49</v>
      </c>
      <c r="S45" s="34">
        <v>0</v>
      </c>
      <c r="T45" s="34">
        <v>0</v>
      </c>
    </row>
    <row r="46">
      <c r="A46" s="21"/>
      <c r="B46" s="22" t="s">
        <v>25</v>
      </c>
      <c r="C46" s="23" t="s">
        <v>31</v>
      </c>
      <c r="D46" s="24">
        <v>52.64</v>
      </c>
      <c r="E46" s="25">
        <v>0</v>
      </c>
      <c r="F46" s="25">
        <v>0</v>
      </c>
      <c r="G46" s="26">
        <v>0</v>
      </c>
      <c r="H46" s="27">
        <f t="shared" si="47"/>
      </c>
      <c r="I46" s="28">
        <f t="shared" si="5"/>
      </c>
      <c r="J46" s="29">
        <f t="shared" si="61"/>
      </c>
      <c r="K46" s="28">
        <f t="shared" si="75"/>
      </c>
      <c r="L46" s="30">
        <f t="shared" si="19"/>
      </c>
      <c r="M46" s="31">
        <f t="shared" si="89"/>
      </c>
      <c r="N46" s="31">
        <f t="shared" si="33"/>
      </c>
      <c r="O46" s="32" t="s">
        <v>27</v>
      </c>
      <c r="P46" s="33" t="s">
        <v>28</v>
      </c>
      <c r="Q46" s="34">
        <v>8566</v>
      </c>
      <c r="R46" s="34">
        <v>49</v>
      </c>
      <c r="S46" s="34">
        <v>26</v>
      </c>
      <c r="T46" s="34">
        <v>0</v>
      </c>
    </row>
    <row r="47">
      <c r="A47" s="21"/>
      <c r="B47" s="35" t="s">
        <v>32</v>
      </c>
      <c r="C47" s="35"/>
      <c r="D47" s="36">
        <f>SUM(D43:D46)</f>
      </c>
      <c r="E47" s="37">
        <f>SUM(E43:E46)</f>
      </c>
      <c r="F47" s="37">
        <f>SUM(F43:F46)</f>
      </c>
      <c r="G47" s="38">
        <f>SUM(G43:G46)</f>
      </c>
      <c r="H47" s="39">
        <f t="shared" si="47"/>
      </c>
      <c r="I47" s="40">
        <f t="shared" si="5"/>
      </c>
      <c r="J47" s="41">
        <f t="shared" si="61"/>
      </c>
      <c r="K47" s="40">
        <f t="shared" si="75"/>
      </c>
      <c r="L47" s="42">
        <f t="shared" si="19"/>
      </c>
      <c r="M47" s="43">
        <f t="shared" si="89"/>
      </c>
      <c r="N47" s="43">
        <f t="shared" si="33"/>
      </c>
      <c r="O47" s="44"/>
      <c r="P47" s="44"/>
      <c r="Q47" s="45">
        <f>SUM(Q43:Q46)</f>
      </c>
      <c r="R47" s="45">
        <f>SUM(R43:R46)</f>
      </c>
      <c r="S47" s="45">
        <f>SUM(S43:S46)</f>
      </c>
      <c r="T47" s="45">
        <f>SUM(T43:T46)</f>
      </c>
    </row>
    <row r="48">
      <c r="A48" s="21"/>
      <c r="B48" s="46" t="s">
        <v>33</v>
      </c>
      <c r="C48" s="46"/>
      <c r="D48" s="47">
        <f>D47</f>
      </c>
      <c r="E48" s="48">
        <f>E47</f>
      </c>
      <c r="F48" s="48">
        <f>F47</f>
      </c>
      <c r="G48" s="47">
        <f>G47</f>
      </c>
      <c r="H48" s="49">
        <f t="shared" si="47"/>
      </c>
      <c r="I48" s="50">
        <f t="shared" si="5"/>
      </c>
      <c r="J48" s="49">
        <f t="shared" si="61"/>
      </c>
      <c r="K48" s="50">
        <f t="shared" si="75"/>
      </c>
      <c r="L48" s="51">
        <f t="shared" si="19"/>
      </c>
      <c r="M48" s="49">
        <f t="shared" si="89"/>
      </c>
      <c r="N48" s="49">
        <f t="shared" si="33"/>
      </c>
      <c r="O48" s="52"/>
      <c r="P48" s="52"/>
      <c r="Q48" s="48">
        <f>Q47</f>
      </c>
      <c r="R48" s="48">
        <f>R47</f>
      </c>
      <c r="S48" s="48">
        <f>S47</f>
      </c>
      <c r="T48" s="48">
        <f>T47</f>
      </c>
    </row>
    <row r="49">
      <c r="A49" s="1" t="s">
        <v>1</v>
      </c>
      <c r="B49" s="1"/>
      <c r="C49" s="1"/>
      <c r="D49" s="2" t="s">
        <v>2</v>
      </c>
      <c r="E49" s="2"/>
      <c r="F49" s="2"/>
      <c r="G49" s="2"/>
      <c r="H49" s="2"/>
      <c r="I49" s="3" t="s">
        <v>3</v>
      </c>
      <c r="J49" s="3"/>
      <c r="K49" s="3"/>
      <c r="L49" s="3"/>
      <c r="M49" s="3"/>
      <c r="N49" s="3"/>
      <c r="O49" s="4" t="s">
        <v>4</v>
      </c>
      <c r="P49" s="4"/>
      <c r="Q49" s="5"/>
      <c r="R49" s="5"/>
      <c r="S49" s="5"/>
      <c r="T49" s="5"/>
    </row>
    <row r="50">
      <c r="A50" s="6" t="s">
        <v>5</v>
      </c>
      <c r="B50" s="7" t="s">
        <v>6</v>
      </c>
      <c r="C50" s="7" t="s">
        <v>7</v>
      </c>
      <c r="D50" s="8" t="s">
        <v>8</v>
      </c>
      <c r="E50" s="9" t="s">
        <v>9</v>
      </c>
      <c r="F50" s="9" t="s">
        <v>10</v>
      </c>
      <c r="G50" s="10" t="s">
        <v>11</v>
      </c>
      <c r="H50" s="11" t="s">
        <v>12</v>
      </c>
      <c r="I50" s="12" t="s">
        <v>13</v>
      </c>
      <c r="J50" s="13" t="s">
        <v>14</v>
      </c>
      <c r="K50" s="14" t="s">
        <v>15</v>
      </c>
      <c r="L50" s="14" t="s">
        <v>16</v>
      </c>
      <c r="M50" s="15" t="s">
        <v>17</v>
      </c>
      <c r="N50" s="16" t="s">
        <v>18</v>
      </c>
      <c r="O50" s="17" t="s">
        <v>19</v>
      </c>
      <c r="P50" s="17" t="s">
        <v>20</v>
      </c>
      <c r="Q50" s="18" t="s">
        <v>21</v>
      </c>
      <c r="R50" s="18" t="s">
        <v>22</v>
      </c>
      <c r="S50" s="19" t="s">
        <v>23</v>
      </c>
      <c r="T50" s="20" t="s">
        <v>24</v>
      </c>
    </row>
    <row r="51">
      <c r="A51" s="21">
        <v>46306</v>
      </c>
      <c r="B51" s="22" t="s">
        <v>25</v>
      </c>
      <c r="C51" s="23" t="s">
        <v>26</v>
      </c>
      <c r="D51" s="24">
        <v>606.21</v>
      </c>
      <c r="E51" s="25">
        <v>0</v>
      </c>
      <c r="F51" s="25">
        <v>0</v>
      </c>
      <c r="G51" s="26">
        <v>0</v>
      </c>
      <c r="H51" s="27">
        <f t="shared" ref="H51:H56" si="48">G51/D51</f>
      </c>
      <c r="I51" s="28">
        <f t="shared" ref="I51:I56" si="6">R51/Q51</f>
      </c>
      <c r="J51" s="29">
        <f t="shared" ref="J51:J56" si="62">D51/S51</f>
      </c>
      <c r="K51" s="28">
        <f t="shared" ref="K51:K56" si="76">E51/T51</f>
      </c>
      <c r="L51" s="30">
        <f t="shared" ref="L51:L56" si="20">G51/E51</f>
      </c>
      <c r="M51" s="31">
        <f t="shared" ref="M51:M56" si="90">D51/E51</f>
      </c>
      <c r="N51" s="31">
        <f t="shared" ref="N51:N56" si="34">D51/E51</f>
      </c>
      <c r="O51" s="32" t="s">
        <v>27</v>
      </c>
      <c r="P51" s="33" t="s">
        <v>28</v>
      </c>
      <c r="Q51" s="34">
        <v>28096</v>
      </c>
      <c r="R51" s="34">
        <v>198</v>
      </c>
      <c r="S51" s="34">
        <v>33</v>
      </c>
      <c r="T51" s="34">
        <v>0</v>
      </c>
    </row>
    <row r="52">
      <c r="A52" s="21"/>
      <c r="B52" s="22" t="s">
        <v>25</v>
      </c>
      <c r="C52" s="23" t="s">
        <v>29</v>
      </c>
      <c r="D52" s="24">
        <v>14.549999999999955</v>
      </c>
      <c r="E52" s="25">
        <v>0</v>
      </c>
      <c r="F52" s="25">
        <v>0</v>
      </c>
      <c r="G52" s="26">
        <v>0</v>
      </c>
      <c r="H52" s="27">
        <f t="shared" si="48"/>
      </c>
      <c r="I52" s="28">
        <f t="shared" si="6"/>
      </c>
      <c r="J52" s="29">
        <f t="shared" si="62"/>
      </c>
      <c r="K52" s="28">
        <f t="shared" si="76"/>
      </c>
      <c r="L52" s="30">
        <f t="shared" si="20"/>
      </c>
      <c r="M52" s="31">
        <f t="shared" si="90"/>
      </c>
      <c r="N52" s="31">
        <f t="shared" si="34"/>
      </c>
      <c r="O52" s="32" t="s">
        <v>27</v>
      </c>
      <c r="P52" s="33" t="s">
        <v>28</v>
      </c>
      <c r="Q52" s="34">
        <v>4740</v>
      </c>
      <c r="R52" s="34">
        <v>45</v>
      </c>
      <c r="S52" s="34">
        <v>10</v>
      </c>
      <c r="T52" s="34">
        <v>0</v>
      </c>
    </row>
    <row r="53">
      <c r="A53" s="21"/>
      <c r="B53" s="22" t="s">
        <v>25</v>
      </c>
      <c r="C53" s="23" t="s">
        <v>30</v>
      </c>
      <c r="D53" s="24">
        <v>15.090000000000032</v>
      </c>
      <c r="E53" s="25">
        <v>0</v>
      </c>
      <c r="F53" s="25">
        <v>0</v>
      </c>
      <c r="G53" s="26">
        <v>0</v>
      </c>
      <c r="H53" s="27">
        <f t="shared" si="48"/>
      </c>
      <c r="I53" s="28">
        <f t="shared" si="6"/>
      </c>
      <c r="J53" s="29">
        <f t="shared" si="62"/>
      </c>
      <c r="K53" s="28">
        <f t="shared" si="76"/>
      </c>
      <c r="L53" s="30">
        <f t="shared" si="20"/>
      </c>
      <c r="M53" s="31">
        <f t="shared" si="90"/>
      </c>
      <c r="N53" s="31">
        <f t="shared" si="34"/>
      </c>
      <c r="O53" s="32" t="s">
        <v>27</v>
      </c>
      <c r="P53" s="33" t="s">
        <v>28</v>
      </c>
      <c r="Q53" s="34">
        <v>8885</v>
      </c>
      <c r="R53" s="34">
        <v>77</v>
      </c>
      <c r="S53" s="34">
        <v>16</v>
      </c>
      <c r="T53" s="34">
        <v>0</v>
      </c>
    </row>
    <row r="54">
      <c r="A54" s="21"/>
      <c r="B54" s="22" t="s">
        <v>25</v>
      </c>
      <c r="C54" s="23" t="s">
        <v>31</v>
      </c>
      <c r="D54" s="24">
        <v>38.67</v>
      </c>
      <c r="E54" s="25">
        <v>0</v>
      </c>
      <c r="F54" s="25">
        <v>0</v>
      </c>
      <c r="G54" s="26">
        <v>0</v>
      </c>
      <c r="H54" s="27">
        <f t="shared" si="48"/>
      </c>
      <c r="I54" s="28">
        <f t="shared" si="6"/>
      </c>
      <c r="J54" s="29">
        <f t="shared" si="62"/>
      </c>
      <c r="K54" s="28">
        <f t="shared" si="76"/>
      </c>
      <c r="L54" s="30">
        <f t="shared" si="20"/>
      </c>
      <c r="M54" s="31">
        <f t="shared" si="90"/>
      </c>
      <c r="N54" s="31">
        <f t="shared" si="34"/>
      </c>
      <c r="O54" s="32" t="s">
        <v>27</v>
      </c>
      <c r="P54" s="33" t="s">
        <v>28</v>
      </c>
      <c r="Q54" s="34">
        <v>7893</v>
      </c>
      <c r="R54" s="34">
        <v>66</v>
      </c>
      <c r="S54" s="34">
        <v>0</v>
      </c>
      <c r="T54" s="34">
        <v>0</v>
      </c>
    </row>
    <row r="55">
      <c r="A55" s="21"/>
      <c r="B55" s="35" t="s">
        <v>32</v>
      </c>
      <c r="C55" s="35"/>
      <c r="D55" s="36">
        <f>SUM(D51:D54)</f>
      </c>
      <c r="E55" s="37">
        <f>SUM(E51:E54)</f>
      </c>
      <c r="F55" s="37">
        <f>SUM(F51:F54)</f>
      </c>
      <c r="G55" s="38">
        <f>SUM(G51:G54)</f>
      </c>
      <c r="H55" s="39">
        <f t="shared" si="48"/>
      </c>
      <c r="I55" s="40">
        <f t="shared" si="6"/>
      </c>
      <c r="J55" s="41">
        <f t="shared" si="62"/>
      </c>
      <c r="K55" s="40">
        <f t="shared" si="76"/>
      </c>
      <c r="L55" s="42">
        <f t="shared" si="20"/>
      </c>
      <c r="M55" s="43">
        <f t="shared" si="90"/>
      </c>
      <c r="N55" s="43">
        <f t="shared" si="34"/>
      </c>
      <c r="O55" s="44"/>
      <c r="P55" s="44"/>
      <c r="Q55" s="45">
        <f>SUM(Q51:Q54)</f>
      </c>
      <c r="R55" s="45">
        <f>SUM(R51:R54)</f>
      </c>
      <c r="S55" s="45">
        <f>SUM(S51:S54)</f>
      </c>
      <c r="T55" s="45">
        <f>SUM(T51:T54)</f>
      </c>
    </row>
    <row r="56">
      <c r="A56" s="21"/>
      <c r="B56" s="46" t="s">
        <v>33</v>
      </c>
      <c r="C56" s="46"/>
      <c r="D56" s="47">
        <f>D55</f>
      </c>
      <c r="E56" s="48">
        <f>E55</f>
      </c>
      <c r="F56" s="48">
        <f>F55</f>
      </c>
      <c r="G56" s="47">
        <f>G55</f>
      </c>
      <c r="H56" s="49">
        <f t="shared" si="48"/>
      </c>
      <c r="I56" s="50">
        <f t="shared" si="6"/>
      </c>
      <c r="J56" s="49">
        <f t="shared" si="62"/>
      </c>
      <c r="K56" s="50">
        <f t="shared" si="76"/>
      </c>
      <c r="L56" s="51">
        <f t="shared" si="20"/>
      </c>
      <c r="M56" s="49">
        <f t="shared" si="90"/>
      </c>
      <c r="N56" s="49">
        <f t="shared" si="34"/>
      </c>
      <c r="O56" s="52"/>
      <c r="P56" s="52"/>
      <c r="Q56" s="48">
        <f>Q55</f>
      </c>
      <c r="R56" s="48">
        <f>R55</f>
      </c>
      <c r="S56" s="48">
        <f>S55</f>
      </c>
      <c r="T56" s="48">
        <f>T55</f>
      </c>
    </row>
    <row r="57">
      <c r="A57" s="1" t="s">
        <v>1</v>
      </c>
      <c r="B57" s="1"/>
      <c r="C57" s="1"/>
      <c r="D57" s="2" t="s">
        <v>2</v>
      </c>
      <c r="E57" s="2"/>
      <c r="F57" s="2"/>
      <c r="G57" s="2"/>
      <c r="H57" s="2"/>
      <c r="I57" s="3" t="s">
        <v>3</v>
      </c>
      <c r="J57" s="3"/>
      <c r="K57" s="3"/>
      <c r="L57" s="3"/>
      <c r="M57" s="3"/>
      <c r="N57" s="3"/>
      <c r="O57" s="4" t="s">
        <v>4</v>
      </c>
      <c r="P57" s="4"/>
      <c r="Q57" s="5"/>
      <c r="R57" s="5"/>
      <c r="S57" s="5"/>
      <c r="T57" s="5"/>
    </row>
    <row r="58">
      <c r="A58" s="6" t="s">
        <v>5</v>
      </c>
      <c r="B58" s="7" t="s">
        <v>6</v>
      </c>
      <c r="C58" s="7" t="s">
        <v>7</v>
      </c>
      <c r="D58" s="8" t="s">
        <v>8</v>
      </c>
      <c r="E58" s="9" t="s">
        <v>9</v>
      </c>
      <c r="F58" s="9" t="s">
        <v>10</v>
      </c>
      <c r="G58" s="10" t="s">
        <v>11</v>
      </c>
      <c r="H58" s="11" t="s">
        <v>12</v>
      </c>
      <c r="I58" s="12" t="s">
        <v>13</v>
      </c>
      <c r="J58" s="13" t="s">
        <v>14</v>
      </c>
      <c r="K58" s="14" t="s">
        <v>15</v>
      </c>
      <c r="L58" s="14" t="s">
        <v>16</v>
      </c>
      <c r="M58" s="15" t="s">
        <v>17</v>
      </c>
      <c r="N58" s="16" t="s">
        <v>18</v>
      </c>
      <c r="O58" s="17" t="s">
        <v>19</v>
      </c>
      <c r="P58" s="17" t="s">
        <v>20</v>
      </c>
      <c r="Q58" s="18" t="s">
        <v>21</v>
      </c>
      <c r="R58" s="18" t="s">
        <v>22</v>
      </c>
      <c r="S58" s="19" t="s">
        <v>23</v>
      </c>
      <c r="T58" s="20" t="s">
        <v>24</v>
      </c>
    </row>
    <row r="59">
      <c r="A59" s="21">
        <v>46307</v>
      </c>
      <c r="B59" s="22" t="s">
        <v>25</v>
      </c>
      <c r="C59" s="23" t="s">
        <v>26</v>
      </c>
      <c r="D59" s="24">
        <v>23.23</v>
      </c>
      <c r="E59" s="25">
        <v>0</v>
      </c>
      <c r="F59" s="25">
        <v>0</v>
      </c>
      <c r="G59" s="26">
        <v>0</v>
      </c>
      <c r="H59" s="27">
        <f t="shared" ref="H59:H64" si="49">G59/D59</f>
      </c>
      <c r="I59" s="28">
        <f t="shared" ref="I59:I64" si="7">R59/Q59</f>
      </c>
      <c r="J59" s="29">
        <f t="shared" ref="J59:J64" si="63">D59/S59</f>
      </c>
      <c r="K59" s="28">
        <f t="shared" ref="K59:K64" si="77">E59/T59</f>
      </c>
      <c r="L59" s="30">
        <f t="shared" ref="L59:L64" si="21">G59/E59</f>
      </c>
      <c r="M59" s="31">
        <f t="shared" ref="M59:M64" si="91">D59/E59</f>
      </c>
      <c r="N59" s="31">
        <f t="shared" ref="N59:N64" si="35">D59/E59</f>
      </c>
      <c r="O59" s="32" t="s">
        <v>27</v>
      </c>
      <c r="P59" s="33" t="s">
        <v>28</v>
      </c>
      <c r="Q59" s="34">
        <v>4864</v>
      </c>
      <c r="R59" s="34">
        <v>48</v>
      </c>
      <c r="S59" s="34">
        <v>6</v>
      </c>
      <c r="T59" s="34">
        <v>0</v>
      </c>
    </row>
    <row r="60">
      <c r="A60" s="21"/>
      <c r="B60" s="22" t="s">
        <v>25</v>
      </c>
      <c r="C60" s="23" t="s">
        <v>29</v>
      </c>
      <c r="D60" s="24">
        <v>49.05</v>
      </c>
      <c r="E60" s="25">
        <v>0</v>
      </c>
      <c r="F60" s="25">
        <v>0</v>
      </c>
      <c r="G60" s="26">
        <v>0</v>
      </c>
      <c r="H60" s="27">
        <f t="shared" si="49"/>
      </c>
      <c r="I60" s="28">
        <f t="shared" si="7"/>
      </c>
      <c r="J60" s="29">
        <f t="shared" si="63"/>
      </c>
      <c r="K60" s="28">
        <f t="shared" si="77"/>
      </c>
      <c r="L60" s="30">
        <f t="shared" si="21"/>
      </c>
      <c r="M60" s="31">
        <f t="shared" si="91"/>
      </c>
      <c r="N60" s="31">
        <f t="shared" si="35"/>
      </c>
      <c r="O60" s="32" t="s">
        <v>27</v>
      </c>
      <c r="P60" s="33" t="s">
        <v>28</v>
      </c>
      <c r="Q60" s="34">
        <v>4246</v>
      </c>
      <c r="R60" s="34">
        <v>32</v>
      </c>
      <c r="S60" s="34">
        <v>6</v>
      </c>
      <c r="T60" s="34">
        <v>0</v>
      </c>
    </row>
    <row r="61">
      <c r="A61" s="21"/>
      <c r="B61" s="22" t="s">
        <v>25</v>
      </c>
      <c r="C61" s="23" t="s">
        <v>30</v>
      </c>
      <c r="D61" s="24">
        <v>53.36</v>
      </c>
      <c r="E61" s="25">
        <v>0</v>
      </c>
      <c r="F61" s="25">
        <v>0</v>
      </c>
      <c r="G61" s="26">
        <v>0</v>
      </c>
      <c r="H61" s="27">
        <f t="shared" si="49"/>
      </c>
      <c r="I61" s="28">
        <f t="shared" si="7"/>
      </c>
      <c r="J61" s="29">
        <f t="shared" si="63"/>
      </c>
      <c r="K61" s="28">
        <f t="shared" si="77"/>
      </c>
      <c r="L61" s="30">
        <f t="shared" si="21"/>
      </c>
      <c r="M61" s="31">
        <f t="shared" si="91"/>
      </c>
      <c r="N61" s="31">
        <f t="shared" si="35"/>
      </c>
      <c r="O61" s="32" t="s">
        <v>27</v>
      </c>
      <c r="P61" s="33" t="s">
        <v>28</v>
      </c>
      <c r="Q61" s="34">
        <v>5920</v>
      </c>
      <c r="R61" s="34">
        <v>54</v>
      </c>
      <c r="S61" s="34">
        <v>13</v>
      </c>
      <c r="T61" s="34">
        <v>0</v>
      </c>
    </row>
    <row r="62">
      <c r="A62" s="21"/>
      <c r="B62" s="22" t="s">
        <v>25</v>
      </c>
      <c r="C62" s="23" t="s">
        <v>31</v>
      </c>
      <c r="D62" s="24">
        <v>36.28</v>
      </c>
      <c r="E62" s="25">
        <v>0</v>
      </c>
      <c r="F62" s="25">
        <v>0</v>
      </c>
      <c r="G62" s="26">
        <v>0</v>
      </c>
      <c r="H62" s="27">
        <f t="shared" si="49"/>
      </c>
      <c r="I62" s="28">
        <f t="shared" si="7"/>
      </c>
      <c r="J62" s="29">
        <f t="shared" si="63"/>
      </c>
      <c r="K62" s="28">
        <f t="shared" si="77"/>
      </c>
      <c r="L62" s="30">
        <f t="shared" si="21"/>
      </c>
      <c r="M62" s="31">
        <f t="shared" si="91"/>
      </c>
      <c r="N62" s="31">
        <f t="shared" si="35"/>
      </c>
      <c r="O62" s="32" t="s">
        <v>27</v>
      </c>
      <c r="P62" s="33" t="s">
        <v>28</v>
      </c>
      <c r="Q62" s="34">
        <v>6639</v>
      </c>
      <c r="R62" s="34">
        <v>57</v>
      </c>
      <c r="S62" s="34">
        <v>9</v>
      </c>
      <c r="T62" s="34">
        <v>0</v>
      </c>
    </row>
    <row r="63">
      <c r="A63" s="21"/>
      <c r="B63" s="35" t="s">
        <v>32</v>
      </c>
      <c r="C63" s="35"/>
      <c r="D63" s="36">
        <f>SUM(D59:D62)</f>
      </c>
      <c r="E63" s="37">
        <f>SUM(E59:E62)</f>
      </c>
      <c r="F63" s="37">
        <f>SUM(F59:F62)</f>
      </c>
      <c r="G63" s="38">
        <f>SUM(G59:G62)</f>
      </c>
      <c r="H63" s="39">
        <f t="shared" si="49"/>
      </c>
      <c r="I63" s="40">
        <f t="shared" si="7"/>
      </c>
      <c r="J63" s="41">
        <f t="shared" si="63"/>
      </c>
      <c r="K63" s="40">
        <f t="shared" si="77"/>
      </c>
      <c r="L63" s="42">
        <f t="shared" si="21"/>
      </c>
      <c r="M63" s="43">
        <f t="shared" si="91"/>
      </c>
      <c r="N63" s="43">
        <f t="shared" si="35"/>
      </c>
      <c r="O63" s="44"/>
      <c r="P63" s="44"/>
      <c r="Q63" s="45">
        <f>SUM(Q59:Q62)</f>
      </c>
      <c r="R63" s="45">
        <f>SUM(R59:R62)</f>
      </c>
      <c r="S63" s="45">
        <f>SUM(S59:S62)</f>
      </c>
      <c r="T63" s="45">
        <f>SUM(T59:T62)</f>
      </c>
    </row>
    <row r="64">
      <c r="A64" s="21"/>
      <c r="B64" s="46" t="s">
        <v>33</v>
      </c>
      <c r="C64" s="46"/>
      <c r="D64" s="47">
        <f>D63</f>
      </c>
      <c r="E64" s="48">
        <f>E63</f>
      </c>
      <c r="F64" s="48">
        <f>F63</f>
      </c>
      <c r="G64" s="47">
        <f>G63</f>
      </c>
      <c r="H64" s="49">
        <f t="shared" si="49"/>
      </c>
      <c r="I64" s="50">
        <f t="shared" si="7"/>
      </c>
      <c r="J64" s="49">
        <f t="shared" si="63"/>
      </c>
      <c r="K64" s="50">
        <f t="shared" si="77"/>
      </c>
      <c r="L64" s="51">
        <f t="shared" si="21"/>
      </c>
      <c r="M64" s="49">
        <f t="shared" si="91"/>
      </c>
      <c r="N64" s="49">
        <f t="shared" si="35"/>
      </c>
      <c r="O64" s="52"/>
      <c r="P64" s="52"/>
      <c r="Q64" s="48">
        <f>Q63</f>
      </c>
      <c r="R64" s="48">
        <f>R63</f>
      </c>
      <c r="S64" s="48">
        <f>S63</f>
      </c>
      <c r="T64" s="48">
        <f>T63</f>
      </c>
    </row>
    <row r="65">
      <c r="A65" s="1" t="s">
        <v>1</v>
      </c>
      <c r="B65" s="1"/>
      <c r="C65" s="1"/>
      <c r="D65" s="2" t="s">
        <v>2</v>
      </c>
      <c r="E65" s="2"/>
      <c r="F65" s="2"/>
      <c r="G65" s="2"/>
      <c r="H65" s="2"/>
      <c r="I65" s="3" t="s">
        <v>3</v>
      </c>
      <c r="J65" s="3"/>
      <c r="K65" s="3"/>
      <c r="L65" s="3"/>
      <c r="M65" s="3"/>
      <c r="N65" s="3"/>
      <c r="O65" s="4" t="s">
        <v>4</v>
      </c>
      <c r="P65" s="4"/>
      <c r="Q65" s="5"/>
      <c r="R65" s="5"/>
      <c r="S65" s="5"/>
      <c r="T65" s="5"/>
    </row>
    <row r="66">
      <c r="A66" s="6" t="s">
        <v>5</v>
      </c>
      <c r="B66" s="7" t="s">
        <v>6</v>
      </c>
      <c r="C66" s="7" t="s">
        <v>7</v>
      </c>
      <c r="D66" s="8" t="s">
        <v>8</v>
      </c>
      <c r="E66" s="9" t="s">
        <v>9</v>
      </c>
      <c r="F66" s="9" t="s">
        <v>10</v>
      </c>
      <c r="G66" s="10" t="s">
        <v>11</v>
      </c>
      <c r="H66" s="11" t="s">
        <v>12</v>
      </c>
      <c r="I66" s="12" t="s">
        <v>13</v>
      </c>
      <c r="J66" s="13" t="s">
        <v>14</v>
      </c>
      <c r="K66" s="14" t="s">
        <v>15</v>
      </c>
      <c r="L66" s="14" t="s">
        <v>16</v>
      </c>
      <c r="M66" s="15" t="s">
        <v>17</v>
      </c>
      <c r="N66" s="16" t="s">
        <v>18</v>
      </c>
      <c r="O66" s="17" t="s">
        <v>19</v>
      </c>
      <c r="P66" s="17" t="s">
        <v>20</v>
      </c>
      <c r="Q66" s="18" t="s">
        <v>21</v>
      </c>
      <c r="R66" s="18" t="s">
        <v>22</v>
      </c>
      <c r="S66" s="19" t="s">
        <v>23</v>
      </c>
      <c r="T66" s="20" t="s">
        <v>24</v>
      </c>
    </row>
    <row r="67">
      <c r="A67" s="21">
        <v>46308</v>
      </c>
      <c r="B67" s="22" t="s">
        <v>25</v>
      </c>
      <c r="C67" s="23" t="s">
        <v>26</v>
      </c>
      <c r="D67" s="24">
        <v>9.46</v>
      </c>
      <c r="E67" s="25">
        <v>0</v>
      </c>
      <c r="F67" s="25">
        <v>0</v>
      </c>
      <c r="G67" s="26">
        <v>0</v>
      </c>
      <c r="H67" s="27">
        <f t="shared" ref="H67:H72" si="50">G67/D67</f>
      </c>
      <c r="I67" s="28">
        <f t="shared" ref="I67:I72" si="8">R67/Q67</f>
      </c>
      <c r="J67" s="29">
        <f t="shared" ref="J67:J72" si="64">D67/S67</f>
      </c>
      <c r="K67" s="28">
        <f t="shared" ref="K67:K72" si="78">E67/T67</f>
      </c>
      <c r="L67" s="30">
        <f t="shared" ref="L67:L72" si="22">G67/E67</f>
      </c>
      <c r="M67" s="31">
        <f t="shared" ref="M67:M72" si="92">D67/E67</f>
      </c>
      <c r="N67" s="31">
        <f t="shared" ref="N67:N72" si="36">D67/E67</f>
      </c>
      <c r="O67" s="32" t="s">
        <v>27</v>
      </c>
      <c r="P67" s="33" t="s">
        <v>28</v>
      </c>
      <c r="Q67" s="34">
        <v>2937</v>
      </c>
      <c r="R67" s="34">
        <v>22</v>
      </c>
      <c r="S67" s="34">
        <v>7</v>
      </c>
      <c r="T67" s="34">
        <v>0</v>
      </c>
    </row>
    <row r="68">
      <c r="A68" s="21"/>
      <c r="B68" s="22" t="s">
        <v>25</v>
      </c>
      <c r="C68" s="23" t="s">
        <v>29</v>
      </c>
      <c r="D68" s="24">
        <v>60.63</v>
      </c>
      <c r="E68" s="25">
        <v>0</v>
      </c>
      <c r="F68" s="25">
        <v>0</v>
      </c>
      <c r="G68" s="26">
        <v>0</v>
      </c>
      <c r="H68" s="27">
        <f t="shared" si="50"/>
      </c>
      <c r="I68" s="28">
        <f t="shared" si="8"/>
      </c>
      <c r="J68" s="29">
        <f t="shared" si="64"/>
      </c>
      <c r="K68" s="28">
        <f t="shared" si="78"/>
      </c>
      <c r="L68" s="30">
        <f t="shared" si="22"/>
      </c>
      <c r="M68" s="31">
        <f t="shared" si="92"/>
      </c>
      <c r="N68" s="31">
        <f t="shared" si="36"/>
      </c>
      <c r="O68" s="32" t="s">
        <v>27</v>
      </c>
      <c r="P68" s="33" t="s">
        <v>28</v>
      </c>
      <c r="Q68" s="34">
        <v>3345</v>
      </c>
      <c r="R68" s="34">
        <v>30</v>
      </c>
      <c r="S68" s="34">
        <v>6</v>
      </c>
      <c r="T68" s="34">
        <v>0</v>
      </c>
    </row>
    <row r="69">
      <c r="A69" s="21"/>
      <c r="B69" s="22" t="s">
        <v>25</v>
      </c>
      <c r="C69" s="23" t="s">
        <v>30</v>
      </c>
      <c r="D69" s="24">
        <v>36.44</v>
      </c>
      <c r="E69" s="25">
        <v>0</v>
      </c>
      <c r="F69" s="25">
        <v>0</v>
      </c>
      <c r="G69" s="26">
        <v>0</v>
      </c>
      <c r="H69" s="27">
        <f t="shared" si="50"/>
      </c>
      <c r="I69" s="28">
        <f t="shared" si="8"/>
      </c>
      <c r="J69" s="29">
        <f t="shared" si="64"/>
      </c>
      <c r="K69" s="28">
        <f t="shared" si="78"/>
      </c>
      <c r="L69" s="30">
        <f t="shared" si="22"/>
      </c>
      <c r="M69" s="31">
        <f t="shared" si="92"/>
      </c>
      <c r="N69" s="31">
        <f t="shared" si="36"/>
      </c>
      <c r="O69" s="32" t="s">
        <v>27</v>
      </c>
      <c r="P69" s="33" t="s">
        <v>28</v>
      </c>
      <c r="Q69" s="34">
        <v>3438</v>
      </c>
      <c r="R69" s="34">
        <v>30</v>
      </c>
      <c r="S69" s="34">
        <v>0</v>
      </c>
      <c r="T69" s="34">
        <v>0</v>
      </c>
    </row>
    <row r="70">
      <c r="A70" s="21"/>
      <c r="B70" s="22" t="s">
        <v>25</v>
      </c>
      <c r="C70" s="23" t="s">
        <v>31</v>
      </c>
      <c r="D70" s="24">
        <v>44.47</v>
      </c>
      <c r="E70" s="25">
        <v>0</v>
      </c>
      <c r="F70" s="25">
        <v>0</v>
      </c>
      <c r="G70" s="26">
        <v>0</v>
      </c>
      <c r="H70" s="27">
        <f t="shared" si="50"/>
      </c>
      <c r="I70" s="28">
        <f t="shared" si="8"/>
      </c>
      <c r="J70" s="29">
        <f t="shared" si="64"/>
      </c>
      <c r="K70" s="28">
        <f t="shared" si="78"/>
      </c>
      <c r="L70" s="30">
        <f t="shared" si="22"/>
      </c>
      <c r="M70" s="31">
        <f t="shared" si="92"/>
      </c>
      <c r="N70" s="31">
        <f t="shared" si="36"/>
      </c>
      <c r="O70" s="32" t="s">
        <v>27</v>
      </c>
      <c r="P70" s="33" t="s">
        <v>28</v>
      </c>
      <c r="Q70" s="34">
        <v>4033</v>
      </c>
      <c r="R70" s="34">
        <v>30</v>
      </c>
      <c r="S70" s="34">
        <v>0</v>
      </c>
      <c r="T70" s="34">
        <v>0</v>
      </c>
    </row>
    <row r="71">
      <c r="A71" s="21"/>
      <c r="B71" s="35" t="s">
        <v>32</v>
      </c>
      <c r="C71" s="35"/>
      <c r="D71" s="36">
        <f>SUM(D67:D70)</f>
      </c>
      <c r="E71" s="37">
        <f>SUM(E67:E70)</f>
      </c>
      <c r="F71" s="37">
        <f>SUM(F67:F70)</f>
      </c>
      <c r="G71" s="38">
        <f>SUM(G67:G70)</f>
      </c>
      <c r="H71" s="39">
        <f t="shared" si="50"/>
      </c>
      <c r="I71" s="40">
        <f t="shared" si="8"/>
      </c>
      <c r="J71" s="41">
        <f t="shared" si="64"/>
      </c>
      <c r="K71" s="40">
        <f t="shared" si="78"/>
      </c>
      <c r="L71" s="42">
        <f t="shared" si="22"/>
      </c>
      <c r="M71" s="43">
        <f t="shared" si="92"/>
      </c>
      <c r="N71" s="43">
        <f t="shared" si="36"/>
      </c>
      <c r="O71" s="44"/>
      <c r="P71" s="44"/>
      <c r="Q71" s="45">
        <f>SUM(Q67:Q70)</f>
      </c>
      <c r="R71" s="45">
        <f>SUM(R67:R70)</f>
      </c>
      <c r="S71" s="45">
        <f>SUM(S67:S70)</f>
      </c>
      <c r="T71" s="45">
        <f>SUM(T67:T70)</f>
      </c>
    </row>
    <row r="72">
      <c r="A72" s="21"/>
      <c r="B72" s="46" t="s">
        <v>33</v>
      </c>
      <c r="C72" s="46"/>
      <c r="D72" s="47">
        <f>D71</f>
      </c>
      <c r="E72" s="48">
        <f>E71</f>
      </c>
      <c r="F72" s="48">
        <f>F71</f>
      </c>
      <c r="G72" s="47">
        <f>G71</f>
      </c>
      <c r="H72" s="49">
        <f t="shared" si="50"/>
      </c>
      <c r="I72" s="50">
        <f t="shared" si="8"/>
      </c>
      <c r="J72" s="49">
        <f t="shared" si="64"/>
      </c>
      <c r="K72" s="50">
        <f t="shared" si="78"/>
      </c>
      <c r="L72" s="51">
        <f t="shared" si="22"/>
      </c>
      <c r="M72" s="49">
        <f t="shared" si="92"/>
      </c>
      <c r="N72" s="49">
        <f t="shared" si="36"/>
      </c>
      <c r="O72" s="52"/>
      <c r="P72" s="52"/>
      <c r="Q72" s="48">
        <f>Q71</f>
      </c>
      <c r="R72" s="48">
        <f>R71</f>
      </c>
      <c r="S72" s="48">
        <f>S71</f>
      </c>
      <c r="T72" s="48">
        <f>T71</f>
      </c>
    </row>
    <row r="73">
      <c r="A73" s="1" t="s">
        <v>1</v>
      </c>
      <c r="B73" s="1"/>
      <c r="C73" s="1"/>
      <c r="D73" s="2" t="s">
        <v>2</v>
      </c>
      <c r="E73" s="2"/>
      <c r="F73" s="2"/>
      <c r="G73" s="2"/>
      <c r="H73" s="2"/>
      <c r="I73" s="3" t="s">
        <v>3</v>
      </c>
      <c r="J73" s="3"/>
      <c r="K73" s="3"/>
      <c r="L73" s="3"/>
      <c r="M73" s="3"/>
      <c r="N73" s="3"/>
      <c r="O73" s="4" t="s">
        <v>4</v>
      </c>
      <c r="P73" s="4"/>
      <c r="Q73" s="5"/>
      <c r="R73" s="5"/>
      <c r="S73" s="5"/>
      <c r="T73" s="5"/>
    </row>
    <row r="74">
      <c r="A74" s="6" t="s">
        <v>5</v>
      </c>
      <c r="B74" s="7" t="s">
        <v>6</v>
      </c>
      <c r="C74" s="7" t="s">
        <v>7</v>
      </c>
      <c r="D74" s="8" t="s">
        <v>8</v>
      </c>
      <c r="E74" s="9" t="s">
        <v>9</v>
      </c>
      <c r="F74" s="9" t="s">
        <v>10</v>
      </c>
      <c r="G74" s="10" t="s">
        <v>11</v>
      </c>
      <c r="H74" s="11" t="s">
        <v>12</v>
      </c>
      <c r="I74" s="12" t="s">
        <v>13</v>
      </c>
      <c r="J74" s="13" t="s">
        <v>14</v>
      </c>
      <c r="K74" s="14" t="s">
        <v>15</v>
      </c>
      <c r="L74" s="14" t="s">
        <v>16</v>
      </c>
      <c r="M74" s="15" t="s">
        <v>17</v>
      </c>
      <c r="N74" s="16" t="s">
        <v>18</v>
      </c>
      <c r="O74" s="17" t="s">
        <v>19</v>
      </c>
      <c r="P74" s="17" t="s">
        <v>20</v>
      </c>
      <c r="Q74" s="18" t="s">
        <v>21</v>
      </c>
      <c r="R74" s="18" t="s">
        <v>22</v>
      </c>
      <c r="S74" s="19" t="s">
        <v>23</v>
      </c>
      <c r="T74" s="20" t="s">
        <v>24</v>
      </c>
    </row>
    <row r="75">
      <c r="A75" s="21">
        <v>46309</v>
      </c>
      <c r="B75" s="22" t="s">
        <v>25</v>
      </c>
      <c r="C75" s="23" t="s">
        <v>26</v>
      </c>
      <c r="D75" s="24">
        <v>82.57</v>
      </c>
      <c r="E75" s="25">
        <v>0</v>
      </c>
      <c r="F75" s="25">
        <v>0</v>
      </c>
      <c r="G75" s="26">
        <v>0</v>
      </c>
      <c r="H75" s="27">
        <f t="shared" ref="H75:H80" si="51">G75/D75</f>
      </c>
      <c r="I75" s="28">
        <f t="shared" ref="I75:I80" si="9">R75/Q75</f>
      </c>
      <c r="J75" s="29">
        <f t="shared" ref="J75:J80" si="65">D75/S75</f>
      </c>
      <c r="K75" s="28">
        <f t="shared" ref="K75:K80" si="79">E75/T75</f>
      </c>
      <c r="L75" s="30">
        <f t="shared" ref="L75:L80" si="23">G75/E75</f>
      </c>
      <c r="M75" s="31">
        <f t="shared" ref="M75:M80" si="93">D75/E75</f>
      </c>
      <c r="N75" s="31">
        <f t="shared" ref="N75:N80" si="37">D75/E75</f>
      </c>
      <c r="O75" s="32" t="s">
        <v>27</v>
      </c>
      <c r="P75" s="33" t="s">
        <v>28</v>
      </c>
      <c r="Q75" s="34">
        <v>5975</v>
      </c>
      <c r="R75" s="34">
        <v>51</v>
      </c>
      <c r="S75" s="34">
        <v>10</v>
      </c>
      <c r="T75" s="34">
        <v>0</v>
      </c>
    </row>
    <row r="76">
      <c r="A76" s="21"/>
      <c r="B76" s="22" t="s">
        <v>25</v>
      </c>
      <c r="C76" s="23" t="s">
        <v>29</v>
      </c>
      <c r="D76" s="24">
        <v>109.54000000000002</v>
      </c>
      <c r="E76" s="25">
        <v>0</v>
      </c>
      <c r="F76" s="25">
        <v>0</v>
      </c>
      <c r="G76" s="26">
        <v>0</v>
      </c>
      <c r="H76" s="27">
        <f t="shared" si="51"/>
      </c>
      <c r="I76" s="28">
        <f t="shared" si="9"/>
      </c>
      <c r="J76" s="29">
        <f t="shared" si="65"/>
      </c>
      <c r="K76" s="28">
        <f t="shared" si="79"/>
      </c>
      <c r="L76" s="30">
        <f t="shared" si="23"/>
      </c>
      <c r="M76" s="31">
        <f t="shared" si="93"/>
      </c>
      <c r="N76" s="31">
        <f t="shared" si="37"/>
      </c>
      <c r="O76" s="32" t="s">
        <v>27</v>
      </c>
      <c r="P76" s="33" t="s">
        <v>28</v>
      </c>
      <c r="Q76" s="34">
        <v>6187</v>
      </c>
      <c r="R76" s="34">
        <v>52</v>
      </c>
      <c r="S76" s="34">
        <v>9</v>
      </c>
      <c r="T76" s="34">
        <v>0</v>
      </c>
    </row>
    <row r="77">
      <c r="A77" s="21"/>
      <c r="B77" s="22" t="s">
        <v>25</v>
      </c>
      <c r="C77" s="23" t="s">
        <v>30</v>
      </c>
      <c r="D77" s="24">
        <v>46.309999999999974</v>
      </c>
      <c r="E77" s="25">
        <v>0</v>
      </c>
      <c r="F77" s="25">
        <v>0</v>
      </c>
      <c r="G77" s="26">
        <v>0</v>
      </c>
      <c r="H77" s="27">
        <f t="shared" si="51"/>
      </c>
      <c r="I77" s="28">
        <f t="shared" si="9"/>
      </c>
      <c r="J77" s="29">
        <f t="shared" si="65"/>
      </c>
      <c r="K77" s="28">
        <f t="shared" si="79"/>
      </c>
      <c r="L77" s="30">
        <f t="shared" si="23"/>
      </c>
      <c r="M77" s="31">
        <f t="shared" si="93"/>
      </c>
      <c r="N77" s="31">
        <f t="shared" si="37"/>
      </c>
      <c r="O77" s="32" t="s">
        <v>27</v>
      </c>
      <c r="P77" s="33" t="s">
        <v>28</v>
      </c>
      <c r="Q77" s="34">
        <v>7511</v>
      </c>
      <c r="R77" s="34">
        <v>45</v>
      </c>
      <c r="S77" s="34">
        <v>0</v>
      </c>
      <c r="T77" s="34">
        <v>0</v>
      </c>
    </row>
    <row r="78">
      <c r="A78" s="21"/>
      <c r="B78" s="22" t="s">
        <v>25</v>
      </c>
      <c r="C78" s="23" t="s">
        <v>31</v>
      </c>
      <c r="D78" s="24">
        <v>61.23</v>
      </c>
      <c r="E78" s="25">
        <v>0</v>
      </c>
      <c r="F78" s="25">
        <v>0</v>
      </c>
      <c r="G78" s="26">
        <v>0</v>
      </c>
      <c r="H78" s="27">
        <f t="shared" si="51"/>
      </c>
      <c r="I78" s="28">
        <f t="shared" si="9"/>
      </c>
      <c r="J78" s="29">
        <f t="shared" si="65"/>
      </c>
      <c r="K78" s="28">
        <f t="shared" si="79"/>
      </c>
      <c r="L78" s="30">
        <f t="shared" si="23"/>
      </c>
      <c r="M78" s="31">
        <f t="shared" si="93"/>
      </c>
      <c r="N78" s="31">
        <f t="shared" si="37"/>
      </c>
      <c r="O78" s="32" t="s">
        <v>27</v>
      </c>
      <c r="P78" s="33" t="s">
        <v>28</v>
      </c>
      <c r="Q78" s="34">
        <v>6148</v>
      </c>
      <c r="R78" s="34">
        <v>56</v>
      </c>
      <c r="S78" s="34">
        <v>13</v>
      </c>
      <c r="T78" s="34">
        <v>0</v>
      </c>
    </row>
    <row r="79">
      <c r="A79" s="21"/>
      <c r="B79" s="35" t="s">
        <v>32</v>
      </c>
      <c r="C79" s="35"/>
      <c r="D79" s="36">
        <f>SUM(D75:D78)</f>
      </c>
      <c r="E79" s="37">
        <f>SUM(E75:E78)</f>
      </c>
      <c r="F79" s="37">
        <f>SUM(F75:F78)</f>
      </c>
      <c r="G79" s="38">
        <f>SUM(G75:G78)</f>
      </c>
      <c r="H79" s="39">
        <f t="shared" si="51"/>
      </c>
      <c r="I79" s="40">
        <f t="shared" si="9"/>
      </c>
      <c r="J79" s="41">
        <f t="shared" si="65"/>
      </c>
      <c r="K79" s="40">
        <f t="shared" si="79"/>
      </c>
      <c r="L79" s="42">
        <f t="shared" si="23"/>
      </c>
      <c r="M79" s="43">
        <f t="shared" si="93"/>
      </c>
      <c r="N79" s="43">
        <f t="shared" si="37"/>
      </c>
      <c r="O79" s="44"/>
      <c r="P79" s="44"/>
      <c r="Q79" s="45">
        <f>SUM(Q75:Q78)</f>
      </c>
      <c r="R79" s="45">
        <f>SUM(R75:R78)</f>
      </c>
      <c r="S79" s="45">
        <f>SUM(S75:S78)</f>
      </c>
      <c r="T79" s="45">
        <f>SUM(T75:T78)</f>
      </c>
    </row>
    <row r="80">
      <c r="A80" s="21"/>
      <c r="B80" s="46" t="s">
        <v>33</v>
      </c>
      <c r="C80" s="46"/>
      <c r="D80" s="47">
        <f>D79</f>
      </c>
      <c r="E80" s="48">
        <f>E79</f>
      </c>
      <c r="F80" s="48">
        <f>F79</f>
      </c>
      <c r="G80" s="47">
        <f>G79</f>
      </c>
      <c r="H80" s="49">
        <f t="shared" si="51"/>
      </c>
      <c r="I80" s="50">
        <f t="shared" si="9"/>
      </c>
      <c r="J80" s="49">
        <f t="shared" si="65"/>
      </c>
      <c r="K80" s="50">
        <f t="shared" si="79"/>
      </c>
      <c r="L80" s="51">
        <f t="shared" si="23"/>
      </c>
      <c r="M80" s="49">
        <f t="shared" si="93"/>
      </c>
      <c r="N80" s="49">
        <f t="shared" si="37"/>
      </c>
      <c r="O80" s="52"/>
      <c r="P80" s="52"/>
      <c r="Q80" s="48">
        <f>Q79</f>
      </c>
      <c r="R80" s="48">
        <f>R79</f>
      </c>
      <c r="S80" s="48">
        <f>S79</f>
      </c>
      <c r="T80" s="48">
        <f>T79</f>
      </c>
    </row>
    <row r="81">
      <c r="A81" s="1" t="s">
        <v>1</v>
      </c>
      <c r="B81" s="1"/>
      <c r="C81" s="1"/>
      <c r="D81" s="2" t="s">
        <v>2</v>
      </c>
      <c r="E81" s="2"/>
      <c r="F81" s="2"/>
      <c r="G81" s="2"/>
      <c r="H81" s="2"/>
      <c r="I81" s="3" t="s">
        <v>3</v>
      </c>
      <c r="J81" s="3"/>
      <c r="K81" s="3"/>
      <c r="L81" s="3"/>
      <c r="M81" s="3"/>
      <c r="N81" s="3"/>
      <c r="O81" s="4" t="s">
        <v>4</v>
      </c>
      <c r="P81" s="4"/>
      <c r="Q81" s="5"/>
      <c r="R81" s="5"/>
      <c r="S81" s="5"/>
      <c r="T81" s="5"/>
    </row>
    <row r="82">
      <c r="A82" s="6" t="s">
        <v>5</v>
      </c>
      <c r="B82" s="7" t="s">
        <v>6</v>
      </c>
      <c r="C82" s="7" t="s">
        <v>7</v>
      </c>
      <c r="D82" s="8" t="s">
        <v>8</v>
      </c>
      <c r="E82" s="9" t="s">
        <v>9</v>
      </c>
      <c r="F82" s="9" t="s">
        <v>10</v>
      </c>
      <c r="G82" s="10" t="s">
        <v>11</v>
      </c>
      <c r="H82" s="11" t="s">
        <v>12</v>
      </c>
      <c r="I82" s="12" t="s">
        <v>13</v>
      </c>
      <c r="J82" s="13" t="s">
        <v>14</v>
      </c>
      <c r="K82" s="14" t="s">
        <v>15</v>
      </c>
      <c r="L82" s="14" t="s">
        <v>16</v>
      </c>
      <c r="M82" s="15" t="s">
        <v>17</v>
      </c>
      <c r="N82" s="16" t="s">
        <v>18</v>
      </c>
      <c r="O82" s="17" t="s">
        <v>19</v>
      </c>
      <c r="P82" s="17" t="s">
        <v>20</v>
      </c>
      <c r="Q82" s="18" t="s">
        <v>21</v>
      </c>
      <c r="R82" s="18" t="s">
        <v>22</v>
      </c>
      <c r="S82" s="19" t="s">
        <v>23</v>
      </c>
      <c r="T82" s="20" t="s">
        <v>24</v>
      </c>
    </row>
    <row r="83">
      <c r="A83" s="21">
        <v>46310</v>
      </c>
      <c r="B83" s="22" t="s">
        <v>25</v>
      </c>
      <c r="C83" s="23" t="s">
        <v>26</v>
      </c>
      <c r="D83" s="24">
        <v>30.8</v>
      </c>
      <c r="E83" s="25">
        <v>0</v>
      </c>
      <c r="F83" s="25">
        <v>0</v>
      </c>
      <c r="G83" s="26">
        <v>0</v>
      </c>
      <c r="H83" s="27">
        <f t="shared" ref="H83:H88" si="52">G83/D83</f>
      </c>
      <c r="I83" s="28">
        <f t="shared" ref="I83:I88" si="10">R83/Q83</f>
      </c>
      <c r="J83" s="29">
        <f t="shared" ref="J83:J88" si="66">D83/S83</f>
      </c>
      <c r="K83" s="28">
        <f t="shared" ref="K83:K88" si="80">E83/T83</f>
      </c>
      <c r="L83" s="30">
        <f t="shared" ref="L83:L88" si="24">G83/E83</f>
      </c>
      <c r="M83" s="31">
        <f t="shared" ref="M83:M88" si="94">D83/E83</f>
      </c>
      <c r="N83" s="31">
        <f t="shared" ref="N83:N88" si="38">D83/E83</f>
      </c>
      <c r="O83" s="32" t="s">
        <v>27</v>
      </c>
      <c r="P83" s="33" t="s">
        <v>36</v>
      </c>
      <c r="Q83" s="34">
        <v>269</v>
      </c>
      <c r="R83" s="34">
        <v>1</v>
      </c>
      <c r="S83" s="34">
        <v>1</v>
      </c>
      <c r="T83" s="34">
        <v>0</v>
      </c>
    </row>
    <row r="84">
      <c r="A84" s="21"/>
      <c r="B84" s="22" t="s">
        <v>25</v>
      </c>
      <c r="C84" s="23" t="s">
        <v>29</v>
      </c>
      <c r="D84" s="24">
        <v>6.5</v>
      </c>
      <c r="E84" s="25">
        <v>0</v>
      </c>
      <c r="F84" s="25">
        <v>0</v>
      </c>
      <c r="G84" s="26">
        <v>0</v>
      </c>
      <c r="H84" s="27">
        <f t="shared" si="52"/>
      </c>
      <c r="I84" s="28">
        <f t="shared" si="10"/>
      </c>
      <c r="J84" s="29">
        <f t="shared" si="66"/>
      </c>
      <c r="K84" s="28">
        <f t="shared" si="80"/>
      </c>
      <c r="L84" s="30">
        <f t="shared" si="24"/>
      </c>
      <c r="M84" s="31">
        <f t="shared" si="94"/>
      </c>
      <c r="N84" s="31">
        <f t="shared" si="38"/>
      </c>
      <c r="O84" s="32" t="s">
        <v>27</v>
      </c>
      <c r="P84" s="33" t="s">
        <v>36</v>
      </c>
      <c r="Q84" s="34">
        <v>215</v>
      </c>
      <c r="R84" s="34">
        <v>3</v>
      </c>
      <c r="S84" s="34">
        <v>0</v>
      </c>
      <c r="T84" s="34">
        <v>0</v>
      </c>
    </row>
    <row r="85">
      <c r="A85" s="21"/>
      <c r="B85" s="22" t="s">
        <v>25</v>
      </c>
      <c r="C85" s="23" t="s">
        <v>30</v>
      </c>
      <c r="D85" s="24">
        <v>0.55</v>
      </c>
      <c r="E85" s="25">
        <v>0</v>
      </c>
      <c r="F85" s="25">
        <v>0</v>
      </c>
      <c r="G85" s="26">
        <v>0</v>
      </c>
      <c r="H85" s="27">
        <f t="shared" si="52"/>
      </c>
      <c r="I85" s="28">
        <f t="shared" si="10"/>
      </c>
      <c r="J85" s="29">
        <f t="shared" si="66"/>
      </c>
      <c r="K85" s="28">
        <f t="shared" si="80"/>
      </c>
      <c r="L85" s="30">
        <f t="shared" si="24"/>
      </c>
      <c r="M85" s="31">
        <f t="shared" si="94"/>
      </c>
      <c r="N85" s="31">
        <f t="shared" si="38"/>
      </c>
      <c r="O85" s="32" t="s">
        <v>27</v>
      </c>
      <c r="P85" s="33" t="s">
        <v>36</v>
      </c>
      <c r="Q85" s="34">
        <v>195</v>
      </c>
      <c r="R85" s="34">
        <v>0</v>
      </c>
      <c r="S85" s="34">
        <v>0</v>
      </c>
      <c r="T85" s="34">
        <v>0</v>
      </c>
    </row>
    <row r="86">
      <c r="A86" s="21"/>
      <c r="B86" s="22" t="s">
        <v>25</v>
      </c>
      <c r="C86" s="23" t="s">
        <v>31</v>
      </c>
      <c r="D86" s="24">
        <v>17.04</v>
      </c>
      <c r="E86" s="25">
        <v>0</v>
      </c>
      <c r="F86" s="25">
        <v>0</v>
      </c>
      <c r="G86" s="26">
        <v>0</v>
      </c>
      <c r="H86" s="27">
        <f t="shared" si="52"/>
      </c>
      <c r="I86" s="28">
        <f t="shared" si="10"/>
      </c>
      <c r="J86" s="29">
        <f t="shared" si="66"/>
      </c>
      <c r="K86" s="28">
        <f t="shared" si="80"/>
      </c>
      <c r="L86" s="30">
        <f t="shared" si="24"/>
      </c>
      <c r="M86" s="31">
        <f t="shared" si="94"/>
      </c>
      <c r="N86" s="31">
        <f t="shared" si="38"/>
      </c>
      <c r="O86" s="32" t="s">
        <v>27</v>
      </c>
      <c r="P86" s="33" t="s">
        <v>36</v>
      </c>
      <c r="Q86" s="34">
        <v>142</v>
      </c>
      <c r="R86" s="34">
        <v>1</v>
      </c>
      <c r="S86" s="34">
        <v>0</v>
      </c>
      <c r="T86" s="34">
        <v>0</v>
      </c>
    </row>
    <row r="87">
      <c r="A87" s="21"/>
      <c r="B87" s="35" t="s">
        <v>32</v>
      </c>
      <c r="C87" s="35"/>
      <c r="D87" s="36">
        <f>SUM(D83:D86)</f>
      </c>
      <c r="E87" s="37">
        <f>SUM(E83:E86)</f>
      </c>
      <c r="F87" s="37">
        <f>SUM(F83:F86)</f>
      </c>
      <c r="G87" s="38">
        <f>SUM(G83:G86)</f>
      </c>
      <c r="H87" s="39">
        <f t="shared" si="52"/>
      </c>
      <c r="I87" s="40">
        <f t="shared" si="10"/>
      </c>
      <c r="J87" s="41">
        <f t="shared" si="66"/>
      </c>
      <c r="K87" s="40">
        <f t="shared" si="80"/>
      </c>
      <c r="L87" s="42">
        <f t="shared" si="24"/>
      </c>
      <c r="M87" s="43">
        <f t="shared" si="94"/>
      </c>
      <c r="N87" s="43">
        <f t="shared" si="38"/>
      </c>
      <c r="O87" s="44"/>
      <c r="P87" s="44"/>
      <c r="Q87" s="45">
        <f>SUM(Q83:Q86)</f>
      </c>
      <c r="R87" s="45">
        <f>SUM(R83:R86)</f>
      </c>
      <c r="S87" s="45">
        <f>SUM(S83:S86)</f>
      </c>
      <c r="T87" s="45">
        <f>SUM(T83:T86)</f>
      </c>
    </row>
    <row r="88">
      <c r="A88" s="21"/>
      <c r="B88" s="46" t="s">
        <v>33</v>
      </c>
      <c r="C88" s="46"/>
      <c r="D88" s="47">
        <f>D87</f>
      </c>
      <c r="E88" s="48">
        <f>E87</f>
      </c>
      <c r="F88" s="48">
        <f>F87</f>
      </c>
      <c r="G88" s="47">
        <f>G87</f>
      </c>
      <c r="H88" s="49">
        <f t="shared" si="52"/>
      </c>
      <c r="I88" s="50">
        <f t="shared" si="10"/>
      </c>
      <c r="J88" s="49">
        <f t="shared" si="66"/>
      </c>
      <c r="K88" s="50">
        <f t="shared" si="80"/>
      </c>
      <c r="L88" s="51">
        <f t="shared" si="24"/>
      </c>
      <c r="M88" s="49">
        <f t="shared" si="94"/>
      </c>
      <c r="N88" s="49">
        <f t="shared" si="38"/>
      </c>
      <c r="O88" s="52"/>
      <c r="P88" s="52"/>
      <c r="Q88" s="48">
        <f>Q87</f>
      </c>
      <c r="R88" s="48">
        <f>R87</f>
      </c>
      <c r="S88" s="48">
        <f>S87</f>
      </c>
      <c r="T88" s="48">
        <f>T87</f>
      </c>
    </row>
    <row r="89">
      <c r="A89" s="1" t="s">
        <v>1</v>
      </c>
      <c r="B89" s="1"/>
      <c r="C89" s="1"/>
      <c r="D89" s="2" t="s">
        <v>2</v>
      </c>
      <c r="E89" s="2"/>
      <c r="F89" s="2"/>
      <c r="G89" s="2"/>
      <c r="H89" s="2"/>
      <c r="I89" s="3" t="s">
        <v>3</v>
      </c>
      <c r="J89" s="3"/>
      <c r="K89" s="3"/>
      <c r="L89" s="3"/>
      <c r="M89" s="3"/>
      <c r="N89" s="3"/>
      <c r="O89" s="4" t="s">
        <v>4</v>
      </c>
      <c r="P89" s="4"/>
      <c r="Q89" s="5"/>
      <c r="R89" s="5"/>
      <c r="S89" s="5"/>
      <c r="T89" s="5"/>
    </row>
    <row r="90">
      <c r="A90" s="6" t="s">
        <v>5</v>
      </c>
      <c r="B90" s="7" t="s">
        <v>6</v>
      </c>
      <c r="C90" s="7" t="s">
        <v>7</v>
      </c>
      <c r="D90" s="8" t="s">
        <v>8</v>
      </c>
      <c r="E90" s="9" t="s">
        <v>9</v>
      </c>
      <c r="F90" s="9" t="s">
        <v>10</v>
      </c>
      <c r="G90" s="10" t="s">
        <v>11</v>
      </c>
      <c r="H90" s="11" t="s">
        <v>12</v>
      </c>
      <c r="I90" s="12" t="s">
        <v>13</v>
      </c>
      <c r="J90" s="13" t="s">
        <v>14</v>
      </c>
      <c r="K90" s="14" t="s">
        <v>15</v>
      </c>
      <c r="L90" s="14" t="s">
        <v>16</v>
      </c>
      <c r="M90" s="15" t="s">
        <v>17</v>
      </c>
      <c r="N90" s="16" t="s">
        <v>18</v>
      </c>
      <c r="O90" s="17" t="s">
        <v>19</v>
      </c>
      <c r="P90" s="17" t="s">
        <v>20</v>
      </c>
      <c r="Q90" s="18" t="s">
        <v>21</v>
      </c>
      <c r="R90" s="18" t="s">
        <v>22</v>
      </c>
      <c r="S90" s="19" t="s">
        <v>23</v>
      </c>
      <c r="T90" s="20" t="s">
        <v>24</v>
      </c>
    </row>
    <row r="91">
      <c r="A91" s="21">
        <v>46311</v>
      </c>
      <c r="B91" s="22" t="s">
        <v>25</v>
      </c>
      <c r="C91" s="23" t="s">
        <v>26</v>
      </c>
      <c r="D91" s="24">
        <v>2300.27</v>
      </c>
      <c r="E91" s="25">
        <v>1</v>
      </c>
      <c r="F91" s="25">
        <v>1</v>
      </c>
      <c r="G91" s="26">
        <v>798</v>
      </c>
      <c r="H91" s="27">
        <f t="shared" ref="H91:H96" si="53">G91/D91</f>
      </c>
      <c r="I91" s="28">
        <f t="shared" ref="I91:I96" si="11">R91/Q91</f>
      </c>
      <c r="J91" s="29">
        <f t="shared" ref="J91:J96" si="67">D91/S91</f>
      </c>
      <c r="K91" s="28">
        <f t="shared" ref="K91:K96" si="81">E91/T91</f>
      </c>
      <c r="L91" s="30">
        <f t="shared" ref="L91:L96" si="25">G91/E91</f>
      </c>
      <c r="M91" s="31">
        <f t="shared" ref="M91:M96" si="95">D91/E91</f>
      </c>
      <c r="N91" s="31">
        <f t="shared" ref="N91:N96" si="39">D91/E91</f>
      </c>
      <c r="O91" s="32" t="s">
        <v>27</v>
      </c>
      <c r="P91" s="33" t="s">
        <v>36</v>
      </c>
      <c r="Q91" s="34">
        <v>66062</v>
      </c>
      <c r="R91" s="34">
        <v>500</v>
      </c>
      <c r="S91" s="34">
        <v>82</v>
      </c>
      <c r="T91" s="34">
        <v>1</v>
      </c>
    </row>
    <row r="92">
      <c r="A92" s="21"/>
      <c r="B92" s="22" t="s">
        <v>25</v>
      </c>
      <c r="C92" s="23" t="s">
        <v>29</v>
      </c>
      <c r="D92" s="24">
        <v>703.4300000000003</v>
      </c>
      <c r="E92" s="25">
        <v>0</v>
      </c>
      <c r="F92" s="25">
        <v>0</v>
      </c>
      <c r="G92" s="26">
        <v>0</v>
      </c>
      <c r="H92" s="27">
        <f t="shared" si="53"/>
      </c>
      <c r="I92" s="28">
        <f t="shared" si="11"/>
      </c>
      <c r="J92" s="29">
        <f t="shared" si="67"/>
      </c>
      <c r="K92" s="28">
        <f t="shared" si="81"/>
      </c>
      <c r="L92" s="30">
        <f t="shared" si="25"/>
      </c>
      <c r="M92" s="31">
        <f t="shared" si="95"/>
      </c>
      <c r="N92" s="31">
        <f t="shared" si="39"/>
      </c>
      <c r="O92" s="32" t="s">
        <v>27</v>
      </c>
      <c r="P92" s="33" t="s">
        <v>36</v>
      </c>
      <c r="Q92" s="34">
        <v>6096</v>
      </c>
      <c r="R92" s="34">
        <v>26</v>
      </c>
      <c r="S92" s="34">
        <v>4</v>
      </c>
      <c r="T92" s="34">
        <v>0</v>
      </c>
    </row>
    <row r="93">
      <c r="A93" s="21"/>
      <c r="B93" s="22" t="s">
        <v>25</v>
      </c>
      <c r="C93" s="23" t="s">
        <v>30</v>
      </c>
      <c r="D93" s="24">
        <v>1.3999999999996362</v>
      </c>
      <c r="E93" s="25">
        <v>0</v>
      </c>
      <c r="F93" s="25">
        <v>0</v>
      </c>
      <c r="G93" s="26">
        <v>0</v>
      </c>
      <c r="H93" s="27">
        <f t="shared" si="53"/>
      </c>
      <c r="I93" s="28">
        <f t="shared" si="11"/>
      </c>
      <c r="J93" s="29">
        <f t="shared" si="67"/>
      </c>
      <c r="K93" s="28">
        <f t="shared" si="81"/>
      </c>
      <c r="L93" s="30">
        <f t="shared" si="25"/>
      </c>
      <c r="M93" s="31">
        <f t="shared" si="95"/>
      </c>
      <c r="N93" s="31">
        <f t="shared" si="39"/>
      </c>
      <c r="O93" s="32" t="s">
        <v>27</v>
      </c>
      <c r="P93" s="33" t="s">
        <v>36</v>
      </c>
      <c r="Q93" s="34">
        <v>62</v>
      </c>
      <c r="R93" s="34">
        <v>1</v>
      </c>
      <c r="S93" s="34">
        <v>2</v>
      </c>
      <c r="T93" s="34">
        <v>0</v>
      </c>
    </row>
    <row r="94">
      <c r="A94" s="21"/>
      <c r="B94" s="22" t="s">
        <v>25</v>
      </c>
      <c r="C94" s="23" t="s">
        <v>31</v>
      </c>
      <c r="D94" s="24">
        <v>32.08000000000038</v>
      </c>
      <c r="E94" s="25">
        <v>0</v>
      </c>
      <c r="F94" s="25">
        <v>0</v>
      </c>
      <c r="G94" s="26">
        <v>0</v>
      </c>
      <c r="H94" s="27">
        <f t="shared" si="53"/>
      </c>
      <c r="I94" s="28">
        <f t="shared" si="11"/>
      </c>
      <c r="J94" s="29">
        <f t="shared" si="67"/>
      </c>
      <c r="K94" s="28">
        <f t="shared" si="81"/>
      </c>
      <c r="L94" s="30">
        <f t="shared" si="25"/>
      </c>
      <c r="M94" s="31">
        <f t="shared" si="95"/>
      </c>
      <c r="N94" s="31">
        <f t="shared" si="39"/>
      </c>
      <c r="O94" s="32" t="s">
        <v>27</v>
      </c>
      <c r="P94" s="33" t="s">
        <v>36</v>
      </c>
      <c r="Q94" s="34">
        <v>580</v>
      </c>
      <c r="R94" s="34">
        <v>7</v>
      </c>
      <c r="S94" s="34">
        <v>2</v>
      </c>
      <c r="T94" s="34">
        <v>0</v>
      </c>
    </row>
    <row r="95">
      <c r="A95" s="21"/>
      <c r="B95" s="35" t="s">
        <v>32</v>
      </c>
      <c r="C95" s="35"/>
      <c r="D95" s="36">
        <f>SUM(D91:D94)</f>
      </c>
      <c r="E95" s="37">
        <f>SUM(E91:E94)</f>
      </c>
      <c r="F95" s="37">
        <f>SUM(F91:F94)</f>
      </c>
      <c r="G95" s="38">
        <f>SUM(G91:G94)</f>
      </c>
      <c r="H95" s="39">
        <f t="shared" si="53"/>
      </c>
      <c r="I95" s="40">
        <f t="shared" si="11"/>
      </c>
      <c r="J95" s="41">
        <f t="shared" si="67"/>
      </c>
      <c r="K95" s="40">
        <f t="shared" si="81"/>
      </c>
      <c r="L95" s="42">
        <f t="shared" si="25"/>
      </c>
      <c r="M95" s="43">
        <f t="shared" si="95"/>
      </c>
      <c r="N95" s="43">
        <f t="shared" si="39"/>
      </c>
      <c r="O95" s="44"/>
      <c r="P95" s="44"/>
      <c r="Q95" s="45">
        <f>SUM(Q91:Q94)</f>
      </c>
      <c r="R95" s="45">
        <f>SUM(R91:R94)</f>
      </c>
      <c r="S95" s="45">
        <f>SUM(S91:S94)</f>
      </c>
      <c r="T95" s="45">
        <f>SUM(T91:T94)</f>
      </c>
    </row>
    <row r="96">
      <c r="A96" s="21"/>
      <c r="B96" s="46" t="s">
        <v>33</v>
      </c>
      <c r="C96" s="46"/>
      <c r="D96" s="47">
        <f>D95</f>
      </c>
      <c r="E96" s="48">
        <f>E95</f>
      </c>
      <c r="F96" s="48">
        <f>F95</f>
      </c>
      <c r="G96" s="47">
        <f>G95</f>
      </c>
      <c r="H96" s="49">
        <f t="shared" si="53"/>
      </c>
      <c r="I96" s="50">
        <f t="shared" si="11"/>
      </c>
      <c r="J96" s="49">
        <f t="shared" si="67"/>
      </c>
      <c r="K96" s="50">
        <f t="shared" si="81"/>
      </c>
      <c r="L96" s="51">
        <f t="shared" si="25"/>
      </c>
      <c r="M96" s="49">
        <f t="shared" si="95"/>
      </c>
      <c r="N96" s="49">
        <f t="shared" si="39"/>
      </c>
      <c r="O96" s="52"/>
      <c r="P96" s="52"/>
      <c r="Q96" s="48">
        <f>Q95</f>
      </c>
      <c r="R96" s="48">
        <f>R95</f>
      </c>
      <c r="S96" s="48">
        <f>S95</f>
      </c>
      <c r="T96" s="48">
        <f>T95</f>
      </c>
    </row>
    <row r="97">
      <c r="A97" s="1" t="s">
        <v>1</v>
      </c>
      <c r="B97" s="1"/>
      <c r="C97" s="1"/>
      <c r="D97" s="2" t="s">
        <v>2</v>
      </c>
      <c r="E97" s="2"/>
      <c r="F97" s="2"/>
      <c r="G97" s="2"/>
      <c r="H97" s="2"/>
      <c r="I97" s="3" t="s">
        <v>3</v>
      </c>
      <c r="J97" s="3"/>
      <c r="K97" s="3"/>
      <c r="L97" s="3"/>
      <c r="M97" s="3"/>
      <c r="N97" s="3"/>
      <c r="O97" s="4" t="s">
        <v>4</v>
      </c>
      <c r="P97" s="4"/>
      <c r="Q97" s="5"/>
      <c r="R97" s="5"/>
      <c r="S97" s="5"/>
      <c r="T97" s="5"/>
    </row>
    <row r="98">
      <c r="A98" s="6" t="s">
        <v>5</v>
      </c>
      <c r="B98" s="7" t="s">
        <v>6</v>
      </c>
      <c r="C98" s="7" t="s">
        <v>7</v>
      </c>
      <c r="D98" s="8" t="s">
        <v>8</v>
      </c>
      <c r="E98" s="9" t="s">
        <v>9</v>
      </c>
      <c r="F98" s="9" t="s">
        <v>10</v>
      </c>
      <c r="G98" s="10" t="s">
        <v>11</v>
      </c>
      <c r="H98" s="11" t="s">
        <v>12</v>
      </c>
      <c r="I98" s="12" t="s">
        <v>13</v>
      </c>
      <c r="J98" s="13" t="s">
        <v>14</v>
      </c>
      <c r="K98" s="14" t="s">
        <v>15</v>
      </c>
      <c r="L98" s="14" t="s">
        <v>16</v>
      </c>
      <c r="M98" s="15" t="s">
        <v>17</v>
      </c>
      <c r="N98" s="16" t="s">
        <v>18</v>
      </c>
      <c r="O98" s="17" t="s">
        <v>19</v>
      </c>
      <c r="P98" s="17" t="s">
        <v>20</v>
      </c>
      <c r="Q98" s="18" t="s">
        <v>21</v>
      </c>
      <c r="R98" s="18" t="s">
        <v>22</v>
      </c>
      <c r="S98" s="19" t="s">
        <v>23</v>
      </c>
      <c r="T98" s="20" t="s">
        <v>24</v>
      </c>
    </row>
    <row r="99">
      <c r="A99" s="21">
        <v>46312</v>
      </c>
      <c r="B99" s="22" t="s">
        <v>25</v>
      </c>
      <c r="C99" s="23" t="s">
        <v>26</v>
      </c>
      <c r="D99" s="24">
        <v>1269.63</v>
      </c>
      <c r="E99" s="25">
        <v>0</v>
      </c>
      <c r="F99" s="25">
        <v>0</v>
      </c>
      <c r="G99" s="26">
        <v>0</v>
      </c>
      <c r="H99" s="27">
        <f t="shared" ref="H99:H104" si="54">G99/D99</f>
      </c>
      <c r="I99" s="28">
        <f t="shared" ref="I99:I104" si="12">R99/Q99</f>
      </c>
      <c r="J99" s="29">
        <f t="shared" ref="J99:J104" si="68">D99/S99</f>
      </c>
      <c r="K99" s="28">
        <f t="shared" ref="K99:K104" si="82">E99/T99</f>
      </c>
      <c r="L99" s="30">
        <f t="shared" ref="L99:L104" si="26">G99/E99</f>
      </c>
      <c r="M99" s="31">
        <f t="shared" ref="M99:M104" si="96">D99/E99</f>
      </c>
      <c r="N99" s="31">
        <f t="shared" ref="N99:N104" si="40">D99/E99</f>
      </c>
      <c r="O99" s="32" t="s">
        <v>27</v>
      </c>
      <c r="P99" s="33" t="s">
        <v>28</v>
      </c>
      <c r="Q99" s="34">
        <v>9529</v>
      </c>
      <c r="R99" s="34">
        <v>78</v>
      </c>
      <c r="S99" s="34">
        <v>0</v>
      </c>
      <c r="T99" s="34">
        <v>0</v>
      </c>
    </row>
    <row r="100">
      <c r="A100" s="21"/>
      <c r="B100" s="22" t="s">
        <v>25</v>
      </c>
      <c r="C100" s="23" t="s">
        <v>29</v>
      </c>
      <c r="D100" s="24">
        <v>112.25</v>
      </c>
      <c r="E100" s="25">
        <v>0</v>
      </c>
      <c r="F100" s="25">
        <v>0</v>
      </c>
      <c r="G100" s="26">
        <v>0</v>
      </c>
      <c r="H100" s="27">
        <f t="shared" si="54"/>
      </c>
      <c r="I100" s="28">
        <f t="shared" si="12"/>
      </c>
      <c r="J100" s="29">
        <f t="shared" si="68"/>
      </c>
      <c r="K100" s="28">
        <f t="shared" si="82"/>
      </c>
      <c r="L100" s="30">
        <f t="shared" si="26"/>
      </c>
      <c r="M100" s="31">
        <f t="shared" si="96"/>
      </c>
      <c r="N100" s="31">
        <f t="shared" si="40"/>
      </c>
      <c r="O100" s="32" t="s">
        <v>27</v>
      </c>
      <c r="P100" s="33" t="s">
        <v>28</v>
      </c>
      <c r="Q100" s="34">
        <v>1130</v>
      </c>
      <c r="R100" s="34">
        <v>16</v>
      </c>
      <c r="S100" s="34">
        <v>0</v>
      </c>
      <c r="T100" s="34">
        <v>0</v>
      </c>
    </row>
    <row r="101">
      <c r="A101" s="21"/>
      <c r="B101" s="22" t="s">
        <v>25</v>
      </c>
      <c r="C101" s="23" t="s">
        <v>30</v>
      </c>
      <c r="D101" s="24">
        <v>16.88</v>
      </c>
      <c r="E101" s="25">
        <v>1</v>
      </c>
      <c r="F101" s="25">
        <v>1</v>
      </c>
      <c r="G101" s="26">
        <v>798</v>
      </c>
      <c r="H101" s="27">
        <f t="shared" si="54"/>
      </c>
      <c r="I101" s="28">
        <f t="shared" si="12"/>
      </c>
      <c r="J101" s="29">
        <f t="shared" si="68"/>
      </c>
      <c r="K101" s="28">
        <f t="shared" si="82"/>
      </c>
      <c r="L101" s="30">
        <f t="shared" si="26"/>
      </c>
      <c r="M101" s="31">
        <f t="shared" si="96"/>
      </c>
      <c r="N101" s="31">
        <f t="shared" si="40"/>
      </c>
      <c r="O101" s="32" t="s">
        <v>27</v>
      </c>
      <c r="P101" s="33" t="s">
        <v>28</v>
      </c>
      <c r="Q101" s="34">
        <v>809</v>
      </c>
      <c r="R101" s="34">
        <v>23</v>
      </c>
      <c r="S101" s="34">
        <v>0</v>
      </c>
      <c r="T101" s="34">
        <v>1</v>
      </c>
    </row>
    <row r="102">
      <c r="A102" s="21"/>
      <c r="B102" s="22" t="s">
        <v>25</v>
      </c>
      <c r="C102" s="23" t="s">
        <v>31</v>
      </c>
      <c r="D102" s="24">
        <v>122.19999999999982</v>
      </c>
      <c r="E102" s="25">
        <v>0</v>
      </c>
      <c r="F102" s="25">
        <v>0</v>
      </c>
      <c r="G102" s="26">
        <v>0</v>
      </c>
      <c r="H102" s="27">
        <f t="shared" si="54"/>
      </c>
      <c r="I102" s="28">
        <f t="shared" si="12"/>
      </c>
      <c r="J102" s="29">
        <f t="shared" si="68"/>
      </c>
      <c r="K102" s="28">
        <f t="shared" si="82"/>
      </c>
      <c r="L102" s="30">
        <f t="shared" si="26"/>
      </c>
      <c r="M102" s="31">
        <f t="shared" si="96"/>
      </c>
      <c r="N102" s="31">
        <f t="shared" si="40"/>
      </c>
      <c r="O102" s="32" t="s">
        <v>27</v>
      </c>
      <c r="P102" s="33" t="s">
        <v>28</v>
      </c>
      <c r="Q102" s="34">
        <v>1206</v>
      </c>
      <c r="R102" s="34">
        <v>23</v>
      </c>
      <c r="S102" s="34">
        <v>1</v>
      </c>
      <c r="T102" s="34">
        <v>0</v>
      </c>
    </row>
    <row r="103">
      <c r="A103" s="21"/>
      <c r="B103" s="35" t="s">
        <v>32</v>
      </c>
      <c r="C103" s="35"/>
      <c r="D103" s="36">
        <f>SUM(D99:D102)</f>
      </c>
      <c r="E103" s="37">
        <f>SUM(E99:E102)</f>
      </c>
      <c r="F103" s="37">
        <f>SUM(F99:F102)</f>
      </c>
      <c r="G103" s="38">
        <f>SUM(G99:G102)</f>
      </c>
      <c r="H103" s="39">
        <f t="shared" si="54"/>
      </c>
      <c r="I103" s="40">
        <f t="shared" si="12"/>
      </c>
      <c r="J103" s="41">
        <f t="shared" si="68"/>
      </c>
      <c r="K103" s="40">
        <f t="shared" si="82"/>
      </c>
      <c r="L103" s="42">
        <f t="shared" si="26"/>
      </c>
      <c r="M103" s="43">
        <f t="shared" si="96"/>
      </c>
      <c r="N103" s="43">
        <f t="shared" si="40"/>
      </c>
      <c r="O103" s="44"/>
      <c r="P103" s="44"/>
      <c r="Q103" s="45">
        <f>SUM(Q99:Q102)</f>
      </c>
      <c r="R103" s="45">
        <f>SUM(R99:R102)</f>
      </c>
      <c r="S103" s="45">
        <f>SUM(S99:S102)</f>
      </c>
      <c r="T103" s="45">
        <f>SUM(T99:T102)</f>
      </c>
    </row>
    <row r="104">
      <c r="A104" s="21"/>
      <c r="B104" s="46" t="s">
        <v>33</v>
      </c>
      <c r="C104" s="46"/>
      <c r="D104" s="47">
        <f>D103</f>
      </c>
      <c r="E104" s="48">
        <f>E103</f>
      </c>
      <c r="F104" s="48">
        <f>F103</f>
      </c>
      <c r="G104" s="47">
        <f>G103</f>
      </c>
      <c r="H104" s="49">
        <f t="shared" si="54"/>
      </c>
      <c r="I104" s="50">
        <f t="shared" si="12"/>
      </c>
      <c r="J104" s="49">
        <f t="shared" si="68"/>
      </c>
      <c r="K104" s="50">
        <f t="shared" si="82"/>
      </c>
      <c r="L104" s="51">
        <f t="shared" si="26"/>
      </c>
      <c r="M104" s="49">
        <f t="shared" si="96"/>
      </c>
      <c r="N104" s="49">
        <f t="shared" si="40"/>
      </c>
      <c r="O104" s="52"/>
      <c r="P104" s="52"/>
      <c r="Q104" s="48">
        <f>Q103</f>
      </c>
      <c r="R104" s="48">
        <f>R103</f>
      </c>
      <c r="S104" s="48">
        <f>S103</f>
      </c>
      <c r="T104" s="48">
        <f>T103</f>
      </c>
    </row>
    <row r="105">
      <c r="A105" s="1" t="s">
        <v>1</v>
      </c>
      <c r="B105" s="1"/>
      <c r="C105" s="1"/>
      <c r="D105" s="2" t="s">
        <v>2</v>
      </c>
      <c r="E105" s="2"/>
      <c r="F105" s="2"/>
      <c r="G105" s="2"/>
      <c r="H105" s="2"/>
      <c r="I105" s="3" t="s">
        <v>3</v>
      </c>
      <c r="J105" s="3"/>
      <c r="K105" s="3"/>
      <c r="L105" s="3"/>
      <c r="M105" s="3"/>
      <c r="N105" s="3"/>
      <c r="O105" s="4" t="s">
        <v>4</v>
      </c>
      <c r="P105" s="4"/>
      <c r="Q105" s="5"/>
      <c r="R105" s="5"/>
      <c r="S105" s="5"/>
      <c r="T105" s="5"/>
    </row>
    <row r="106">
      <c r="A106" s="6" t="s">
        <v>5</v>
      </c>
      <c r="B106" s="7" t="s">
        <v>6</v>
      </c>
      <c r="C106" s="7" t="s">
        <v>7</v>
      </c>
      <c r="D106" s="8" t="s">
        <v>8</v>
      </c>
      <c r="E106" s="9" t="s">
        <v>9</v>
      </c>
      <c r="F106" s="9" t="s">
        <v>10</v>
      </c>
      <c r="G106" s="10" t="s">
        <v>11</v>
      </c>
      <c r="H106" s="11" t="s">
        <v>12</v>
      </c>
      <c r="I106" s="12" t="s">
        <v>13</v>
      </c>
      <c r="J106" s="13" t="s">
        <v>14</v>
      </c>
      <c r="K106" s="14" t="s">
        <v>15</v>
      </c>
      <c r="L106" s="14" t="s">
        <v>16</v>
      </c>
      <c r="M106" s="15" t="s">
        <v>17</v>
      </c>
      <c r="N106" s="16" t="s">
        <v>18</v>
      </c>
      <c r="O106" s="17" t="s">
        <v>19</v>
      </c>
      <c r="P106" s="17" t="s">
        <v>20</v>
      </c>
      <c r="Q106" s="18" t="s">
        <v>21</v>
      </c>
      <c r="R106" s="18" t="s">
        <v>22</v>
      </c>
      <c r="S106" s="19" t="s">
        <v>23</v>
      </c>
      <c r="T106" s="20" t="s">
        <v>24</v>
      </c>
    </row>
    <row r="107">
      <c r="A107" s="21">
        <v>46313</v>
      </c>
      <c r="B107" s="22" t="s">
        <v>25</v>
      </c>
      <c r="C107" s="23" t="s">
        <v>26</v>
      </c>
      <c r="D107" s="24">
        <v>73.08</v>
      </c>
      <c r="E107" s="25">
        <v>0</v>
      </c>
      <c r="F107" s="25">
        <v>0</v>
      </c>
      <c r="G107" s="26">
        <v>0</v>
      </c>
      <c r="H107" s="27">
        <f t="shared" ref="H107:H112" si="55">G107/D107</f>
      </c>
      <c r="I107" s="28">
        <f t="shared" ref="I107:I112" si="13">R107/Q107</f>
      </c>
      <c r="J107" s="29">
        <f t="shared" ref="J107:J112" si="69">D107/S107</f>
      </c>
      <c r="K107" s="28">
        <f t="shared" ref="K107:K112" si="83">E107/T107</f>
      </c>
      <c r="L107" s="30">
        <f t="shared" ref="L107:L112" si="27">G107/E107</f>
      </c>
      <c r="M107" s="31">
        <f t="shared" ref="M107:M112" si="97">D107/E107</f>
      </c>
      <c r="N107" s="31">
        <f t="shared" ref="N107:N112" si="41">D107/E107</f>
      </c>
      <c r="O107" s="32" t="s">
        <v>27</v>
      </c>
      <c r="P107" s="33" t="s">
        <v>28</v>
      </c>
      <c r="Q107" s="34">
        <v>4760</v>
      </c>
      <c r="R107" s="34">
        <v>121</v>
      </c>
      <c r="S107" s="34">
        <v>0</v>
      </c>
      <c r="T107" s="34">
        <v>0</v>
      </c>
    </row>
    <row r="108">
      <c r="A108" s="21"/>
      <c r="B108" s="22" t="s">
        <v>25</v>
      </c>
      <c r="C108" s="23" t="s">
        <v>29</v>
      </c>
      <c r="D108" s="24">
        <v>0.01</v>
      </c>
      <c r="E108" s="25">
        <v>0</v>
      </c>
      <c r="F108" s="25">
        <v>0</v>
      </c>
      <c r="G108" s="26">
        <v>0</v>
      </c>
      <c r="H108" s="27">
        <f t="shared" si="55"/>
      </c>
      <c r="I108" s="28">
        <f t="shared" si="13"/>
      </c>
      <c r="J108" s="29">
        <f t="shared" si="69"/>
      </c>
      <c r="K108" s="28">
        <f t="shared" si="83"/>
      </c>
      <c r="L108" s="30">
        <f t="shared" si="27"/>
      </c>
      <c r="M108" s="31">
        <f t="shared" si="97"/>
      </c>
      <c r="N108" s="31">
        <f t="shared" si="41"/>
      </c>
      <c r="O108" s="32" t="s">
        <v>27</v>
      </c>
      <c r="P108" s="33" t="s">
        <v>28</v>
      </c>
      <c r="Q108" s="34">
        <v>639</v>
      </c>
      <c r="R108" s="34">
        <v>18</v>
      </c>
      <c r="S108" s="34">
        <v>0</v>
      </c>
      <c r="T108" s="34">
        <v>0</v>
      </c>
    </row>
    <row r="109">
      <c r="A109" s="21"/>
      <c r="B109" s="22" t="s">
        <v>25</v>
      </c>
      <c r="C109" s="23" t="s">
        <v>30</v>
      </c>
      <c r="D109" s="24">
        <v>415.69</v>
      </c>
      <c r="E109" s="25">
        <v>0</v>
      </c>
      <c r="F109" s="25">
        <v>0</v>
      </c>
      <c r="G109" s="26">
        <v>0</v>
      </c>
      <c r="H109" s="27">
        <f t="shared" si="55"/>
      </c>
      <c r="I109" s="28">
        <f t="shared" si="13"/>
      </c>
      <c r="J109" s="29">
        <f t="shared" si="69"/>
      </c>
      <c r="K109" s="28">
        <f t="shared" si="83"/>
      </c>
      <c r="L109" s="30">
        <f t="shared" si="27"/>
      </c>
      <c r="M109" s="31">
        <f t="shared" si="97"/>
      </c>
      <c r="N109" s="31">
        <f t="shared" si="41"/>
      </c>
      <c r="O109" s="32" t="s">
        <v>27</v>
      </c>
      <c r="P109" s="33" t="s">
        <v>28</v>
      </c>
      <c r="Q109" s="53">
        <v>27945</v>
      </c>
      <c r="R109" s="53">
        <v>255</v>
      </c>
      <c r="S109" s="34">
        <v>0</v>
      </c>
      <c r="T109" s="34">
        <v>0</v>
      </c>
    </row>
    <row r="110">
      <c r="A110" s="21"/>
      <c r="B110" s="22" t="s">
        <v>25</v>
      </c>
      <c r="C110" s="23" t="s">
        <v>31</v>
      </c>
      <c r="D110" s="54">
        <v>0.8</v>
      </c>
      <c r="E110" s="55">
        <v>0</v>
      </c>
      <c r="F110" s="55">
        <v>0</v>
      </c>
      <c r="G110" s="56">
        <v>0</v>
      </c>
      <c r="H110" s="27">
        <f t="shared" si="55"/>
      </c>
      <c r="I110" s="28">
        <f t="shared" si="13"/>
      </c>
      <c r="J110" s="29">
        <f t="shared" si="69"/>
      </c>
      <c r="K110" s="28">
        <f t="shared" si="83"/>
      </c>
      <c r="L110" s="30">
        <f t="shared" si="27"/>
      </c>
      <c r="M110" s="31">
        <f t="shared" si="97"/>
      </c>
      <c r="N110" s="31">
        <f t="shared" si="41"/>
      </c>
      <c r="O110" s="32" t="s">
        <v>27</v>
      </c>
      <c r="P110" s="33" t="s">
        <v>28</v>
      </c>
      <c r="Q110" s="53">
        <v>906</v>
      </c>
      <c r="R110" s="53">
        <v>25</v>
      </c>
      <c r="S110" s="53">
        <v>0</v>
      </c>
      <c r="T110" s="53">
        <v>0</v>
      </c>
    </row>
    <row r="111">
      <c r="A111" s="21"/>
      <c r="B111" s="35" t="s">
        <v>32</v>
      </c>
      <c r="C111" s="35"/>
      <c r="D111" s="36">
        <f>SUM(D107:D110)</f>
      </c>
      <c r="E111" s="37">
        <f>SUM(E107:E110)</f>
      </c>
      <c r="F111" s="37">
        <f>SUM(F107:F110)</f>
      </c>
      <c r="G111" s="38">
        <f>SUM(G107:G110)</f>
      </c>
      <c r="H111" s="39">
        <f t="shared" si="55"/>
      </c>
      <c r="I111" s="40">
        <f t="shared" si="13"/>
      </c>
      <c r="J111" s="41">
        <f t="shared" si="69"/>
      </c>
      <c r="K111" s="40">
        <f t="shared" si="83"/>
      </c>
      <c r="L111" s="42">
        <f t="shared" si="27"/>
      </c>
      <c r="M111" s="43">
        <f t="shared" si="97"/>
      </c>
      <c r="N111" s="43">
        <f t="shared" si="41"/>
      </c>
      <c r="O111" s="44"/>
      <c r="P111" s="44"/>
      <c r="Q111" s="45">
        <f>SUM(Q107:Q110)</f>
      </c>
      <c r="R111" s="45">
        <f>SUM(R107:R110)</f>
      </c>
      <c r="S111" s="45">
        <f>SUM(S107:S110)</f>
      </c>
      <c r="T111" s="45">
        <f>SUM(T107:T110)</f>
      </c>
    </row>
    <row r="112">
      <c r="A112" s="21"/>
      <c r="B112" s="46" t="s">
        <v>33</v>
      </c>
      <c r="C112" s="46"/>
      <c r="D112" s="47">
        <f>D111</f>
      </c>
      <c r="E112" s="48">
        <f>E111</f>
      </c>
      <c r="F112" s="48">
        <f>F111</f>
      </c>
      <c r="G112" s="47">
        <f>G111</f>
      </c>
      <c r="H112" s="49">
        <f t="shared" si="55"/>
      </c>
      <c r="I112" s="50">
        <f t="shared" si="13"/>
      </c>
      <c r="J112" s="49">
        <f t="shared" si="69"/>
      </c>
      <c r="K112" s="50">
        <f t="shared" si="83"/>
      </c>
      <c r="L112" s="51">
        <f t="shared" si="27"/>
      </c>
      <c r="M112" s="49">
        <f t="shared" si="97"/>
      </c>
      <c r="N112" s="49">
        <f t="shared" si="41"/>
      </c>
      <c r="O112" s="52"/>
      <c r="P112" s="52"/>
      <c r="Q112" s="48">
        <f>Q111</f>
      </c>
      <c r="R112" s="48">
        <f>R111</f>
      </c>
      <c r="S112" s="48">
        <f>S111</f>
      </c>
      <c r="T112" s="48">
        <f>T111</f>
      </c>
    </row>
    <row r="113">
      <c r="D113" s="57">
        <f>D114-D112</f>
      </c>
      <c r="E113" s="58">
        <v>0</v>
      </c>
      <c r="F113" s="59">
        <f>F114-F112</f>
      </c>
      <c r="G113" s="59">
        <f>G114-G112</f>
      </c>
      <c r="Q113" s="57">
        <f>Q114-Q112</f>
      </c>
      <c r="R113" s="57">
        <f>R114-R112</f>
      </c>
      <c r="S113" s="57">
        <f>S114-S112</f>
      </c>
      <c r="T113" s="57">
        <f>T114-T112</f>
      </c>
    </row>
    <row r="114">
      <c r="D114" s="60">
        <v>489.58</v>
      </c>
      <c r="E114" s="61"/>
      <c r="F114" s="61"/>
      <c r="G114" s="62"/>
      <c r="Q114" s="63">
        <v>34250</v>
      </c>
      <c r="R114" s="64">
        <v>419</v>
      </c>
      <c r="S114" s="65">
        <v>0</v>
      </c>
      <c r="T114" s="65"/>
    </row>
    <row r="115"/>
    <row r="116">
      <c r="D116" s="66">
        <v>1475.33</v>
      </c>
      <c r="E116" s="67">
        <f>D116-D117</f>
      </c>
    </row>
    <row r="117">
      <c r="D117" s="66">
        <v>985.75</v>
      </c>
    </row>
  </sheetData>
  <mergeCells>
    <mergeCell ref="I1:N1"/>
    <mergeCell ref="D1:H1"/>
    <mergeCell ref="A1:C1"/>
    <mergeCell ref="O1:P1"/>
    <mergeCell ref="A3:A8"/>
    <mergeCell ref="B7:C7"/>
    <mergeCell ref="B8:C8"/>
    <mergeCell ref="I9:N9"/>
    <mergeCell ref="D9:H9"/>
    <mergeCell ref="A9:C9"/>
    <mergeCell ref="O9:P9"/>
    <mergeCell ref="A11:A16"/>
    <mergeCell ref="B15:C15"/>
    <mergeCell ref="B16:C16"/>
    <mergeCell ref="I17:N17"/>
    <mergeCell ref="D17:H17"/>
    <mergeCell ref="A17:C17"/>
    <mergeCell ref="O17:P17"/>
    <mergeCell ref="A19:A24"/>
    <mergeCell ref="B23:C23"/>
    <mergeCell ref="B24:C24"/>
    <mergeCell ref="I25:N25"/>
    <mergeCell ref="D25:H25"/>
    <mergeCell ref="A25:C25"/>
    <mergeCell ref="O25:P25"/>
    <mergeCell ref="A27:A32"/>
    <mergeCell ref="B31:C31"/>
    <mergeCell ref="B32:C32"/>
    <mergeCell ref="I33:N33"/>
    <mergeCell ref="D33:H33"/>
    <mergeCell ref="A33:C33"/>
    <mergeCell ref="O33:P33"/>
    <mergeCell ref="A35:A40"/>
    <mergeCell ref="B39:C39"/>
    <mergeCell ref="B40:C40"/>
    <mergeCell ref="I41:N41"/>
    <mergeCell ref="D41:H41"/>
    <mergeCell ref="A41:C41"/>
    <mergeCell ref="O41:P41"/>
    <mergeCell ref="A43:A48"/>
    <mergeCell ref="B47:C47"/>
    <mergeCell ref="B48:C48"/>
    <mergeCell ref="I49:N49"/>
    <mergeCell ref="D49:H49"/>
    <mergeCell ref="A49:C49"/>
    <mergeCell ref="O49:P49"/>
    <mergeCell ref="A51:A56"/>
    <mergeCell ref="B55:C55"/>
    <mergeCell ref="B56:C56"/>
    <mergeCell ref="I57:N57"/>
    <mergeCell ref="D57:H57"/>
    <mergeCell ref="A57:C57"/>
    <mergeCell ref="O57:P57"/>
    <mergeCell ref="A59:A64"/>
    <mergeCell ref="B63:C63"/>
    <mergeCell ref="B64:C64"/>
    <mergeCell ref="I65:N65"/>
    <mergeCell ref="D65:H65"/>
    <mergeCell ref="A65:C65"/>
    <mergeCell ref="O65:P65"/>
    <mergeCell ref="A67:A72"/>
    <mergeCell ref="B71:C71"/>
    <mergeCell ref="B72:C72"/>
    <mergeCell ref="I73:N73"/>
    <mergeCell ref="D73:H73"/>
    <mergeCell ref="A73:C73"/>
    <mergeCell ref="O73:P73"/>
    <mergeCell ref="A75:A80"/>
    <mergeCell ref="B79:C79"/>
    <mergeCell ref="B80:C80"/>
    <mergeCell ref="I81:N81"/>
    <mergeCell ref="D81:H81"/>
    <mergeCell ref="A81:C81"/>
    <mergeCell ref="O81:P81"/>
    <mergeCell ref="A83:A88"/>
    <mergeCell ref="B87:C87"/>
    <mergeCell ref="B88:C88"/>
    <mergeCell ref="I89:N89"/>
    <mergeCell ref="D89:H89"/>
    <mergeCell ref="A89:C89"/>
    <mergeCell ref="O89:P89"/>
    <mergeCell ref="A91:A96"/>
    <mergeCell ref="B95:C95"/>
    <mergeCell ref="B96:C96"/>
    <mergeCell ref="I97:N97"/>
    <mergeCell ref="D97:H97"/>
    <mergeCell ref="A97:C97"/>
    <mergeCell ref="O97:P97"/>
    <mergeCell ref="A99:A104"/>
    <mergeCell ref="B103:C103"/>
    <mergeCell ref="B104:C104"/>
    <mergeCell ref="I105:N105"/>
    <mergeCell ref="D105:H105"/>
    <mergeCell ref="A105:C105"/>
    <mergeCell ref="O105:P105"/>
    <mergeCell ref="A107:A112"/>
    <mergeCell ref="B111:C111"/>
    <mergeCell ref="B112:C11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1.211267605633802"/>
    <col collapsed="false" customWidth="true" hidden="false" max="10" min="10" style="0" width="14.47887323943662"/>
    <col collapsed="false" customWidth="true" hidden="false" max="14" min="14" style="0" width="11.211267605633802"/>
  </cols>
  <sheetData>
    <row r="1">
      <c r="A1" s="68" t="s">
        <v>37</v>
      </c>
      <c r="B1" s="68"/>
      <c r="C1" s="68"/>
      <c r="D1" s="69" t="s">
        <v>38</v>
      </c>
      <c r="E1" s="70"/>
      <c r="F1" s="70"/>
      <c r="G1" s="69"/>
      <c r="H1" s="70"/>
      <c r="I1" s="71" t="s">
        <v>39</v>
      </c>
      <c r="J1" s="71"/>
      <c r="K1" s="71"/>
      <c r="L1" s="71"/>
      <c r="M1" s="71"/>
      <c r="N1" s="71"/>
      <c r="O1" s="72" t="s">
        <v>40</v>
      </c>
      <c r="P1" s="73"/>
      <c r="Q1" s="74"/>
      <c r="R1" s="74"/>
      <c r="S1" s="74"/>
      <c r="T1" s="74"/>
    </row>
    <row r="2">
      <c r="A2" s="75" t="s">
        <v>41</v>
      </c>
      <c r="B2" s="76" t="s">
        <v>42</v>
      </c>
      <c r="C2" s="76" t="s">
        <v>43</v>
      </c>
      <c r="D2" s="77" t="s">
        <v>44</v>
      </c>
      <c r="E2" s="78" t="s">
        <v>45</v>
      </c>
      <c r="F2" s="78" t="s">
        <v>46</v>
      </c>
      <c r="G2" s="79" t="s">
        <v>47</v>
      </c>
      <c r="H2" s="80" t="s">
        <v>48</v>
      </c>
      <c r="I2" s="81" t="s">
        <v>49</v>
      </c>
      <c r="J2" s="82" t="s">
        <v>50</v>
      </c>
      <c r="K2" s="83" t="s">
        <v>51</v>
      </c>
      <c r="L2" s="83" t="s">
        <v>52</v>
      </c>
      <c r="M2" s="84" t="s">
        <v>53</v>
      </c>
      <c r="N2" s="85" t="s">
        <v>54</v>
      </c>
      <c r="O2" s="86" t="s">
        <v>55</v>
      </c>
      <c r="P2" s="86" t="s">
        <v>56</v>
      </c>
      <c r="Q2" s="87" t="s">
        <v>57</v>
      </c>
      <c r="R2" s="87" t="s">
        <v>58</v>
      </c>
      <c r="S2" s="88" t="s">
        <v>59</v>
      </c>
      <c r="T2" s="89" t="s">
        <v>60</v>
      </c>
    </row>
    <row r="3">
      <c r="A3" s="90">
        <v>46292</v>
      </c>
      <c r="B3" s="91" t="s">
        <v>61</v>
      </c>
      <c r="C3" s="92" t="s">
        <v>62</v>
      </c>
      <c r="D3" s="93">
        <v>0.63</v>
      </c>
      <c r="E3" s="94">
        <v>0</v>
      </c>
      <c r="F3" s="94">
        <v>0</v>
      </c>
      <c r="G3" s="95">
        <v>0</v>
      </c>
      <c r="H3" s="96">
        <f t="shared" ref="H3:H8" si="12">G3/D3</f>
      </c>
      <c r="I3" s="97">
        <f t="shared" ref="I3:I8" si="0">R3/Q3</f>
      </c>
      <c r="J3" s="98">
        <f t="shared" ref="J3:J8" si="16">D3/S3</f>
      </c>
      <c r="K3" s="97">
        <f t="shared" ref="K3:K8" si="20">E3/T3</f>
      </c>
      <c r="L3" s="99">
        <f t="shared" ref="L3:L8" si="4">G3/E3</f>
      </c>
      <c r="M3" s="100">
        <f t="shared" ref="M3:M8" si="24">D3/E3</f>
      </c>
      <c r="N3" s="100">
        <f t="shared" ref="N3:N8" si="8">D3/E3</f>
      </c>
      <c r="O3" s="101" t="s">
        <v>63</v>
      </c>
      <c r="P3" s="102" t="s">
        <v>64</v>
      </c>
      <c r="Q3" s="103">
        <v>94</v>
      </c>
      <c r="R3" s="103">
        <v>1</v>
      </c>
      <c r="S3" s="103">
        <v>0</v>
      </c>
      <c r="T3" s="103">
        <v>0</v>
      </c>
    </row>
    <row r="4">
      <c r="A4" s="104"/>
      <c r="B4" s="91" t="s">
        <v>61</v>
      </c>
      <c r="C4" s="92" t="s">
        <v>65</v>
      </c>
      <c r="D4" s="93">
        <v>1.95</v>
      </c>
      <c r="E4" s="94">
        <v>0</v>
      </c>
      <c r="F4" s="94">
        <v>0</v>
      </c>
      <c r="G4" s="95">
        <v>0</v>
      </c>
      <c r="H4" s="96">
        <f t="shared" si="12"/>
      </c>
      <c r="I4" s="97">
        <f t="shared" si="0"/>
      </c>
      <c r="J4" s="98">
        <f t="shared" si="16"/>
      </c>
      <c r="K4" s="97">
        <f t="shared" si="20"/>
      </c>
      <c r="L4" s="99">
        <f t="shared" si="4"/>
      </c>
      <c r="M4" s="100">
        <f t="shared" si="24"/>
      </c>
      <c r="N4" s="100">
        <f t="shared" si="8"/>
      </c>
      <c r="O4" s="101" t="s">
        <v>63</v>
      </c>
      <c r="P4" s="102" t="s">
        <v>64</v>
      </c>
      <c r="Q4" s="105">
        <v>209</v>
      </c>
      <c r="R4" s="105">
        <v>4</v>
      </c>
      <c r="S4" s="106">
        <v>0</v>
      </c>
      <c r="T4" s="103">
        <v>0</v>
      </c>
    </row>
    <row r="5">
      <c r="A5" s="104"/>
      <c r="B5" s="91" t="s">
        <v>61</v>
      </c>
      <c r="C5" s="92" t="s">
        <v>66</v>
      </c>
      <c r="D5" s="93">
        <v>2.38</v>
      </c>
      <c r="E5" s="107">
        <v>0</v>
      </c>
      <c r="F5" s="107">
        <v>0</v>
      </c>
      <c r="G5" s="108">
        <v>0</v>
      </c>
      <c r="H5" s="96">
        <f t="shared" si="12"/>
      </c>
      <c r="I5" s="97">
        <f t="shared" si="0"/>
      </c>
      <c r="J5" s="98">
        <f t="shared" si="16"/>
      </c>
      <c r="K5" s="97">
        <f t="shared" si="20"/>
      </c>
      <c r="L5" s="99">
        <f t="shared" si="4"/>
      </c>
      <c r="M5" s="100">
        <f t="shared" si="24"/>
      </c>
      <c r="N5" s="100">
        <f t="shared" si="8"/>
      </c>
      <c r="O5" s="101" t="s">
        <v>63</v>
      </c>
      <c r="P5" s="102" t="s">
        <v>64</v>
      </c>
      <c r="Q5" s="106">
        <v>240</v>
      </c>
      <c r="R5" s="106">
        <v>2</v>
      </c>
      <c r="S5" s="106">
        <v>0</v>
      </c>
      <c r="T5" s="106">
        <v>0</v>
      </c>
    </row>
    <row r="6">
      <c r="A6" s="104"/>
      <c r="B6" s="91" t="s">
        <v>61</v>
      </c>
      <c r="C6" s="92" t="s">
        <v>67</v>
      </c>
      <c r="D6" s="93">
        <v>4.17</v>
      </c>
      <c r="E6" s="94">
        <v>0</v>
      </c>
      <c r="F6" s="94">
        <v>0</v>
      </c>
      <c r="G6" s="95">
        <v>0</v>
      </c>
      <c r="H6" s="96">
        <f t="shared" si="12"/>
      </c>
      <c r="I6" s="97">
        <f t="shared" si="0"/>
      </c>
      <c r="J6" s="98">
        <f t="shared" si="16"/>
      </c>
      <c r="K6" s="97">
        <f t="shared" si="20"/>
      </c>
      <c r="L6" s="99">
        <f t="shared" si="4"/>
      </c>
      <c r="M6" s="100">
        <f t="shared" si="24"/>
      </c>
      <c r="N6" s="100">
        <f t="shared" si="8"/>
      </c>
      <c r="O6" s="101" t="s">
        <v>63</v>
      </c>
      <c r="P6" s="102" t="s">
        <v>64</v>
      </c>
      <c r="Q6" s="106">
        <v>232</v>
      </c>
      <c r="R6" s="106">
        <v>5</v>
      </c>
      <c r="S6" s="106">
        <v>0</v>
      </c>
      <c r="T6" s="103">
        <v>0</v>
      </c>
    </row>
    <row r="7">
      <c r="A7" s="104"/>
      <c r="B7" s="109" t="s">
        <v>68</v>
      </c>
      <c r="C7" s="109"/>
      <c r="D7" s="110">
        <f>SUM(D3:D6)</f>
      </c>
      <c r="E7" s="111">
        <f>SUM(E3:E6)</f>
      </c>
      <c r="F7" s="111">
        <f>SUM(F3:F6)</f>
      </c>
      <c r="G7" s="112">
        <f>SUM(G3:G6)</f>
      </c>
      <c r="H7" s="113">
        <f t="shared" si="12"/>
      </c>
      <c r="I7" s="114">
        <f t="shared" si="0"/>
      </c>
      <c r="J7" s="115">
        <f t="shared" si="16"/>
      </c>
      <c r="K7" s="114">
        <f t="shared" si="20"/>
      </c>
      <c r="L7" s="116">
        <f t="shared" si="4"/>
      </c>
      <c r="M7" s="117">
        <f t="shared" si="24"/>
      </c>
      <c r="N7" s="117">
        <f t="shared" si="8"/>
      </c>
      <c r="O7" s="118"/>
      <c r="P7" s="118"/>
      <c r="Q7" s="119">
        <f>SUM(Q3:Q6)</f>
      </c>
      <c r="R7" s="119">
        <f>SUM(R3:R6)</f>
      </c>
      <c r="S7" s="119">
        <f>SUM(S3:S6)</f>
      </c>
      <c r="T7" s="119">
        <f>SUM(T3:T6)</f>
      </c>
    </row>
    <row r="8">
      <c r="A8" s="104"/>
      <c r="B8" s="120" t="s">
        <v>69</v>
      </c>
      <c r="C8" s="120"/>
      <c r="D8" s="121">
        <f>D7</f>
      </c>
      <c r="E8" s="122">
        <f>E7</f>
      </c>
      <c r="F8" s="122">
        <f>F7</f>
      </c>
      <c r="G8" s="121">
        <f>G7</f>
      </c>
      <c r="H8" s="123">
        <f t="shared" si="12"/>
      </c>
      <c r="I8" s="124">
        <f t="shared" si="0"/>
      </c>
      <c r="J8" s="123">
        <f t="shared" si="16"/>
      </c>
      <c r="K8" s="124">
        <f t="shared" si="20"/>
      </c>
      <c r="L8" s="125">
        <f t="shared" si="4"/>
      </c>
      <c r="M8" s="123">
        <f t="shared" si="24"/>
      </c>
      <c r="N8" s="123">
        <f t="shared" si="8"/>
      </c>
      <c r="O8" s="126"/>
      <c r="P8" s="126"/>
      <c r="Q8" s="122">
        <f>Q7</f>
      </c>
      <c r="R8" s="122">
        <f>R7</f>
      </c>
      <c r="S8" s="122">
        <f>S7</f>
      </c>
      <c r="T8" s="122">
        <f>T7</f>
      </c>
    </row>
    <row customHeight="true" ht="18.452380952380953" r="9">
      <c r="A9" s="68" t="s">
        <v>37</v>
      </c>
      <c r="B9" s="68"/>
      <c r="C9" s="68"/>
      <c r="D9" s="69" t="s">
        <v>38</v>
      </c>
      <c r="E9" s="69"/>
      <c r="F9" s="69"/>
      <c r="G9" s="69"/>
      <c r="H9" s="69"/>
      <c r="I9" s="71" t="s">
        <v>39</v>
      </c>
      <c r="J9" s="71"/>
      <c r="K9" s="71"/>
      <c r="L9" s="71"/>
      <c r="M9" s="71"/>
      <c r="N9" s="71"/>
      <c r="O9" s="72" t="s">
        <v>40</v>
      </c>
      <c r="P9" s="72"/>
      <c r="Q9" s="74"/>
      <c r="R9" s="74"/>
      <c r="S9" s="74"/>
      <c r="T9" s="74"/>
    </row>
    <row customHeight="true" ht="18.452380952380953" r="10">
      <c r="A10" s="75" t="s">
        <v>41</v>
      </c>
      <c r="B10" s="76" t="s">
        <v>42</v>
      </c>
      <c r="C10" s="76" t="s">
        <v>43</v>
      </c>
      <c r="D10" s="77" t="s">
        <v>44</v>
      </c>
      <c r="E10" s="78" t="s">
        <v>45</v>
      </c>
      <c r="F10" s="78" t="s">
        <v>46</v>
      </c>
      <c r="G10" s="79" t="s">
        <v>47</v>
      </c>
      <c r="H10" s="80" t="s">
        <v>48</v>
      </c>
      <c r="I10" s="81" t="s">
        <v>49</v>
      </c>
      <c r="J10" s="82" t="s">
        <v>50</v>
      </c>
      <c r="K10" s="83" t="s">
        <v>51</v>
      </c>
      <c r="L10" s="83" t="s">
        <v>52</v>
      </c>
      <c r="M10" s="84" t="s">
        <v>53</v>
      </c>
      <c r="N10" s="85" t="s">
        <v>54</v>
      </c>
      <c r="O10" s="86" t="s">
        <v>55</v>
      </c>
      <c r="P10" s="86" t="s">
        <v>56</v>
      </c>
      <c r="Q10" s="87" t="s">
        <v>57</v>
      </c>
      <c r="R10" s="87" t="s">
        <v>58</v>
      </c>
      <c r="S10" s="88" t="s">
        <v>59</v>
      </c>
      <c r="T10" s="89" t="s">
        <v>60</v>
      </c>
    </row>
    <row r="11">
      <c r="A11" s="90">
        <v>46293</v>
      </c>
      <c r="B11" s="91" t="s">
        <v>61</v>
      </c>
      <c r="C11" s="92" t="s">
        <v>62</v>
      </c>
      <c r="D11" s="93">
        <v>47.5</v>
      </c>
      <c r="E11" s="94">
        <v>0</v>
      </c>
      <c r="F11" s="94">
        <v>0</v>
      </c>
      <c r="G11" s="95">
        <v>0</v>
      </c>
      <c r="H11" s="96">
        <f t="shared" ref="H11:H16" si="13">G11/D11</f>
      </c>
      <c r="I11" s="97">
        <f t="shared" ref="I11:I16" si="1">R11/Q11</f>
      </c>
      <c r="J11" s="98">
        <f t="shared" ref="J11:J16" si="17">D11/S11</f>
      </c>
      <c r="K11" s="97">
        <f t="shared" ref="K11:K16" si="21">E11/T11</f>
      </c>
      <c r="L11" s="99">
        <f t="shared" ref="L11:L16" si="5">G11/E11</f>
      </c>
      <c r="M11" s="100">
        <f t="shared" ref="M11:M16" si="25">D11/E11</f>
      </c>
      <c r="N11" s="100">
        <f t="shared" ref="N11:N16" si="9">D11/E11</f>
      </c>
      <c r="O11" s="101" t="s">
        <v>63</v>
      </c>
      <c r="P11" s="102" t="s">
        <v>70</v>
      </c>
      <c r="Q11" s="103">
        <v>554</v>
      </c>
      <c r="R11" s="103">
        <v>6</v>
      </c>
      <c r="S11" s="103">
        <v>0</v>
      </c>
      <c r="T11" s="103">
        <v>0</v>
      </c>
    </row>
    <row r="12">
      <c r="A12" s="90"/>
      <c r="B12" s="91" t="s">
        <v>61</v>
      </c>
      <c r="C12" s="92" t="s">
        <v>65</v>
      </c>
      <c r="D12" s="93">
        <v>193.49</v>
      </c>
      <c r="E12" s="94">
        <v>0</v>
      </c>
      <c r="F12" s="94">
        <v>0</v>
      </c>
      <c r="G12" s="95">
        <v>0</v>
      </c>
      <c r="H12" s="96">
        <f t="shared" si="13"/>
      </c>
      <c r="I12" s="97">
        <f t="shared" si="1"/>
      </c>
      <c r="J12" s="98">
        <f t="shared" si="17"/>
      </c>
      <c r="K12" s="97">
        <f t="shared" si="21"/>
      </c>
      <c r="L12" s="99">
        <f t="shared" si="5"/>
      </c>
      <c r="M12" s="100">
        <f t="shared" si="25"/>
      </c>
      <c r="N12" s="100">
        <f t="shared" si="9"/>
      </c>
      <c r="O12" s="101" t="s">
        <v>63</v>
      </c>
      <c r="P12" s="102" t="s">
        <v>71</v>
      </c>
      <c r="Q12" s="103">
        <v>12484</v>
      </c>
      <c r="R12" s="103">
        <v>56</v>
      </c>
      <c r="S12" s="103">
        <v>1</v>
      </c>
      <c r="T12" s="103">
        <v>0</v>
      </c>
    </row>
    <row r="13">
      <c r="A13" s="90"/>
      <c r="B13" s="91" t="s">
        <v>61</v>
      </c>
      <c r="C13" s="92" t="s">
        <v>66</v>
      </c>
      <c r="D13" s="93">
        <v>54.99</v>
      </c>
      <c r="E13" s="94">
        <v>0</v>
      </c>
      <c r="F13" s="94">
        <v>0</v>
      </c>
      <c r="G13" s="95">
        <v>0</v>
      </c>
      <c r="H13" s="96">
        <f t="shared" si="13"/>
      </c>
      <c r="I13" s="97">
        <f t="shared" si="1"/>
      </c>
      <c r="J13" s="98">
        <f t="shared" si="17"/>
      </c>
      <c r="K13" s="97">
        <f t="shared" si="21"/>
      </c>
      <c r="L13" s="99">
        <f t="shared" si="5"/>
      </c>
      <c r="M13" s="100">
        <f t="shared" si="25"/>
      </c>
      <c r="N13" s="100">
        <f t="shared" si="9"/>
      </c>
      <c r="O13" s="101" t="s">
        <v>63</v>
      </c>
      <c r="P13" s="102" t="s">
        <v>71</v>
      </c>
      <c r="Q13" s="103">
        <v>1196</v>
      </c>
      <c r="R13" s="103">
        <v>11</v>
      </c>
      <c r="S13" s="103">
        <v>0</v>
      </c>
      <c r="T13" s="103">
        <v>0</v>
      </c>
    </row>
    <row r="14">
      <c r="A14" s="90"/>
      <c r="B14" s="91" t="s">
        <v>61</v>
      </c>
      <c r="C14" s="92" t="s">
        <v>67</v>
      </c>
      <c r="D14" s="93">
        <v>214.92</v>
      </c>
      <c r="E14" s="94">
        <v>0</v>
      </c>
      <c r="F14" s="94">
        <v>0</v>
      </c>
      <c r="G14" s="95">
        <v>0</v>
      </c>
      <c r="H14" s="96">
        <f t="shared" si="13"/>
      </c>
      <c r="I14" s="97">
        <f t="shared" si="1"/>
      </c>
      <c r="J14" s="98">
        <f t="shared" si="17"/>
      </c>
      <c r="K14" s="97">
        <f t="shared" si="21"/>
      </c>
      <c r="L14" s="99">
        <f t="shared" si="5"/>
      </c>
      <c r="M14" s="100">
        <f t="shared" si="25"/>
      </c>
      <c r="N14" s="100">
        <f t="shared" si="9"/>
      </c>
      <c r="O14" s="101" t="s">
        <v>63</v>
      </c>
      <c r="P14" s="102" t="s">
        <v>71</v>
      </c>
      <c r="Q14" s="103">
        <v>2538</v>
      </c>
      <c r="R14" s="103">
        <v>30</v>
      </c>
      <c r="S14" s="103">
        <v>0</v>
      </c>
      <c r="T14" s="103">
        <v>0</v>
      </c>
    </row>
    <row r="15">
      <c r="A15" s="90"/>
      <c r="B15" s="109" t="s">
        <v>68</v>
      </c>
      <c r="C15" s="109"/>
      <c r="D15" s="110">
        <f>SUM(D11:D14)</f>
      </c>
      <c r="E15" s="111">
        <f>SUM(E11:E14)</f>
      </c>
      <c r="F15" s="111">
        <f>SUM(F11:F14)</f>
      </c>
      <c r="G15" s="112">
        <f>SUM(G11:G14)</f>
      </c>
      <c r="H15" s="113">
        <f t="shared" si="13"/>
      </c>
      <c r="I15" s="114">
        <f t="shared" si="1"/>
      </c>
      <c r="J15" s="115">
        <f t="shared" si="17"/>
      </c>
      <c r="K15" s="114">
        <f t="shared" si="21"/>
      </c>
      <c r="L15" s="116">
        <f t="shared" si="5"/>
      </c>
      <c r="M15" s="117">
        <f t="shared" si="25"/>
      </c>
      <c r="N15" s="117">
        <f t="shared" si="9"/>
      </c>
      <c r="O15" s="118"/>
      <c r="P15" s="118"/>
      <c r="Q15" s="119">
        <f>SUM(Q11:Q14)</f>
      </c>
      <c r="R15" s="119">
        <f>SUM(R11:R14)</f>
      </c>
      <c r="S15" s="119">
        <f>SUM(S11:S14)</f>
      </c>
      <c r="T15" s="119">
        <f>SUM(T11:T14)</f>
      </c>
    </row>
    <row r="16">
      <c r="A16" s="90"/>
      <c r="B16" s="120" t="s">
        <v>69</v>
      </c>
      <c r="C16" s="120"/>
      <c r="D16" s="121">
        <f>D15</f>
      </c>
      <c r="E16" s="122">
        <f>E15</f>
      </c>
      <c r="F16" s="122">
        <f>F15</f>
      </c>
      <c r="G16" s="121">
        <f>G15</f>
      </c>
      <c r="H16" s="123">
        <f t="shared" si="13"/>
      </c>
      <c r="I16" s="124">
        <f t="shared" si="1"/>
      </c>
      <c r="J16" s="123">
        <f t="shared" si="17"/>
      </c>
      <c r="K16" s="124">
        <f t="shared" si="21"/>
      </c>
      <c r="L16" s="125">
        <f t="shared" si="5"/>
      </c>
      <c r="M16" s="123">
        <f t="shared" si="25"/>
      </c>
      <c r="N16" s="123">
        <f t="shared" si="9"/>
      </c>
      <c r="O16" s="126"/>
      <c r="P16" s="126"/>
      <c r="Q16" s="122">
        <f>Q15</f>
      </c>
      <c r="R16" s="122">
        <f>R15</f>
      </c>
      <c r="S16" s="122">
        <f>S15</f>
      </c>
      <c r="T16" s="122">
        <f>T15</f>
      </c>
    </row>
    <row r="17">
      <c r="A17" s="68" t="s">
        <v>37</v>
      </c>
      <c r="B17" s="68"/>
      <c r="C17" s="68"/>
      <c r="D17" s="69" t="s">
        <v>38</v>
      </c>
      <c r="E17" s="69"/>
      <c r="F17" s="69"/>
      <c r="G17" s="69"/>
      <c r="H17" s="69"/>
      <c r="I17" s="71" t="s">
        <v>39</v>
      </c>
      <c r="J17" s="71"/>
      <c r="K17" s="71"/>
      <c r="L17" s="71"/>
      <c r="M17" s="71"/>
      <c r="N17" s="71"/>
      <c r="O17" s="72" t="s">
        <v>40</v>
      </c>
      <c r="P17" s="72"/>
      <c r="Q17" s="74"/>
      <c r="R17" s="74"/>
      <c r="S17" s="74"/>
      <c r="T17" s="74"/>
    </row>
    <row r="18">
      <c r="A18" s="75" t="s">
        <v>41</v>
      </c>
      <c r="B18" s="76" t="s">
        <v>42</v>
      </c>
      <c r="C18" s="76" t="s">
        <v>43</v>
      </c>
      <c r="D18" s="77" t="s">
        <v>44</v>
      </c>
      <c r="E18" s="78" t="s">
        <v>45</v>
      </c>
      <c r="F18" s="78" t="s">
        <v>46</v>
      </c>
      <c r="G18" s="79" t="s">
        <v>47</v>
      </c>
      <c r="H18" s="80" t="s">
        <v>48</v>
      </c>
      <c r="I18" s="81" t="s">
        <v>49</v>
      </c>
      <c r="J18" s="82" t="s">
        <v>50</v>
      </c>
      <c r="K18" s="83" t="s">
        <v>51</v>
      </c>
      <c r="L18" s="83" t="s">
        <v>52</v>
      </c>
      <c r="M18" s="84" t="s">
        <v>53</v>
      </c>
      <c r="N18" s="85" t="s">
        <v>54</v>
      </c>
      <c r="O18" s="86" t="s">
        <v>55</v>
      </c>
      <c r="P18" s="86" t="s">
        <v>56</v>
      </c>
      <c r="Q18" s="87" t="s">
        <v>57</v>
      </c>
      <c r="R18" s="87" t="s">
        <v>58</v>
      </c>
      <c r="S18" s="88" t="s">
        <v>59</v>
      </c>
      <c r="T18" s="89" t="s">
        <v>60</v>
      </c>
    </row>
    <row r="19">
      <c r="A19" s="90">
        <v>46294</v>
      </c>
      <c r="B19" s="91" t="s">
        <v>61</v>
      </c>
      <c r="C19" s="92" t="s">
        <v>62</v>
      </c>
      <c r="D19" s="93">
        <v>507.4</v>
      </c>
      <c r="E19" s="94">
        <v>0</v>
      </c>
      <c r="F19" s="94">
        <v>0</v>
      </c>
      <c r="G19" s="95">
        <v>0</v>
      </c>
      <c r="H19" s="96">
        <f t="shared" ref="H19:H24" si="14">G19/D19</f>
      </c>
      <c r="I19" s="97">
        <f t="shared" ref="I19:I24" si="2">R19/Q19</f>
      </c>
      <c r="J19" s="98">
        <f t="shared" ref="J19:J24" si="18">D19/S19</f>
      </c>
      <c r="K19" s="97">
        <f t="shared" ref="K19:K24" si="22">E19/T19</f>
      </c>
      <c r="L19" s="99">
        <f t="shared" ref="L19:L24" si="6">G19/E19</f>
      </c>
      <c r="M19" s="100">
        <f t="shared" ref="M19:M24" si="26">D19/E19</f>
      </c>
      <c r="N19" s="100">
        <f t="shared" ref="N19:N24" si="10">D19/E19</f>
      </c>
      <c r="O19" s="101" t="s">
        <v>63</v>
      </c>
      <c r="P19" s="102" t="s">
        <v>71</v>
      </c>
      <c r="Q19" s="103">
        <v>5605</v>
      </c>
      <c r="R19" s="103">
        <v>59</v>
      </c>
      <c r="S19" s="103">
        <v>4</v>
      </c>
      <c r="T19" s="103">
        <v>0</v>
      </c>
    </row>
    <row r="20">
      <c r="A20" s="90"/>
      <c r="B20" s="91" t="s">
        <v>61</v>
      </c>
      <c r="C20" s="92" t="s">
        <v>65</v>
      </c>
      <c r="D20" s="93">
        <v>287.19</v>
      </c>
      <c r="E20" s="94">
        <v>0</v>
      </c>
      <c r="F20" s="94">
        <v>0</v>
      </c>
      <c r="G20" s="95">
        <v>0</v>
      </c>
      <c r="H20" s="96">
        <f t="shared" si="14"/>
      </c>
      <c r="I20" s="97">
        <f t="shared" si="2"/>
      </c>
      <c r="J20" s="98">
        <f t="shared" si="18"/>
      </c>
      <c r="K20" s="97">
        <f t="shared" si="22"/>
      </c>
      <c r="L20" s="99">
        <f t="shared" si="6"/>
      </c>
      <c r="M20" s="100">
        <f t="shared" si="26"/>
      </c>
      <c r="N20" s="100">
        <f t="shared" si="10"/>
      </c>
      <c r="O20" s="101" t="s">
        <v>63</v>
      </c>
      <c r="P20" s="102" t="s">
        <v>71</v>
      </c>
      <c r="Q20" s="103">
        <v>2829</v>
      </c>
      <c r="R20" s="103">
        <v>28</v>
      </c>
      <c r="S20" s="103">
        <v>0</v>
      </c>
      <c r="T20" s="103">
        <v>0</v>
      </c>
    </row>
    <row r="21">
      <c r="A21" s="90"/>
      <c r="B21" s="91" t="s">
        <v>61</v>
      </c>
      <c r="C21" s="92" t="s">
        <v>66</v>
      </c>
      <c r="D21" s="93">
        <v>314.54</v>
      </c>
      <c r="E21" s="94">
        <v>0</v>
      </c>
      <c r="F21" s="94">
        <v>0</v>
      </c>
      <c r="G21" s="95">
        <v>0</v>
      </c>
      <c r="H21" s="96">
        <f t="shared" si="14"/>
      </c>
      <c r="I21" s="97">
        <f t="shared" si="2"/>
      </c>
      <c r="J21" s="98">
        <f t="shared" si="18"/>
      </c>
      <c r="K21" s="97">
        <f t="shared" si="22"/>
      </c>
      <c r="L21" s="99">
        <f t="shared" si="6"/>
      </c>
      <c r="M21" s="100">
        <f t="shared" si="26"/>
      </c>
      <c r="N21" s="100">
        <f t="shared" si="10"/>
      </c>
      <c r="O21" s="101" t="s">
        <v>63</v>
      </c>
      <c r="P21" s="102" t="s">
        <v>71</v>
      </c>
      <c r="Q21" s="103">
        <v>3843</v>
      </c>
      <c r="R21" s="103">
        <v>47</v>
      </c>
      <c r="S21" s="103">
        <v>3</v>
      </c>
      <c r="T21" s="103">
        <v>0</v>
      </c>
    </row>
    <row r="22">
      <c r="A22" s="90"/>
      <c r="B22" s="91" t="s">
        <v>61</v>
      </c>
      <c r="C22" s="92" t="s">
        <v>67</v>
      </c>
      <c r="D22" s="93">
        <v>344.01</v>
      </c>
      <c r="E22" s="94">
        <v>0</v>
      </c>
      <c r="F22" s="94">
        <v>0</v>
      </c>
      <c r="G22" s="95">
        <v>0</v>
      </c>
      <c r="H22" s="96">
        <f t="shared" si="14"/>
      </c>
      <c r="I22" s="97">
        <f t="shared" si="2"/>
      </c>
      <c r="J22" s="98">
        <f t="shared" si="18"/>
      </c>
      <c r="K22" s="97">
        <f t="shared" si="22"/>
      </c>
      <c r="L22" s="99">
        <f t="shared" si="6"/>
      </c>
      <c r="M22" s="100">
        <f t="shared" si="26"/>
      </c>
      <c r="N22" s="100">
        <f t="shared" si="10"/>
      </c>
      <c r="O22" s="101" t="s">
        <v>63</v>
      </c>
      <c r="P22" s="102" t="s">
        <v>71</v>
      </c>
      <c r="Q22" s="103">
        <v>2926</v>
      </c>
      <c r="R22" s="103">
        <v>34</v>
      </c>
      <c r="S22" s="103">
        <v>1</v>
      </c>
      <c r="T22" s="103">
        <v>0</v>
      </c>
    </row>
    <row r="23">
      <c r="A23" s="90"/>
      <c r="B23" s="109" t="s">
        <v>68</v>
      </c>
      <c r="C23" s="109"/>
      <c r="D23" s="110">
        <f>SUM(D19:D22)</f>
      </c>
      <c r="E23" s="111">
        <f>SUM(E19:E22)</f>
      </c>
      <c r="F23" s="111">
        <f>SUM(F19:F22)</f>
      </c>
      <c r="G23" s="112">
        <f>SUM(G19:G22)</f>
      </c>
      <c r="H23" s="113">
        <f t="shared" si="14"/>
      </c>
      <c r="I23" s="114">
        <f t="shared" si="2"/>
      </c>
      <c r="J23" s="115">
        <f t="shared" si="18"/>
      </c>
      <c r="K23" s="114">
        <f t="shared" si="22"/>
      </c>
      <c r="L23" s="116">
        <f t="shared" si="6"/>
      </c>
      <c r="M23" s="117">
        <f t="shared" si="26"/>
      </c>
      <c r="N23" s="117">
        <f t="shared" si="10"/>
      </c>
      <c r="O23" s="118"/>
      <c r="P23" s="118"/>
      <c r="Q23" s="119">
        <f>SUM(Q19:Q22)</f>
      </c>
      <c r="R23" s="119">
        <f>SUM(R19:R22)</f>
      </c>
      <c r="S23" s="119">
        <f>SUM(S19:S22)</f>
      </c>
      <c r="T23" s="119">
        <f>SUM(T19:T22)</f>
      </c>
    </row>
    <row r="24">
      <c r="A24" s="90"/>
      <c r="B24" s="120" t="s">
        <v>69</v>
      </c>
      <c r="C24" s="120"/>
      <c r="D24" s="121">
        <f>D23</f>
      </c>
      <c r="E24" s="122">
        <f>E23</f>
      </c>
      <c r="F24" s="122">
        <f>F23</f>
      </c>
      <c r="G24" s="121">
        <f>G23</f>
      </c>
      <c r="H24" s="123">
        <f t="shared" si="14"/>
      </c>
      <c r="I24" s="124">
        <f t="shared" si="2"/>
      </c>
      <c r="J24" s="123">
        <f t="shared" si="18"/>
      </c>
      <c r="K24" s="124">
        <f t="shared" si="22"/>
      </c>
      <c r="L24" s="125">
        <f t="shared" si="6"/>
      </c>
      <c r="M24" s="123">
        <f t="shared" si="26"/>
      </c>
      <c r="N24" s="123">
        <f t="shared" si="10"/>
      </c>
      <c r="O24" s="126"/>
      <c r="P24" s="126"/>
      <c r="Q24" s="122">
        <f>Q23</f>
      </c>
      <c r="R24" s="122">
        <f>R23</f>
      </c>
      <c r="S24" s="122">
        <f>S23</f>
      </c>
      <c r="T24" s="122">
        <f>T23</f>
      </c>
    </row>
    <row r="25">
      <c r="A25" s="68" t="s">
        <v>37</v>
      </c>
      <c r="B25" s="68"/>
      <c r="C25" s="68"/>
      <c r="D25" s="69" t="s">
        <v>38</v>
      </c>
      <c r="E25" s="69"/>
      <c r="F25" s="69"/>
      <c r="G25" s="69"/>
      <c r="H25" s="69"/>
      <c r="I25" s="71" t="s">
        <v>39</v>
      </c>
      <c r="J25" s="71"/>
      <c r="K25" s="71"/>
      <c r="L25" s="71"/>
      <c r="M25" s="71"/>
      <c r="N25" s="71"/>
      <c r="O25" s="72" t="s">
        <v>40</v>
      </c>
      <c r="P25" s="72"/>
      <c r="Q25" s="74"/>
      <c r="R25" s="74"/>
      <c r="S25" s="74"/>
      <c r="T25" s="74"/>
    </row>
    <row r="26">
      <c r="A26" s="75" t="s">
        <v>41</v>
      </c>
      <c r="B26" s="76" t="s">
        <v>42</v>
      </c>
      <c r="C26" s="76" t="s">
        <v>43</v>
      </c>
      <c r="D26" s="77" t="s">
        <v>44</v>
      </c>
      <c r="E26" s="78" t="s">
        <v>45</v>
      </c>
      <c r="F26" s="78" t="s">
        <v>46</v>
      </c>
      <c r="G26" s="79" t="s">
        <v>47</v>
      </c>
      <c r="H26" s="80" t="s">
        <v>48</v>
      </c>
      <c r="I26" s="81" t="s">
        <v>49</v>
      </c>
      <c r="J26" s="82" t="s">
        <v>50</v>
      </c>
      <c r="K26" s="83" t="s">
        <v>51</v>
      </c>
      <c r="L26" s="83" t="s">
        <v>52</v>
      </c>
      <c r="M26" s="84" t="s">
        <v>53</v>
      </c>
      <c r="N26" s="85" t="s">
        <v>54</v>
      </c>
      <c r="O26" s="86" t="s">
        <v>55</v>
      </c>
      <c r="P26" s="86" t="s">
        <v>56</v>
      </c>
      <c r="Q26" s="87" t="s">
        <v>57</v>
      </c>
      <c r="R26" s="87" t="s">
        <v>58</v>
      </c>
      <c r="S26" s="88" t="s">
        <v>59</v>
      </c>
      <c r="T26" s="89" t="s">
        <v>60</v>
      </c>
    </row>
    <row r="27">
      <c r="A27" s="90">
        <v>46295</v>
      </c>
      <c r="B27" s="91" t="s">
        <v>61</v>
      </c>
      <c r="C27" s="92" t="s">
        <v>62</v>
      </c>
      <c r="D27" s="93">
        <v>493.55</v>
      </c>
      <c r="E27" s="94">
        <v>0</v>
      </c>
      <c r="F27" s="94">
        <v>0</v>
      </c>
      <c r="G27" s="95">
        <v>0</v>
      </c>
      <c r="H27" s="96">
        <f t="shared" ref="H27:H32" si="15">G27/D27</f>
      </c>
      <c r="I27" s="97">
        <f t="shared" ref="I27:I32" si="3">R27/Q27</f>
      </c>
      <c r="J27" s="98">
        <f t="shared" ref="J27:J32" si="19">D27/S27</f>
      </c>
      <c r="K27" s="97">
        <f t="shared" ref="K27:K32" si="23">E27/T27</f>
      </c>
      <c r="L27" s="99">
        <f t="shared" ref="L27:L32" si="7">G27/E27</f>
      </c>
      <c r="M27" s="100">
        <f t="shared" ref="M27:M32" si="27">D27/E27</f>
      </c>
      <c r="N27" s="100">
        <f t="shared" ref="N27:N32" si="11">D27/E27</f>
      </c>
      <c r="O27" s="101" t="s">
        <v>63</v>
      </c>
      <c r="P27" s="102" t="s">
        <v>71</v>
      </c>
      <c r="Q27" s="103">
        <v>3378</v>
      </c>
      <c r="R27" s="103">
        <v>21</v>
      </c>
      <c r="S27" s="103">
        <v>0</v>
      </c>
      <c r="T27" s="103">
        <v>0</v>
      </c>
    </row>
    <row r="28">
      <c r="A28" s="90"/>
      <c r="B28" s="91" t="s">
        <v>61</v>
      </c>
      <c r="C28" s="92" t="s">
        <v>65</v>
      </c>
      <c r="D28" s="93">
        <v>478.91</v>
      </c>
      <c r="E28" s="94">
        <v>0</v>
      </c>
      <c r="F28" s="94">
        <v>0</v>
      </c>
      <c r="G28" s="95">
        <v>0</v>
      </c>
      <c r="H28" s="96">
        <f t="shared" si="15"/>
      </c>
      <c r="I28" s="97">
        <f t="shared" si="3"/>
      </c>
      <c r="J28" s="98">
        <f t="shared" si="19"/>
      </c>
      <c r="K28" s="97">
        <f t="shared" si="23"/>
      </c>
      <c r="L28" s="99">
        <f t="shared" si="7"/>
      </c>
      <c r="M28" s="100">
        <f t="shared" si="27"/>
      </c>
      <c r="N28" s="100">
        <f t="shared" si="11"/>
      </c>
      <c r="O28" s="101" t="s">
        <v>63</v>
      </c>
      <c r="P28" s="102" t="s">
        <v>71</v>
      </c>
      <c r="Q28" s="103">
        <v>2563</v>
      </c>
      <c r="R28" s="103">
        <v>24</v>
      </c>
      <c r="S28" s="103">
        <v>0</v>
      </c>
      <c r="T28" s="103">
        <v>0</v>
      </c>
    </row>
    <row r="29">
      <c r="A29" s="90"/>
      <c r="B29" s="91" t="s">
        <v>61</v>
      </c>
      <c r="C29" s="92" t="s">
        <v>66</v>
      </c>
      <c r="D29" s="93">
        <v>295.24</v>
      </c>
      <c r="E29" s="94">
        <v>0</v>
      </c>
      <c r="F29" s="94">
        <v>0</v>
      </c>
      <c r="G29" s="95">
        <v>0</v>
      </c>
      <c r="H29" s="96">
        <f t="shared" si="15"/>
      </c>
      <c r="I29" s="97">
        <f t="shared" si="3"/>
      </c>
      <c r="J29" s="98">
        <f t="shared" si="19"/>
      </c>
      <c r="K29" s="97">
        <f t="shared" si="23"/>
      </c>
      <c r="L29" s="99">
        <f t="shared" si="7"/>
      </c>
      <c r="M29" s="100">
        <f t="shared" si="27"/>
      </c>
      <c r="N29" s="100">
        <f t="shared" si="11"/>
      </c>
      <c r="O29" s="101" t="s">
        <v>63</v>
      </c>
      <c r="P29" s="102" t="s">
        <v>71</v>
      </c>
      <c r="Q29" s="103">
        <v>1618</v>
      </c>
      <c r="R29" s="103">
        <v>15</v>
      </c>
      <c r="S29" s="103">
        <v>3</v>
      </c>
      <c r="T29" s="103">
        <v>0</v>
      </c>
    </row>
    <row r="30">
      <c r="A30" s="90"/>
      <c r="B30" s="91" t="s">
        <v>61</v>
      </c>
      <c r="C30" s="92" t="s">
        <v>67</v>
      </c>
      <c r="D30" s="127">
        <v>2360.45</v>
      </c>
      <c r="E30" s="94">
        <v>0</v>
      </c>
      <c r="F30" s="94">
        <v>0</v>
      </c>
      <c r="G30" s="95">
        <v>0</v>
      </c>
      <c r="H30" s="96">
        <f t="shared" si="15"/>
      </c>
      <c r="I30" s="97">
        <f t="shared" si="3"/>
      </c>
      <c r="J30" s="98">
        <f t="shared" si="19"/>
      </c>
      <c r="K30" s="97">
        <f t="shared" si="23"/>
      </c>
      <c r="L30" s="99">
        <f t="shared" si="7"/>
      </c>
      <c r="M30" s="100">
        <f t="shared" si="27"/>
      </c>
      <c r="N30" s="100">
        <f t="shared" si="11"/>
      </c>
      <c r="O30" s="101" t="s">
        <v>63</v>
      </c>
      <c r="P30" s="102" t="s">
        <v>71</v>
      </c>
      <c r="Q30" s="103">
        <v>4351</v>
      </c>
      <c r="R30" s="103">
        <v>22</v>
      </c>
      <c r="S30" s="103">
        <v>7</v>
      </c>
      <c r="T30" s="103">
        <v>0</v>
      </c>
    </row>
    <row r="31">
      <c r="A31" s="90"/>
      <c r="B31" s="109" t="s">
        <v>68</v>
      </c>
      <c r="C31" s="109"/>
      <c r="D31" s="110">
        <f>SUM(D27:D30)</f>
      </c>
      <c r="E31" s="111">
        <f>SUM(E27:E30)</f>
      </c>
      <c r="F31" s="111">
        <f>SUM(F27:F30)</f>
      </c>
      <c r="G31" s="112">
        <f>SUM(G27:G30)</f>
      </c>
      <c r="H31" s="113">
        <f t="shared" si="15"/>
      </c>
      <c r="I31" s="114">
        <f t="shared" si="3"/>
      </c>
      <c r="J31" s="115">
        <f t="shared" si="19"/>
      </c>
      <c r="K31" s="114">
        <f t="shared" si="23"/>
      </c>
      <c r="L31" s="116">
        <f t="shared" si="7"/>
      </c>
      <c r="M31" s="117">
        <f t="shared" si="27"/>
      </c>
      <c r="N31" s="117">
        <f t="shared" si="11"/>
      </c>
      <c r="O31" s="118"/>
      <c r="P31" s="118"/>
      <c r="Q31" s="119">
        <f>SUM(Q27:Q30)</f>
      </c>
      <c r="R31" s="119">
        <f>SUM(R27:R30)</f>
      </c>
      <c r="S31" s="119">
        <f>SUM(S27:S30)</f>
      </c>
      <c r="T31" s="119">
        <f>SUM(T27:T30)</f>
      </c>
    </row>
    <row r="32">
      <c r="A32" s="90"/>
      <c r="B32" s="120" t="s">
        <v>69</v>
      </c>
      <c r="C32" s="120"/>
      <c r="D32" s="121">
        <f>D31</f>
      </c>
      <c r="E32" s="122">
        <f>E31</f>
      </c>
      <c r="F32" s="122">
        <f>F31</f>
      </c>
      <c r="G32" s="121">
        <f>G31</f>
      </c>
      <c r="H32" s="123">
        <f t="shared" si="15"/>
      </c>
      <c r="I32" s="124">
        <f t="shared" si="3"/>
      </c>
      <c r="J32" s="123">
        <f t="shared" si="19"/>
      </c>
      <c r="K32" s="124">
        <f t="shared" si="23"/>
      </c>
      <c r="L32" s="125">
        <f t="shared" si="7"/>
      </c>
      <c r="M32" s="123">
        <f t="shared" si="27"/>
      </c>
      <c r="N32" s="123">
        <f t="shared" si="11"/>
      </c>
      <c r="O32" s="126"/>
      <c r="P32" s="126"/>
      <c r="Q32" s="122">
        <f>Q31</f>
      </c>
      <c r="R32" s="122">
        <f>R31</f>
      </c>
      <c r="S32" s="122">
        <f>S31</f>
      </c>
      <c r="T32" s="122">
        <f>T31</f>
      </c>
    </row>
    <row r="33">
      <c r="D33" s="128">
        <f>D34-D32</f>
      </c>
      <c r="E33" s="129">
        <v>0</v>
      </c>
      <c r="F33">
        <f>F34-F32</f>
      </c>
      <c r="G33">
        <f>G34-G32</f>
      </c>
      <c r="Q33" s="128">
        <f>Q34-Q32</f>
      </c>
      <c r="R33" s="128">
        <f>R34-R32</f>
      </c>
      <c r="S33" s="128">
        <f>S34-S32</f>
      </c>
      <c r="T33" s="128">
        <f>T34-T32</f>
      </c>
    </row>
    <row r="34">
      <c r="D34" s="130">
        <v>3628.15</v>
      </c>
      <c r="G34" s="128"/>
      <c r="Q34" s="129">
        <v>11910</v>
      </c>
      <c r="R34" s="129">
        <v>82</v>
      </c>
      <c r="S34" s="129">
        <v>0</v>
      </c>
      <c r="T34" s="129">
        <v>0</v>
      </c>
    </row>
    <row r="35">
      <c r="D35" s="128"/>
      <c r="G35" s="128"/>
    </row>
    <row r="36">
      <c r="D36" s="128"/>
      <c r="G36" s="128"/>
    </row>
    <row r="37">
      <c r="D37" s="128"/>
      <c r="G37" s="128"/>
    </row>
    <row r="38">
      <c r="D38" s="128"/>
      <c r="G38" s="128"/>
    </row>
    <row r="39">
      <c r="D39" s="128"/>
      <c r="G39" s="128"/>
    </row>
    <row r="40">
      <c r="D40" s="128"/>
      <c r="G40" s="128"/>
    </row>
    <row r="41">
      <c r="D41" s="128"/>
      <c r="G41" s="128"/>
    </row>
    <row r="42">
      <c r="D42" s="128"/>
      <c r="G42" s="128"/>
    </row>
    <row r="43">
      <c r="D43" s="128"/>
      <c r="G43" s="128"/>
    </row>
    <row r="44">
      <c r="D44" s="128"/>
      <c r="G44" s="128"/>
    </row>
    <row r="45">
      <c r="D45" s="128"/>
      <c r="G45" s="128"/>
    </row>
    <row r="46">
      <c r="D46" s="128"/>
      <c r="G46" s="128"/>
    </row>
    <row r="47">
      <c r="D47" s="128"/>
      <c r="G47" s="128"/>
    </row>
    <row r="48">
      <c r="D48" s="128"/>
      <c r="G48" s="128"/>
    </row>
    <row r="49">
      <c r="D49" s="128"/>
      <c r="G49" s="128"/>
    </row>
    <row r="50">
      <c r="D50" s="128"/>
      <c r="G50" s="128"/>
    </row>
    <row r="51">
      <c r="D51" s="128"/>
      <c r="G51" s="128"/>
    </row>
    <row r="52">
      <c r="D52" s="128"/>
      <c r="G52" s="128"/>
    </row>
    <row r="53">
      <c r="D53" s="128"/>
      <c r="G53" s="128"/>
    </row>
    <row r="54">
      <c r="D54" s="128"/>
      <c r="G54" s="128"/>
    </row>
    <row r="55">
      <c r="D55" s="128"/>
      <c r="G55" s="128"/>
    </row>
    <row r="56">
      <c r="D56" s="128"/>
      <c r="G56" s="128"/>
    </row>
    <row r="57">
      <c r="D57" s="128"/>
      <c r="G57" s="128"/>
    </row>
    <row r="58">
      <c r="D58" s="128"/>
      <c r="G58" s="128"/>
    </row>
    <row r="59">
      <c r="D59" s="128"/>
      <c r="G59" s="128"/>
    </row>
    <row r="60">
      <c r="D60" s="128"/>
      <c r="G60" s="128"/>
    </row>
    <row r="61">
      <c r="D61" s="128"/>
      <c r="G61" s="128"/>
    </row>
    <row r="62">
      <c r="D62" s="128"/>
      <c r="G62" s="128"/>
    </row>
    <row r="63">
      <c r="D63" s="128"/>
      <c r="G63" s="128"/>
    </row>
    <row r="64">
      <c r="D64" s="128"/>
      <c r="G64" s="128"/>
    </row>
    <row r="65">
      <c r="D65" s="128"/>
      <c r="G65" s="128"/>
    </row>
    <row r="66">
      <c r="D66" s="128"/>
      <c r="G66" s="128"/>
    </row>
    <row r="67">
      <c r="D67" s="128"/>
      <c r="G67" s="128"/>
    </row>
    <row r="68">
      <c r="D68" s="128"/>
      <c r="G68" s="128"/>
    </row>
    <row r="69">
      <c r="D69" s="128"/>
      <c r="G69" s="128"/>
    </row>
    <row r="70">
      <c r="D70" s="128"/>
      <c r="G70" s="128"/>
    </row>
    <row r="71">
      <c r="D71" s="128"/>
      <c r="G71" s="128"/>
    </row>
    <row r="72">
      <c r="D72" s="128"/>
      <c r="G72" s="128"/>
    </row>
    <row r="73">
      <c r="D73" s="128"/>
      <c r="G73" s="128"/>
    </row>
    <row r="74">
      <c r="D74" s="128"/>
      <c r="G74" s="128"/>
    </row>
    <row r="75">
      <c r="D75" s="128"/>
      <c r="G75" s="128"/>
    </row>
    <row r="76">
      <c r="D76" s="128"/>
      <c r="G76" s="128"/>
    </row>
    <row r="77">
      <c r="D77" s="128"/>
      <c r="G77" s="128"/>
    </row>
    <row r="78">
      <c r="D78" s="128"/>
      <c r="G78" s="128"/>
    </row>
    <row r="79">
      <c r="D79" s="128"/>
      <c r="G79" s="128"/>
    </row>
    <row r="80">
      <c r="D80" s="128"/>
      <c r="G80" s="128"/>
    </row>
    <row r="81">
      <c r="D81" s="128"/>
      <c r="G81" s="128"/>
    </row>
    <row r="82">
      <c r="D82" s="128"/>
      <c r="G82" s="128"/>
    </row>
    <row r="83">
      <c r="D83" s="128"/>
      <c r="G83" s="128"/>
    </row>
    <row r="84">
      <c r="D84" s="128"/>
      <c r="G84" s="128"/>
    </row>
    <row r="85">
      <c r="D85" s="128"/>
      <c r="G85" s="128"/>
    </row>
    <row r="86">
      <c r="D86" s="128"/>
      <c r="G86" s="128"/>
    </row>
    <row r="87">
      <c r="D87" s="128"/>
      <c r="G87" s="128"/>
    </row>
    <row r="88">
      <c r="D88" s="128"/>
      <c r="G88" s="128"/>
    </row>
    <row r="89">
      <c r="D89" s="128"/>
      <c r="G89" s="128"/>
    </row>
    <row r="90">
      <c r="D90" s="128"/>
      <c r="G90" s="128"/>
    </row>
    <row r="91">
      <c r="D91" s="128"/>
      <c r="G91" s="128"/>
    </row>
    <row r="92">
      <c r="D92" s="128"/>
      <c r="G92" s="128"/>
    </row>
    <row r="93">
      <c r="D93" s="128"/>
      <c r="G93" s="128"/>
    </row>
    <row r="94">
      <c r="D94" s="128"/>
      <c r="G94" s="128"/>
    </row>
    <row r="95">
      <c r="D95" s="128"/>
      <c r="G95" s="128"/>
    </row>
    <row r="96">
      <c r="D96" s="128"/>
      <c r="G96" s="128"/>
    </row>
    <row r="97">
      <c r="D97" s="128"/>
      <c r="G97" s="128"/>
    </row>
    <row r="98">
      <c r="D98" s="128"/>
      <c r="G98" s="128"/>
    </row>
    <row r="99">
      <c r="D99" s="128"/>
      <c r="G99" s="128"/>
    </row>
    <row r="100">
      <c r="D100" s="128"/>
      <c r="G100" s="128"/>
    </row>
    <row r="101">
      <c r="D101" s="128"/>
      <c r="G101" s="128"/>
    </row>
    <row r="102">
      <c r="D102" s="128"/>
      <c r="G102" s="128"/>
    </row>
    <row r="103">
      <c r="D103" s="128"/>
      <c r="G103" s="128"/>
    </row>
    <row r="104">
      <c r="D104" s="128"/>
      <c r="G104" s="128"/>
    </row>
    <row r="105">
      <c r="D105" s="128"/>
      <c r="G105" s="128"/>
    </row>
    <row r="106">
      <c r="D106" s="128"/>
      <c r="G106" s="128"/>
    </row>
    <row r="107">
      <c r="D107" s="128"/>
      <c r="G107" s="128"/>
    </row>
    <row r="108">
      <c r="D108" s="128"/>
      <c r="G108" s="128"/>
    </row>
    <row r="109">
      <c r="D109" s="128"/>
      <c r="G109" s="128"/>
    </row>
    <row r="110">
      <c r="D110" s="128"/>
      <c r="G110" s="128"/>
    </row>
    <row r="111">
      <c r="D111" s="128"/>
      <c r="G111" s="128"/>
    </row>
    <row r="112">
      <c r="D112" s="128"/>
      <c r="G112" s="128"/>
    </row>
    <row r="113">
      <c r="D113" s="128"/>
      <c r="G113" s="128"/>
    </row>
    <row r="114">
      <c r="D114" s="128"/>
      <c r="G114" s="128"/>
    </row>
    <row r="115">
      <c r="D115" s="128"/>
      <c r="G115" s="128"/>
    </row>
    <row r="116">
      <c r="D116" s="128"/>
      <c r="G116" s="128"/>
    </row>
    <row r="117">
      <c r="D117" s="128"/>
      <c r="G117" s="128"/>
    </row>
    <row r="118">
      <c r="D118" s="128"/>
      <c r="G118" s="128"/>
    </row>
    <row r="119">
      <c r="D119" s="128"/>
      <c r="G119" s="128"/>
    </row>
    <row r="120">
      <c r="D120" s="128"/>
      <c r="G120" s="128"/>
    </row>
    <row r="121">
      <c r="D121" s="128"/>
      <c r="G121" s="128"/>
    </row>
    <row r="122">
      <c r="D122" s="128"/>
      <c r="G122" s="128"/>
    </row>
    <row r="123">
      <c r="D123" s="128"/>
      <c r="G123" s="128"/>
    </row>
    <row r="124">
      <c r="D124" s="128"/>
      <c r="G124" s="128"/>
    </row>
    <row r="125">
      <c r="D125" s="128"/>
      <c r="G125" s="128"/>
    </row>
    <row r="126">
      <c r="D126" s="128"/>
      <c r="G126" s="128"/>
    </row>
    <row r="127">
      <c r="D127" s="128"/>
      <c r="G127" s="128"/>
    </row>
    <row r="128">
      <c r="D128" s="128"/>
      <c r="G128" s="128"/>
    </row>
    <row r="129">
      <c r="D129" s="128"/>
      <c r="G129" s="128"/>
    </row>
    <row r="130">
      <c r="D130" s="128"/>
      <c r="G130" s="128"/>
    </row>
    <row r="131">
      <c r="D131" s="128"/>
      <c r="G131" s="128"/>
    </row>
    <row r="132">
      <c r="D132" s="128"/>
      <c r="G132" s="128"/>
    </row>
    <row r="133">
      <c r="D133" s="128"/>
      <c r="G133" s="128"/>
    </row>
    <row r="134">
      <c r="D134" s="128"/>
      <c r="G134" s="128"/>
    </row>
    <row r="135">
      <c r="D135" s="128"/>
      <c r="G135" s="128"/>
    </row>
    <row r="136">
      <c r="D136" s="128"/>
      <c r="G136" s="128"/>
    </row>
    <row r="137">
      <c r="D137" s="128"/>
      <c r="G137" s="128"/>
    </row>
    <row r="138">
      <c r="D138" s="128"/>
      <c r="G138" s="128"/>
    </row>
    <row r="139">
      <c r="D139" s="128"/>
      <c r="G139" s="128"/>
    </row>
    <row r="140">
      <c r="D140" s="128"/>
      <c r="G140" s="128"/>
    </row>
    <row r="141">
      <c r="D141" s="128"/>
      <c r="G141" s="128"/>
    </row>
    <row r="142">
      <c r="D142" s="128"/>
      <c r="G142" s="128"/>
    </row>
    <row r="143">
      <c r="D143" s="128"/>
      <c r="G143" s="128"/>
    </row>
    <row r="144">
      <c r="D144" s="128"/>
      <c r="G144" s="128"/>
    </row>
    <row r="145">
      <c r="D145" s="128"/>
      <c r="G145" s="128"/>
    </row>
    <row r="146">
      <c r="D146" s="128"/>
      <c r="G146" s="128"/>
    </row>
    <row r="147">
      <c r="D147" s="128"/>
      <c r="G147" s="128"/>
    </row>
    <row r="148">
      <c r="D148" s="128"/>
      <c r="G148" s="128"/>
    </row>
    <row r="149">
      <c r="D149" s="128"/>
      <c r="G149" s="128"/>
    </row>
    <row r="150">
      <c r="D150" s="128"/>
      <c r="G150" s="128"/>
    </row>
    <row r="151">
      <c r="D151" s="128"/>
      <c r="G151" s="128"/>
    </row>
    <row r="152">
      <c r="D152" s="128"/>
      <c r="G152" s="128"/>
    </row>
    <row r="153">
      <c r="D153" s="128"/>
      <c r="G153" s="128"/>
    </row>
    <row r="154">
      <c r="D154" s="128"/>
      <c r="G154" s="128"/>
    </row>
    <row r="155">
      <c r="D155" s="128"/>
      <c r="G155" s="128"/>
    </row>
    <row r="156">
      <c r="D156" s="128"/>
      <c r="G156" s="128"/>
    </row>
    <row r="157">
      <c r="D157" s="128"/>
      <c r="G157" s="128"/>
    </row>
    <row r="158">
      <c r="D158" s="128"/>
      <c r="G158" s="128"/>
    </row>
    <row r="159">
      <c r="D159" s="128"/>
      <c r="G159" s="128"/>
    </row>
    <row r="160">
      <c r="D160" s="128"/>
      <c r="G160" s="128"/>
    </row>
    <row r="161">
      <c r="D161" s="128"/>
      <c r="G161" s="128"/>
    </row>
    <row r="162">
      <c r="D162" s="128"/>
      <c r="G162" s="128"/>
    </row>
    <row r="163">
      <c r="D163" s="128"/>
      <c r="G163" s="128"/>
    </row>
    <row r="164">
      <c r="D164" s="128"/>
      <c r="G164" s="128"/>
    </row>
    <row r="165">
      <c r="D165" s="128"/>
      <c r="G165" s="128"/>
    </row>
    <row r="166">
      <c r="D166" s="128"/>
      <c r="G166" s="128"/>
    </row>
    <row r="167">
      <c r="D167" s="128"/>
      <c r="G167" s="128"/>
    </row>
    <row r="168">
      <c r="D168" s="128"/>
      <c r="G168" s="128"/>
    </row>
    <row r="169">
      <c r="D169" s="128"/>
      <c r="G169" s="128"/>
    </row>
    <row r="170">
      <c r="D170" s="128"/>
      <c r="G170" s="128"/>
    </row>
    <row r="171">
      <c r="D171" s="128"/>
      <c r="G171" s="128"/>
    </row>
    <row r="172">
      <c r="D172" s="128"/>
      <c r="G172" s="128"/>
    </row>
    <row r="173">
      <c r="D173" s="128"/>
      <c r="G173" s="128"/>
    </row>
    <row r="174">
      <c r="D174" s="128"/>
      <c r="G174" s="128"/>
    </row>
    <row r="175">
      <c r="D175" s="128"/>
      <c r="G175" s="128"/>
    </row>
    <row r="176">
      <c r="D176" s="128"/>
      <c r="G176" s="128"/>
    </row>
    <row r="177">
      <c r="D177" s="128"/>
      <c r="G177" s="128"/>
    </row>
    <row r="178">
      <c r="D178" s="128"/>
      <c r="G178" s="128"/>
    </row>
    <row r="179">
      <c r="D179" s="128"/>
      <c r="G179" s="128"/>
    </row>
    <row r="180">
      <c r="D180" s="128"/>
      <c r="G180" s="128"/>
    </row>
    <row r="181">
      <c r="D181" s="128"/>
      <c r="G181" s="128"/>
    </row>
    <row r="182">
      <c r="D182" s="128"/>
      <c r="G182" s="128"/>
    </row>
    <row r="183">
      <c r="D183" s="128"/>
      <c r="G183" s="128"/>
    </row>
    <row r="184">
      <c r="D184" s="128"/>
      <c r="G184" s="128"/>
    </row>
    <row r="185">
      <c r="D185" s="128"/>
      <c r="G185" s="128"/>
    </row>
    <row r="186">
      <c r="D186" s="128"/>
      <c r="G186" s="128"/>
    </row>
    <row r="187">
      <c r="D187" s="128"/>
      <c r="G187" s="128"/>
    </row>
    <row r="188">
      <c r="D188" s="128"/>
      <c r="G188" s="128"/>
    </row>
    <row r="189">
      <c r="D189" s="128"/>
      <c r="G189" s="128"/>
    </row>
    <row r="190">
      <c r="D190" s="128"/>
      <c r="G190" s="128"/>
    </row>
    <row r="191">
      <c r="D191" s="128"/>
      <c r="G191" s="128"/>
    </row>
    <row r="192">
      <c r="D192" s="128"/>
      <c r="G192" s="128"/>
    </row>
    <row r="193">
      <c r="D193" s="128"/>
      <c r="G193" s="128"/>
    </row>
    <row r="194">
      <c r="D194" s="128"/>
      <c r="G194" s="128"/>
    </row>
    <row r="195">
      <c r="D195" s="128"/>
      <c r="G195" s="128"/>
    </row>
    <row r="196">
      <c r="D196" s="128"/>
      <c r="G196" s="128"/>
    </row>
    <row r="197">
      <c r="D197" s="128"/>
      <c r="G197" s="128"/>
    </row>
    <row r="198">
      <c r="D198" s="128"/>
      <c r="G198" s="128"/>
    </row>
    <row r="199">
      <c r="D199" s="128"/>
      <c r="G199" s="128"/>
    </row>
    <row r="200">
      <c r="D200" s="128"/>
      <c r="G200" s="128"/>
    </row>
    <row r="201">
      <c r="D201" s="128"/>
      <c r="G201" s="128"/>
    </row>
    <row r="202">
      <c r="D202" s="128"/>
      <c r="G202" s="128"/>
    </row>
  </sheetData>
  <mergeCells>
    <mergeCell ref="I1:N1"/>
    <mergeCell ref="D1:H1"/>
    <mergeCell ref="B8:C8"/>
    <mergeCell ref="B7:C7"/>
    <mergeCell ref="A3:A8"/>
    <mergeCell ref="A1:C1"/>
    <mergeCell ref="O1:P1"/>
    <mergeCell ref="A11:A16"/>
    <mergeCell ref="B15:C15"/>
    <mergeCell ref="B16:C16"/>
    <mergeCell ref="I9:N9"/>
    <mergeCell ref="D9:H9"/>
    <mergeCell ref="A9:C9"/>
    <mergeCell ref="O9:P9"/>
    <mergeCell ref="I17:N17"/>
    <mergeCell ref="D17:H17"/>
    <mergeCell ref="A17:C17"/>
    <mergeCell ref="O17:P17"/>
    <mergeCell ref="A19:A24"/>
    <mergeCell ref="B23:C23"/>
    <mergeCell ref="B24:C24"/>
    <mergeCell ref="I25:N25"/>
    <mergeCell ref="D25:H25"/>
    <mergeCell ref="A25:C25"/>
    <mergeCell ref="O25:P25"/>
    <mergeCell ref="A27:A32"/>
    <mergeCell ref="B31:C31"/>
    <mergeCell ref="B32:C32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31" t="s">
        <v>72</v>
      </c>
      <c r="B1" s="131"/>
      <c r="C1" s="131"/>
      <c r="D1" s="132" t="s">
        <v>73</v>
      </c>
      <c r="E1" s="132"/>
      <c r="F1" s="132"/>
      <c r="G1" s="132"/>
      <c r="H1" s="132"/>
      <c r="I1" s="133" t="s">
        <v>74</v>
      </c>
      <c r="J1" s="133"/>
      <c r="K1" s="133"/>
      <c r="L1" s="133"/>
      <c r="M1" s="133"/>
      <c r="N1" s="133"/>
      <c r="O1" s="134" t="s">
        <v>75</v>
      </c>
      <c r="P1" s="134"/>
      <c r="Q1" s="135"/>
      <c r="R1" s="135"/>
      <c r="S1" s="135"/>
      <c r="T1" s="135"/>
    </row>
    <row r="2">
      <c r="A2" s="136" t="s">
        <v>76</v>
      </c>
      <c r="B2" s="137" t="s">
        <v>77</v>
      </c>
      <c r="C2" s="137" t="s">
        <v>78</v>
      </c>
      <c r="D2" s="138" t="s">
        <v>79</v>
      </c>
      <c r="E2" s="139" t="s">
        <v>80</v>
      </c>
      <c r="F2" s="139" t="s">
        <v>81</v>
      </c>
      <c r="G2" s="140" t="s">
        <v>82</v>
      </c>
      <c r="H2" s="141" t="s">
        <v>83</v>
      </c>
      <c r="I2" s="142" t="s">
        <v>84</v>
      </c>
      <c r="J2" s="143" t="s">
        <v>85</v>
      </c>
      <c r="K2" s="144" t="s">
        <v>86</v>
      </c>
      <c r="L2" s="144" t="s">
        <v>87</v>
      </c>
      <c r="M2" s="145" t="s">
        <v>88</v>
      </c>
      <c r="N2" s="146" t="s">
        <v>89</v>
      </c>
      <c r="O2" s="147" t="s">
        <v>90</v>
      </c>
      <c r="P2" s="147" t="s">
        <v>91</v>
      </c>
      <c r="Q2" s="148" t="s">
        <v>92</v>
      </c>
      <c r="R2" s="148" t="s">
        <v>93</v>
      </c>
      <c r="S2" s="149" t="s">
        <v>94</v>
      </c>
      <c r="T2" s="150" t="s">
        <v>95</v>
      </c>
    </row>
    <row r="3">
      <c r="A3" s="151">
        <v>46310</v>
      </c>
      <c r="B3" s="152" t="s">
        <v>96</v>
      </c>
      <c r="C3" s="153" t="s">
        <v>97</v>
      </c>
      <c r="D3" s="154"/>
      <c r="E3" s="155"/>
      <c r="F3" s="155"/>
      <c r="G3" s="156"/>
      <c r="H3" s="157">
        <f t="shared" ref="H3:H8" si="3">G3/D3</f>
      </c>
      <c r="I3" s="158">
        <f t="shared" ref="I3:I8" si="0">R3/Q3</f>
      </c>
      <c r="J3" s="159">
        <f t="shared" ref="J3:J8" si="4">D3/S3</f>
      </c>
      <c r="K3" s="158">
        <f t="shared" ref="K3:K8" si="5">E3/T3</f>
      </c>
      <c r="L3" s="160">
        <f t="shared" ref="L3:L8" si="1">G3/E3</f>
      </c>
      <c r="M3" s="161">
        <f t="shared" ref="M3:M8" si="6">D3/E3</f>
      </c>
      <c r="N3" s="161">
        <f t="shared" ref="N3:N8" si="2">D3/E3</f>
      </c>
      <c r="O3" s="162" t="s">
        <v>98</v>
      </c>
      <c r="P3" s="163" t="s">
        <v>99</v>
      </c>
      <c r="Q3" s="164"/>
      <c r="R3" s="164"/>
      <c r="S3" s="164"/>
      <c r="T3" s="164"/>
    </row>
    <row r="4">
      <c r="A4" s="151"/>
      <c r="B4" s="152" t="s">
        <v>96</v>
      </c>
      <c r="C4" s="153" t="s">
        <v>100</v>
      </c>
      <c r="D4" s="154"/>
      <c r="E4" s="155"/>
      <c r="F4" s="155"/>
      <c r="G4" s="156"/>
      <c r="H4" s="157">
        <f t="shared" si="3"/>
      </c>
      <c r="I4" s="158">
        <f t="shared" si="0"/>
      </c>
      <c r="J4" s="159">
        <f t="shared" si="4"/>
      </c>
      <c r="K4" s="158">
        <f t="shared" si="5"/>
      </c>
      <c r="L4" s="160">
        <f t="shared" si="1"/>
      </c>
      <c r="M4" s="161">
        <f t="shared" si="6"/>
      </c>
      <c r="N4" s="161">
        <f t="shared" si="2"/>
      </c>
      <c r="O4" s="162" t="s">
        <v>98</v>
      </c>
      <c r="P4" s="163" t="s">
        <v>99</v>
      </c>
      <c r="Q4" s="164"/>
      <c r="R4" s="164"/>
      <c r="S4" s="164"/>
      <c r="T4" s="164"/>
    </row>
    <row r="5">
      <c r="A5" s="151"/>
      <c r="B5" s="152" t="s">
        <v>96</v>
      </c>
      <c r="C5" s="153" t="s">
        <v>101</v>
      </c>
      <c r="D5" s="154"/>
      <c r="E5" s="155"/>
      <c r="F5" s="155"/>
      <c r="G5" s="156"/>
      <c r="H5" s="157">
        <f t="shared" si="3"/>
      </c>
      <c r="I5" s="158">
        <f t="shared" si="0"/>
      </c>
      <c r="J5" s="159">
        <f t="shared" si="4"/>
      </c>
      <c r="K5" s="158">
        <f t="shared" si="5"/>
      </c>
      <c r="L5" s="160">
        <f t="shared" si="1"/>
      </c>
      <c r="M5" s="161">
        <f t="shared" si="6"/>
      </c>
      <c r="N5" s="161">
        <f t="shared" si="2"/>
      </c>
      <c r="O5" s="162" t="s">
        <v>98</v>
      </c>
      <c r="P5" s="163" t="s">
        <v>99</v>
      </c>
      <c r="Q5" s="164"/>
      <c r="R5" s="164"/>
      <c r="S5" s="164"/>
      <c r="T5" s="164"/>
    </row>
    <row r="6">
      <c r="A6" s="151"/>
      <c r="B6" s="152" t="s">
        <v>96</v>
      </c>
      <c r="C6" s="153" t="s">
        <v>102</v>
      </c>
      <c r="D6" s="154"/>
      <c r="E6" s="155"/>
      <c r="F6" s="155"/>
      <c r="G6" s="156"/>
      <c r="H6" s="157">
        <f t="shared" si="3"/>
      </c>
      <c r="I6" s="158">
        <f t="shared" si="0"/>
      </c>
      <c r="J6" s="159">
        <f t="shared" si="4"/>
      </c>
      <c r="K6" s="158">
        <f t="shared" si="5"/>
      </c>
      <c r="L6" s="160">
        <f t="shared" si="1"/>
      </c>
      <c r="M6" s="161">
        <f t="shared" si="6"/>
      </c>
      <c r="N6" s="161">
        <f t="shared" si="2"/>
      </c>
      <c r="O6" s="162" t="s">
        <v>98</v>
      </c>
      <c r="P6" s="163" t="s">
        <v>99</v>
      </c>
      <c r="Q6" s="164"/>
      <c r="R6" s="164"/>
      <c r="S6" s="164"/>
      <c r="T6" s="164"/>
    </row>
    <row r="7">
      <c r="A7" s="151"/>
      <c r="B7" s="165" t="s">
        <v>103</v>
      </c>
      <c r="C7" s="165"/>
      <c r="D7" s="166">
        <f>SUM(D3:D6)</f>
      </c>
      <c r="E7" s="167">
        <f>SUM(E3:E6)</f>
      </c>
      <c r="F7" s="167">
        <f>SUM(F3:F6)</f>
      </c>
      <c r="G7" s="168">
        <f>SUM(G3:G6)</f>
      </c>
      <c r="H7" s="169">
        <f t="shared" si="3"/>
      </c>
      <c r="I7" s="170">
        <f t="shared" si="0"/>
      </c>
      <c r="J7" s="171">
        <f t="shared" si="4"/>
      </c>
      <c r="K7" s="170">
        <f t="shared" si="5"/>
      </c>
      <c r="L7" s="172">
        <f t="shared" si="1"/>
      </c>
      <c r="M7" s="173">
        <f t="shared" si="6"/>
      </c>
      <c r="N7" s="173">
        <f t="shared" si="2"/>
      </c>
      <c r="O7" s="174"/>
      <c r="P7" s="174"/>
      <c r="Q7" s="175">
        <f>SUM(Q3:Q6)</f>
      </c>
      <c r="R7" s="175">
        <f>SUM(R3:R6)</f>
      </c>
      <c r="S7" s="175">
        <f>SUM(S3:S6)</f>
      </c>
      <c r="T7" s="175">
        <f>SUM(T3:T6)</f>
      </c>
    </row>
    <row r="8">
      <c r="A8" s="151"/>
      <c r="B8" s="176" t="s">
        <v>104</v>
      </c>
      <c r="C8" s="176"/>
      <c r="D8" s="177">
        <f>D7</f>
      </c>
      <c r="E8" s="178">
        <f>E7</f>
      </c>
      <c r="F8" s="178">
        <f>F7</f>
      </c>
      <c r="G8" s="177">
        <f>G7</f>
      </c>
      <c r="H8" s="179">
        <f t="shared" si="3"/>
      </c>
      <c r="I8" s="180">
        <f t="shared" si="0"/>
      </c>
      <c r="J8" s="179">
        <f t="shared" si="4"/>
      </c>
      <c r="K8" s="180">
        <f t="shared" si="5"/>
      </c>
      <c r="L8" s="181">
        <f t="shared" si="1"/>
      </c>
      <c r="M8" s="179">
        <f t="shared" si="6"/>
      </c>
      <c r="N8" s="179">
        <f t="shared" si="2"/>
      </c>
      <c r="O8" s="182"/>
      <c r="P8" s="182"/>
      <c r="Q8" s="178">
        <f>Q7</f>
      </c>
      <c r="R8" s="178">
        <f>R7</f>
      </c>
      <c r="S8" s="178">
        <f>S7</f>
      </c>
      <c r="T8" s="178">
        <f>T7</f>
      </c>
    </row>
    <row r="9">
      <c r="B9" s="183">
        <f>B10+B11+B12</f>
      </c>
      <c r="D9" s="184">
        <f>D10-D8</f>
      </c>
      <c r="E9" s="185">
        <v>0</v>
      </c>
      <c r="F9" s="186">
        <f>F10-F8</f>
      </c>
      <c r="G9" s="186">
        <f>G10-G8</f>
      </c>
      <c r="Q9" s="184">
        <f>Q10-Q8</f>
      </c>
      <c r="R9" s="184">
        <f>R10-R8</f>
      </c>
      <c r="S9" s="184">
        <f>S10-S8</f>
      </c>
      <c r="T9" s="184">
        <f>T10-T8</f>
      </c>
    </row>
    <row r="10">
      <c r="B10" s="187"/>
      <c r="D10" s="188"/>
      <c r="E10" s="189"/>
      <c r="F10" s="189"/>
      <c r="G10" s="190"/>
      <c r="Q10" s="191"/>
      <c r="R10" s="192"/>
      <c r="S10" s="192"/>
      <c r="T10" s="192"/>
    </row>
    <row r="11">
      <c r="B11" s="193"/>
    </row>
    <row r="12">
      <c r="B12" s="187"/>
      <c r="Q12" s="194">
        <f>Q13+Q14+Q15</f>
      </c>
      <c r="R12" s="194">
        <f>R13+R14+R15</f>
      </c>
      <c r="S12" s="194">
        <f>S13+S14+S15</f>
      </c>
    </row>
    <row r="13">
      <c r="Q13" s="195"/>
      <c r="R13" s="187"/>
      <c r="S13" s="193"/>
    </row>
    <row r="14">
      <c r="Q14" s="193"/>
      <c r="R14" s="187"/>
      <c r="S14" s="193"/>
    </row>
  </sheetData>
  <mergeCells>
    <mergeCell ref="I1:N1"/>
    <mergeCell ref="D1:H1"/>
    <mergeCell ref="A1:C1"/>
    <mergeCell ref="O1:P1"/>
    <mergeCell ref="A3:A8"/>
    <mergeCell ref="B7:C7"/>
    <mergeCell ref="B8:C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