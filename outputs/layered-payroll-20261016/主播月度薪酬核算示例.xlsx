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c24b5495b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月薪汇总" sheetId="1" r:id="R15bfad0c00934ad1"/>
    <x:sheet xmlns:r="http://schemas.openxmlformats.org/officeDocument/2006/relationships" name="月度核算明细" sheetId="2" r:id="R11a022c0ed924f55"/>
    <x:sheet xmlns:r="http://schemas.openxmlformats.org/officeDocument/2006/relationships" name="逐规则计算" sheetId="3" r:id="R0016c894292b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yyyy-mm"/>
    <x:numFmt numFmtId="202" formatCode="#,##0.00;[Red](#,##0.00);&quot;—&quot;"/>
    <x:numFmt numFmtId="203" formatCode="#,##0;[Red](#,##0);&quot;—&quot;"/>
    <x:numFmt numFmtId="204" formatCode="0.0"/>
    <x:numFmt numFmtId="205" formatCode="0"/>
  </x:numFmts>
  <x:fonts count="9">
    <x:font>
      <x:sz val="11"/>
      <x:name val="Carlito"/>
    </x:font>
    <x:font>
      <x:sz val="10"/>
      <x:color rgb="FF243447"/>
      <x:name val="Arial"/>
    </x:font>
    <x:font>
      <x:b/>
      <x:sz val="16"/>
      <x:color rgb="FF24364B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365D86"/>
      <x:name val="Arial"/>
    </x:font>
    <x:font>
      <x:b/>
      <x:sz val="10"/>
      <x:color rgb="FF243447"/>
      <x:name val="Arial"/>
    </x:font>
    <x:font>
      <x:sz val="10"/>
      <x:color rgb="FF8994A1"/>
      <x:name val="Arial"/>
    </x:font>
    <x:font>
      <x:b/>
      <x:sz val="10"/>
      <x:color rgb="FF24364B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15F86"/>
      </x:patternFill>
    </x:fill>
    <x:fill>
      <x:patternFill patternType="solid">
        <x:fgColor rgb="FF3F766F"/>
      </x:patternFill>
    </x:fill>
    <x:fill>
      <x:patternFill patternType="solid">
        <x:fgColor rgb="FF6C5A84"/>
      </x:patternFill>
    </x:fill>
    <x:fill>
      <x:patternFill patternType="solid">
        <x:fgColor rgb="FF976C28"/>
      </x:patternFill>
    </x:fill>
    <x:fill>
      <x:patternFill patternType="solid">
        <x:fgColor rgb="FF24364B"/>
      </x:patternFill>
    </x:fill>
    <x:fill>
      <x:patternFill patternType="solid">
        <x:fgColor rgb="FFF2F5F8"/>
      </x:patternFill>
    </x:fill>
    <x:fill>
      <x:patternFill patternType="solid">
        <x:fgColor rgb="FFE8EFF5"/>
      </x:patternFill>
    </x:fill>
    <x:fill>
      <x:patternFill patternType="solid">
        <x:fgColor rgb="FFFCF7EA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D7DFE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  <x:border>
      <x:left/>
      <x:right/>
      <x:top style="thin">
        <x:color rgb="FFD7DFE7"/>
      </x:top>
      <x:bottom/>
      <x:diagonal/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5" fillId="8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1" fontId="5" fillId="8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5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3" fontId="5" fillId="2" borderId="0" xfId="0" applyNumberFormat="1" applyFont="1" applyFill="1" applyBorder="1" applyAlignment="1">
      <x:alignment vertical="center"/>
    </x:xf>
    <x:xf numFmtId="203" fontId="5" fillId="8" borderId="0" xfId="0" applyNumberFormat="1" applyFont="1" applyFill="1" applyBorder="1" applyAlignment="1">
      <x:alignment vertical="center"/>
    </x:xf>
    <x:xf numFmtId="203" fontId="5" fillId="2" borderId="0" xfId="0" applyNumberFormat="1" applyFont="1" applyFill="1" applyBorder="1" applyAlignment="1">
      <x:alignment horizontal="right" vertical="center"/>
    </x:xf>
    <x:xf numFmtId="201" fontId="5" fillId="2" borderId="0" xfId="0" applyNumberFormat="1" applyFont="1" applyFill="1" applyBorder="1" applyAlignment="1">
      <x:alignment horizontal="right" vertical="center"/>
    </x:xf>
    <x:xf numFmtId="202" fontId="5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3" fontId="5" fillId="8" borderId="0" xfId="0" applyNumberFormat="1" applyFont="1" applyFill="1" applyBorder="1" applyAlignment="1">
      <x:alignment horizontal="right" vertical="center"/>
    </x:xf>
    <x:xf numFmtId="201" fontId="5" fillId="8" borderId="0" xfId="0" applyNumberFormat="1" applyFont="1" applyFill="1" applyBorder="1" applyAlignment="1">
      <x:alignment horizontal="right" vertical="center"/>
    </x:xf>
    <x:xf numFmtId="202" fontId="5" fillId="8" borderId="0" xfId="0" applyNumberFormat="1" applyFont="1" applyFill="1" applyBorder="1" applyAlignment="1">
      <x:alignment horizontal="right" vertical="center"/>
    </x:xf>
    <x:xf numFmtId="202" fontId="1" fillId="8" borderId="0" xfId="0" applyNumberFormat="1" applyFont="1" applyFill="1" applyBorder="1" applyAlignment="1">
      <x:alignment horizontal="right" vertical="center"/>
    </x:xf>
    <x:xf numFmtId="202" fontId="1" fillId="9" borderId="0" xfId="0" applyNumberFormat="1" applyFont="1" applyFill="1" applyBorder="1" applyAlignment="1">
      <x:alignment horizontal="right" vertical="center"/>
    </x:xf>
    <x:xf numFmtId="202" fontId="6" fillId="9" borderId="0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horizontal="right" vertical="center"/>
    </x:xf>
    <x:xf numFmtId="201" fontId="7" fillId="2" borderId="0" xfId="0" applyNumberFormat="1" applyFont="1" applyFill="1" applyBorder="1" applyAlignment="1">
      <x:alignment horizontal="right" vertical="center"/>
    </x:xf>
    <x:xf numFmtId="202" fontId="7" fillId="2" borderId="0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6" xfId="0" applyNumberFormat="1" applyFont="1" applyFill="1" applyBorder="1" applyAlignment="1">
      <x:alignment vertical="center"/>
    </x:xf>
    <x:xf numFmtId="202" fontId="8" fillId="9" borderId="6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8" fillId="9" borderId="6" xfId="0" applyNumberFormat="1" applyFont="1" applyFill="1" applyBorder="1" applyAlignment="1">
      <x:alignment vertical="center"/>
    </x:xf>
    <x:xf numFmtId="202" fontId="6" fillId="2" borderId="0" xfId="0" applyNumberFormat="1" applyFont="1" applyFill="1" applyBorder="1" applyAlignment="1">
      <x:alignment vertical="center"/>
    </x:xf>
    <x:xf numFmtId="202" fontId="6" fillId="8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2" fontId="6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203" fontId="1" fillId="8" borderId="0" xfId="0" applyNumberFormat="1" applyFont="1" applyFill="1" applyBorder="1" applyAlignment="1">
      <x:alignment horizontal="right" vertical="center"/>
    </x:xf>
    <x:xf numFmtId="202" fontId="6" fillId="8" borderId="0" xfId="0" applyNumberFormat="1" applyFont="1" applyFill="1" applyBorder="1" applyAlignment="1">
      <x:alignment horizontal="right" vertical="center"/>
    </x:xf>
    <x:xf numFmtId="203" fontId="8" fillId="9" borderId="6" xfId="0" applyNumberFormat="1" applyFont="1" applyFill="1" applyBorder="1" applyAlignment="1">
      <x:alignment horizontal="right" vertical="center"/>
    </x:xf>
    <x:xf numFmtId="202" fontId="8" fillId="9" borderId="6" xfId="0" applyNumberFormat="1" applyFont="1" applyFill="1" applyBorder="1" applyAlignment="1">
      <x:alignment horizontal="right" vertical="center"/>
    </x:xf>
    <x:xf numFmtId="0" fontId="4" fillId="7" borderId="3" xfId="0" applyNumberFormat="1" applyFont="1" applyFill="1" applyBorder="1" applyAlignment="1">
      <x:alignment horizontal="right" vertical="center" wrapText="1"/>
    </x:xf>
    <x:xf numFmtId="0" fontId="4" fillId="7" borderId="4" xfId="0" applyNumberFormat="1" applyFont="1" applyFill="1" applyBorder="1" applyAlignment="1">
      <x:alignment horizontal="right"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1" fillId="8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4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205" fontId="1" fillId="1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fc054007742a5" /><Relationship Type="http://schemas.openxmlformats.org/officeDocument/2006/relationships/theme" Target="/xl/theme/theme1.xml" Id="R617c157d011f4ba4" /><Relationship Type="http://schemas.openxmlformats.org/officeDocument/2006/relationships/sharedStrings" Target="/xl/sharedStrings.xml" Id="R7153fc8441f24adb" /><Relationship Type="http://schemas.openxmlformats.org/officeDocument/2006/relationships/worksheet" Target="/xl/worksheets/sheet1.xml" Id="R15bfad0c00934ad1" /><Relationship Type="http://schemas.openxmlformats.org/officeDocument/2006/relationships/worksheet" Target="/xl/worksheets/sheet2.xml" Id="R11a022c0ed924f55" /><Relationship Type="http://schemas.openxmlformats.org/officeDocument/2006/relationships/worksheet" Target="/xl/worksheets/sheet3.xml" Id="R0016c894292b4d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7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3" hidden="0" customWidth="1"/>
    <x:col min="9" max="9" width="16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1" customHeight="1">
      <x:c r="A2" s="4" t="str">
        <x:v>主播月度薪酬核算示例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4" customHeight="1">
      <x:c r="A4" s="6" t="str">
        <x:v>2026-10　模拟数据，不是真实工资。金额单位：人民币元。</x:v>
      </x:c>
      <x:c r="B4" s="3"/>
      <x:c r="C4" s="3"/>
      <x:c r="D4" s="3"/>
      <x:c r="E4" s="3"/>
      <x:c r="F4" s="3"/>
      <x:c r="G4" s="3"/>
      <x:c r="H4" s="3"/>
      <x:c r="I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34" customHeight="1">
      <x:c r="A6" s="63" t="str">
        <x:v>员工名称</x:v>
      </x:c>
      <x:c r="B6" s="64" t="str">
        <x:v>员工ID</x:v>
      </x:c>
      <x:c r="C6" s="64" t="str">
        <x:v>核算行数</x:v>
      </x:c>
      <x:c r="D6" s="64" t="str">
        <x:v>总补贴</x:v>
      </x:c>
      <x:c r="E6" s="64" t="str">
        <x:v>系数后总保费</x:v>
      </x:c>
      <x:c r="F6" s="65" t="str">
        <x:v>总计月薪</x:v>
      </x:c>
      <x:c r="G6" s="3"/>
      <x:c r="H6" s="3"/>
      <x:c r="I6" s="3"/>
    </x:row>
    <x:row r="7" ht="28" customHeight="1">
      <x:c r="A7" s="3" t="str">
        <x:v>林晓</x:v>
      </x:c>
      <x:c r="B7" s="3" t="str">
        <x:v>example-lin</x:v>
      </x:c>
      <x:c r="C7" s="105" t="n">
        <x:f>COUNTIFS('月度核算明细'!$A$7:$A$10,B7)</x:f>
        <x:v>2</x:v>
      </x:c>
      <x:c r="D7" s="83" t="n">
        <x:f>SUMIFS('月度核算明细'!$AT$7:$AT$10,'月度核算明细'!$A$7:$A$10,B7)</x:f>
        <x:v>530</x:v>
      </x:c>
      <x:c r="E7" s="83" t="n">
        <x:f>SUMIFS('月度核算明细'!$AU$7:$AU$10,'月度核算明细'!$A$7:$A$10,B7)</x:f>
        <x:v>49000</x:v>
      </x:c>
      <x:c r="F7" s="106" t="n">
        <x:f>SUMIFS('月度核算明细'!$AV$7:$AV$10,'月度核算明细'!$A$7:$A$10,B7)</x:f>
        <x:v>9530</x:v>
      </x:c>
      <x:c r="G7" s="107"/>
      <x:c r="H7" s="107"/>
      <x:c r="I7" s="107"/>
    </x:row>
    <x:row r="8" ht="28" customHeight="1">
      <x:c r="A8" s="67" t="str">
        <x:v>周宁</x:v>
      </x:c>
      <x:c r="B8" s="67" t="str">
        <x:v>example-zhou</x:v>
      </x:c>
      <x:c r="C8" s="108" t="n">
        <x:f>COUNTIFS('月度核算明细'!$A$7:$A$10,B8)</x:f>
        <x:v>1</x:v>
      </x:c>
      <x:c r="D8" s="87" t="n">
        <x:f>SUMIFS('月度核算明细'!$AT$7:$AT$10,'月度核算明细'!$A$7:$A$10,B8)</x:f>
        <x:v>120</x:v>
      </x:c>
      <x:c r="E8" s="87" t="n">
        <x:f>SUMIFS('月度核算明细'!$AU$7:$AU$10,'月度核算明细'!$A$7:$A$10,B8)</x:f>
        <x:v>28000</x:v>
      </x:c>
      <x:c r="F8" s="109" t="n">
        <x:f>SUMIFS('月度核算明细'!$AV$7:$AV$10,'月度核算明细'!$A$7:$A$10,B8)</x:f>
        <x:v>4120</x:v>
      </x:c>
      <x:c r="G8" s="107"/>
      <x:c r="H8" s="107"/>
      <x:c r="I8" s="107"/>
    </x:row>
    <x:row r="9" ht="28" customHeight="1">
      <x:c r="A9" s="3" t="str">
        <x:v>陈雨</x:v>
      </x:c>
      <x:c r="B9" s="3" t="str">
        <x:v>example-chen</x:v>
      </x:c>
      <x:c r="C9" s="105" t="n">
        <x:f>COUNTIFS('月度核算明细'!$A$7:$A$10,B9)</x:f>
        <x:v>1</x:v>
      </x:c>
      <x:c r="D9" s="83" t="n">
        <x:f>SUMIFS('月度核算明细'!$AT$7:$AT$10,'月度核算明细'!$A$7:$A$10,B9)</x:f>
        <x:v>165</x:v>
      </x:c>
      <x:c r="E9" s="83" t="n">
        <x:f>SUMIFS('月度核算明细'!$AU$7:$AU$10,'月度核算明细'!$A$7:$A$10,B9)</x:f>
        <x:v>36000</x:v>
      </x:c>
      <x:c r="F9" s="106" t="n">
        <x:f>SUMIFS('月度核算明细'!$AV$7:$AV$10,'月度核算明细'!$A$7:$A$10,B9)</x:f>
        <x:v>4565</x:v>
      </x:c>
      <x:c r="G9" s="107"/>
      <x:c r="H9" s="107"/>
      <x:c r="I9" s="107"/>
    </x:row>
    <x:row r="10" ht="28" customHeight="1">
      <x:c r="A10" s="97" t="str">
        <x:v>合计</x:v>
      </x:c>
      <x:c r="B10" s="97"/>
      <x:c r="C10" s="110" t="n">
        <x:f>SUM(C7:C9)</x:f>
        <x:v>4</x:v>
      </x:c>
      <x:c r="D10" s="111" t="n">
        <x:f>SUM(D7:D9)</x:f>
        <x:v>815</x:v>
      </x:c>
      <x:c r="E10" s="111" t="n">
        <x:f>SUM(E7:E9)</x:f>
        <x:v>113000</x:v>
      </x:c>
      <x:c r="F10" s="111" t="n">
        <x:f>SUM(F7:F9)</x:f>
        <x:v>18215</x:v>
      </x:c>
      <x:c r="G10" s="107"/>
      <x:c r="H10" s="107"/>
      <x:c r="I10" s="107"/>
    </x:row>
    <x:row r="11" ht="12" customHeight="1">
      <x:c r="A11" s="3"/>
      <x:c r="B11" s="3"/>
      <x:c r="C11" s="107"/>
      <x:c r="D11" s="107"/>
      <x:c r="E11" s="107"/>
      <x:c r="F11" s="107"/>
      <x:c r="G11" s="107"/>
      <x:c r="H11" s="107"/>
      <x:c r="I11" s="107"/>
    </x:row>
    <x:row r="12" ht="12" customHeight="1">
      <x:c r="A12" s="3"/>
      <x:c r="B12" s="3"/>
      <x:c r="C12" s="107"/>
      <x:c r="D12" s="107"/>
      <x:c r="E12" s="107"/>
      <x:c r="F12" s="107"/>
      <x:c r="G12" s="107"/>
      <x:c r="H12" s="107"/>
      <x:c r="I12" s="107"/>
    </x:row>
    <x:row r="13" ht="12" customHeight="1">
      <x:c r="A13" s="3"/>
      <x:c r="B13" s="3"/>
      <x:c r="C13" s="107"/>
      <x:c r="D13" s="107"/>
      <x:c r="E13" s="107"/>
      <x:c r="F13" s="107"/>
      <x:c r="G13" s="107"/>
      <x:c r="H13" s="107"/>
      <x:c r="I13" s="107"/>
    </x:row>
    <x:row r="14" ht="28" customHeight="1">
      <x:c r="A14" s="104" t="str">
        <x:v>各直播间结算过程</x:v>
      </x:c>
      <x:c r="B14" s="3"/>
      <x:c r="C14" s="107"/>
      <x:c r="D14" s="107"/>
      <x:c r="E14" s="107"/>
      <x:c r="F14" s="107"/>
      <x:c r="G14" s="107"/>
      <x:c r="H14" s="107"/>
      <x:c r="I14" s="107"/>
    </x:row>
    <x:row r="15" ht="28" customHeight="1">
      <x:c r="A15" s="6" t="str">
        <x:v>先按员工和直播间核算，再把该员工各房间月薪相加。</x:v>
      </x:c>
      <x:c r="B15" s="3"/>
      <x:c r="C15" s="107"/>
      <x:c r="D15" s="107"/>
      <x:c r="E15" s="107"/>
      <x:c r="F15" s="107"/>
      <x:c r="G15" s="107"/>
      <x:c r="H15" s="107"/>
      <x:c r="I15" s="107"/>
    </x:row>
    <x:row r="16" ht="40" customHeight="1">
      <x:c r="A16" s="63" t="str">
        <x:v>员工名称</x:v>
      </x:c>
      <x:c r="B16" s="64" t="str">
        <x:v>直播间</x:v>
      </x:c>
      <x:c r="C16" s="64" t="str">
        <x:v>三类保底最大值</x:v>
      </x:c>
      <x:c r="D16" s="64" t="str">
        <x:v>三类加成合计</x:v>
      </x:c>
      <x:c r="E16" s="64" t="str">
        <x:v>总补贴</x:v>
      </x:c>
      <x:c r="F16" s="64" t="str">
        <x:v>总计月薪</x:v>
      </x:c>
      <x:c r="G16" s="64" t="str">
        <x:v>有效总保费</x:v>
      </x:c>
      <x:c r="H16" s="64" t="str">
        <x:v>有效ROI</x:v>
      </x:c>
      <x:c r="I16" s="65" t="str">
        <x:v>同房主播排名</x:v>
      </x:c>
    </x:row>
    <x:row r="17" ht="28" customHeight="1">
      <x:c r="A17" s="3" t="str">
        <x:v>林晓</x:v>
      </x:c>
      <x:c r="B17" s="3" t="str">
        <x:v>示例一号房</x:v>
      </x:c>
      <x:c r="C17" s="83" t="n">
        <x:f>MAX('月度核算明细'!AI7,'月度核算明细'!AM7,'月度核算明细'!AQ7)</x:f>
        <x:v>6600</x:v>
      </x:c>
      <x:c r="D17" s="83" t="n">
        <x:f>SUM('月度核算明细'!AJ7,'月度核算明细'!AN7,'月度核算明细'!AR7)</x:f>
        <x:v>6800</x:v>
      </x:c>
      <x:c r="E17" s="83" t="n">
        <x:f>'月度核算明细'!AT7</x:f>
        <x:v>450</x:v>
      </x:c>
      <x:c r="F17" s="106" t="n">
        <x:f>'月度核算明细'!AV7</x:f>
        <x:v>7250</x:v>
      </x:c>
      <x:c r="G17" s="83" t="n">
        <x:f>'月度核算明细'!AU7</x:f>
        <x:v>40000</x:v>
      </x:c>
      <x:c r="H17" s="83" t="n">
        <x:f>IF('月度核算明细'!T7=0,"n.a.",G17/'月度核算明细'!T7)</x:f>
        <x:v>4</x:v>
      </x:c>
      <x:c r="I17" s="105" t="n">
        <x:f>1+COUNTIFS($B$17:$B$20,B17,$H$17:$H$20,"&gt;"&amp;H17)</x:f>
        <x:v>1</x:v>
      </x:c>
    </x:row>
    <x:row r="18" ht="28" customHeight="1">
      <x:c r="A18" s="67" t="str">
        <x:v>周宁</x:v>
      </x:c>
      <x:c r="B18" s="67" t="str">
        <x:v>示例一号房</x:v>
      </x:c>
      <x:c r="C18" s="87" t="n">
        <x:f>MAX('月度核算明细'!AI8,'月度核算明细'!AM8,'月度核算明细'!AQ8)</x:f>
        <x:v>4000</x:v>
      </x:c>
      <x:c r="D18" s="87" t="n">
        <x:f>SUM('月度核算明细'!AJ8,'月度核算明细'!AN8,'月度核算明细'!AR8)</x:f>
        <x:v>3000</x:v>
      </x:c>
      <x:c r="E18" s="87" t="n">
        <x:f>'月度核算明细'!AT8</x:f>
        <x:v>120</x:v>
      </x:c>
      <x:c r="F18" s="109" t="n">
        <x:f>'月度核算明细'!AV8</x:f>
        <x:v>4120</x:v>
      </x:c>
      <x:c r="G18" s="87" t="n">
        <x:f>'月度核算明细'!AU8</x:f>
        <x:v>28000</x:v>
      </x:c>
      <x:c r="H18" s="87" t="n">
        <x:f>IF('月度核算明细'!T8=0,"n.a.",G18/'月度核算明细'!T8)</x:f>
        <x:v>2.8</x:v>
      </x:c>
      <x:c r="I18" s="108" t="n">
        <x:f>1+COUNTIFS($B$17:$B$20,B18,$H$17:$H$20,"&gt;"&amp;H18)</x:f>
        <x:v>3</x:v>
      </x:c>
    </x:row>
    <x:row r="19" ht="28" customHeight="1">
      <x:c r="A19" s="3" t="str">
        <x:v>陈雨</x:v>
      </x:c>
      <x:c r="B19" s="3" t="str">
        <x:v>示例一号房</x:v>
      </x:c>
      <x:c r="C19" s="83" t="n">
        <x:f>MAX('月度核算明细'!AI9,'月度核算明细'!AM9,'月度核算明细'!AQ9)</x:f>
        <x:v>4400</x:v>
      </x:c>
      <x:c r="D19" s="83" t="n">
        <x:f>SUM('月度核算明细'!AJ9,'月度核算明细'!AN9,'月度核算明细'!AR9)</x:f>
        <x:v>3800</x:v>
      </x:c>
      <x:c r="E19" s="83" t="n">
        <x:f>'月度核算明细'!AT9</x:f>
        <x:v>165</x:v>
      </x:c>
      <x:c r="F19" s="106" t="n">
        <x:f>'月度核算明细'!AV9</x:f>
        <x:v>4565</x:v>
      </x:c>
      <x:c r="G19" s="83" t="n">
        <x:f>'月度核算明细'!AU9</x:f>
        <x:v>36000</x:v>
      </x:c>
      <x:c r="H19" s="83" t="n">
        <x:f>IF('月度核算明细'!T9=0,"n.a.",G19/'月度核算明细'!T9)</x:f>
        <x:v>3.6</x:v>
      </x:c>
      <x:c r="I19" s="105" t="n">
        <x:f>1+COUNTIFS($B$17:$B$20,B19,$H$17:$H$20,"&gt;"&amp;H19)</x:f>
        <x:v>2</x:v>
      </x:c>
    </x:row>
    <x:row r="20" ht="28" customHeight="1">
      <x:c r="A20" s="67" t="str">
        <x:v>林晓</x:v>
      </x:c>
      <x:c r="B20" s="67" t="str">
        <x:v>示例二号房</x:v>
      </x:c>
      <x:c r="C20" s="87" t="n">
        <x:f>MAX('月度核算明细'!AI10,'月度核算明细'!AM10,'月度核算明细'!AQ10)</x:f>
        <x:v>2200</x:v>
      </x:c>
      <x:c r="D20" s="87" t="n">
        <x:f>SUM('月度核算明细'!AJ10,'月度核算明细'!AN10,'月度核算明细'!AR10)</x:f>
        <x:v>1850</x:v>
      </x:c>
      <x:c r="E20" s="87" t="n">
        <x:f>'月度核算明细'!AT10</x:f>
        <x:v>80</x:v>
      </x:c>
      <x:c r="F20" s="109" t="n">
        <x:f>'月度核算明细'!AV10</x:f>
        <x:v>2280</x:v>
      </x:c>
      <x:c r="G20" s="87" t="n">
        <x:f>'月度核算明细'!AU10</x:f>
        <x:v>9000</x:v>
      </x:c>
      <x:c r="H20" s="87" t="n">
        <x:f>IF('月度核算明细'!T10=0,"n.a.",G20/'月度核算明细'!T10)</x:f>
        <x:v>2.25</x:v>
      </x:c>
      <x:c r="I20" s="108" t="n">
        <x:f>1+COUNTIFS($B$17:$B$20,B20,$H$17:$H$20,"&gt;"&amp;H20)</x:f>
        <x:v>1</x:v>
      </x:c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</x:row>
    <x:row r="23" ht="24" customHeight="1">
      <x:c r="A23" s="6" t="str">
        <x:v>每行月薪 = MAX（三类保底最大值，三类加成合计）+ 总补贴。系数后保费只用于指标计算。</x:v>
      </x:c>
      <x:c r="B23" s="3"/>
      <x:c r="C23" s="3"/>
      <x:c r="D23" s="3"/>
      <x:c r="E23" s="3"/>
      <x:c r="F23" s="3"/>
      <x:c r="G23" s="3"/>
      <x:c r="H23" s="3"/>
      <x:c r="I23" s="3"/>
    </x:row>
    <x:row r="24" ht="24" customHeight="1">
      <x:c r="A24" s="6" t="str">
        <x:v>同房主播按有效ROI降序排名；并列时采用 1、1、3 的竞赛排名。陈雨兼任场控，仍只核算一次。</x:v>
      </x:c>
      <x:c r="B24" s="3"/>
      <x:c r="C24" s="3"/>
      <x:c r="D24" s="3"/>
      <x:c r="E24" s="3"/>
      <x:c r="F24" s="3"/>
      <x:c r="G24" s="3"/>
      <x:c r="H24" s="3"/>
      <x:c r="I24" s="3"/>
    </x:row>
    <x:row r="25" ht="24" customHeight="1">
      <x:c r="A25" s="6" t="str">
        <x:v>本例含5行源数据、4行主播核算、3名主播；吴策为投手，未纳入主播月薪。</x:v>
      </x:c>
      <x:c r="B25" s="3"/>
      <x:c r="C25" s="3"/>
      <x:c r="D25" s="3"/>
      <x:c r="E25" s="3"/>
      <x:c r="F25" s="3"/>
      <x:c r="G25" s="3"/>
      <x:c r="H25" s="3"/>
      <x:c r="I25" s="3"/>
    </x:row>
    <x:row r="26" ht="24" customHeight="1">
      <x:c r="A26" s="6" t="str">
        <x:v>来源：固定虚构演示样例。员工范围与适用规则固定；身份、规则或数据粒度改变后须在系统重新核算。</x:v>
      </x:c>
      <x:c r="B26" s="3"/>
      <x:c r="C26" s="3"/>
      <x:c r="D26" s="3"/>
      <x:c r="E26" s="3"/>
      <x:c r="F26" s="3"/>
      <x:c r="G26" s="3"/>
      <x:c r="H26" s="3"/>
      <x:c r="I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F8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14" hidden="0" customWidth="1"/>
    <x:col min="6" max="6" width="18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</x:row>
    <x:row r="2" ht="31" customHeight="1">
      <x:c r="A2" s="4" t="str">
        <x:v>月度核算明细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</x:row>
    <x:row r="4" ht="24" customHeight="1">
      <x:c r="A4" s="6" t="str">
        <x:v>每行对应员工、直播间、月份；前33列保留原始统计。金额为元，时长为小时。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</x:row>
    <x:row r="5" ht="28" customHeight="1">
      <x:c r="A5" s="18" t="str">
        <x:v>直播数据统计</x:v>
      </x:c>
      <x:c r="B5" s="18" t="str">
        <x:v>直播数据统计</x:v>
      </x:c>
      <x:c r="C5" s="18" t="str">
        <x:v>直播数据统计</x:v>
      </x:c>
      <x:c r="D5" s="18" t="str">
        <x:v>直播数据统计</x:v>
      </x:c>
      <x:c r="E5" s="18" t="str">
        <x:v>直播数据统计</x:v>
      </x:c>
      <x:c r="F5" s="18" t="str">
        <x:v>直播数据统计</x:v>
      </x:c>
      <x:c r="G5" s="18" t="str">
        <x:v>直播数据统计</x:v>
      </x:c>
      <x:c r="H5" s="18" t="str">
        <x:v>直播数据统计</x:v>
      </x:c>
      <x:c r="I5" s="18" t="str">
        <x:v>直播数据统计</x:v>
      </x:c>
      <x:c r="J5" s="18" t="str">
        <x:v>直播数据统计</x:v>
      </x:c>
      <x:c r="K5" s="18" t="str">
        <x:v>直播数据统计</x:v>
      </x:c>
      <x:c r="L5" s="18" t="str">
        <x:v>直播数据统计</x:v>
      </x:c>
      <x:c r="M5" s="18" t="str">
        <x:v>直播数据统计</x:v>
      </x:c>
      <x:c r="N5" s="18" t="str">
        <x:v>直播数据统计</x:v>
      </x:c>
      <x:c r="O5" s="18" t="str">
        <x:v>直播数据统计</x:v>
      </x:c>
      <x:c r="P5" s="18" t="str">
        <x:v>直播数据统计</x:v>
      </x:c>
      <x:c r="Q5" s="18" t="str">
        <x:v>直播数据统计</x:v>
      </x:c>
      <x:c r="R5" s="18" t="str">
        <x:v>直播数据统计</x:v>
      </x:c>
      <x:c r="S5" s="18" t="str">
        <x:v>直播数据统计</x:v>
      </x:c>
      <x:c r="T5" s="18" t="str">
        <x:v>直播数据统计</x:v>
      </x:c>
      <x:c r="U5" s="18" t="str">
        <x:v>直播数据统计</x:v>
      </x:c>
      <x:c r="V5" s="18" t="str">
        <x:v>直播数据统计</x:v>
      </x:c>
      <x:c r="W5" s="18" t="str">
        <x:v>直播数据统计</x:v>
      </x:c>
      <x:c r="X5" s="18" t="str">
        <x:v>直播数据统计</x:v>
      </x:c>
      <x:c r="Y5" s="18" t="str">
        <x:v>直播数据统计</x:v>
      </x:c>
      <x:c r="Z5" s="18" t="str">
        <x:v>直播数据统计</x:v>
      </x:c>
      <x:c r="AA5" s="18" t="str">
        <x:v>直播数据统计</x:v>
      </x:c>
      <x:c r="AB5" s="18" t="str">
        <x:v>直播数据统计</x:v>
      </x:c>
      <x:c r="AC5" s="18" t="str">
        <x:v>直播数据统计</x:v>
      </x:c>
      <x:c r="AD5" s="18" t="str">
        <x:v>直播数据统计</x:v>
      </x:c>
      <x:c r="AE5" s="18" t="str">
        <x:v>直播数据统计</x:v>
      </x:c>
      <x:c r="AF5" s="18" t="str">
        <x:v>直播数据统计</x:v>
      </x:c>
      <x:c r="AG5" s="18" t="str">
        <x:v>直播数据统计</x:v>
      </x:c>
      <x:c r="AH5" s="30" t="str">
        <x:v>基础核算指标</x:v>
      </x:c>
      <x:c r="AI5" s="30" t="str">
        <x:v>基础核算指标</x:v>
      </x:c>
      <x:c r="AJ5" s="30" t="str">
        <x:v>基础核算指标</x:v>
      </x:c>
      <x:c r="AK5" s="30" t="str">
        <x:v>基础核算指标</x:v>
      </x:c>
      <x:c r="AL5" s="42" t="str">
        <x:v>直播间核算指标</x:v>
      </x:c>
      <x:c r="AM5" s="42" t="str">
        <x:v>直播间核算指标</x:v>
      </x:c>
      <x:c r="AN5" s="42" t="str">
        <x:v>直播间核算指标</x:v>
      </x:c>
      <x:c r="AO5" s="42" t="str">
        <x:v>直播间核算指标</x:v>
      </x:c>
      <x:c r="AP5" s="54" t="str">
        <x:v>员工核算指标</x:v>
      </x:c>
      <x:c r="AQ5" s="54" t="str">
        <x:v>员工核算指标</x:v>
      </x:c>
      <x:c r="AR5" s="54" t="str">
        <x:v>员工核算指标</x:v>
      </x:c>
      <x:c r="AS5" s="54" t="str">
        <x:v>员工核算指标</x:v>
      </x:c>
      <x:c r="AT5" s="66" t="str">
        <x:v>结果指标</x:v>
      </x:c>
      <x:c r="AU5" s="66" t="str">
        <x:v>结果指标</x:v>
      </x:c>
      <x:c r="AV5" s="66" t="str">
        <x:v>结果指标</x:v>
      </x:c>
    </x:row>
    <x:row r="6" ht="42" customHeight="1">
      <x:c r="A6" s="15" t="str">
        <x:v>员工ID</x:v>
      </x:c>
      <x:c r="B6" s="16" t="str">
        <x:v>员工名称</x:v>
      </x:c>
      <x:c r="C6" s="16" t="str">
        <x:v>部门ID</x:v>
      </x:c>
      <x:c r="D6" s="16" t="str">
        <x:v>部门名称</x:v>
      </x:c>
      <x:c r="E6" s="16" t="str">
        <x:v>入职日期</x:v>
      </x:c>
      <x:c r="F6" s="16" t="str">
        <x:v>是否签约竞业协议</x:v>
      </x:c>
      <x:c r="G6" s="16" t="str">
        <x:v>产品ID</x:v>
      </x:c>
      <x:c r="H6" s="16" t="str">
        <x:v>产品名称</x:v>
      </x:c>
      <x:c r="I6" s="16" t="str">
        <x:v>直播间ID</x:v>
      </x:c>
      <x:c r="J6" s="16" t="str">
        <x:v>直播间名称</x:v>
      </x:c>
      <x:c r="K6" s="16" t="str">
        <x:v>直播间开播时间</x:v>
      </x:c>
      <x:c r="L6" s="16" t="str">
        <x:v>年份</x:v>
      </x:c>
      <x:c r="M6" s="16" t="str">
        <x:v>月份</x:v>
      </x:c>
      <x:c r="N6" s="16" t="str">
        <x:v>总直播时长</x:v>
      </x:c>
      <x:c r="O6" s="16" t="str">
        <x:v>夜班直播时长</x:v>
      </x:c>
      <x:c r="P6" s="16" t="str">
        <x:v>早班直播时长</x:v>
      </x:c>
      <x:c r="Q6" s="16" t="str">
        <x:v>正常直播时长</x:v>
      </x:c>
      <x:c r="R6" s="16" t="str">
        <x:v>夜班场次</x:v>
      </x:c>
      <x:c r="S6" s="16" t="str">
        <x:v>早班场次</x:v>
      </x:c>
      <x:c r="T6" s="16" t="str">
        <x:v>总消耗</x:v>
      </x:c>
      <x:c r="U6" s="16" t="str">
        <x:v>夜班消耗</x:v>
      </x:c>
      <x:c r="V6" s="16" t="str">
        <x:v>早班消耗</x:v>
      </x:c>
      <x:c r="W6" s="16" t="str">
        <x:v>正常消耗</x:v>
      </x:c>
      <x:c r="X6" s="16" t="str">
        <x:v>总保费</x:v>
      </x:c>
      <x:c r="Y6" s="16" t="str">
        <x:v>夜班保费</x:v>
      </x:c>
      <x:c r="Z6" s="16" t="str">
        <x:v>早班保费</x:v>
      </x:c>
      <x:c r="AA6" s="16" t="str">
        <x:v>正常保费</x:v>
      </x:c>
      <x:c r="AB6" s="16" t="str">
        <x:v>ROI</x:v>
      </x:c>
      <x:c r="AC6" s="16" t="str">
        <x:v>时耗</x:v>
      </x:c>
      <x:c r="AD6" s="16" t="str">
        <x:v>AD成本</x:v>
      </x:c>
      <x:c r="AE6" s="16" t="str">
        <x:v>保单成本</x:v>
      </x:c>
      <x:c r="AF6" s="16" t="str">
        <x:v>ROI排名</x:v>
      </x:c>
      <x:c r="AG6" s="17" t="str">
        <x:v>消耗排名</x:v>
      </x:c>
      <x:c r="AH6" s="27" t="str">
        <x:v>补贴</x:v>
      </x:c>
      <x:c r="AI6" s="28" t="str">
        <x:v>保底</x:v>
      </x:c>
      <x:c r="AJ6" s="28" t="str">
        <x:v>加成</x:v>
      </x:c>
      <x:c r="AK6" s="29" t="str">
        <x:v>系数后保费</x:v>
      </x:c>
      <x:c r="AL6" s="39" t="str">
        <x:v>补贴</x:v>
      </x:c>
      <x:c r="AM6" s="40" t="str">
        <x:v>保底</x:v>
      </x:c>
      <x:c r="AN6" s="40" t="str">
        <x:v>加成</x:v>
      </x:c>
      <x:c r="AO6" s="41" t="str">
        <x:v>系数后保费</x:v>
      </x:c>
      <x:c r="AP6" s="51" t="str">
        <x:v>补贴</x:v>
      </x:c>
      <x:c r="AQ6" s="52" t="str">
        <x:v>保底</x:v>
      </x:c>
      <x:c r="AR6" s="52" t="str">
        <x:v>加成</x:v>
      </x:c>
      <x:c r="AS6" s="53" t="str">
        <x:v>系数后保费</x:v>
      </x:c>
      <x:c r="AT6" s="63" t="str">
        <x:v>总补贴</x:v>
      </x:c>
      <x:c r="AU6" s="64" t="str">
        <x:v>系数后总保费</x:v>
      </x:c>
      <x:c r="AV6" s="65" t="str">
        <x:v>总计月薪</x:v>
      </x:c>
    </x:row>
    <x:row r="7" ht="24" customHeight="1">
      <x:c r="A7" s="68" t="str">
        <x:v>example-lin</x:v>
      </x:c>
      <x:c r="B7" s="68" t="str">
        <x:v>林晓</x:v>
      </x:c>
      <x:c r="C7" s="68" t="str">
        <x:v>example-live</x:v>
      </x:c>
      <x:c r="D7" s="68" t="str">
        <x:v>示例直播部</x:v>
      </x:c>
      <x:c r="E7" s="70" t="d">
        <x:v>2026-01-01T00:00:00.000Z</x:v>
      </x:c>
      <x:c r="F7" s="68" t="str">
        <x:v>是</x:v>
      </x:c>
      <x:c r="G7" s="68" t="str">
        <x:v>example-product</x:v>
      </x:c>
      <x:c r="H7" s="68" t="str">
        <x:v>示例产品</x:v>
      </x:c>
      <x:c r="I7" s="68" t="str">
        <x:v>example-room-a</x:v>
      </x:c>
      <x:c r="J7" s="68" t="str">
        <x:v>示例一号房</x:v>
      </x:c>
      <x:c r="K7" s="70" t="d">
        <x:v>2026-01-01T00:00:00.000Z</x:v>
      </x:c>
      <x:c r="L7" s="80" t="n">
        <x:v>2026</x:v>
      </x:c>
      <x:c r="M7" s="81" t="d">
        <x:v>2026-10-01T00:00:00.000Z</x:v>
      </x:c>
      <x:c r="N7" s="82" t="n">
        <x:v>100</x:v>
      </x:c>
      <x:c r="O7" s="82" t="n">
        <x:v>20</x:v>
      </x:c>
      <x:c r="P7" s="82" t="n">
        <x:v>30</x:v>
      </x:c>
      <x:c r="Q7" s="82" t="n">
        <x:v>50</x:v>
      </x:c>
      <x:c r="R7" s="80" t="n">
        <x:v>10</x:v>
      </x:c>
      <x:c r="S7" s="80" t="n">
        <x:v>10</x:v>
      </x:c>
      <x:c r="T7" s="82" t="n">
        <x:v>10000</x:v>
      </x:c>
      <x:c r="U7" s="82" t="n">
        <x:v>2000</x:v>
      </x:c>
      <x:c r="V7" s="82" t="n">
        <x:v>3000</x:v>
      </x:c>
      <x:c r="W7" s="82" t="n">
        <x:v>5000</x:v>
      </x:c>
      <x:c r="X7" s="82" t="n">
        <x:v>24000</x:v>
      </x:c>
      <x:c r="Y7" s="82" t="n">
        <x:v>4000</x:v>
      </x:c>
      <x:c r="Z7" s="82" t="n">
        <x:v>10000</x:v>
      </x:c>
      <x:c r="AA7" s="82" t="n">
        <x:v>10000</x:v>
      </x:c>
      <x:c r="AB7" s="82" t="n">
        <x:v>2.4</x:v>
      </x:c>
      <x:c r="AC7" s="82" t="n">
        <x:v>100</x:v>
      </x:c>
      <x:c r="AD7" s="82" t="str">
        <x:v>待定义</x:v>
      </x:c>
      <x:c r="AE7" s="82" t="str">
        <x:v>待定义</x:v>
      </x:c>
      <x:c r="AF7" s="80" t="n">
        <x:v>3</x:v>
      </x:c>
      <x:c r="AG7" s="80" t="n">
        <x:v>1</x:v>
      </x:c>
      <x:c r="AH7" s="83" t="n">
        <x:f>SUM('逐规则计算'!J7,'逐规则计算'!J8)</x:f>
        <x:v>300</x:v>
      </x:c>
      <x:c r="AI7" s="83" t="n">
        <x:f>MAX('逐规则计算'!J13,'逐规则计算'!J14)</x:f>
        <x:v>5000</x:v>
      </x:c>
      <x:c r="AJ7" s="83" t="n">
        <x:f>SUM('逐规则计算'!J15,'逐规则计算'!J16)</x:f>
        <x:v>5500</x:v>
      </x:c>
      <x:c r="AK7" s="83" t="n">
        <x:f>MAX('逐规则计算'!J9,'逐规则计算'!J10)</x:f>
        <x:v>30000</x:v>
      </x:c>
      <x:c r="AL7" s="83" t="n">
        <x:f>0</x:f>
        <x:v>0</x:v>
      </x:c>
      <x:c r="AM7" s="83" t="n">
        <x:f>0</x:f>
        <x:v>0</x:v>
      </x:c>
      <x:c r="AN7" s="83" t="n">
        <x:f>SUM('逐规则计算'!J17)</x:f>
        <x:v>1000</x:v>
      </x:c>
      <x:c r="AO7" s="83" t="n">
        <x:f>0</x:f>
        <x:v>0</x:v>
      </x:c>
      <x:c r="AP7" s="83" t="n">
        <x:f>SUM('逐规则计算'!J11)</x:f>
        <x:v>150</x:v>
      </x:c>
      <x:c r="AQ7" s="83" t="n">
        <x:f>MAX('逐规则计算'!J18,'逐规则计算'!J19)</x:f>
        <x:v>6600</x:v>
      </x:c>
      <x:c r="AR7" s="83" t="n">
        <x:f>SUM('逐规则计算'!J20)</x:f>
        <x:v>300</x:v>
      </x:c>
      <x:c r="AS7" s="83" t="n">
        <x:f>MAX('逐规则计算'!J12)</x:f>
        <x:v>40000</x:v>
      </x:c>
      <x:c r="AT7" s="88" t="n">
        <x:f>SUM(AH7,AL7,AP7)</x:f>
        <x:v>450</x:v>
      </x:c>
      <x:c r="AU7" s="88" t="n">
        <x:f>MAX(AK7,AO7,AS7)</x:f>
        <x:v>40000</x:v>
      </x:c>
      <x:c r="AV7" s="89" t="n">
        <x:f>ROUND(MAX(AI7,AM7,AQ7,SUM(AJ7,AN7,AR7))+AT7,2)</x:f>
        <x:v>7250</x:v>
      </x:c>
    </x:row>
    <x:row r="8" ht="24" customHeight="1">
      <x:c r="A8" s="69" t="str">
        <x:v>example-zhou</x:v>
      </x:c>
      <x:c r="B8" s="69" t="str">
        <x:v>周宁</x:v>
      </x:c>
      <x:c r="C8" s="69" t="str">
        <x:v>example-live</x:v>
      </x:c>
      <x:c r="D8" s="69" t="str">
        <x:v>示例直播部</x:v>
      </x:c>
      <x:c r="E8" s="71" t="d">
        <x:v>2026-02-01T00:00:00.000Z</x:v>
      </x:c>
      <x:c r="F8" s="69" t="str">
        <x:v>否</x:v>
      </x:c>
      <x:c r="G8" s="69" t="str">
        <x:v>example-product</x:v>
      </x:c>
      <x:c r="H8" s="69" t="str">
        <x:v>示例产品</x:v>
      </x:c>
      <x:c r="I8" s="69" t="str">
        <x:v>example-room-a</x:v>
      </x:c>
      <x:c r="J8" s="69" t="str">
        <x:v>示例一号房</x:v>
      </x:c>
      <x:c r="K8" s="71" t="d">
        <x:v>2026-01-01T00:00:00.000Z</x:v>
      </x:c>
      <x:c r="L8" s="84" t="n">
        <x:v>2026</x:v>
      </x:c>
      <x:c r="M8" s="85" t="d">
        <x:v>2026-10-01T00:00:00.000Z</x:v>
      </x:c>
      <x:c r="N8" s="86" t="n">
        <x:v>80</x:v>
      </x:c>
      <x:c r="O8" s="86" t="n">
        <x:v>20</x:v>
      </x:c>
      <x:c r="P8" s="86" t="n">
        <x:v>10</x:v>
      </x:c>
      <x:c r="Q8" s="86" t="n">
        <x:v>50</x:v>
      </x:c>
      <x:c r="R8" s="84" t="n">
        <x:v>5</x:v>
      </x:c>
      <x:c r="S8" s="84" t="n">
        <x:v>2</x:v>
      </x:c>
      <x:c r="T8" s="86" t="n">
        <x:v>10000</x:v>
      </x:c>
      <x:c r="U8" s="86" t="n">
        <x:v>2500</x:v>
      </x:c>
      <x:c r="V8" s="86" t="n">
        <x:v>1250</x:v>
      </x:c>
      <x:c r="W8" s="86" t="n">
        <x:v>6250</x:v>
      </x:c>
      <x:c r="X8" s="86" t="n">
        <x:v>30000</x:v>
      </x:c>
      <x:c r="Y8" s="86" t="n">
        <x:v>2000</x:v>
      </x:c>
      <x:c r="Z8" s="86" t="n">
        <x:v>4000</x:v>
      </x:c>
      <x:c r="AA8" s="86" t="n">
        <x:v>24000</x:v>
      </x:c>
      <x:c r="AB8" s="86" t="n">
        <x:v>3</x:v>
      </x:c>
      <x:c r="AC8" s="86" t="n">
        <x:v>125</x:v>
      </x:c>
      <x:c r="AD8" s="86" t="str">
        <x:v>待定义</x:v>
      </x:c>
      <x:c r="AE8" s="86" t="str">
        <x:v>待定义</x:v>
      </x:c>
      <x:c r="AF8" s="84" t="n">
        <x:v>1</x:v>
      </x:c>
      <x:c r="AG8" s="84" t="n">
        <x:v>1</x:v>
      </x:c>
      <x:c r="AH8" s="87" t="n">
        <x:f>SUM('逐规则计算'!J21,'逐规则计算'!J22)</x:f>
        <x:v>120</x:v>
      </x:c>
      <x:c r="AI8" s="87" t="n">
        <x:f>MAX('逐规则计算'!J25,'逐规则计算'!J26)</x:f>
        <x:v>4000</x:v>
      </x:c>
      <x:c r="AJ8" s="87" t="n">
        <x:f>SUM('逐规则计算'!J27,'逐规则计算'!J28)</x:f>
        <x:v>2000</x:v>
      </x:c>
      <x:c r="AK8" s="87" t="n">
        <x:f>MAX('逐规则计算'!J23,'逐规则计算'!J24)</x:f>
        <x:v>28000</x:v>
      </x:c>
      <x:c r="AL8" s="87" t="n">
        <x:f>0</x:f>
        <x:v>0</x:v>
      </x:c>
      <x:c r="AM8" s="87" t="n">
        <x:f>0</x:f>
        <x:v>0</x:v>
      </x:c>
      <x:c r="AN8" s="87" t="n">
        <x:f>SUM('逐规则计算'!J29)</x:f>
        <x:v>1000</x:v>
      </x:c>
      <x:c r="AO8" s="87" t="n">
        <x:f>0</x:f>
        <x:v>0</x:v>
      </x:c>
      <x:c r="AP8" s="87" t="n">
        <x:f>0</x:f>
        <x:v>0</x:v>
      </x:c>
      <x:c r="AQ8" s="87" t="n">
        <x:f>0</x:f>
        <x:v>0</x:v>
      </x:c>
      <x:c r="AR8" s="87" t="n">
        <x:f>0</x:f>
        <x:v>0</x:v>
      </x:c>
      <x:c r="AS8" s="87" t="n">
        <x:f>0</x:f>
        <x:v>0</x:v>
      </x:c>
      <x:c r="AT8" s="88" t="n">
        <x:f>SUM(AH8,AL8,AP8)</x:f>
        <x:v>120</x:v>
      </x:c>
      <x:c r="AU8" s="88" t="n">
        <x:f>MAX(AK8,AO8,AS8)</x:f>
        <x:v>28000</x:v>
      </x:c>
      <x:c r="AV8" s="89" t="n">
        <x:f>ROUND(MAX(AI8,AM8,AQ8,SUM(AJ8,AN8,AR8))+AT8,2)</x:f>
        <x:v>4120</x:v>
      </x:c>
    </x:row>
    <x:row r="9" ht="24" customHeight="1">
      <x:c r="A9" s="68" t="str">
        <x:v>example-chen</x:v>
      </x:c>
      <x:c r="B9" s="68" t="str">
        <x:v>陈雨</x:v>
      </x:c>
      <x:c r="C9" s="68" t="str">
        <x:v>example-live</x:v>
      </x:c>
      <x:c r="D9" s="68" t="str">
        <x:v>示例直播部</x:v>
      </x:c>
      <x:c r="E9" s="70" t="d">
        <x:v>2026-03-01T00:00:00.000Z</x:v>
      </x:c>
      <x:c r="F9" s="68" t="str">
        <x:v>是</x:v>
      </x:c>
      <x:c r="G9" s="68" t="str">
        <x:v>example-product</x:v>
      </x:c>
      <x:c r="H9" s="68" t="str">
        <x:v>示例产品</x:v>
      </x:c>
      <x:c r="I9" s="68" t="str">
        <x:v>example-room-a</x:v>
      </x:c>
      <x:c r="J9" s="68" t="str">
        <x:v>示例一号房</x:v>
      </x:c>
      <x:c r="K9" s="70" t="d">
        <x:v>2026-01-01T00:00:00.000Z</x:v>
      </x:c>
      <x:c r="L9" s="80" t="n">
        <x:v>2026</x:v>
      </x:c>
      <x:c r="M9" s="81" t="d">
        <x:v>2026-10-01T00:00:00.000Z</x:v>
      </x:c>
      <x:c r="N9" s="82" t="n">
        <x:v>60</x:v>
      </x:c>
      <x:c r="O9" s="82" t="n">
        <x:v>10</x:v>
      </x:c>
      <x:c r="P9" s="82" t="n">
        <x:v>20</x:v>
      </x:c>
      <x:c r="Q9" s="82" t="n">
        <x:v>30</x:v>
      </x:c>
      <x:c r="R9" s="80" t="n">
        <x:v>3</x:v>
      </x:c>
      <x:c r="S9" s="80" t="n">
        <x:v>6</x:v>
      </x:c>
      <x:c r="T9" s="82" t="n">
        <x:v>10000</x:v>
      </x:c>
      <x:c r="U9" s="82" t="n">
        <x:v>2000</x:v>
      </x:c>
      <x:c r="V9" s="82" t="n">
        <x:v>3000</x:v>
      </x:c>
      <x:c r="W9" s="82" t="n">
        <x:v>5000</x:v>
      </x:c>
      <x:c r="X9" s="82" t="n">
        <x:v>26000</x:v>
      </x:c>
      <x:c r="Y9" s="82" t="n">
        <x:v>2000</x:v>
      </x:c>
      <x:c r="Z9" s="82" t="n">
        <x:v>6000</x:v>
      </x:c>
      <x:c r="AA9" s="82" t="n">
        <x:v>18000</x:v>
      </x:c>
      <x:c r="AB9" s="82" t="n">
        <x:v>2.6</x:v>
      </x:c>
      <x:c r="AC9" s="82" t="n">
        <x:v>166.66666666666666</x:v>
      </x:c>
      <x:c r="AD9" s="82" t="str">
        <x:v>待定义</x:v>
      </x:c>
      <x:c r="AE9" s="82" t="str">
        <x:v>待定义</x:v>
      </x:c>
      <x:c r="AF9" s="80" t="n">
        <x:v>2</x:v>
      </x:c>
      <x:c r="AG9" s="80" t="n">
        <x:v>1</x:v>
      </x:c>
      <x:c r="AH9" s="83" t="n">
        <x:f>SUM('逐规则计算'!J30,'逐规则计算'!J31)</x:f>
        <x:v>120</x:v>
      </x:c>
      <x:c r="AI9" s="83" t="n">
        <x:f>MAX('逐规则计算'!J36,'逐规则计算'!J37)</x:f>
        <x:v>3000</x:v>
      </x:c>
      <x:c r="AJ9" s="83" t="n">
        <x:f>SUM('逐规则计算'!J38,'逐规则计算'!J39)</x:f>
        <x:v>3000</x:v>
      </x:c>
      <x:c r="AK9" s="83" t="n">
        <x:f>MAX('逐规则计算'!J32,'逐规则计算'!J33)</x:f>
        <x:v>30000</x:v>
      </x:c>
      <x:c r="AL9" s="83" t="n">
        <x:f>0</x:f>
        <x:v>0</x:v>
      </x:c>
      <x:c r="AM9" s="83" t="n">
        <x:f>0</x:f>
        <x:v>0</x:v>
      </x:c>
      <x:c r="AN9" s="83" t="n">
        <x:f>SUM('逐规则计算'!J40)</x:f>
        <x:v>600</x:v>
      </x:c>
      <x:c r="AO9" s="83" t="n">
        <x:f>0</x:f>
        <x:v>0</x:v>
      </x:c>
      <x:c r="AP9" s="83" t="n">
        <x:f>SUM('逐规则计算'!J34)</x:f>
        <x:v>45</x:v>
      </x:c>
      <x:c r="AQ9" s="83" t="n">
        <x:f>MAX('逐规则计算'!J41,'逐规则计算'!J42)</x:f>
        <x:v>4400</x:v>
      </x:c>
      <x:c r="AR9" s="83" t="n">
        <x:f>SUM('逐规则计算'!J43)</x:f>
        <x:v>200</x:v>
      </x:c>
      <x:c r="AS9" s="83" t="n">
        <x:f>MAX('逐规则计算'!J35)</x:f>
        <x:v>36000</x:v>
      </x:c>
      <x:c r="AT9" s="88" t="n">
        <x:f>SUM(AH9,AL9,AP9)</x:f>
        <x:v>165</x:v>
      </x:c>
      <x:c r="AU9" s="88" t="n">
        <x:f>MAX(AK9,AO9,AS9)</x:f>
        <x:v>36000</x:v>
      </x:c>
      <x:c r="AV9" s="89" t="n">
        <x:f>ROUND(MAX(AI9,AM9,AQ9,SUM(AJ9,AN9,AR9))+AT9,2)</x:f>
        <x:v>4565</x:v>
      </x:c>
    </x:row>
    <x:row r="10" ht="24" customHeight="1">
      <x:c r="A10" s="69" t="str">
        <x:v>example-lin</x:v>
      </x:c>
      <x:c r="B10" s="69" t="str">
        <x:v>林晓</x:v>
      </x:c>
      <x:c r="C10" s="69" t="str">
        <x:v>example-live</x:v>
      </x:c>
      <x:c r="D10" s="69" t="str">
        <x:v>示例直播部</x:v>
      </x:c>
      <x:c r="E10" s="71" t="d">
        <x:v>2026-01-01T00:00:00.000Z</x:v>
      </x:c>
      <x:c r="F10" s="69" t="str">
        <x:v>是</x:v>
      </x:c>
      <x:c r="G10" s="69" t="str">
        <x:v>example-product</x:v>
      </x:c>
      <x:c r="H10" s="69" t="str">
        <x:v>示例产品</x:v>
      </x:c>
      <x:c r="I10" s="69" t="str">
        <x:v>example-room-b</x:v>
      </x:c>
      <x:c r="J10" s="69" t="str">
        <x:v>示例二号房</x:v>
      </x:c>
      <x:c r="K10" s="71" t="d">
        <x:v>2026-02-01T00:00:00.000Z</x:v>
      </x:c>
      <x:c r="L10" s="84" t="n">
        <x:v>2026</x:v>
      </x:c>
      <x:c r="M10" s="85" t="d">
        <x:v>2026-10-01T00:00:00.000Z</x:v>
      </x:c>
      <x:c r="N10" s="86" t="n">
        <x:v>40</x:v>
      </x:c>
      <x:c r="O10" s="86" t="n">
        <x:v>5</x:v>
      </x:c>
      <x:c r="P10" s="86" t="n">
        <x:v>5</x:v>
      </x:c>
      <x:c r="Q10" s="86" t="n">
        <x:v>30</x:v>
      </x:c>
      <x:c r="R10" s="84" t="n">
        <x:v>2</x:v>
      </x:c>
      <x:c r="S10" s="84" t="n">
        <x:v>1</x:v>
      </x:c>
      <x:c r="T10" s="86" t="n">
        <x:v>4000</x:v>
      </x:c>
      <x:c r="U10" s="86" t="n">
        <x:v>500</x:v>
      </x:c>
      <x:c r="V10" s="86" t="n">
        <x:v>500</x:v>
      </x:c>
      <x:c r="W10" s="86" t="n">
        <x:v>3000</x:v>
      </x:c>
      <x:c r="X10" s="86" t="n">
        <x:v>10000</x:v>
      </x:c>
      <x:c r="Y10" s="86" t="n">
        <x:v>1000</x:v>
      </x:c>
      <x:c r="Z10" s="86" t="n">
        <x:v>2000</x:v>
      </x:c>
      <x:c r="AA10" s="86" t="n">
        <x:v>7000</x:v>
      </x:c>
      <x:c r="AB10" s="86" t="n">
        <x:v>2.5</x:v>
      </x:c>
      <x:c r="AC10" s="86" t="n">
        <x:v>100</x:v>
      </x:c>
      <x:c r="AD10" s="86" t="str">
        <x:v>待定义</x:v>
      </x:c>
      <x:c r="AE10" s="86" t="str">
        <x:v>待定义</x:v>
      </x:c>
      <x:c r="AF10" s="84" t="n">
        <x:v>1</x:v>
      </x:c>
      <x:c r="AG10" s="84" t="n">
        <x:v>1</x:v>
      </x:c>
      <x:c r="AH10" s="87" t="n">
        <x:f>SUM('逐规则计算'!J44,'逐规则计算'!J45)</x:f>
        <x:v>50</x:v>
      </x:c>
      <x:c r="AI10" s="87" t="n">
        <x:f>MAX('逐规则计算'!J50,'逐规则计算'!J51)</x:f>
        <x:v>2000</x:v>
      </x:c>
      <x:c r="AJ10" s="87" t="n">
        <x:f>SUM('逐规则计算'!J52,'逐规则计算'!J53)</x:f>
        <x:v>1200</x:v>
      </x:c>
      <x:c r="AK10" s="87" t="n">
        <x:f>MAX('逐规则计算'!J46,'逐规则计算'!J47)</x:f>
        <x:v>9000</x:v>
      </x:c>
      <x:c r="AL10" s="87" t="n">
        <x:f>0</x:f>
        <x:v>0</x:v>
      </x:c>
      <x:c r="AM10" s="87" t="n">
        <x:f>0</x:f>
        <x:v>0</x:v>
      </x:c>
      <x:c r="AN10" s="87" t="n">
        <x:f>SUM('逐规则计算'!J54)</x:f>
        <x:v>600</x:v>
      </x:c>
      <x:c r="AO10" s="87" t="n">
        <x:f>0</x:f>
        <x:v>0</x:v>
      </x:c>
      <x:c r="AP10" s="87" t="n">
        <x:f>SUM('逐规则计算'!J48)</x:f>
        <x:v>30</x:v>
      </x:c>
      <x:c r="AQ10" s="87" t="n">
        <x:f>MAX('逐规则计算'!J55,'逐规则计算'!J56)</x:f>
        <x:v>2200</x:v>
      </x:c>
      <x:c r="AR10" s="87" t="n">
        <x:f>SUM('逐规则计算'!J57)</x:f>
        <x:v>50</x:v>
      </x:c>
      <x:c r="AS10" s="87" t="n">
        <x:f>MAX('逐规则计算'!J49)</x:f>
        <x:v>9000</x:v>
      </x:c>
      <x:c r="AT10" s="88" t="n">
        <x:f>SUM(AH10,AL10,AP10)</x:f>
        <x:v>80</x:v>
      </x:c>
      <x:c r="AU10" s="88" t="n">
        <x:f>MAX(AK10,AO10,AS10)</x:f>
        <x:v>9000</x:v>
      </x:c>
      <x:c r="AV10" s="89" t="n">
        <x:f>ROUND(MAX(AI10,AM10,AQ10,SUM(AJ10,AN10,AR10))+AT10,2)</x:f>
        <x:v>2280</x:v>
      </x:c>
    </x:row>
    <x:row r="11" ht="24" customHeight="1">
      <x:c r="A11" s="90" t="str">
        <x:v>example-wu</x:v>
      </x:c>
      <x:c r="B11" s="90" t="str">
        <x:v>吴策</x:v>
      </x:c>
      <x:c r="C11" s="90" t="str">
        <x:v>example-live</x:v>
      </x:c>
      <x:c r="D11" s="90" t="str">
        <x:v>示例直播部</x:v>
      </x:c>
      <x:c r="E11" s="91" t="d">
        <x:v>2026-02-01T00:00:00.000Z</x:v>
      </x:c>
      <x:c r="F11" s="90" t="str">
        <x:v>否</x:v>
      </x:c>
      <x:c r="G11" s="90" t="str">
        <x:v>example-product</x:v>
      </x:c>
      <x:c r="H11" s="90" t="str">
        <x:v>示例产品</x:v>
      </x:c>
      <x:c r="I11" s="90" t="str">
        <x:v>example-room-a</x:v>
      </x:c>
      <x:c r="J11" s="90" t="str">
        <x:v>示例一号房</x:v>
      </x:c>
      <x:c r="K11" s="91" t="d">
        <x:v>2026-01-01T00:00:00.000Z</x:v>
      </x:c>
      <x:c r="L11" s="92" t="n">
        <x:v>2026</x:v>
      </x:c>
      <x:c r="M11" s="93" t="d">
        <x:v>2026-10-01T00:00:00.000Z</x:v>
      </x:c>
      <x:c r="N11" s="94" t="n">
        <x:v>240</x:v>
      </x:c>
      <x:c r="O11" s="94" t="n">
        <x:v>50</x:v>
      </x:c>
      <x:c r="P11" s="94" t="n">
        <x:v>60</x:v>
      </x:c>
      <x:c r="Q11" s="94" t="n">
        <x:v>130</x:v>
      </x:c>
      <x:c r="R11" s="92" t="n">
        <x:v>18</x:v>
      </x:c>
      <x:c r="S11" s="92" t="n">
        <x:v>18</x:v>
      </x:c>
      <x:c r="T11" s="94" t="n">
        <x:v>30000</x:v>
      </x:c>
      <x:c r="U11" s="94" t="n">
        <x:v>6500</x:v>
      </x:c>
      <x:c r="V11" s="94" t="n">
        <x:v>7250</x:v>
      </x:c>
      <x:c r="W11" s="94" t="n">
        <x:v>16250</x:v>
      </x:c>
      <x:c r="X11" s="94" t="n">
        <x:v>80000</x:v>
      </x:c>
      <x:c r="Y11" s="94" t="n">
        <x:v>8000</x:v>
      </x:c>
      <x:c r="Z11" s="94" t="n">
        <x:v>20000</x:v>
      </x:c>
      <x:c r="AA11" s="94" t="n">
        <x:v>52000</x:v>
      </x:c>
      <x:c r="AB11" s="94" t="n">
        <x:v>2.6666666666666665</x:v>
      </x:c>
      <x:c r="AC11" s="94" t="n">
        <x:v>125</x:v>
      </x:c>
      <x:c r="AD11" s="94" t="str">
        <x:v>待定义</x:v>
      </x:c>
      <x:c r="AE11" s="94" t="str">
        <x:v>待定义</x:v>
      </x:c>
      <x:c r="AF11" s="92" t="n">
        <x:v>1</x:v>
      </x:c>
      <x:c r="AG11" s="92" t="n">
        <x:v>1</x:v>
      </x:c>
      <x:c r="AH11" s="94"/>
      <x:c r="AI11" s="94"/>
      <x:c r="AJ11" s="94"/>
      <x:c r="AK11" s="94"/>
      <x:c r="AL11" s="94"/>
      <x:c r="AM11" s="94"/>
      <x:c r="AN11" s="94"/>
      <x:c r="AO11" s="94"/>
      <x:c r="AP11" s="94"/>
      <x:c r="AQ11" s="94"/>
      <x:c r="AR11" s="94"/>
      <x:c r="AS11" s="94"/>
      <x:c r="AT11" s="94"/>
      <x:c r="AU11" s="94"/>
      <x:c r="AV11" s="94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  <x:c r="AP12" s="3"/>
      <x:c r="AQ12" s="3"/>
      <x:c r="AR12" s="3"/>
      <x:c r="AS12" s="3"/>
      <x:c r="AT12" s="3"/>
      <x:c r="AU12" s="3"/>
      <x:c r="AV12" s="3"/>
    </x:row>
    <x:row r="13" ht="24" customHeight="1">
      <x:c r="A13" s="6" t="str">
        <x:v>吴策仅具备投手身份，保留其输入以展示筛选口径，核算栏留空。AD成本、保单成本尚未定义。</x:v>
      </x:c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  <x:c r="AP13" s="3"/>
      <x:c r="AQ13" s="3"/>
      <x:c r="AR13" s="3"/>
      <x:c r="AS13" s="3"/>
      <x:c r="AT13" s="3"/>
      <x:c r="AU13" s="3"/>
      <x:c r="AV13" s="3"/>
    </x:row>
    <x:row r="14" ht="24" customHeight="1">
      <x:c r="A14" s="6" t="str">
        <x:v>原始ROI和排名保留；时薪规则使用各范围系数后保费最大值形成的有效ROI及同房主播排名。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  <x:c r="AP14" s="3"/>
      <x:c r="AQ14" s="3"/>
      <x:c r="AR14" s="3"/>
      <x:c r="AS14" s="3"/>
      <x:c r="AT14" s="3"/>
      <x:c r="AU14" s="3"/>
      <x:c r="AV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  <x:c r="AP15" s="3"/>
      <x:c r="AQ15" s="3"/>
      <x:c r="AR15" s="3"/>
      <x:c r="AS15" s="3"/>
      <x:c r="AT15" s="3"/>
      <x:c r="AU15" s="3"/>
      <x:c r="AV15" s="3"/>
    </x:row>
  </x:sheetData>
  <x:mergeCells>
    <x:mergeCell ref="A5:AG5"/>
    <x:mergeCell ref="AH5:AK5"/>
    <x:mergeCell ref="AL5:AO5"/>
    <x:mergeCell ref="AP5:AS5"/>
    <x:mergeCell ref="AT5:AV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F766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30" hidden="0" customWidth="1"/>
    <x:col min="5" max="5" width="12" hidden="0" customWidth="1"/>
    <x:col min="6" max="6" width="18" hidden="0" customWidth="1"/>
    <x:col min="7" max="7" width="15" hidden="0" customWidth="1"/>
    <x:col min="8" max="8" width="14" hidden="0" customWidth="1"/>
    <x:col min="9" max="9" width="15" hidden="0" customWidth="1"/>
    <x:col min="10" max="10" width="15" hidden="0" customWidth="1"/>
    <x:col min="11" max="11" width="3" hidden="0" customWidth="1"/>
    <x:col min="12" max="12" width="42" hidden="0" customWidth="1"/>
    <x:col min="13" max="13" width="13" hidden="0" customWidth="1"/>
    <x:col min="14" max="14" width="17" hidden="0" customWidth="1"/>
    <x:col min="15" max="15" width="10" hidden="0" customWidth="1"/>
    <x:col min="16" max="16" width="27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1" customHeight="1">
      <x:c r="A2" s="4" t="str">
        <x:v>逐规则计算明细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4" ht="24" customHeight="1">
      <x:c r="A4" s="6" t="str">
        <x:v>模拟规则。数量引用月度统计，金额由数量 × 费率 + 正常保费计算；同范围保底与保费取最大值，加成与补贴求和。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40" customHeight="1">
      <x:c r="A6" s="27" t="str">
        <x:v>员工</x:v>
      </x:c>
      <x:c r="B6" s="28" t="str">
        <x:v>直播间</x:v>
      </x:c>
      <x:c r="C6" s="28" t="str">
        <x:v>范围</x:v>
      </x:c>
      <x:c r="D6" s="28" t="str">
        <x:v>规则名称</x:v>
      </x:c>
      <x:c r="E6" s="28" t="str">
        <x:v>核算类型</x:v>
      </x:c>
      <x:c r="F6" s="28" t="str">
        <x:v>数量指标</x:v>
      </x:c>
      <x:c r="G6" s="28" t="str">
        <x:v>数量 / 保费</x:v>
      </x:c>
      <x:c r="H6" s="28" t="str">
        <x:v>费率 / 系数</x:v>
      </x:c>
      <x:c r="I6" s="28" t="str">
        <x:v>正常保费</x:v>
      </x:c>
      <x:c r="J6" s="29" t="str">
        <x:v>规则金额</x:v>
      </x:c>
      <x:c r="K6" s="3"/>
      <x:c r="L6" s="104" t="str">
        <x:v>命中说明</x:v>
      </x:c>
      <x:c r="M6" s="27" t="str">
        <x:v>设定系数</x:v>
      </x:c>
      <x:c r="N6" s="28" t="str">
        <x:v>条件指标</x:v>
      </x:c>
      <x:c r="O6" s="28" t="str">
        <x:v>阈值</x:v>
      </x:c>
      <x:c r="P6" s="29" t="str">
        <x:v>规则ID</x:v>
      </x:c>
    </x:row>
    <x:row r="7" ht="24" customHeight="1">
      <x:c r="A7" s="3" t="str">
        <x:v>林晓</x:v>
      </x:c>
      <x:c r="B7" s="3" t="str">
        <x:v>示例一号房</x:v>
      </x:c>
      <x:c r="C7" s="3" t="str">
        <x:v>基础</x:v>
      </x:c>
      <x:c r="D7" s="3" t="str">
        <x:v>基础·夜班补贴</x:v>
      </x:c>
      <x:c r="E7" s="3" t="str">
        <x:v>补贴</x:v>
      </x:c>
      <x:c r="F7" s="3" t="str">
        <x:v>夜班场次</x:v>
      </x:c>
      <x:c r="G7" s="75" t="n">
        <x:f>'月度核算明细'!R7</x:f>
        <x:v>10</x:v>
      </x:c>
      <x:c r="H7" s="118" t="n">
        <x:v>20</x:v>
      </x:c>
      <x:c r="I7" s="75" t="n">
        <x:v>0</x:v>
      </x:c>
      <x:c r="J7" s="102" t="n">
        <x:f>ROUND(G7*H7+I7,2)</x:f>
        <x:v>200</x:v>
      </x:c>
      <x:c r="K7" s="3"/>
      <x:c r="L7" s="3" t="str">
        <x:v>场次 × 每场补贴</x:v>
      </x:c>
      <x:c r="M7" s="119"/>
      <x:c r="N7" s="120"/>
      <x:c r="O7" s="121"/>
      <x:c r="P7" s="3" t="str">
        <x:v>g-night-allowance</x:v>
      </x:c>
    </x:row>
    <x:row r="8" ht="24" customHeight="1">
      <x:c r="A8" s="67" t="str">
        <x:v>林晓</x:v>
      </x:c>
      <x:c r="B8" s="67" t="str">
        <x:v>示例一号房</x:v>
      </x:c>
      <x:c r="C8" s="67" t="str">
        <x:v>基础</x:v>
      </x:c>
      <x:c r="D8" s="67" t="str">
        <x:v>基础·早班补贴</x:v>
      </x:c>
      <x:c r="E8" s="67" t="str">
        <x:v>补贴</x:v>
      </x:c>
      <x:c r="F8" s="67" t="str">
        <x:v>早班场次</x:v>
      </x:c>
      <x:c r="G8" s="77" t="n">
        <x:f>'月度核算明细'!S7</x:f>
        <x:v>10</x:v>
      </x:c>
      <x:c r="H8" s="118" t="n">
        <x:v>10</x:v>
      </x:c>
      <x:c r="I8" s="77" t="n">
        <x:v>0</x:v>
      </x:c>
      <x:c r="J8" s="103" t="n">
        <x:f>ROUND(G8*H8+I8,2)</x:f>
        <x:v>100</x:v>
      </x:c>
      <x:c r="K8" s="3"/>
      <x:c r="L8" s="3" t="str">
        <x:v>场次 × 每场补贴</x:v>
      </x:c>
      <x:c r="M8" s="119"/>
      <x:c r="N8" s="120"/>
      <x:c r="O8" s="121"/>
      <x:c r="P8" s="67" t="str">
        <x:v>g-early-allowance</x:v>
      </x:c>
    </x:row>
    <x:row r="9" ht="24" customHeight="1">
      <x:c r="A9" s="3" t="str">
        <x:v>林晓</x:v>
      </x:c>
      <x:c r="B9" s="3" t="str">
        <x:v>示例一号房</x:v>
      </x:c>
      <x:c r="C9" s="3" t="str">
        <x:v>基础</x:v>
      </x:c>
      <x:c r="D9" s="3" t="str">
        <x:v>基础·早班系数</x:v>
      </x:c>
      <x:c r="E9" s="3" t="str">
        <x:v>系数保费</x:v>
      </x:c>
      <x:c r="F9" s="3" t="str">
        <x:v>早班保费</x:v>
      </x:c>
      <x:c r="G9" s="75" t="n">
        <x:f>'月度核算明细'!Z7</x:f>
        <x:v>10000</x:v>
      </x:c>
      <x:c r="H9" s="118" t="n">
        <x:f>IF('月度核算明细'!S7&gt;=O9,M9,1)</x:f>
        <x:v>2</x:v>
      </x:c>
      <x:c r="I9" s="75" t="n">
        <x:f>'月度核算明细'!AA7</x:f>
        <x:v>10000</x:v>
      </x:c>
      <x:c r="J9" s="102" t="n">
        <x:f>ROUND(G9*H9+I9,2)</x:f>
        <x:v>30000</x:v>
      </x:c>
      <x:c r="K9" s="3"/>
      <x:c r="L9" s="3" t="str">
        <x:v>达阈值用设定系数，否则用1</x:v>
      </x:c>
      <x:c r="M9" s="119" t="n">
        <x:v>2</x:v>
      </x:c>
      <x:c r="N9" s="120" t="str">
        <x:v>早班场次 ≥</x:v>
      </x:c>
      <x:c r="O9" s="121" t="n">
        <x:v>5</x:v>
      </x:c>
      <x:c r="P9" s="3" t="str">
        <x:v>g-premium</x:v>
      </x:c>
    </x:row>
    <x:row r="10" ht="24" customHeight="1">
      <x:c r="A10" s="67" t="str">
        <x:v>林晓</x:v>
      </x:c>
      <x:c r="B10" s="67" t="str">
        <x:v>示例一号房</x:v>
      </x:c>
      <x:c r="C10" s="67" t="str">
        <x:v>基础</x:v>
      </x:c>
      <x:c r="D10" s="67" t="str">
        <x:v>基础·早班系数备选</x:v>
      </x:c>
      <x:c r="E10" s="67" t="str">
        <x:v>系数保费</x:v>
      </x:c>
      <x:c r="F10" s="67" t="str">
        <x:v>早班保费</x:v>
      </x:c>
      <x:c r="G10" s="77" t="n">
        <x:f>'月度核算明细'!Z7</x:f>
        <x:v>10000</x:v>
      </x:c>
      <x:c r="H10" s="118" t="n">
        <x:f>IF('月度核算明细'!S7&gt;=O10,M10,1)</x:f>
        <x:v>1.5</x:v>
      </x:c>
      <x:c r="I10" s="77" t="n">
        <x:f>'月度核算明细'!AA7</x:f>
        <x:v>10000</x:v>
      </x:c>
      <x:c r="J10" s="103" t="n">
        <x:f>ROUND(G10*H10+I10,2)</x:f>
        <x:v>25000</x:v>
      </x:c>
      <x:c r="K10" s="3"/>
      <x:c r="L10" s="3" t="str">
        <x:v>达阈值用设定系数，否则用1</x:v>
      </x:c>
      <x:c r="M10" s="119" t="n">
        <x:v>1.5</x:v>
      </x:c>
      <x:c r="N10" s="120" t="str">
        <x:v>早班场次 ≥</x:v>
      </x:c>
      <x:c r="O10" s="121" t="n">
        <x:v>3</x:v>
      </x:c>
      <x:c r="P10" s="67" t="str">
        <x:v>g-premium-alternative</x:v>
      </x:c>
    </x:row>
    <x:row r="11" ht="24" customHeight="1">
      <x:c r="A11" s="3" t="str">
        <x:v>林晓</x:v>
      </x:c>
      <x:c r="B11" s="3" t="str">
        <x:v>示例一号房</x:v>
      </x:c>
      <x:c r="C11" s="3" t="str">
        <x:v>员工</x:v>
      </x:c>
      <x:c r="D11" s="3" t="str">
        <x:v>签约员工·夜班补贴</x:v>
      </x:c>
      <x:c r="E11" s="3" t="str">
        <x:v>补贴</x:v>
      </x:c>
      <x:c r="F11" s="3" t="str">
        <x:v>夜班场次</x:v>
      </x:c>
      <x:c r="G11" s="75" t="n">
        <x:f>'月度核算明细'!R7</x:f>
        <x:v>10</x:v>
      </x:c>
      <x:c r="H11" s="118" t="n">
        <x:v>15</x:v>
      </x:c>
      <x:c r="I11" s="75" t="n">
        <x:v>0</x:v>
      </x:c>
      <x:c r="J11" s="102" t="n">
        <x:f>ROUND(G11*H11+I11,2)</x:f>
        <x:v>150</x:v>
      </x:c>
      <x:c r="K11" s="3"/>
      <x:c r="L11" s="3" t="str">
        <x:v>场次 × 每场补贴</x:v>
      </x:c>
      <x:c r="M11" s="119"/>
      <x:c r="N11" s="120"/>
      <x:c r="O11" s="121"/>
      <x:c r="P11" s="3" t="str">
        <x:v>e-night-allowance</x:v>
      </x:c>
    </x:row>
    <x:row r="12" ht="24" customHeight="1">
      <x:c r="A12" s="67" t="str">
        <x:v>林晓</x:v>
      </x:c>
      <x:c r="B12" s="67" t="str">
        <x:v>示例一号房</x:v>
      </x:c>
      <x:c r="C12" s="67" t="str">
        <x:v>员工</x:v>
      </x:c>
      <x:c r="D12" s="67" t="str">
        <x:v>签约员工·早班系数</x:v>
      </x:c>
      <x:c r="E12" s="67" t="str">
        <x:v>系数保费</x:v>
      </x:c>
      <x:c r="F12" s="67" t="str">
        <x:v>早班保费</x:v>
      </x:c>
      <x:c r="G12" s="77" t="n">
        <x:f>'月度核算明细'!Z7</x:f>
        <x:v>10000</x:v>
      </x:c>
      <x:c r="H12" s="118" t="n">
        <x:f>IF('月度核算明细'!S7&gt;=O12,M12,1)</x:f>
        <x:v>3</x:v>
      </x:c>
      <x:c r="I12" s="77" t="n">
        <x:f>'月度核算明细'!AA7</x:f>
        <x:v>10000</x:v>
      </x:c>
      <x:c r="J12" s="103" t="n">
        <x:f>ROUND(G12*H12+I12,2)</x:f>
        <x:v>40000</x:v>
      </x:c>
      <x:c r="K12" s="3"/>
      <x:c r="L12" s="3" t="str">
        <x:v>达阈值用设定系数，否则用1</x:v>
      </x:c>
      <x:c r="M12" s="119" t="n">
        <x:v>3</x:v>
      </x:c>
      <x:c r="N12" s="120" t="str">
        <x:v>早班场次 ≥</x:v>
      </x:c>
      <x:c r="O12" s="121" t="n">
        <x:v>5</x:v>
      </x:c>
      <x:c r="P12" s="67" t="str">
        <x:v>e-premium</x:v>
      </x:c>
    </x:row>
    <x:row r="13" ht="24" customHeight="1">
      <x:c r="A13" s="3" t="str">
        <x:v>林晓</x:v>
      </x:c>
      <x:c r="B13" s="3" t="str">
        <x:v>示例一号房</x:v>
      </x:c>
      <x:c r="C13" s="3" t="str">
        <x:v>基础</x:v>
      </x:c>
      <x:c r="D13" s="3" t="str">
        <x:v>基础·总时长保底</x:v>
      </x:c>
      <x:c r="E13" s="3" t="str">
        <x:v>保底</x:v>
      </x:c>
      <x:c r="F13" s="3" t="str">
        <x:v>总直播时长</x:v>
      </x:c>
      <x:c r="G13" s="75" t="n">
        <x:f>'月度核算明细'!N7</x:f>
        <x:v>100</x:v>
      </x:c>
      <x:c r="H13" s="118" t="n">
        <x:v>50</x:v>
      </x:c>
      <x:c r="I13" s="75" t="n">
        <x:v>0</x:v>
      </x:c>
      <x:c r="J13" s="102" t="n">
        <x:f>ROUND(G13*H13+I13,2)</x:f>
        <x:v>5000</x:v>
      </x:c>
      <x:c r="K13" s="3"/>
      <x:c r="L13" s="3" t="str">
        <x:v>所选时长 × 规则时薪</x:v>
      </x:c>
      <x:c r="M13" s="119"/>
      <x:c r="N13" s="120"/>
      <x:c r="O13" s="121"/>
      <x:c r="P13" s="3" t="str">
        <x:v>g-floor-total</x:v>
      </x:c>
    </x:row>
    <x:row r="14" ht="24" customHeight="1">
      <x:c r="A14" s="67" t="str">
        <x:v>林晓</x:v>
      </x:c>
      <x:c r="B14" s="67" t="str">
        <x:v>示例一号房</x:v>
      </x:c>
      <x:c r="C14" s="67" t="str">
        <x:v>基础</x:v>
      </x:c>
      <x:c r="D14" s="67" t="str">
        <x:v>基础·夜班保底</x:v>
      </x:c>
      <x:c r="E14" s="67" t="str">
        <x:v>保底</x:v>
      </x:c>
      <x:c r="F14" s="67" t="str">
        <x:v>夜班直播时长</x:v>
      </x:c>
      <x:c r="G14" s="77" t="n">
        <x:f>'月度核算明细'!O7</x:f>
        <x:v>20</x:v>
      </x:c>
      <x:c r="H14" s="118" t="n">
        <x:v>200</x:v>
      </x:c>
      <x:c r="I14" s="77" t="n">
        <x:v>0</x:v>
      </x:c>
      <x:c r="J14" s="103" t="n">
        <x:f>ROUND(G14*H14+I14,2)</x:f>
        <x:v>4000</x:v>
      </x:c>
      <x:c r="K14" s="3"/>
      <x:c r="L14" s="3" t="str">
        <x:v>所选时长 × 规则时薪</x:v>
      </x:c>
      <x:c r="M14" s="119"/>
      <x:c r="N14" s="120"/>
      <x:c r="O14" s="121"/>
      <x:c r="P14" s="67" t="str">
        <x:v>g-floor-night</x:v>
      </x:c>
    </x:row>
    <x:row r="15" ht="24" customHeight="1">
      <x:c r="A15" s="3" t="str">
        <x:v>林晓</x:v>
      </x:c>
      <x:c r="B15" s="3" t="str">
        <x:v>示例一号房</x:v>
      </x:c>
      <x:c r="C15" s="3" t="str">
        <x:v>基础</x:v>
      </x:c>
      <x:c r="D15" s="3" t="str">
        <x:v>基础·ROI加成</x:v>
      </x:c>
      <x:c r="E15" s="3" t="str">
        <x:v>加成</x:v>
      </x:c>
      <x:c r="F15" s="3" t="str">
        <x:v>总直播时长</x:v>
      </x:c>
      <x:c r="G15" s="75" t="n">
        <x:f>'月度核算明细'!N7</x:f>
        <x:v>100</x:v>
      </x:c>
      <x:c r="H15" s="118" t="n">
        <x:f>IF(AND('员工月薪汇总'!H17&gt;=0,'员工月薪汇总'!H17&lt;3),20,IF('员工月薪汇总'!H17&gt;=3,45,NA()))</x:f>
        <x:v>45</x:v>
      </x:c>
      <x:c r="I15" s="75" t="n">
        <x:v>0</x:v>
      </x:c>
      <x:c r="J15" s="102" t="n">
        <x:f>ROUND(G15*H15+I15,2)</x:f>
        <x:v>4500</x:v>
      </x:c>
      <x:c r="K15" s="3"/>
      <x:c r="L15" s="3" t="str">
        <x:v>有效ROI：低于3为20；≥3为45</x:v>
      </x:c>
      <x:c r="M15" s="119"/>
      <x:c r="N15" s="120"/>
      <x:c r="O15" s="121"/>
      <x:c r="P15" s="3" t="str">
        <x:v>g-roi-addition</x:v>
      </x:c>
    </x:row>
    <x:row r="16" ht="24" customHeight="1">
      <x:c r="A16" s="67" t="str">
        <x:v>林晓</x:v>
      </x:c>
      <x:c r="B16" s="67" t="str">
        <x:v>示例一号房</x:v>
      </x:c>
      <x:c r="C16" s="67" t="str">
        <x:v>基础</x:v>
      </x:c>
      <x:c r="D16" s="67" t="str">
        <x:v>基础·排名加成</x:v>
      </x:c>
      <x:c r="E16" s="67" t="str">
        <x:v>加成</x:v>
      </x:c>
      <x:c r="F16" s="67" t="str">
        <x:v>总直播时长</x:v>
      </x:c>
      <x:c r="G16" s="77" t="n">
        <x:f>'月度核算明细'!N7</x:f>
        <x:v>100</x:v>
      </x:c>
      <x:c r="H16" s="118" t="n">
        <x:f>IF('员工月薪汇总'!I17=1,10,IF('员工月薪汇总'!I17&gt;=2,5,NA()))</x:f>
        <x:v>10</x:v>
      </x:c>
      <x:c r="I16" s="77" t="n">
        <x:v>0</x:v>
      </x:c>
      <x:c r="J16" s="103" t="n">
        <x:f>ROUND(G16*H16+I16,2)</x:f>
        <x:v>1000</x:v>
      </x:c>
      <x:c r="K16" s="3"/>
      <x:c r="L16" s="3" t="str">
        <x:v>有效排名：第1为10；其余为5</x:v>
      </x:c>
      <x:c r="M16" s="119"/>
      <x:c r="N16" s="120"/>
      <x:c r="O16" s="121"/>
      <x:c r="P16" s="67" t="str">
        <x:v>g-rank-addition</x:v>
      </x:c>
    </x:row>
    <x:row r="17" ht="24" customHeight="1">
      <x:c r="A17" s="3" t="str">
        <x:v>林晓</x:v>
      </x:c>
      <x:c r="B17" s="3" t="str">
        <x:v>示例一号房</x:v>
      </x:c>
      <x:c r="C17" s="3" t="str">
        <x:v>直播间</x:v>
      </x:c>
      <x:c r="D17" s="3" t="str">
        <x:v>双房共用·正常时段加成</x:v>
      </x:c>
      <x:c r="E17" s="3" t="str">
        <x:v>加成</x:v>
      </x:c>
      <x:c r="F17" s="3" t="str">
        <x:v>正常直播时长</x:v>
      </x:c>
      <x:c r="G17" s="75" t="n">
        <x:f>'月度核算明细'!Q7</x:f>
        <x:v>50</x:v>
      </x:c>
      <x:c r="H17" s="118" t="n">
        <x:v>20</x:v>
      </x:c>
      <x:c r="I17" s="75" t="n">
        <x:v>0</x:v>
      </x:c>
      <x:c r="J17" s="102" t="n">
        <x:f>ROUND(G17*H17+I17,2)</x:f>
        <x:v>1000</x:v>
      </x:c>
      <x:c r="K17" s="3"/>
      <x:c r="L17" s="3" t="str">
        <x:v>所选时长 × 规则时薪</x:v>
      </x:c>
      <x:c r="M17" s="119"/>
      <x:c r="N17" s="120"/>
      <x:c r="O17" s="121"/>
      <x:c r="P17" s="3" t="str">
        <x:v>r-regular-addition</x:v>
      </x:c>
    </x:row>
    <x:row r="18" ht="24" customHeight="1">
      <x:c r="A18" s="67" t="str">
        <x:v>林晓</x:v>
      </x:c>
      <x:c r="B18" s="67" t="str">
        <x:v>示例一号房</x:v>
      </x:c>
      <x:c r="C18" s="67" t="str">
        <x:v>员工</x:v>
      </x:c>
      <x:c r="D18" s="67" t="str">
        <x:v>签约员工·早班保底</x:v>
      </x:c>
      <x:c r="E18" s="67" t="str">
        <x:v>保底</x:v>
      </x:c>
      <x:c r="F18" s="67" t="str">
        <x:v>早班直播时长</x:v>
      </x:c>
      <x:c r="G18" s="77" t="n">
        <x:f>'月度核算明细'!P7</x:f>
        <x:v>30</x:v>
      </x:c>
      <x:c r="H18" s="118" t="n">
        <x:v>220</x:v>
      </x:c>
      <x:c r="I18" s="77" t="n">
        <x:v>0</x:v>
      </x:c>
      <x:c r="J18" s="103" t="n">
        <x:f>ROUND(G18*H18+I18,2)</x:f>
        <x:v>6600</x:v>
      </x:c>
      <x:c r="K18" s="3"/>
      <x:c r="L18" s="3" t="str">
        <x:v>所选时长 × 规则时薪</x:v>
      </x:c>
      <x:c r="M18" s="119"/>
      <x:c r="N18" s="120"/>
      <x:c r="O18" s="121"/>
      <x:c r="P18" s="67" t="str">
        <x:v>e-floor-early</x:v>
      </x:c>
    </x:row>
    <x:row r="19" ht="24" customHeight="1">
      <x:c r="A19" s="3" t="str">
        <x:v>林晓</x:v>
      </x:c>
      <x:c r="B19" s="3" t="str">
        <x:v>示例一号房</x:v>
      </x:c>
      <x:c r="C19" s="3" t="str">
        <x:v>员工</x:v>
      </x:c>
      <x:c r="D19" s="3" t="str">
        <x:v>签约员工·总时长保底</x:v>
      </x:c>
      <x:c r="E19" s="3" t="str">
        <x:v>保底</x:v>
      </x:c>
      <x:c r="F19" s="3" t="str">
        <x:v>总直播时长</x:v>
      </x:c>
      <x:c r="G19" s="75" t="n">
        <x:f>'月度核算明细'!N7</x:f>
        <x:v>100</x:v>
      </x:c>
      <x:c r="H19" s="118" t="n">
        <x:v>55</x:v>
      </x:c>
      <x:c r="I19" s="75" t="n">
        <x:v>0</x:v>
      </x:c>
      <x:c r="J19" s="102" t="n">
        <x:f>ROUND(G19*H19+I19,2)</x:f>
        <x:v>5500</x:v>
      </x:c>
      <x:c r="K19" s="3"/>
      <x:c r="L19" s="3" t="str">
        <x:v>所选时长 × 规则时薪</x:v>
      </x:c>
      <x:c r="M19" s="119"/>
      <x:c r="N19" s="120"/>
      <x:c r="O19" s="121"/>
      <x:c r="P19" s="3" t="str">
        <x:v>e-floor-total</x:v>
      </x:c>
    </x:row>
    <x:row r="20" ht="24" customHeight="1">
      <x:c r="A20" s="67" t="str">
        <x:v>林晓</x:v>
      </x:c>
      <x:c r="B20" s="67" t="str">
        <x:v>示例一号房</x:v>
      </x:c>
      <x:c r="C20" s="67" t="str">
        <x:v>员工</x:v>
      </x:c>
      <x:c r="D20" s="67" t="str">
        <x:v>签约员工·早班加成</x:v>
      </x:c>
      <x:c r="E20" s="67" t="str">
        <x:v>加成</x:v>
      </x:c>
      <x:c r="F20" s="67" t="str">
        <x:v>早班直播时长</x:v>
      </x:c>
      <x:c r="G20" s="77" t="n">
        <x:f>'月度核算明细'!P7</x:f>
        <x:v>30</x:v>
      </x:c>
      <x:c r="H20" s="118" t="n">
        <x:v>10</x:v>
      </x:c>
      <x:c r="I20" s="77" t="n">
        <x:v>0</x:v>
      </x:c>
      <x:c r="J20" s="103" t="n">
        <x:f>ROUND(G20*H20+I20,2)</x:f>
        <x:v>300</x:v>
      </x:c>
      <x:c r="K20" s="3"/>
      <x:c r="L20" s="3" t="str">
        <x:v>所选时长 × 规则时薪</x:v>
      </x:c>
      <x:c r="M20" s="119"/>
      <x:c r="N20" s="120"/>
      <x:c r="O20" s="121"/>
      <x:c r="P20" s="67" t="str">
        <x:v>e-early-addition</x:v>
      </x:c>
    </x:row>
    <x:row r="21" ht="24" customHeight="1">
      <x:c r="A21" s="3" t="str">
        <x:v>周宁</x:v>
      </x:c>
      <x:c r="B21" s="3" t="str">
        <x:v>示例一号房</x:v>
      </x:c>
      <x:c r="C21" s="3" t="str">
        <x:v>基础</x:v>
      </x:c>
      <x:c r="D21" s="3" t="str">
        <x:v>基础·夜班补贴</x:v>
      </x:c>
      <x:c r="E21" s="3" t="str">
        <x:v>补贴</x:v>
      </x:c>
      <x:c r="F21" s="3" t="str">
        <x:v>夜班场次</x:v>
      </x:c>
      <x:c r="G21" s="75" t="n">
        <x:f>'月度核算明细'!R8</x:f>
        <x:v>5</x:v>
      </x:c>
      <x:c r="H21" s="118" t="n">
        <x:v>20</x:v>
      </x:c>
      <x:c r="I21" s="75" t="n">
        <x:v>0</x:v>
      </x:c>
      <x:c r="J21" s="102" t="n">
        <x:f>ROUND(G21*H21+I21,2)</x:f>
        <x:v>100</x:v>
      </x:c>
      <x:c r="K21" s="3"/>
      <x:c r="L21" s="3" t="str">
        <x:v>场次 × 每场补贴</x:v>
      </x:c>
      <x:c r="M21" s="119"/>
      <x:c r="N21" s="120"/>
      <x:c r="O21" s="121"/>
      <x:c r="P21" s="3" t="str">
        <x:v>g-night-allowance</x:v>
      </x:c>
    </x:row>
    <x:row r="22" ht="24" customHeight="1">
      <x:c r="A22" s="67" t="str">
        <x:v>周宁</x:v>
      </x:c>
      <x:c r="B22" s="67" t="str">
        <x:v>示例一号房</x:v>
      </x:c>
      <x:c r="C22" s="67" t="str">
        <x:v>基础</x:v>
      </x:c>
      <x:c r="D22" s="67" t="str">
        <x:v>基础·早班补贴</x:v>
      </x:c>
      <x:c r="E22" s="67" t="str">
        <x:v>补贴</x:v>
      </x:c>
      <x:c r="F22" s="67" t="str">
        <x:v>早班场次</x:v>
      </x:c>
      <x:c r="G22" s="77" t="n">
        <x:f>'月度核算明细'!S8</x:f>
        <x:v>2</x:v>
      </x:c>
      <x:c r="H22" s="118" t="n">
        <x:v>10</x:v>
      </x:c>
      <x:c r="I22" s="77" t="n">
        <x:v>0</x:v>
      </x:c>
      <x:c r="J22" s="103" t="n">
        <x:f>ROUND(G22*H22+I22,2)</x:f>
        <x:v>20</x:v>
      </x:c>
      <x:c r="K22" s="3"/>
      <x:c r="L22" s="3" t="str">
        <x:v>场次 × 每场补贴</x:v>
      </x:c>
      <x:c r="M22" s="119"/>
      <x:c r="N22" s="120"/>
      <x:c r="O22" s="121"/>
      <x:c r="P22" s="67" t="str">
        <x:v>g-early-allowance</x:v>
      </x:c>
    </x:row>
    <x:row r="23" ht="24" customHeight="1">
      <x:c r="A23" s="3" t="str">
        <x:v>周宁</x:v>
      </x:c>
      <x:c r="B23" s="3" t="str">
        <x:v>示例一号房</x:v>
      </x:c>
      <x:c r="C23" s="3" t="str">
        <x:v>基础</x:v>
      </x:c>
      <x:c r="D23" s="3" t="str">
        <x:v>基础·早班系数</x:v>
      </x:c>
      <x:c r="E23" s="3" t="str">
        <x:v>系数保费</x:v>
      </x:c>
      <x:c r="F23" s="3" t="str">
        <x:v>早班保费</x:v>
      </x:c>
      <x:c r="G23" s="75" t="n">
        <x:f>'月度核算明细'!Z8</x:f>
        <x:v>4000</x:v>
      </x:c>
      <x:c r="H23" s="118" t="n">
        <x:f>IF('月度核算明细'!S8&gt;=O23,M23,1)</x:f>
        <x:v>1</x:v>
      </x:c>
      <x:c r="I23" s="75" t="n">
        <x:f>'月度核算明细'!AA8</x:f>
        <x:v>24000</x:v>
      </x:c>
      <x:c r="J23" s="102" t="n">
        <x:f>ROUND(G23*H23+I23,2)</x:f>
        <x:v>28000</x:v>
      </x:c>
      <x:c r="K23" s="3"/>
      <x:c r="L23" s="3" t="str">
        <x:v>达阈值用设定系数，否则用1</x:v>
      </x:c>
      <x:c r="M23" s="119" t="n">
        <x:v>2</x:v>
      </x:c>
      <x:c r="N23" s="120" t="str">
        <x:v>早班场次 ≥</x:v>
      </x:c>
      <x:c r="O23" s="121" t="n">
        <x:v>5</x:v>
      </x:c>
      <x:c r="P23" s="3" t="str">
        <x:v>g-premium</x:v>
      </x:c>
    </x:row>
    <x:row r="24" ht="24" customHeight="1">
      <x:c r="A24" s="67" t="str">
        <x:v>周宁</x:v>
      </x:c>
      <x:c r="B24" s="67" t="str">
        <x:v>示例一号房</x:v>
      </x:c>
      <x:c r="C24" s="67" t="str">
        <x:v>基础</x:v>
      </x:c>
      <x:c r="D24" s="67" t="str">
        <x:v>基础·早班系数备选</x:v>
      </x:c>
      <x:c r="E24" s="67" t="str">
        <x:v>系数保费</x:v>
      </x:c>
      <x:c r="F24" s="67" t="str">
        <x:v>早班保费</x:v>
      </x:c>
      <x:c r="G24" s="77" t="n">
        <x:f>'月度核算明细'!Z8</x:f>
        <x:v>4000</x:v>
      </x:c>
      <x:c r="H24" s="118" t="n">
        <x:f>IF('月度核算明细'!S8&gt;=O24,M24,1)</x:f>
        <x:v>1</x:v>
      </x:c>
      <x:c r="I24" s="77" t="n">
        <x:f>'月度核算明细'!AA8</x:f>
        <x:v>24000</x:v>
      </x:c>
      <x:c r="J24" s="103" t="n">
        <x:f>ROUND(G24*H24+I24,2)</x:f>
        <x:v>28000</x:v>
      </x:c>
      <x:c r="K24" s="3"/>
      <x:c r="L24" s="3" t="str">
        <x:v>达阈值用设定系数，否则用1</x:v>
      </x:c>
      <x:c r="M24" s="119" t="n">
        <x:v>1.5</x:v>
      </x:c>
      <x:c r="N24" s="120" t="str">
        <x:v>早班场次 ≥</x:v>
      </x:c>
      <x:c r="O24" s="121" t="n">
        <x:v>3</x:v>
      </x:c>
      <x:c r="P24" s="67" t="str">
        <x:v>g-premium-alternative</x:v>
      </x:c>
    </x:row>
    <x:row r="25" ht="24" customHeight="1">
      <x:c r="A25" s="3" t="str">
        <x:v>周宁</x:v>
      </x:c>
      <x:c r="B25" s="3" t="str">
        <x:v>示例一号房</x:v>
      </x:c>
      <x:c r="C25" s="3" t="str">
        <x:v>基础</x:v>
      </x:c>
      <x:c r="D25" s="3" t="str">
        <x:v>基础·总时长保底</x:v>
      </x:c>
      <x:c r="E25" s="3" t="str">
        <x:v>保底</x:v>
      </x:c>
      <x:c r="F25" s="3" t="str">
        <x:v>总直播时长</x:v>
      </x:c>
      <x:c r="G25" s="75" t="n">
        <x:f>'月度核算明细'!N8</x:f>
        <x:v>80</x:v>
      </x:c>
      <x:c r="H25" s="118" t="n">
        <x:v>50</x:v>
      </x:c>
      <x:c r="I25" s="75" t="n">
        <x:v>0</x:v>
      </x:c>
      <x:c r="J25" s="102" t="n">
        <x:f>ROUND(G25*H25+I25,2)</x:f>
        <x:v>4000</x:v>
      </x:c>
      <x:c r="K25" s="3"/>
      <x:c r="L25" s="3" t="str">
        <x:v>所选时长 × 规则时薪</x:v>
      </x:c>
      <x:c r="M25" s="119"/>
      <x:c r="N25" s="120"/>
      <x:c r="O25" s="121"/>
      <x:c r="P25" s="3" t="str">
        <x:v>g-floor-total</x:v>
      </x:c>
    </x:row>
    <x:row r="26" ht="24" customHeight="1">
      <x:c r="A26" s="67" t="str">
        <x:v>周宁</x:v>
      </x:c>
      <x:c r="B26" s="67" t="str">
        <x:v>示例一号房</x:v>
      </x:c>
      <x:c r="C26" s="67" t="str">
        <x:v>基础</x:v>
      </x:c>
      <x:c r="D26" s="67" t="str">
        <x:v>基础·夜班保底</x:v>
      </x:c>
      <x:c r="E26" s="67" t="str">
        <x:v>保底</x:v>
      </x:c>
      <x:c r="F26" s="67" t="str">
        <x:v>夜班直播时长</x:v>
      </x:c>
      <x:c r="G26" s="77" t="n">
        <x:f>'月度核算明细'!O8</x:f>
        <x:v>20</x:v>
      </x:c>
      <x:c r="H26" s="118" t="n">
        <x:v>200</x:v>
      </x:c>
      <x:c r="I26" s="77" t="n">
        <x:v>0</x:v>
      </x:c>
      <x:c r="J26" s="103" t="n">
        <x:f>ROUND(G26*H26+I26,2)</x:f>
        <x:v>4000</x:v>
      </x:c>
      <x:c r="K26" s="3"/>
      <x:c r="L26" s="3" t="str">
        <x:v>所选时长 × 规则时薪</x:v>
      </x:c>
      <x:c r="M26" s="119"/>
      <x:c r="N26" s="120"/>
      <x:c r="O26" s="121"/>
      <x:c r="P26" s="67" t="str">
        <x:v>g-floor-night</x:v>
      </x:c>
    </x:row>
    <x:row r="27" ht="24" customHeight="1">
      <x:c r="A27" s="3" t="str">
        <x:v>周宁</x:v>
      </x:c>
      <x:c r="B27" s="3" t="str">
        <x:v>示例一号房</x:v>
      </x:c>
      <x:c r="C27" s="3" t="str">
        <x:v>基础</x:v>
      </x:c>
      <x:c r="D27" s="3" t="str">
        <x:v>基础·ROI加成</x:v>
      </x:c>
      <x:c r="E27" s="3" t="str">
        <x:v>加成</x:v>
      </x:c>
      <x:c r="F27" s="3" t="str">
        <x:v>总直播时长</x:v>
      </x:c>
      <x:c r="G27" s="75" t="n">
        <x:f>'月度核算明细'!N8</x:f>
        <x:v>80</x:v>
      </x:c>
      <x:c r="H27" s="118" t="n">
        <x:f>IF(AND('员工月薪汇总'!H18&gt;=0,'员工月薪汇总'!H18&lt;3),20,IF('员工月薪汇总'!H18&gt;=3,45,NA()))</x:f>
        <x:v>20</x:v>
      </x:c>
      <x:c r="I27" s="75" t="n">
        <x:v>0</x:v>
      </x:c>
      <x:c r="J27" s="102" t="n">
        <x:f>ROUND(G27*H27+I27,2)</x:f>
        <x:v>1600</x:v>
      </x:c>
      <x:c r="K27" s="3"/>
      <x:c r="L27" s="3" t="str">
        <x:v>有效ROI：低于3为20；≥3为45</x:v>
      </x:c>
      <x:c r="M27" s="119"/>
      <x:c r="N27" s="120"/>
      <x:c r="O27" s="121"/>
      <x:c r="P27" s="3" t="str">
        <x:v>g-roi-addition</x:v>
      </x:c>
    </x:row>
    <x:row r="28" ht="24" customHeight="1">
      <x:c r="A28" s="67" t="str">
        <x:v>周宁</x:v>
      </x:c>
      <x:c r="B28" s="67" t="str">
        <x:v>示例一号房</x:v>
      </x:c>
      <x:c r="C28" s="67" t="str">
        <x:v>基础</x:v>
      </x:c>
      <x:c r="D28" s="67" t="str">
        <x:v>基础·排名加成</x:v>
      </x:c>
      <x:c r="E28" s="67" t="str">
        <x:v>加成</x:v>
      </x:c>
      <x:c r="F28" s="67" t="str">
        <x:v>总直播时长</x:v>
      </x:c>
      <x:c r="G28" s="77" t="n">
        <x:f>'月度核算明细'!N8</x:f>
        <x:v>80</x:v>
      </x:c>
      <x:c r="H28" s="118" t="n">
        <x:f>IF('员工月薪汇总'!I18=1,10,IF('员工月薪汇总'!I18&gt;=2,5,NA()))</x:f>
        <x:v>5</x:v>
      </x:c>
      <x:c r="I28" s="77" t="n">
        <x:v>0</x:v>
      </x:c>
      <x:c r="J28" s="103" t="n">
        <x:f>ROUND(G28*H28+I28,2)</x:f>
        <x:v>400</x:v>
      </x:c>
      <x:c r="K28" s="3"/>
      <x:c r="L28" s="3" t="str">
        <x:v>有效排名：第1为10；其余为5</x:v>
      </x:c>
      <x:c r="M28" s="119"/>
      <x:c r="N28" s="120"/>
      <x:c r="O28" s="121"/>
      <x:c r="P28" s="67" t="str">
        <x:v>g-rank-addition</x:v>
      </x:c>
    </x:row>
    <x:row r="29" ht="24" customHeight="1">
      <x:c r="A29" s="3" t="str">
        <x:v>周宁</x:v>
      </x:c>
      <x:c r="B29" s="3" t="str">
        <x:v>示例一号房</x:v>
      </x:c>
      <x:c r="C29" s="3" t="str">
        <x:v>直播间</x:v>
      </x:c>
      <x:c r="D29" s="3" t="str">
        <x:v>双房共用·正常时段加成</x:v>
      </x:c>
      <x:c r="E29" s="3" t="str">
        <x:v>加成</x:v>
      </x:c>
      <x:c r="F29" s="3" t="str">
        <x:v>正常直播时长</x:v>
      </x:c>
      <x:c r="G29" s="75" t="n">
        <x:f>'月度核算明细'!Q8</x:f>
        <x:v>50</x:v>
      </x:c>
      <x:c r="H29" s="118" t="n">
        <x:v>20</x:v>
      </x:c>
      <x:c r="I29" s="75" t="n">
        <x:v>0</x:v>
      </x:c>
      <x:c r="J29" s="102" t="n">
        <x:f>ROUND(G29*H29+I29,2)</x:f>
        <x:v>1000</x:v>
      </x:c>
      <x:c r="K29" s="3"/>
      <x:c r="L29" s="3" t="str">
        <x:v>所选时长 × 规则时薪</x:v>
      </x:c>
      <x:c r="M29" s="119"/>
      <x:c r="N29" s="120"/>
      <x:c r="O29" s="121"/>
      <x:c r="P29" s="3" t="str">
        <x:v>r-regular-addition</x:v>
      </x:c>
    </x:row>
    <x:row r="30" ht="24" customHeight="1">
      <x:c r="A30" s="67" t="str">
        <x:v>陈雨</x:v>
      </x:c>
      <x:c r="B30" s="67" t="str">
        <x:v>示例一号房</x:v>
      </x:c>
      <x:c r="C30" s="67" t="str">
        <x:v>基础</x:v>
      </x:c>
      <x:c r="D30" s="67" t="str">
        <x:v>基础·夜班补贴</x:v>
      </x:c>
      <x:c r="E30" s="67" t="str">
        <x:v>补贴</x:v>
      </x:c>
      <x:c r="F30" s="67" t="str">
        <x:v>夜班场次</x:v>
      </x:c>
      <x:c r="G30" s="77" t="n">
        <x:f>'月度核算明细'!R9</x:f>
        <x:v>3</x:v>
      </x:c>
      <x:c r="H30" s="118" t="n">
        <x:v>20</x:v>
      </x:c>
      <x:c r="I30" s="77" t="n">
        <x:v>0</x:v>
      </x:c>
      <x:c r="J30" s="103" t="n">
        <x:f>ROUND(G30*H30+I30,2)</x:f>
        <x:v>60</x:v>
      </x:c>
      <x:c r="K30" s="3"/>
      <x:c r="L30" s="3" t="str">
        <x:v>场次 × 每场补贴</x:v>
      </x:c>
      <x:c r="M30" s="119"/>
      <x:c r="N30" s="120"/>
      <x:c r="O30" s="121"/>
      <x:c r="P30" s="67" t="str">
        <x:v>g-night-allowance</x:v>
      </x:c>
    </x:row>
    <x:row r="31" ht="24" customHeight="1">
      <x:c r="A31" s="3" t="str">
        <x:v>陈雨</x:v>
      </x:c>
      <x:c r="B31" s="3" t="str">
        <x:v>示例一号房</x:v>
      </x:c>
      <x:c r="C31" s="3" t="str">
        <x:v>基础</x:v>
      </x:c>
      <x:c r="D31" s="3" t="str">
        <x:v>基础·早班补贴</x:v>
      </x:c>
      <x:c r="E31" s="3" t="str">
        <x:v>补贴</x:v>
      </x:c>
      <x:c r="F31" s="3" t="str">
        <x:v>早班场次</x:v>
      </x:c>
      <x:c r="G31" s="75" t="n">
        <x:f>'月度核算明细'!S9</x:f>
        <x:v>6</x:v>
      </x:c>
      <x:c r="H31" s="118" t="n">
        <x:v>10</x:v>
      </x:c>
      <x:c r="I31" s="75" t="n">
        <x:v>0</x:v>
      </x:c>
      <x:c r="J31" s="102" t="n">
        <x:f>ROUND(G31*H31+I31,2)</x:f>
        <x:v>60</x:v>
      </x:c>
      <x:c r="K31" s="3"/>
      <x:c r="L31" s="3" t="str">
        <x:v>场次 × 每场补贴</x:v>
      </x:c>
      <x:c r="M31" s="119"/>
      <x:c r="N31" s="120"/>
      <x:c r="O31" s="121"/>
      <x:c r="P31" s="3" t="str">
        <x:v>g-early-allowance</x:v>
      </x:c>
    </x:row>
    <x:row r="32" ht="24" customHeight="1">
      <x:c r="A32" s="67" t="str">
        <x:v>陈雨</x:v>
      </x:c>
      <x:c r="B32" s="67" t="str">
        <x:v>示例一号房</x:v>
      </x:c>
      <x:c r="C32" s="67" t="str">
        <x:v>基础</x:v>
      </x:c>
      <x:c r="D32" s="67" t="str">
        <x:v>基础·早班系数</x:v>
      </x:c>
      <x:c r="E32" s="67" t="str">
        <x:v>系数保费</x:v>
      </x:c>
      <x:c r="F32" s="67" t="str">
        <x:v>早班保费</x:v>
      </x:c>
      <x:c r="G32" s="77" t="n">
        <x:f>'月度核算明细'!Z9</x:f>
        <x:v>6000</x:v>
      </x:c>
      <x:c r="H32" s="118" t="n">
        <x:f>IF('月度核算明细'!S9&gt;=O32,M32,1)</x:f>
        <x:v>2</x:v>
      </x:c>
      <x:c r="I32" s="77" t="n">
        <x:f>'月度核算明细'!AA9</x:f>
        <x:v>18000</x:v>
      </x:c>
      <x:c r="J32" s="103" t="n">
        <x:f>ROUND(G32*H32+I32,2)</x:f>
        <x:v>30000</x:v>
      </x:c>
      <x:c r="K32" s="3"/>
      <x:c r="L32" s="3" t="str">
        <x:v>达阈值用设定系数，否则用1</x:v>
      </x:c>
      <x:c r="M32" s="119" t="n">
        <x:v>2</x:v>
      </x:c>
      <x:c r="N32" s="120" t="str">
        <x:v>早班场次 ≥</x:v>
      </x:c>
      <x:c r="O32" s="121" t="n">
        <x:v>5</x:v>
      </x:c>
      <x:c r="P32" s="67" t="str">
        <x:v>g-premium</x:v>
      </x:c>
    </x:row>
    <x:row r="33" ht="24" customHeight="1">
      <x:c r="A33" s="3" t="str">
        <x:v>陈雨</x:v>
      </x:c>
      <x:c r="B33" s="3" t="str">
        <x:v>示例一号房</x:v>
      </x:c>
      <x:c r="C33" s="3" t="str">
        <x:v>基础</x:v>
      </x:c>
      <x:c r="D33" s="3" t="str">
        <x:v>基础·早班系数备选</x:v>
      </x:c>
      <x:c r="E33" s="3" t="str">
        <x:v>系数保费</x:v>
      </x:c>
      <x:c r="F33" s="3" t="str">
        <x:v>早班保费</x:v>
      </x:c>
      <x:c r="G33" s="75" t="n">
        <x:f>'月度核算明细'!Z9</x:f>
        <x:v>6000</x:v>
      </x:c>
      <x:c r="H33" s="118" t="n">
        <x:f>IF('月度核算明细'!S9&gt;=O33,M33,1)</x:f>
        <x:v>1.5</x:v>
      </x:c>
      <x:c r="I33" s="75" t="n">
        <x:f>'月度核算明细'!AA9</x:f>
        <x:v>18000</x:v>
      </x:c>
      <x:c r="J33" s="102" t="n">
        <x:f>ROUND(G33*H33+I33,2)</x:f>
        <x:v>27000</x:v>
      </x:c>
      <x:c r="K33" s="3"/>
      <x:c r="L33" s="3" t="str">
        <x:v>达阈值用设定系数，否则用1</x:v>
      </x:c>
      <x:c r="M33" s="119" t="n">
        <x:v>1.5</x:v>
      </x:c>
      <x:c r="N33" s="120" t="str">
        <x:v>早班场次 ≥</x:v>
      </x:c>
      <x:c r="O33" s="121" t="n">
        <x:v>3</x:v>
      </x:c>
      <x:c r="P33" s="3" t="str">
        <x:v>g-premium-alternative</x:v>
      </x:c>
    </x:row>
    <x:row r="34" ht="24" customHeight="1">
      <x:c r="A34" s="67" t="str">
        <x:v>陈雨</x:v>
      </x:c>
      <x:c r="B34" s="67" t="str">
        <x:v>示例一号房</x:v>
      </x:c>
      <x:c r="C34" s="67" t="str">
        <x:v>员工</x:v>
      </x:c>
      <x:c r="D34" s="67" t="str">
        <x:v>签约员工·夜班补贴</x:v>
      </x:c>
      <x:c r="E34" s="67" t="str">
        <x:v>补贴</x:v>
      </x:c>
      <x:c r="F34" s="67" t="str">
        <x:v>夜班场次</x:v>
      </x:c>
      <x:c r="G34" s="77" t="n">
        <x:f>'月度核算明细'!R9</x:f>
        <x:v>3</x:v>
      </x:c>
      <x:c r="H34" s="118" t="n">
        <x:v>15</x:v>
      </x:c>
      <x:c r="I34" s="77" t="n">
        <x:v>0</x:v>
      </x:c>
      <x:c r="J34" s="103" t="n">
        <x:f>ROUND(G34*H34+I34,2)</x:f>
        <x:v>45</x:v>
      </x:c>
      <x:c r="K34" s="3"/>
      <x:c r="L34" s="3" t="str">
        <x:v>场次 × 每场补贴</x:v>
      </x:c>
      <x:c r="M34" s="119"/>
      <x:c r="N34" s="120"/>
      <x:c r="O34" s="121"/>
      <x:c r="P34" s="67" t="str">
        <x:v>e-night-allowance</x:v>
      </x:c>
    </x:row>
    <x:row r="35" ht="24" customHeight="1">
      <x:c r="A35" s="3" t="str">
        <x:v>陈雨</x:v>
      </x:c>
      <x:c r="B35" s="3" t="str">
        <x:v>示例一号房</x:v>
      </x:c>
      <x:c r="C35" s="3" t="str">
        <x:v>员工</x:v>
      </x:c>
      <x:c r="D35" s="3" t="str">
        <x:v>签约员工·早班系数</x:v>
      </x:c>
      <x:c r="E35" s="3" t="str">
        <x:v>系数保费</x:v>
      </x:c>
      <x:c r="F35" s="3" t="str">
        <x:v>早班保费</x:v>
      </x:c>
      <x:c r="G35" s="75" t="n">
        <x:f>'月度核算明细'!Z9</x:f>
        <x:v>6000</x:v>
      </x:c>
      <x:c r="H35" s="118" t="n">
        <x:f>IF('月度核算明细'!S9&gt;=O35,M35,1)</x:f>
        <x:v>3</x:v>
      </x:c>
      <x:c r="I35" s="75" t="n">
        <x:f>'月度核算明细'!AA9</x:f>
        <x:v>18000</x:v>
      </x:c>
      <x:c r="J35" s="102" t="n">
        <x:f>ROUND(G35*H35+I35,2)</x:f>
        <x:v>36000</x:v>
      </x:c>
      <x:c r="K35" s="3"/>
      <x:c r="L35" s="3" t="str">
        <x:v>达阈值用设定系数，否则用1</x:v>
      </x:c>
      <x:c r="M35" s="119" t="n">
        <x:v>3</x:v>
      </x:c>
      <x:c r="N35" s="120" t="str">
        <x:v>早班场次 ≥</x:v>
      </x:c>
      <x:c r="O35" s="121" t="n">
        <x:v>5</x:v>
      </x:c>
      <x:c r="P35" s="3" t="str">
        <x:v>e-premium</x:v>
      </x:c>
    </x:row>
    <x:row r="36" ht="24" customHeight="1">
      <x:c r="A36" s="67" t="str">
        <x:v>陈雨</x:v>
      </x:c>
      <x:c r="B36" s="67" t="str">
        <x:v>示例一号房</x:v>
      </x:c>
      <x:c r="C36" s="67" t="str">
        <x:v>基础</x:v>
      </x:c>
      <x:c r="D36" s="67" t="str">
        <x:v>基础·总时长保底</x:v>
      </x:c>
      <x:c r="E36" s="67" t="str">
        <x:v>保底</x:v>
      </x:c>
      <x:c r="F36" s="67" t="str">
        <x:v>总直播时长</x:v>
      </x:c>
      <x:c r="G36" s="77" t="n">
        <x:f>'月度核算明细'!N9</x:f>
        <x:v>60</x:v>
      </x:c>
      <x:c r="H36" s="118" t="n">
        <x:v>50</x:v>
      </x:c>
      <x:c r="I36" s="77" t="n">
        <x:v>0</x:v>
      </x:c>
      <x:c r="J36" s="103" t="n">
        <x:f>ROUND(G36*H36+I36,2)</x:f>
        <x:v>3000</x:v>
      </x:c>
      <x:c r="K36" s="3"/>
      <x:c r="L36" s="3" t="str">
        <x:v>所选时长 × 规则时薪</x:v>
      </x:c>
      <x:c r="M36" s="119"/>
      <x:c r="N36" s="120"/>
      <x:c r="O36" s="121"/>
      <x:c r="P36" s="67" t="str">
        <x:v>g-floor-total</x:v>
      </x:c>
    </x:row>
    <x:row r="37" ht="24" customHeight="1">
      <x:c r="A37" s="3" t="str">
        <x:v>陈雨</x:v>
      </x:c>
      <x:c r="B37" s="3" t="str">
        <x:v>示例一号房</x:v>
      </x:c>
      <x:c r="C37" s="3" t="str">
        <x:v>基础</x:v>
      </x:c>
      <x:c r="D37" s="3" t="str">
        <x:v>基础·夜班保底</x:v>
      </x:c>
      <x:c r="E37" s="3" t="str">
        <x:v>保底</x:v>
      </x:c>
      <x:c r="F37" s="3" t="str">
        <x:v>夜班直播时长</x:v>
      </x:c>
      <x:c r="G37" s="75" t="n">
        <x:f>'月度核算明细'!O9</x:f>
        <x:v>10</x:v>
      </x:c>
      <x:c r="H37" s="118" t="n">
        <x:v>200</x:v>
      </x:c>
      <x:c r="I37" s="75" t="n">
        <x:v>0</x:v>
      </x:c>
      <x:c r="J37" s="102" t="n">
        <x:f>ROUND(G37*H37+I37,2)</x:f>
        <x:v>2000</x:v>
      </x:c>
      <x:c r="K37" s="3"/>
      <x:c r="L37" s="3" t="str">
        <x:v>所选时长 × 规则时薪</x:v>
      </x:c>
      <x:c r="M37" s="119"/>
      <x:c r="N37" s="120"/>
      <x:c r="O37" s="121"/>
      <x:c r="P37" s="3" t="str">
        <x:v>g-floor-night</x:v>
      </x:c>
    </x:row>
    <x:row r="38" ht="24" customHeight="1">
      <x:c r="A38" s="67" t="str">
        <x:v>陈雨</x:v>
      </x:c>
      <x:c r="B38" s="67" t="str">
        <x:v>示例一号房</x:v>
      </x:c>
      <x:c r="C38" s="67" t="str">
        <x:v>基础</x:v>
      </x:c>
      <x:c r="D38" s="67" t="str">
        <x:v>基础·ROI加成</x:v>
      </x:c>
      <x:c r="E38" s="67" t="str">
        <x:v>加成</x:v>
      </x:c>
      <x:c r="F38" s="67" t="str">
        <x:v>总直播时长</x:v>
      </x:c>
      <x:c r="G38" s="77" t="n">
        <x:f>'月度核算明细'!N9</x:f>
        <x:v>60</x:v>
      </x:c>
      <x:c r="H38" s="118" t="n">
        <x:f>IF(AND('员工月薪汇总'!H19&gt;=0,'员工月薪汇总'!H19&lt;3),20,IF('员工月薪汇总'!H19&gt;=3,45,NA()))</x:f>
        <x:v>45</x:v>
      </x:c>
      <x:c r="I38" s="77" t="n">
        <x:v>0</x:v>
      </x:c>
      <x:c r="J38" s="103" t="n">
        <x:f>ROUND(G38*H38+I38,2)</x:f>
        <x:v>2700</x:v>
      </x:c>
      <x:c r="K38" s="3"/>
      <x:c r="L38" s="3" t="str">
        <x:v>有效ROI：低于3为20；≥3为45</x:v>
      </x:c>
      <x:c r="M38" s="119"/>
      <x:c r="N38" s="120"/>
      <x:c r="O38" s="121"/>
      <x:c r="P38" s="67" t="str">
        <x:v>g-roi-addition</x:v>
      </x:c>
    </x:row>
    <x:row r="39" ht="24" customHeight="1">
      <x:c r="A39" s="3" t="str">
        <x:v>陈雨</x:v>
      </x:c>
      <x:c r="B39" s="3" t="str">
        <x:v>示例一号房</x:v>
      </x:c>
      <x:c r="C39" s="3" t="str">
        <x:v>基础</x:v>
      </x:c>
      <x:c r="D39" s="3" t="str">
        <x:v>基础·排名加成</x:v>
      </x:c>
      <x:c r="E39" s="3" t="str">
        <x:v>加成</x:v>
      </x:c>
      <x:c r="F39" s="3" t="str">
        <x:v>总直播时长</x:v>
      </x:c>
      <x:c r="G39" s="75" t="n">
        <x:f>'月度核算明细'!N9</x:f>
        <x:v>60</x:v>
      </x:c>
      <x:c r="H39" s="118" t="n">
        <x:f>IF('员工月薪汇总'!I19=1,10,IF('员工月薪汇总'!I19&gt;=2,5,NA()))</x:f>
        <x:v>5</x:v>
      </x:c>
      <x:c r="I39" s="75" t="n">
        <x:v>0</x:v>
      </x:c>
      <x:c r="J39" s="102" t="n">
        <x:f>ROUND(G39*H39+I39,2)</x:f>
        <x:v>300</x:v>
      </x:c>
      <x:c r="K39" s="3"/>
      <x:c r="L39" s="3" t="str">
        <x:v>有效排名：第1为10；其余为5</x:v>
      </x:c>
      <x:c r="M39" s="119"/>
      <x:c r="N39" s="120"/>
      <x:c r="O39" s="121"/>
      <x:c r="P39" s="3" t="str">
        <x:v>g-rank-addition</x:v>
      </x:c>
    </x:row>
    <x:row r="40" ht="24" customHeight="1">
      <x:c r="A40" s="67" t="str">
        <x:v>陈雨</x:v>
      </x:c>
      <x:c r="B40" s="67" t="str">
        <x:v>示例一号房</x:v>
      </x:c>
      <x:c r="C40" s="67" t="str">
        <x:v>直播间</x:v>
      </x:c>
      <x:c r="D40" s="67" t="str">
        <x:v>双房共用·正常时段加成</x:v>
      </x:c>
      <x:c r="E40" s="67" t="str">
        <x:v>加成</x:v>
      </x:c>
      <x:c r="F40" s="67" t="str">
        <x:v>正常直播时长</x:v>
      </x:c>
      <x:c r="G40" s="77" t="n">
        <x:f>'月度核算明细'!Q9</x:f>
        <x:v>30</x:v>
      </x:c>
      <x:c r="H40" s="118" t="n">
        <x:v>20</x:v>
      </x:c>
      <x:c r="I40" s="77" t="n">
        <x:v>0</x:v>
      </x:c>
      <x:c r="J40" s="103" t="n">
        <x:f>ROUND(G40*H40+I40,2)</x:f>
        <x:v>600</x:v>
      </x:c>
      <x:c r="K40" s="3"/>
      <x:c r="L40" s="3" t="str">
        <x:v>所选时长 × 规则时薪</x:v>
      </x:c>
      <x:c r="M40" s="119"/>
      <x:c r="N40" s="120"/>
      <x:c r="O40" s="121"/>
      <x:c r="P40" s="67" t="str">
        <x:v>r-regular-addition</x:v>
      </x:c>
    </x:row>
    <x:row r="41" ht="24" customHeight="1">
      <x:c r="A41" s="3" t="str">
        <x:v>陈雨</x:v>
      </x:c>
      <x:c r="B41" s="3" t="str">
        <x:v>示例一号房</x:v>
      </x:c>
      <x:c r="C41" s="3" t="str">
        <x:v>员工</x:v>
      </x:c>
      <x:c r="D41" s="3" t="str">
        <x:v>签约员工·早班保底</x:v>
      </x:c>
      <x:c r="E41" s="3" t="str">
        <x:v>保底</x:v>
      </x:c>
      <x:c r="F41" s="3" t="str">
        <x:v>早班直播时长</x:v>
      </x:c>
      <x:c r="G41" s="75" t="n">
        <x:f>'月度核算明细'!P9</x:f>
        <x:v>20</x:v>
      </x:c>
      <x:c r="H41" s="118" t="n">
        <x:v>220</x:v>
      </x:c>
      <x:c r="I41" s="75" t="n">
        <x:v>0</x:v>
      </x:c>
      <x:c r="J41" s="102" t="n">
        <x:f>ROUND(G41*H41+I41,2)</x:f>
        <x:v>4400</x:v>
      </x:c>
      <x:c r="K41" s="3"/>
      <x:c r="L41" s="3" t="str">
        <x:v>所选时长 × 规则时薪</x:v>
      </x:c>
      <x:c r="M41" s="119"/>
      <x:c r="N41" s="120"/>
      <x:c r="O41" s="121"/>
      <x:c r="P41" s="3" t="str">
        <x:v>e-floor-early</x:v>
      </x:c>
    </x:row>
    <x:row r="42" ht="24" customHeight="1">
      <x:c r="A42" s="67" t="str">
        <x:v>陈雨</x:v>
      </x:c>
      <x:c r="B42" s="67" t="str">
        <x:v>示例一号房</x:v>
      </x:c>
      <x:c r="C42" s="67" t="str">
        <x:v>员工</x:v>
      </x:c>
      <x:c r="D42" s="67" t="str">
        <x:v>签约员工·总时长保底</x:v>
      </x:c>
      <x:c r="E42" s="67" t="str">
        <x:v>保底</x:v>
      </x:c>
      <x:c r="F42" s="67" t="str">
        <x:v>总直播时长</x:v>
      </x:c>
      <x:c r="G42" s="77" t="n">
        <x:f>'月度核算明细'!N9</x:f>
        <x:v>60</x:v>
      </x:c>
      <x:c r="H42" s="118" t="n">
        <x:v>55</x:v>
      </x:c>
      <x:c r="I42" s="77" t="n">
        <x:v>0</x:v>
      </x:c>
      <x:c r="J42" s="103" t="n">
        <x:f>ROUND(G42*H42+I42,2)</x:f>
        <x:v>3300</x:v>
      </x:c>
      <x:c r="K42" s="3"/>
      <x:c r="L42" s="3" t="str">
        <x:v>所选时长 × 规则时薪</x:v>
      </x:c>
      <x:c r="M42" s="119"/>
      <x:c r="N42" s="120"/>
      <x:c r="O42" s="121"/>
      <x:c r="P42" s="67" t="str">
        <x:v>e-floor-total</x:v>
      </x:c>
    </x:row>
    <x:row r="43" ht="24" customHeight="1">
      <x:c r="A43" s="3" t="str">
        <x:v>陈雨</x:v>
      </x:c>
      <x:c r="B43" s="3" t="str">
        <x:v>示例一号房</x:v>
      </x:c>
      <x:c r="C43" s="3" t="str">
        <x:v>员工</x:v>
      </x:c>
      <x:c r="D43" s="3" t="str">
        <x:v>签约员工·早班加成</x:v>
      </x:c>
      <x:c r="E43" s="3" t="str">
        <x:v>加成</x:v>
      </x:c>
      <x:c r="F43" s="3" t="str">
        <x:v>早班直播时长</x:v>
      </x:c>
      <x:c r="G43" s="75" t="n">
        <x:f>'月度核算明细'!P9</x:f>
        <x:v>20</x:v>
      </x:c>
      <x:c r="H43" s="118" t="n">
        <x:v>10</x:v>
      </x:c>
      <x:c r="I43" s="75" t="n">
        <x:v>0</x:v>
      </x:c>
      <x:c r="J43" s="102" t="n">
        <x:f>ROUND(G43*H43+I43,2)</x:f>
        <x:v>200</x:v>
      </x:c>
      <x:c r="K43" s="3"/>
      <x:c r="L43" s="3" t="str">
        <x:v>所选时长 × 规则时薪</x:v>
      </x:c>
      <x:c r="M43" s="119"/>
      <x:c r="N43" s="120"/>
      <x:c r="O43" s="121"/>
      <x:c r="P43" s="3" t="str">
        <x:v>e-early-addition</x:v>
      </x:c>
    </x:row>
    <x:row r="44" ht="24" customHeight="1">
      <x:c r="A44" s="67" t="str">
        <x:v>林晓</x:v>
      </x:c>
      <x:c r="B44" s="67" t="str">
        <x:v>示例二号房</x:v>
      </x:c>
      <x:c r="C44" s="67" t="str">
        <x:v>基础</x:v>
      </x:c>
      <x:c r="D44" s="67" t="str">
        <x:v>基础·夜班补贴</x:v>
      </x:c>
      <x:c r="E44" s="67" t="str">
        <x:v>补贴</x:v>
      </x:c>
      <x:c r="F44" s="67" t="str">
        <x:v>夜班场次</x:v>
      </x:c>
      <x:c r="G44" s="77" t="n">
        <x:f>'月度核算明细'!R10</x:f>
        <x:v>2</x:v>
      </x:c>
      <x:c r="H44" s="118" t="n">
        <x:v>20</x:v>
      </x:c>
      <x:c r="I44" s="77" t="n">
        <x:v>0</x:v>
      </x:c>
      <x:c r="J44" s="103" t="n">
        <x:f>ROUND(G44*H44+I44,2)</x:f>
        <x:v>40</x:v>
      </x:c>
      <x:c r="K44" s="3"/>
      <x:c r="L44" s="3" t="str">
        <x:v>场次 × 每场补贴</x:v>
      </x:c>
      <x:c r="M44" s="119"/>
      <x:c r="N44" s="120"/>
      <x:c r="O44" s="121"/>
      <x:c r="P44" s="67" t="str">
        <x:v>g-night-allowance</x:v>
      </x:c>
    </x:row>
    <x:row r="45" ht="24" customHeight="1">
      <x:c r="A45" s="3" t="str">
        <x:v>林晓</x:v>
      </x:c>
      <x:c r="B45" s="3" t="str">
        <x:v>示例二号房</x:v>
      </x:c>
      <x:c r="C45" s="3" t="str">
        <x:v>基础</x:v>
      </x:c>
      <x:c r="D45" s="3" t="str">
        <x:v>基础·早班补贴</x:v>
      </x:c>
      <x:c r="E45" s="3" t="str">
        <x:v>补贴</x:v>
      </x:c>
      <x:c r="F45" s="3" t="str">
        <x:v>早班场次</x:v>
      </x:c>
      <x:c r="G45" s="75" t="n">
        <x:f>'月度核算明细'!S10</x:f>
        <x:v>1</x:v>
      </x:c>
      <x:c r="H45" s="118" t="n">
        <x:v>10</x:v>
      </x:c>
      <x:c r="I45" s="75" t="n">
        <x:v>0</x:v>
      </x:c>
      <x:c r="J45" s="102" t="n">
        <x:f>ROUND(G45*H45+I45,2)</x:f>
        <x:v>10</x:v>
      </x:c>
      <x:c r="K45" s="3"/>
      <x:c r="L45" s="3" t="str">
        <x:v>场次 × 每场补贴</x:v>
      </x:c>
      <x:c r="M45" s="119"/>
      <x:c r="N45" s="120"/>
      <x:c r="O45" s="121"/>
      <x:c r="P45" s="3" t="str">
        <x:v>g-early-allowance</x:v>
      </x:c>
    </x:row>
    <x:row r="46" ht="24" customHeight="1">
      <x:c r="A46" s="67" t="str">
        <x:v>林晓</x:v>
      </x:c>
      <x:c r="B46" s="67" t="str">
        <x:v>示例二号房</x:v>
      </x:c>
      <x:c r="C46" s="67" t="str">
        <x:v>基础</x:v>
      </x:c>
      <x:c r="D46" s="67" t="str">
        <x:v>基础·早班系数</x:v>
      </x:c>
      <x:c r="E46" s="67" t="str">
        <x:v>系数保费</x:v>
      </x:c>
      <x:c r="F46" s="67" t="str">
        <x:v>早班保费</x:v>
      </x:c>
      <x:c r="G46" s="77" t="n">
        <x:f>'月度核算明细'!Z10</x:f>
        <x:v>2000</x:v>
      </x:c>
      <x:c r="H46" s="118" t="n">
        <x:f>IF('月度核算明细'!S10&gt;=O46,M46,1)</x:f>
        <x:v>1</x:v>
      </x:c>
      <x:c r="I46" s="77" t="n">
        <x:f>'月度核算明细'!AA10</x:f>
        <x:v>7000</x:v>
      </x:c>
      <x:c r="J46" s="103" t="n">
        <x:f>ROUND(G46*H46+I46,2)</x:f>
        <x:v>9000</x:v>
      </x:c>
      <x:c r="K46" s="3"/>
      <x:c r="L46" s="3" t="str">
        <x:v>达阈值用设定系数，否则用1</x:v>
      </x:c>
      <x:c r="M46" s="119" t="n">
        <x:v>2</x:v>
      </x:c>
      <x:c r="N46" s="120" t="str">
        <x:v>早班场次 ≥</x:v>
      </x:c>
      <x:c r="O46" s="121" t="n">
        <x:v>5</x:v>
      </x:c>
      <x:c r="P46" s="67" t="str">
        <x:v>g-premium</x:v>
      </x:c>
    </x:row>
    <x:row r="47" ht="24" customHeight="1">
      <x:c r="A47" s="3" t="str">
        <x:v>林晓</x:v>
      </x:c>
      <x:c r="B47" s="3" t="str">
        <x:v>示例二号房</x:v>
      </x:c>
      <x:c r="C47" s="3" t="str">
        <x:v>基础</x:v>
      </x:c>
      <x:c r="D47" s="3" t="str">
        <x:v>基础·早班系数备选</x:v>
      </x:c>
      <x:c r="E47" s="3" t="str">
        <x:v>系数保费</x:v>
      </x:c>
      <x:c r="F47" s="3" t="str">
        <x:v>早班保费</x:v>
      </x:c>
      <x:c r="G47" s="75" t="n">
        <x:f>'月度核算明细'!Z10</x:f>
        <x:v>2000</x:v>
      </x:c>
      <x:c r="H47" s="118" t="n">
        <x:f>IF('月度核算明细'!S10&gt;=O47,M47,1)</x:f>
        <x:v>1</x:v>
      </x:c>
      <x:c r="I47" s="75" t="n">
        <x:f>'月度核算明细'!AA10</x:f>
        <x:v>7000</x:v>
      </x:c>
      <x:c r="J47" s="102" t="n">
        <x:f>ROUND(G47*H47+I47,2)</x:f>
        <x:v>9000</x:v>
      </x:c>
      <x:c r="K47" s="3"/>
      <x:c r="L47" s="3" t="str">
        <x:v>达阈值用设定系数，否则用1</x:v>
      </x:c>
      <x:c r="M47" s="119" t="n">
        <x:v>1.5</x:v>
      </x:c>
      <x:c r="N47" s="120" t="str">
        <x:v>早班场次 ≥</x:v>
      </x:c>
      <x:c r="O47" s="121" t="n">
        <x:v>3</x:v>
      </x:c>
      <x:c r="P47" s="3" t="str">
        <x:v>g-premium-alternative</x:v>
      </x:c>
    </x:row>
    <x:row r="48" ht="24" customHeight="1">
      <x:c r="A48" s="67" t="str">
        <x:v>林晓</x:v>
      </x:c>
      <x:c r="B48" s="67" t="str">
        <x:v>示例二号房</x:v>
      </x:c>
      <x:c r="C48" s="67" t="str">
        <x:v>员工</x:v>
      </x:c>
      <x:c r="D48" s="67" t="str">
        <x:v>签约员工·夜班补贴</x:v>
      </x:c>
      <x:c r="E48" s="67" t="str">
        <x:v>补贴</x:v>
      </x:c>
      <x:c r="F48" s="67" t="str">
        <x:v>夜班场次</x:v>
      </x:c>
      <x:c r="G48" s="77" t="n">
        <x:f>'月度核算明细'!R10</x:f>
        <x:v>2</x:v>
      </x:c>
      <x:c r="H48" s="118" t="n">
        <x:v>15</x:v>
      </x:c>
      <x:c r="I48" s="77" t="n">
        <x:v>0</x:v>
      </x:c>
      <x:c r="J48" s="103" t="n">
        <x:f>ROUND(G48*H48+I48,2)</x:f>
        <x:v>30</x:v>
      </x:c>
      <x:c r="K48" s="3"/>
      <x:c r="L48" s="3" t="str">
        <x:v>场次 × 每场补贴</x:v>
      </x:c>
      <x:c r="M48" s="119"/>
      <x:c r="N48" s="120"/>
      <x:c r="O48" s="121"/>
      <x:c r="P48" s="67" t="str">
        <x:v>e-night-allowance</x:v>
      </x:c>
    </x:row>
    <x:row r="49" ht="24" customHeight="1">
      <x:c r="A49" s="3" t="str">
        <x:v>林晓</x:v>
      </x:c>
      <x:c r="B49" s="3" t="str">
        <x:v>示例二号房</x:v>
      </x:c>
      <x:c r="C49" s="3" t="str">
        <x:v>员工</x:v>
      </x:c>
      <x:c r="D49" s="3" t="str">
        <x:v>签约员工·早班系数</x:v>
      </x:c>
      <x:c r="E49" s="3" t="str">
        <x:v>系数保费</x:v>
      </x:c>
      <x:c r="F49" s="3" t="str">
        <x:v>早班保费</x:v>
      </x:c>
      <x:c r="G49" s="75" t="n">
        <x:f>'月度核算明细'!Z10</x:f>
        <x:v>2000</x:v>
      </x:c>
      <x:c r="H49" s="118" t="n">
        <x:f>IF('月度核算明细'!S10&gt;=O49,M49,1)</x:f>
        <x:v>1</x:v>
      </x:c>
      <x:c r="I49" s="75" t="n">
        <x:f>'月度核算明细'!AA10</x:f>
        <x:v>7000</x:v>
      </x:c>
      <x:c r="J49" s="102" t="n">
        <x:f>ROUND(G49*H49+I49,2)</x:f>
        <x:v>9000</x:v>
      </x:c>
      <x:c r="K49" s="3"/>
      <x:c r="L49" s="3" t="str">
        <x:v>达阈值用设定系数，否则用1</x:v>
      </x:c>
      <x:c r="M49" s="119" t="n">
        <x:v>3</x:v>
      </x:c>
      <x:c r="N49" s="120" t="str">
        <x:v>早班场次 ≥</x:v>
      </x:c>
      <x:c r="O49" s="121" t="n">
        <x:v>5</x:v>
      </x:c>
      <x:c r="P49" s="3" t="str">
        <x:v>e-premium</x:v>
      </x:c>
    </x:row>
    <x:row r="50" ht="24" customHeight="1">
      <x:c r="A50" s="67" t="str">
        <x:v>林晓</x:v>
      </x:c>
      <x:c r="B50" s="67" t="str">
        <x:v>示例二号房</x:v>
      </x:c>
      <x:c r="C50" s="67" t="str">
        <x:v>基础</x:v>
      </x:c>
      <x:c r="D50" s="67" t="str">
        <x:v>基础·总时长保底</x:v>
      </x:c>
      <x:c r="E50" s="67" t="str">
        <x:v>保底</x:v>
      </x:c>
      <x:c r="F50" s="67" t="str">
        <x:v>总直播时长</x:v>
      </x:c>
      <x:c r="G50" s="77" t="n">
        <x:f>'月度核算明细'!N10</x:f>
        <x:v>40</x:v>
      </x:c>
      <x:c r="H50" s="118" t="n">
        <x:v>50</x:v>
      </x:c>
      <x:c r="I50" s="77" t="n">
        <x:v>0</x:v>
      </x:c>
      <x:c r="J50" s="103" t="n">
        <x:f>ROUND(G50*H50+I50,2)</x:f>
        <x:v>2000</x:v>
      </x:c>
      <x:c r="K50" s="3"/>
      <x:c r="L50" s="3" t="str">
        <x:v>所选时长 × 规则时薪</x:v>
      </x:c>
      <x:c r="M50" s="119"/>
      <x:c r="N50" s="120"/>
      <x:c r="O50" s="121"/>
      <x:c r="P50" s="67" t="str">
        <x:v>g-floor-total</x:v>
      </x:c>
    </x:row>
    <x:row r="51" ht="24" customHeight="1">
      <x:c r="A51" s="3" t="str">
        <x:v>林晓</x:v>
      </x:c>
      <x:c r="B51" s="3" t="str">
        <x:v>示例二号房</x:v>
      </x:c>
      <x:c r="C51" s="3" t="str">
        <x:v>基础</x:v>
      </x:c>
      <x:c r="D51" s="3" t="str">
        <x:v>基础·夜班保底</x:v>
      </x:c>
      <x:c r="E51" s="3" t="str">
        <x:v>保底</x:v>
      </x:c>
      <x:c r="F51" s="3" t="str">
        <x:v>夜班直播时长</x:v>
      </x:c>
      <x:c r="G51" s="75" t="n">
        <x:f>'月度核算明细'!O10</x:f>
        <x:v>5</x:v>
      </x:c>
      <x:c r="H51" s="118" t="n">
        <x:v>200</x:v>
      </x:c>
      <x:c r="I51" s="75" t="n">
        <x:v>0</x:v>
      </x:c>
      <x:c r="J51" s="102" t="n">
        <x:f>ROUND(G51*H51+I51,2)</x:f>
        <x:v>1000</x:v>
      </x:c>
      <x:c r="K51" s="3"/>
      <x:c r="L51" s="3" t="str">
        <x:v>所选时长 × 规则时薪</x:v>
      </x:c>
      <x:c r="M51" s="119"/>
      <x:c r="N51" s="120"/>
      <x:c r="O51" s="121"/>
      <x:c r="P51" s="3" t="str">
        <x:v>g-floor-night</x:v>
      </x:c>
    </x:row>
    <x:row r="52" ht="24" customHeight="1">
      <x:c r="A52" s="67" t="str">
        <x:v>林晓</x:v>
      </x:c>
      <x:c r="B52" s="67" t="str">
        <x:v>示例二号房</x:v>
      </x:c>
      <x:c r="C52" s="67" t="str">
        <x:v>基础</x:v>
      </x:c>
      <x:c r="D52" s="67" t="str">
        <x:v>基础·ROI加成</x:v>
      </x:c>
      <x:c r="E52" s="67" t="str">
        <x:v>加成</x:v>
      </x:c>
      <x:c r="F52" s="67" t="str">
        <x:v>总直播时长</x:v>
      </x:c>
      <x:c r="G52" s="77" t="n">
        <x:f>'月度核算明细'!N10</x:f>
        <x:v>40</x:v>
      </x:c>
      <x:c r="H52" s="118" t="n">
        <x:f>IF(AND('员工月薪汇总'!H20&gt;=0,'员工月薪汇总'!H20&lt;3),20,IF('员工月薪汇总'!H20&gt;=3,45,NA()))</x:f>
        <x:v>20</x:v>
      </x:c>
      <x:c r="I52" s="77" t="n">
        <x:v>0</x:v>
      </x:c>
      <x:c r="J52" s="103" t="n">
        <x:f>ROUND(G52*H52+I52,2)</x:f>
        <x:v>800</x:v>
      </x:c>
      <x:c r="K52" s="3"/>
      <x:c r="L52" s="3" t="str">
        <x:v>有效ROI：低于3为20；≥3为45</x:v>
      </x:c>
      <x:c r="M52" s="119"/>
      <x:c r="N52" s="120"/>
      <x:c r="O52" s="121"/>
      <x:c r="P52" s="67" t="str">
        <x:v>g-roi-addition</x:v>
      </x:c>
    </x:row>
    <x:row r="53" ht="24" customHeight="1">
      <x:c r="A53" s="3" t="str">
        <x:v>林晓</x:v>
      </x:c>
      <x:c r="B53" s="3" t="str">
        <x:v>示例二号房</x:v>
      </x:c>
      <x:c r="C53" s="3" t="str">
        <x:v>基础</x:v>
      </x:c>
      <x:c r="D53" s="3" t="str">
        <x:v>基础·排名加成</x:v>
      </x:c>
      <x:c r="E53" s="3" t="str">
        <x:v>加成</x:v>
      </x:c>
      <x:c r="F53" s="3" t="str">
        <x:v>总直播时长</x:v>
      </x:c>
      <x:c r="G53" s="75" t="n">
        <x:f>'月度核算明细'!N10</x:f>
        <x:v>40</x:v>
      </x:c>
      <x:c r="H53" s="118" t="n">
        <x:f>IF('员工月薪汇总'!I20=1,10,IF('员工月薪汇总'!I20&gt;=2,5,NA()))</x:f>
        <x:v>10</x:v>
      </x:c>
      <x:c r="I53" s="75" t="n">
        <x:v>0</x:v>
      </x:c>
      <x:c r="J53" s="102" t="n">
        <x:f>ROUND(G53*H53+I53,2)</x:f>
        <x:v>400</x:v>
      </x:c>
      <x:c r="K53" s="3"/>
      <x:c r="L53" s="3" t="str">
        <x:v>有效排名：第1为10；其余为5</x:v>
      </x:c>
      <x:c r="M53" s="119"/>
      <x:c r="N53" s="120"/>
      <x:c r="O53" s="121"/>
      <x:c r="P53" s="3" t="str">
        <x:v>g-rank-addition</x:v>
      </x:c>
    </x:row>
    <x:row r="54" ht="24" customHeight="1">
      <x:c r="A54" s="67" t="str">
        <x:v>林晓</x:v>
      </x:c>
      <x:c r="B54" s="67" t="str">
        <x:v>示例二号房</x:v>
      </x:c>
      <x:c r="C54" s="67" t="str">
        <x:v>直播间</x:v>
      </x:c>
      <x:c r="D54" s="67" t="str">
        <x:v>双房共用·正常时段加成</x:v>
      </x:c>
      <x:c r="E54" s="67" t="str">
        <x:v>加成</x:v>
      </x:c>
      <x:c r="F54" s="67" t="str">
        <x:v>正常直播时长</x:v>
      </x:c>
      <x:c r="G54" s="77" t="n">
        <x:f>'月度核算明细'!Q10</x:f>
        <x:v>30</x:v>
      </x:c>
      <x:c r="H54" s="118" t="n">
        <x:v>20</x:v>
      </x:c>
      <x:c r="I54" s="77" t="n">
        <x:v>0</x:v>
      </x:c>
      <x:c r="J54" s="103" t="n">
        <x:f>ROUND(G54*H54+I54,2)</x:f>
        <x:v>600</x:v>
      </x:c>
      <x:c r="K54" s="3"/>
      <x:c r="L54" s="3" t="str">
        <x:v>所选时长 × 规则时薪</x:v>
      </x:c>
      <x:c r="M54" s="119"/>
      <x:c r="N54" s="120"/>
      <x:c r="O54" s="121"/>
      <x:c r="P54" s="67" t="str">
        <x:v>r-regular-addition</x:v>
      </x:c>
    </x:row>
    <x:row r="55" ht="24" customHeight="1">
      <x:c r="A55" s="3" t="str">
        <x:v>林晓</x:v>
      </x:c>
      <x:c r="B55" s="3" t="str">
        <x:v>示例二号房</x:v>
      </x:c>
      <x:c r="C55" s="3" t="str">
        <x:v>员工</x:v>
      </x:c>
      <x:c r="D55" s="3" t="str">
        <x:v>签约员工·早班保底</x:v>
      </x:c>
      <x:c r="E55" s="3" t="str">
        <x:v>保底</x:v>
      </x:c>
      <x:c r="F55" s="3" t="str">
        <x:v>早班直播时长</x:v>
      </x:c>
      <x:c r="G55" s="75" t="n">
        <x:f>'月度核算明细'!P10</x:f>
        <x:v>5</x:v>
      </x:c>
      <x:c r="H55" s="118" t="n">
        <x:v>220</x:v>
      </x:c>
      <x:c r="I55" s="75" t="n">
        <x:v>0</x:v>
      </x:c>
      <x:c r="J55" s="102" t="n">
        <x:f>ROUND(G55*H55+I55,2)</x:f>
        <x:v>1100</x:v>
      </x:c>
      <x:c r="K55" s="3"/>
      <x:c r="L55" s="3" t="str">
        <x:v>所选时长 × 规则时薪</x:v>
      </x:c>
      <x:c r="M55" s="119"/>
      <x:c r="N55" s="120"/>
      <x:c r="O55" s="121"/>
      <x:c r="P55" s="3" t="str">
        <x:v>e-floor-early</x:v>
      </x:c>
    </x:row>
    <x:row r="56" ht="24" customHeight="1">
      <x:c r="A56" s="67" t="str">
        <x:v>林晓</x:v>
      </x:c>
      <x:c r="B56" s="67" t="str">
        <x:v>示例二号房</x:v>
      </x:c>
      <x:c r="C56" s="67" t="str">
        <x:v>员工</x:v>
      </x:c>
      <x:c r="D56" s="67" t="str">
        <x:v>签约员工·总时长保底</x:v>
      </x:c>
      <x:c r="E56" s="67" t="str">
        <x:v>保底</x:v>
      </x:c>
      <x:c r="F56" s="67" t="str">
        <x:v>总直播时长</x:v>
      </x:c>
      <x:c r="G56" s="77" t="n">
        <x:f>'月度核算明细'!N10</x:f>
        <x:v>40</x:v>
      </x:c>
      <x:c r="H56" s="118" t="n">
        <x:v>55</x:v>
      </x:c>
      <x:c r="I56" s="77" t="n">
        <x:v>0</x:v>
      </x:c>
      <x:c r="J56" s="103" t="n">
        <x:f>ROUND(G56*H56+I56,2)</x:f>
        <x:v>2200</x:v>
      </x:c>
      <x:c r="K56" s="3"/>
      <x:c r="L56" s="3" t="str">
        <x:v>所选时长 × 规则时薪</x:v>
      </x:c>
      <x:c r="M56" s="119"/>
      <x:c r="N56" s="120"/>
      <x:c r="O56" s="121"/>
      <x:c r="P56" s="67" t="str">
        <x:v>e-floor-total</x:v>
      </x:c>
    </x:row>
    <x:row r="57" ht="24" customHeight="1">
      <x:c r="A57" s="3" t="str">
        <x:v>林晓</x:v>
      </x:c>
      <x:c r="B57" s="3" t="str">
        <x:v>示例二号房</x:v>
      </x:c>
      <x:c r="C57" s="3" t="str">
        <x:v>员工</x:v>
      </x:c>
      <x:c r="D57" s="3" t="str">
        <x:v>签约员工·早班加成</x:v>
      </x:c>
      <x:c r="E57" s="3" t="str">
        <x:v>加成</x:v>
      </x:c>
      <x:c r="F57" s="3" t="str">
        <x:v>早班直播时长</x:v>
      </x:c>
      <x:c r="G57" s="75" t="n">
        <x:f>'月度核算明细'!P10</x:f>
        <x:v>5</x:v>
      </x:c>
      <x:c r="H57" s="118" t="n">
        <x:v>10</x:v>
      </x:c>
      <x:c r="I57" s="75" t="n">
        <x:v>0</x:v>
      </x:c>
      <x:c r="J57" s="102" t="n">
        <x:f>ROUND(G57*H57+I57,2)</x:f>
        <x:v>50</x:v>
      </x:c>
      <x:c r="K57" s="3"/>
      <x:c r="L57" s="3" t="str">
        <x:v>所选时长 × 规则时薪</x:v>
      </x:c>
      <x:c r="M57" s="119"/>
      <x:c r="N57" s="120"/>
      <x:c r="O57" s="121"/>
      <x:c r="P57" s="3" t="str">
        <x:v>e-early-addition</x:v>
      </x:c>
    </x:row>
    <x:row r="58" ht="24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4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4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</x:sheetData>
  <x:pageMargins left="0.7" right="0.7" top="0.75" bottom="0.75" header="0.3" footer="0.3"/>
</x:worksheet>
</file>